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ocumenttasks/documenttask2.xml" ContentType="application/vnd.ms-excel.documenttask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drawings/drawing2.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3.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threadedComments/threadedComment7.xml" ContentType="application/vnd.ms-excel.threadedcomments+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Github\FAST\+DatabasePkg\"/>
    </mc:Choice>
  </mc:AlternateContent>
  <xr:revisionPtr revIDLastSave="0" documentId="8_{A23F7E0D-D9F6-4A2B-91EC-B630099EA496}" xr6:coauthVersionLast="47" xr6:coauthVersionMax="47" xr10:uidLastSave="{00000000-0000-0000-0000-000000000000}"/>
  <bookViews>
    <workbookView xWindow="-26535" yWindow="615" windowWidth="24615" windowHeight="15225" tabRatio="743" xr2:uid="{00000000-000D-0000-FFFF-FFFF00000000}"/>
  </bookViews>
  <sheets>
    <sheet name="Jet Aircraft" sheetId="8" r:id="rId1"/>
    <sheet name="Propeller Aircraft" sheetId="9" r:id="rId2"/>
    <sheet name="Jet Engines" sheetId="14" r:id="rId3"/>
    <sheet name="Propeller Engines" sheetId="12" r:id="rId4"/>
    <sheet name="Piston Aircraft" sheetId="10" r:id="rId5"/>
    <sheet name="Piston Engines" sheetId="13" r:id="rId6"/>
    <sheet name="ALL AC" sheetId="7" r:id="rId7"/>
    <sheet name="Janki (Jane)" sheetId="1" r:id="rId8"/>
    <sheet name="Michael (Jane)" sheetId="2" r:id="rId9"/>
    <sheet name="Michael Reorganized" sheetId="5" r:id="rId10"/>
    <sheet name="Ignore This" sheetId="6" r:id="rId11"/>
  </sheets>
  <definedNames>
    <definedName name="_xlnm._FilterDatabase" localSheetId="8" hidden="1">'Michael (Jane)'!$AW$23:$AX$32</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I70" i="8" l="1"/>
  <c r="G70" i="8"/>
  <c r="JI69" i="8"/>
  <c r="HC55" i="8"/>
  <c r="OE42" i="8"/>
  <c r="OD42" i="8"/>
  <c r="OC42" i="8"/>
  <c r="OB42" i="8"/>
  <c r="AQ42" i="8"/>
  <c r="AN42" i="8"/>
  <c r="AG42" i="8"/>
  <c r="AF42" i="8"/>
  <c r="AE42" i="8"/>
  <c r="AD42" i="8"/>
  <c r="AC42" i="8"/>
  <c r="AB42" i="8"/>
  <c r="AA42" i="8"/>
  <c r="Z42" i="8"/>
  <c r="Y42" i="8"/>
  <c r="X42" i="8"/>
  <c r="W42" i="8"/>
  <c r="V42" i="8"/>
  <c r="U42" i="8"/>
  <c r="OE41" i="8"/>
  <c r="OD41" i="8"/>
  <c r="OC41" i="8"/>
  <c r="OB41" i="8"/>
  <c r="AQ41" i="8"/>
  <c r="AN41" i="8"/>
  <c r="AG41" i="8"/>
  <c r="AF41" i="8"/>
  <c r="AE41" i="8"/>
  <c r="AD41" i="8"/>
  <c r="AC41" i="8"/>
  <c r="AB41" i="8"/>
  <c r="AA41" i="8"/>
  <c r="Z41" i="8"/>
  <c r="Y41" i="8"/>
  <c r="X41" i="8"/>
  <c r="W41" i="8"/>
  <c r="V41" i="8"/>
  <c r="U41" i="8"/>
  <c r="NZ28" i="8"/>
  <c r="DY28" i="8"/>
  <c r="DX28" i="8"/>
  <c r="DW28" i="8"/>
  <c r="DV28" i="8"/>
  <c r="DU28" i="8"/>
  <c r="DT28" i="8"/>
  <c r="PN27" i="8"/>
  <c r="PM27" i="8"/>
  <c r="PL27" i="8"/>
  <c r="JA27" i="8"/>
  <c r="IZ27" i="8"/>
  <c r="IY27" i="8"/>
  <c r="IW27" i="8"/>
  <c r="DO27" i="8"/>
  <c r="DN27" i="8"/>
  <c r="DM27" i="8"/>
  <c r="DL27" i="8"/>
  <c r="DK27" i="8"/>
  <c r="DJ27" i="8"/>
  <c r="DI27" i="8"/>
  <c r="DH27" i="8"/>
  <c r="DG27" i="8"/>
  <c r="T27" i="8"/>
  <c r="R27" i="8"/>
  <c r="HC21" i="8"/>
  <c r="GA21" i="8"/>
  <c r="FZ21" i="8"/>
  <c r="FY21" i="8"/>
  <c r="FX21" i="8"/>
  <c r="FW21" i="8"/>
  <c r="FV21" i="8"/>
  <c r="FU21" i="8"/>
  <c r="AM34" i="12"/>
  <c r="N30" i="14"/>
  <c r="O46" i="12"/>
  <c r="O43" i="12"/>
  <c r="N46" i="12"/>
  <c r="N43" i="12"/>
  <c r="P34" i="12"/>
  <c r="BA67" i="14"/>
  <c r="BB67" i="14"/>
  <c r="BC67" i="14"/>
  <c r="BD67" i="14"/>
  <c r="BE67" i="14"/>
  <c r="BF67" i="14"/>
  <c r="BG67" i="14"/>
  <c r="BH67" i="14"/>
  <c r="BI67" i="14"/>
  <c r="BJ67" i="14"/>
  <c r="BK67" i="14"/>
  <c r="BL67" i="14"/>
  <c r="BM67" i="14"/>
  <c r="BN67" i="14"/>
  <c r="BO67" i="14"/>
  <c r="BP67" i="14"/>
  <c r="BQ67" i="14"/>
  <c r="BR67" i="14"/>
  <c r="BS67" i="14"/>
  <c r="BT67" i="14"/>
  <c r="BU67" i="14"/>
  <c r="BV67" i="14"/>
  <c r="BW67" i="14"/>
  <c r="BX67" i="14"/>
  <c r="BY67" i="14"/>
  <c r="BZ67" i="14"/>
  <c r="CA67" i="14"/>
  <c r="CB67" i="14"/>
  <c r="CC67" i="14"/>
  <c r="CD67" i="14"/>
  <c r="CE67" i="14"/>
  <c r="CF67" i="14"/>
  <c r="CG67" i="14"/>
  <c r="CH67" i="14"/>
  <c r="CI67" i="14"/>
  <c r="CJ67" i="14"/>
  <c r="CK67" i="14"/>
  <c r="CL67" i="14"/>
  <c r="CM67" i="14"/>
  <c r="CN67" i="14"/>
  <c r="CO67" i="14"/>
  <c r="CP67" i="14"/>
  <c r="CQ67" i="14"/>
  <c r="CR67" i="14"/>
  <c r="CS67" i="14"/>
  <c r="CT67" i="14"/>
  <c r="CU67" i="14"/>
  <c r="CV67" i="14"/>
  <c r="CW67" i="14"/>
  <c r="CX67" i="14"/>
  <c r="CY67" i="14"/>
  <c r="CZ67" i="14"/>
  <c r="DA67" i="14"/>
  <c r="DB67" i="14"/>
  <c r="DC67" i="14"/>
  <c r="DD67" i="14"/>
  <c r="DE67" i="14"/>
  <c r="DF67" i="14"/>
  <c r="DG67" i="14"/>
  <c r="DH67" i="14"/>
  <c r="DI67" i="14"/>
  <c r="DJ67" i="14"/>
  <c r="DK67" i="14"/>
  <c r="DL67" i="14"/>
  <c r="DM67" i="14"/>
  <c r="DN67" i="14"/>
  <c r="DO67" i="14"/>
  <c r="DP67" i="14"/>
  <c r="DQ67" i="14"/>
  <c r="DR67" i="14"/>
  <c r="DS67" i="14"/>
  <c r="DT67" i="14"/>
  <c r="DU67" i="14"/>
  <c r="DV67" i="14"/>
  <c r="DW67" i="14"/>
  <c r="DX67" i="14"/>
  <c r="DY67" i="14"/>
  <c r="DZ67" i="14"/>
  <c r="EA67" i="14"/>
  <c r="EB67" i="14"/>
  <c r="EC67" i="14"/>
  <c r="ED67" i="14"/>
  <c r="EE67" i="14"/>
  <c r="EF67" i="14"/>
  <c r="EG67" i="14"/>
  <c r="EH67" i="14"/>
  <c r="EI67" i="14"/>
  <c r="EJ67" i="14"/>
  <c r="EK67" i="14"/>
  <c r="EL67" i="14"/>
  <c r="EM67" i="14"/>
  <c r="EN67" i="14"/>
  <c r="EO67" i="14"/>
  <c r="EP67" i="14"/>
  <c r="EQ67" i="14"/>
  <c r="ER67" i="14"/>
  <c r="ES67" i="14"/>
  <c r="ET67" i="14"/>
  <c r="EU67" i="14"/>
  <c r="EV67" i="14"/>
  <c r="EW67" i="14"/>
  <c r="EX67" i="14"/>
  <c r="EY67" i="14"/>
  <c r="EZ67" i="14"/>
  <c r="FA67" i="14"/>
  <c r="FB67" i="14"/>
  <c r="FC67" i="14"/>
  <c r="FD67" i="14"/>
  <c r="FE67" i="14"/>
  <c r="FF67" i="14"/>
  <c r="FG67" i="14"/>
  <c r="FH67" i="14"/>
  <c r="FI67" i="14"/>
  <c r="FJ67" i="14"/>
  <c r="FK67" i="14"/>
  <c r="FL67" i="14"/>
  <c r="FM67" i="14"/>
  <c r="FN67" i="14"/>
  <c r="FO67" i="14"/>
  <c r="FP67" i="14"/>
  <c r="FQ67" i="14"/>
  <c r="FR67" i="14"/>
  <c r="FS67" i="14"/>
  <c r="FT67" i="14"/>
  <c r="FU67" i="14"/>
  <c r="FV67" i="14"/>
  <c r="FW67" i="14"/>
  <c r="FX67" i="14"/>
  <c r="FY67" i="14"/>
  <c r="FZ67" i="14"/>
  <c r="GA67" i="14"/>
  <c r="GB67" i="14"/>
  <c r="GC67" i="14"/>
  <c r="GD67" i="14"/>
  <c r="GE67" i="14"/>
  <c r="GF67" i="14"/>
  <c r="GG67" i="14"/>
  <c r="GH67" i="14"/>
  <c r="GI67" i="14"/>
  <c r="GJ67" i="14"/>
  <c r="GK67" i="14"/>
  <c r="GL67" i="14"/>
  <c r="GM67" i="14"/>
  <c r="GN67" i="14"/>
  <c r="GO67" i="14"/>
  <c r="GP67" i="14"/>
  <c r="GQ67" i="14"/>
  <c r="GR67" i="14"/>
  <c r="GS67" i="14"/>
  <c r="GT67" i="14"/>
  <c r="GU67" i="14"/>
  <c r="GV67" i="14"/>
  <c r="GW67" i="14"/>
  <c r="GX67" i="14"/>
  <c r="GY67" i="14"/>
  <c r="GZ67" i="14"/>
  <c r="HA67" i="14"/>
  <c r="F67" i="14"/>
  <c r="G67" i="14"/>
  <c r="H67" i="14"/>
  <c r="I67" i="14"/>
  <c r="J67" i="14"/>
  <c r="K67" i="14"/>
  <c r="L67" i="14"/>
  <c r="M67" i="14"/>
  <c r="N67" i="14"/>
  <c r="O67" i="14"/>
  <c r="P67" i="14"/>
  <c r="Q67" i="14"/>
  <c r="R67" i="14"/>
  <c r="S67" i="14"/>
  <c r="T67" i="14"/>
  <c r="U67" i="14"/>
  <c r="V67" i="14"/>
  <c r="W67" i="14"/>
  <c r="X67" i="14"/>
  <c r="Y67" i="14"/>
  <c r="Z67" i="14"/>
  <c r="AA67" i="14"/>
  <c r="AB67" i="14"/>
  <c r="AC67" i="14"/>
  <c r="AD67" i="14"/>
  <c r="AE67" i="14"/>
  <c r="AF67" i="14"/>
  <c r="AG67" i="14"/>
  <c r="AH67" i="14"/>
  <c r="AI67" i="14"/>
  <c r="AJ67" i="14"/>
  <c r="AK67" i="14"/>
  <c r="AL67" i="14"/>
  <c r="AM67" i="14"/>
  <c r="AN67" i="14"/>
  <c r="AO67" i="14"/>
  <c r="AP67" i="14"/>
  <c r="AQ67" i="14"/>
  <c r="AR67" i="14"/>
  <c r="AS67" i="14"/>
  <c r="AT67" i="14"/>
  <c r="AU67" i="14"/>
  <c r="AV67" i="14"/>
  <c r="AW67" i="14"/>
  <c r="AX67" i="14"/>
  <c r="AY67" i="14"/>
  <c r="AZ67" i="14"/>
  <c r="E67" i="14"/>
  <c r="U45" i="9"/>
  <c r="V45" i="9"/>
  <c r="W45" i="9"/>
  <c r="X45" i="9"/>
  <c r="Y45" i="9"/>
  <c r="Z45" i="9"/>
  <c r="FF49" i="5"/>
  <c r="AO70" i="12"/>
  <c r="AP70" i="12"/>
  <c r="AQ70" i="12"/>
  <c r="AR70" i="12"/>
  <c r="AS70" i="12"/>
  <c r="AT70" i="12"/>
  <c r="AU70" i="12"/>
  <c r="AV70" i="12"/>
  <c r="AW70" i="12"/>
  <c r="AX70" i="12"/>
  <c r="AY70" i="12"/>
  <c r="AZ70" i="12"/>
  <c r="BA70" i="12"/>
  <c r="BB70" i="12"/>
  <c r="BC70" i="12"/>
  <c r="BD70" i="12"/>
  <c r="BE70" i="12"/>
  <c r="BF70" i="12"/>
  <c r="BG70" i="12"/>
  <c r="BH70" i="12"/>
  <c r="BI70" i="12"/>
  <c r="BJ70" i="12"/>
  <c r="BK70" i="12"/>
  <c r="BL70" i="12"/>
  <c r="BM70" i="12"/>
  <c r="BN70" i="12"/>
  <c r="BO70" i="12"/>
  <c r="BP70" i="12"/>
  <c r="BQ70" i="12"/>
  <c r="BR70" i="12"/>
  <c r="BS70" i="12"/>
  <c r="BT70" i="12"/>
  <c r="BU70" i="12"/>
  <c r="BV70" i="12"/>
  <c r="BW70" i="12"/>
  <c r="BX70" i="12"/>
  <c r="BY70" i="12"/>
  <c r="BZ70" i="12"/>
  <c r="CA70" i="12"/>
  <c r="CB70" i="12"/>
  <c r="CC70" i="12"/>
  <c r="CD70" i="12"/>
  <c r="CE70" i="12"/>
  <c r="CF70" i="12"/>
  <c r="CG70" i="12"/>
  <c r="CH70" i="12"/>
  <c r="CI70" i="12"/>
  <c r="CJ70" i="12"/>
  <c r="CK70" i="12"/>
  <c r="CL70" i="12"/>
  <c r="CM70" i="12"/>
  <c r="CN70" i="12"/>
  <c r="CO70" i="12"/>
  <c r="CP70" i="12"/>
  <c r="CQ70" i="12"/>
  <c r="CR70" i="12"/>
  <c r="CS70" i="12"/>
  <c r="CT70" i="12"/>
  <c r="CU70" i="12"/>
  <c r="CV70" i="12"/>
  <c r="CW70" i="12"/>
  <c r="CX70" i="12"/>
  <c r="CY70" i="12"/>
  <c r="CZ70" i="12"/>
  <c r="DA70" i="12"/>
  <c r="DB70" i="12"/>
  <c r="DC70" i="12"/>
  <c r="DD70" i="12"/>
  <c r="DE70" i="12"/>
  <c r="DF70" i="12"/>
  <c r="DG70" i="12"/>
  <c r="DH70" i="12"/>
  <c r="DI70" i="12"/>
  <c r="DJ70" i="12"/>
  <c r="E77" i="12" a="1"/>
  <c r="AH70" i="12" s="1"/>
  <c r="E80" i="14" a="1"/>
  <c r="E80" i="14" s="1"/>
  <c r="Z70" i="12" l="1"/>
  <c r="AN70" i="12"/>
  <c r="AM70" i="12"/>
  <c r="AL70" i="12"/>
  <c r="AK70" i="12"/>
  <c r="AJ70" i="12"/>
  <c r="AI70" i="12"/>
  <c r="AB70" i="12"/>
  <c r="AG70" i="12"/>
  <c r="AF70" i="12"/>
  <c r="AE70" i="12"/>
  <c r="AD70" i="12"/>
  <c r="AC70" i="12"/>
  <c r="Q70" i="12"/>
  <c r="Y70" i="12"/>
  <c r="AA70" i="12"/>
  <c r="U70" i="12"/>
  <c r="T70" i="12"/>
  <c r="X70" i="12"/>
  <c r="W70" i="12"/>
  <c r="V70" i="12"/>
  <c r="S70" i="12"/>
  <c r="R70" i="12"/>
  <c r="E77" i="12"/>
  <c r="E70" i="12" s="1"/>
  <c r="P70" i="12"/>
  <c r="O70" i="12"/>
  <c r="N70" i="12"/>
  <c r="F70" i="12"/>
  <c r="M70" i="12"/>
  <c r="L70" i="12"/>
  <c r="J70" i="12"/>
  <c r="I70" i="12"/>
  <c r="H70" i="12"/>
  <c r="G70" i="12"/>
  <c r="GX48" i="14"/>
  <c r="GX46" i="14"/>
  <c r="EZ46" i="14"/>
  <c r="FA46" i="14"/>
  <c r="FA48" i="14"/>
  <c r="EZ48" i="14"/>
  <c r="EY48" i="14"/>
  <c r="EY46" i="14"/>
  <c r="EX48" i="14"/>
  <c r="EX46" i="14"/>
  <c r="CQ30" i="14"/>
  <c r="CQ29" i="14"/>
  <c r="EN48" i="14"/>
  <c r="EN46" i="14"/>
  <c r="EM46" i="14"/>
  <c r="EM48" i="14"/>
  <c r="HE4" i="14"/>
  <c r="DV46" i="14"/>
  <c r="DV48" i="14"/>
  <c r="GR46" i="14"/>
  <c r="GR48" i="14"/>
  <c r="CQ48" i="14"/>
  <c r="CQ46" i="14"/>
  <c r="O48" i="14"/>
  <c r="O46" i="14"/>
  <c r="GA48" i="14"/>
  <c r="GA46" i="14"/>
  <c r="CP48" i="14"/>
  <c r="CP46" i="14"/>
  <c r="R46" i="14"/>
  <c r="Q46" i="14"/>
  <c r="CO48" i="14"/>
  <c r="CO46" i="14"/>
  <c r="P46" i="14"/>
  <c r="CN48" i="14"/>
  <c r="CN46" i="14"/>
  <c r="CM48" i="14"/>
  <c r="R48" i="14"/>
  <c r="Q48" i="14"/>
  <c r="CM46" i="14"/>
  <c r="P48" i="14"/>
  <c r="CL48" i="14"/>
  <c r="CL46" i="14"/>
  <c r="T46" i="14"/>
  <c r="T48" i="14"/>
  <c r="U46" i="14"/>
  <c r="BG48" i="14"/>
  <c r="BG46" i="14"/>
  <c r="U48" i="14"/>
  <c r="BI48" i="14"/>
  <c r="BI46" i="14"/>
  <c r="BF48" i="14"/>
  <c r="BF46" i="14"/>
  <c r="X46" i="14"/>
  <c r="AX48" i="14"/>
  <c r="AX46" i="14"/>
  <c r="AW48" i="14"/>
  <c r="AW46" i="14"/>
  <c r="X48" i="14"/>
  <c r="AV48" i="14"/>
  <c r="AV46" i="14"/>
  <c r="AU48" i="14"/>
  <c r="AU46" i="14"/>
  <c r="Y46" i="14"/>
  <c r="AN48" i="14"/>
  <c r="AN46" i="14"/>
  <c r="Y48" i="14"/>
  <c r="AM48" i="14"/>
  <c r="AM46" i="14"/>
  <c r="AL48" i="14"/>
  <c r="AL46" i="14"/>
  <c r="AK48" i="14"/>
  <c r="AK46" i="14"/>
  <c r="AJ48" i="14"/>
  <c r="Z48" i="14"/>
  <c r="AJ46" i="14"/>
  <c r="AG48" i="14"/>
  <c r="AG46" i="14"/>
  <c r="AF48" i="14"/>
  <c r="AF46" i="14"/>
  <c r="Z46" i="14"/>
  <c r="G48" i="14"/>
  <c r="G46" i="14"/>
  <c r="F48" i="14"/>
  <c r="F46" i="14"/>
  <c r="E48" i="14"/>
  <c r="E46" i="14"/>
  <c r="AC48" i="14"/>
  <c r="AC46" i="14"/>
  <c r="CT46" i="14"/>
  <c r="CT48" i="14"/>
  <c r="CX48" i="14"/>
  <c r="CX46" i="14"/>
  <c r="DE46" i="14"/>
  <c r="DE48" i="14"/>
  <c r="DH46" i="14"/>
  <c r="DH48" i="14"/>
  <c r="DQ48" i="14"/>
  <c r="DQ46" i="14"/>
  <c r="GF46" i="14"/>
  <c r="GF48" i="14"/>
  <c r="GE48" i="14"/>
  <c r="GE46" i="14"/>
  <c r="GG48" i="14"/>
  <c r="GG46" i="14"/>
  <c r="AS48" i="14"/>
  <c r="AS46" i="14"/>
  <c r="AR48" i="14"/>
  <c r="AR46" i="14"/>
  <c r="BD48" i="14"/>
  <c r="BD46" i="14"/>
  <c r="BO46" i="14"/>
  <c r="BO48" i="14"/>
  <c r="BM48" i="14"/>
  <c r="BM46" i="14"/>
  <c r="BL46" i="14"/>
  <c r="BL48" i="14"/>
  <c r="BR48" i="14"/>
  <c r="BR46" i="14"/>
  <c r="BQ48" i="14"/>
  <c r="BQ46" i="14"/>
  <c r="BP46" i="14"/>
  <c r="BP48" i="14"/>
  <c r="DU48" i="14"/>
  <c r="DT48" i="14"/>
  <c r="DS48" i="14"/>
  <c r="DU46" i="14"/>
  <c r="DT46" i="14"/>
  <c r="DS46" i="14"/>
  <c r="AI46" i="14"/>
  <c r="AI48" i="14"/>
  <c r="AH48" i="14"/>
  <c r="AH46" i="14"/>
  <c r="EB46" i="14"/>
  <c r="HE5" i="14"/>
  <c r="M30" i="14"/>
  <c r="L30" i="14"/>
  <c r="BZ53" i="14"/>
  <c r="EH53" i="14"/>
  <c r="EG53" i="14"/>
  <c r="EF53" i="14"/>
  <c r="BZ30" i="14" l="1"/>
  <c r="HB73" i="14"/>
  <c r="G27" i="2"/>
  <c r="E58" i="7"/>
  <c r="JK54" i="7"/>
  <c r="JJ54" i="7"/>
  <c r="JI54" i="7"/>
  <c r="JH54" i="7"/>
  <c r="JG54" i="7"/>
  <c r="JF54" i="7"/>
  <c r="JE54" i="7"/>
  <c r="JD54" i="7"/>
  <c r="JC54" i="7"/>
  <c r="JB54" i="7"/>
  <c r="JA54" i="7"/>
  <c r="IZ54" i="7"/>
  <c r="IY54" i="7"/>
  <c r="IX54" i="7"/>
  <c r="IW54" i="7"/>
  <c r="IV54" i="7"/>
  <c r="IU54" i="7"/>
  <c r="IT54" i="7"/>
  <c r="IS54" i="7"/>
  <c r="IR54" i="7"/>
  <c r="IQ54" i="7"/>
  <c r="IP54" i="7"/>
  <c r="IO54" i="7"/>
  <c r="IN54" i="7"/>
  <c r="IM54" i="7"/>
  <c r="IL54" i="7"/>
  <c r="IK54" i="7"/>
  <c r="IJ54" i="7"/>
  <c r="II54" i="7"/>
  <c r="IH54" i="7"/>
  <c r="IG54" i="7"/>
  <c r="IF54" i="7"/>
  <c r="IE54" i="7"/>
  <c r="ID54" i="7"/>
  <c r="IC54" i="7"/>
  <c r="IB54" i="7"/>
  <c r="IA54" i="7"/>
  <c r="HZ54" i="7"/>
  <c r="HY54" i="7"/>
  <c r="HX54" i="7"/>
  <c r="HW54" i="7"/>
  <c r="HV54" i="7"/>
  <c r="HU54" i="7"/>
  <c r="HT54" i="7"/>
  <c r="HS54" i="7"/>
  <c r="HR54" i="7"/>
  <c r="HQ54" i="7"/>
  <c r="HP54" i="7"/>
  <c r="HO54" i="7"/>
  <c r="HN54" i="7"/>
  <c r="HM54" i="7"/>
  <c r="HL54" i="7"/>
  <c r="HK54" i="7"/>
  <c r="HJ54" i="7"/>
  <c r="HI54" i="7"/>
  <c r="HH54" i="7"/>
  <c r="HG54" i="7"/>
  <c r="HF54" i="7"/>
  <c r="HE54" i="7"/>
  <c r="HD54" i="7"/>
  <c r="HC54" i="7"/>
  <c r="HB54" i="7"/>
  <c r="HA54" i="7"/>
  <c r="GZ54" i="7"/>
  <c r="GY54" i="7"/>
  <c r="GX54" i="7"/>
  <c r="GW54" i="7"/>
  <c r="GV54" i="7"/>
  <c r="GU54" i="7"/>
  <c r="GT54" i="7"/>
  <c r="GS54" i="7"/>
  <c r="GR54" i="7"/>
  <c r="GQ54" i="7"/>
  <c r="GP54" i="7"/>
  <c r="GO54" i="7"/>
  <c r="GN54" i="7"/>
  <c r="GM54" i="7"/>
  <c r="GL54" i="7"/>
  <c r="GK54" i="7"/>
  <c r="GJ54" i="7"/>
  <c r="GI54" i="7"/>
  <c r="GH54" i="7"/>
  <c r="GG54" i="7"/>
  <c r="GF54" i="7"/>
  <c r="GE54" i="7"/>
  <c r="GD54" i="7"/>
  <c r="GC54" i="7"/>
  <c r="GB54" i="7"/>
  <c r="GA54" i="7"/>
  <c r="FZ54" i="7"/>
  <c r="FY54" i="7"/>
  <c r="FX54" i="7"/>
  <c r="FW54" i="7"/>
  <c r="FV54" i="7"/>
  <c r="FU54" i="7"/>
  <c r="FT54" i="7"/>
  <c r="FS54" i="7"/>
  <c r="FR54" i="7"/>
  <c r="FQ54" i="7"/>
  <c r="FP54" i="7"/>
  <c r="FO54" i="7"/>
  <c r="FN54" i="7"/>
  <c r="FM54" i="7"/>
  <c r="FL54" i="7"/>
  <c r="FL55" i="7" s="1"/>
  <c r="FL56" i="7" s="1"/>
  <c r="FK54" i="7"/>
  <c r="FJ54" i="7"/>
  <c r="FI54" i="7"/>
  <c r="FH54" i="7"/>
  <c r="FG54" i="7"/>
  <c r="FF54" i="7"/>
  <c r="FE54" i="7"/>
  <c r="FD54" i="7"/>
  <c r="FC54" i="7"/>
  <c r="FB54" i="7"/>
  <c r="FA54" i="7"/>
  <c r="EZ54" i="7"/>
  <c r="EY54" i="7"/>
  <c r="EX54" i="7"/>
  <c r="EW54" i="7"/>
  <c r="EV54" i="7"/>
  <c r="EV55" i="7" s="1"/>
  <c r="EV56" i="7" s="1"/>
  <c r="EU54" i="7"/>
  <c r="EU55" i="7" s="1"/>
  <c r="EU56" i="7" s="1"/>
  <c r="ET54" i="7"/>
  <c r="ET55" i="7" s="1"/>
  <c r="ET56" i="7" s="1"/>
  <c r="ES54" i="7"/>
  <c r="ER54" i="7"/>
  <c r="EQ54" i="7"/>
  <c r="EP54" i="7"/>
  <c r="EO54" i="7"/>
  <c r="EN54" i="7"/>
  <c r="EM54" i="7"/>
  <c r="EL54" i="7"/>
  <c r="EK54" i="7"/>
  <c r="EJ54" i="7"/>
  <c r="EI54" i="7"/>
  <c r="EH54" i="7"/>
  <c r="EG54" i="7"/>
  <c r="EF54" i="7"/>
  <c r="EE54" i="7"/>
  <c r="ED54" i="7"/>
  <c r="EC54" i="7"/>
  <c r="EB54" i="7"/>
  <c r="EA54" i="7"/>
  <c r="DZ54" i="7"/>
  <c r="DY54" i="7"/>
  <c r="DX54" i="7"/>
  <c r="DW54" i="7"/>
  <c r="DV54" i="7"/>
  <c r="DU54" i="7"/>
  <c r="DT54" i="7"/>
  <c r="DS54" i="7"/>
  <c r="DR54" i="7"/>
  <c r="JK49" i="7"/>
  <c r="JK50" i="7" s="1"/>
  <c r="JK51" i="7" s="1"/>
  <c r="JK52" i="7" s="1"/>
  <c r="JJ49" i="7"/>
  <c r="JJ50" i="7" s="1"/>
  <c r="JJ51" i="7" s="1"/>
  <c r="JJ52" i="7" s="1"/>
  <c r="JI49" i="7"/>
  <c r="JI50" i="7" s="1"/>
  <c r="JI51" i="7" s="1"/>
  <c r="JI52" i="7" s="1"/>
  <c r="JH49" i="7"/>
  <c r="JH50" i="7" s="1"/>
  <c r="JH51" i="7" s="1"/>
  <c r="JH52" i="7" s="1"/>
  <c r="JG49" i="7"/>
  <c r="JG50" i="7" s="1"/>
  <c r="JG51" i="7" s="1"/>
  <c r="JG52" i="7" s="1"/>
  <c r="JF49" i="7"/>
  <c r="JF50" i="7" s="1"/>
  <c r="JF51" i="7" s="1"/>
  <c r="JF52" i="7" s="1"/>
  <c r="JE49" i="7"/>
  <c r="JE50" i="7" s="1"/>
  <c r="JE51" i="7" s="1"/>
  <c r="JE52" i="7" s="1"/>
  <c r="JD49" i="7"/>
  <c r="JD50" i="7" s="1"/>
  <c r="JD51" i="7" s="1"/>
  <c r="JD52" i="7" s="1"/>
  <c r="JC49" i="7"/>
  <c r="JC50" i="7" s="1"/>
  <c r="JC51" i="7" s="1"/>
  <c r="JC52" i="7" s="1"/>
  <c r="JB49" i="7"/>
  <c r="JB50" i="7" s="1"/>
  <c r="JA49" i="7"/>
  <c r="JA50" i="7" s="1"/>
  <c r="IZ49" i="7"/>
  <c r="IZ50" i="7" s="1"/>
  <c r="IY49" i="7"/>
  <c r="IY50" i="7" s="1"/>
  <c r="IX49" i="7"/>
  <c r="IX50" i="7" s="1"/>
  <c r="IX51" i="7" s="1"/>
  <c r="IX52" i="7" s="1"/>
  <c r="IW49" i="7"/>
  <c r="IW50" i="7" s="1"/>
  <c r="IW51" i="7" s="1"/>
  <c r="IW52" i="7" s="1"/>
  <c r="IV49" i="7"/>
  <c r="IV50" i="7" s="1"/>
  <c r="IV51" i="7" s="1"/>
  <c r="IV52" i="7" s="1"/>
  <c r="IU49" i="7"/>
  <c r="IU50" i="7" s="1"/>
  <c r="IU51" i="7" s="1"/>
  <c r="IU52" i="7" s="1"/>
  <c r="IT49" i="7"/>
  <c r="IT50" i="7" s="1"/>
  <c r="IT51" i="7" s="1"/>
  <c r="IT52" i="7" s="1"/>
  <c r="IS49" i="7"/>
  <c r="IS50" i="7" s="1"/>
  <c r="IS51" i="7" s="1"/>
  <c r="IS52" i="7" s="1"/>
  <c r="IR49" i="7"/>
  <c r="IR50" i="7" s="1"/>
  <c r="IR51" i="7" s="1"/>
  <c r="IR52" i="7" s="1"/>
  <c r="IQ49" i="7"/>
  <c r="IQ50" i="7" s="1"/>
  <c r="IQ51" i="7" s="1"/>
  <c r="IQ52" i="7" s="1"/>
  <c r="IP49" i="7"/>
  <c r="IP50" i="7" s="1"/>
  <c r="IP51" i="7" s="1"/>
  <c r="IP52" i="7" s="1"/>
  <c r="IO49" i="7"/>
  <c r="IO50" i="7" s="1"/>
  <c r="IO51" i="7" s="1"/>
  <c r="IO52" i="7" s="1"/>
  <c r="IN49" i="7"/>
  <c r="IN50" i="7" s="1"/>
  <c r="IN51" i="7" s="1"/>
  <c r="IN52" i="7" s="1"/>
  <c r="IM49" i="7"/>
  <c r="IM50" i="7" s="1"/>
  <c r="IM51" i="7" s="1"/>
  <c r="IM52" i="7" s="1"/>
  <c r="IL49" i="7"/>
  <c r="IL50" i="7" s="1"/>
  <c r="IL51" i="7" s="1"/>
  <c r="IL52" i="7" s="1"/>
  <c r="IK49" i="7"/>
  <c r="IK50" i="7" s="1"/>
  <c r="IK51" i="7" s="1"/>
  <c r="IK52" i="7" s="1"/>
  <c r="IJ49" i="7"/>
  <c r="IJ50" i="7" s="1"/>
  <c r="IJ51" i="7" s="1"/>
  <c r="IJ52" i="7" s="1"/>
  <c r="II49" i="7"/>
  <c r="II50" i="7" s="1"/>
  <c r="II51" i="7" s="1"/>
  <c r="II52" i="7" s="1"/>
  <c r="IH49" i="7"/>
  <c r="IH50" i="7" s="1"/>
  <c r="IH51" i="7" s="1"/>
  <c r="IH52" i="7" s="1"/>
  <c r="IG49" i="7"/>
  <c r="IG50" i="7" s="1"/>
  <c r="IG51" i="7" s="1"/>
  <c r="IG52" i="7" s="1"/>
  <c r="IF49" i="7"/>
  <c r="IF50" i="7" s="1"/>
  <c r="IF51" i="7" s="1"/>
  <c r="IF52" i="7" s="1"/>
  <c r="IE49" i="7"/>
  <c r="IE50" i="7" s="1"/>
  <c r="IE51" i="7" s="1"/>
  <c r="IE52" i="7" s="1"/>
  <c r="ID49" i="7"/>
  <c r="ID50" i="7" s="1"/>
  <c r="ID51" i="7" s="1"/>
  <c r="ID52" i="7" s="1"/>
  <c r="IC49" i="7"/>
  <c r="IC50" i="7" s="1"/>
  <c r="IC51" i="7" s="1"/>
  <c r="IC52" i="7" s="1"/>
  <c r="IB49" i="7"/>
  <c r="IB50" i="7" s="1"/>
  <c r="IB51" i="7" s="1"/>
  <c r="IB52" i="7" s="1"/>
  <c r="IA49" i="7"/>
  <c r="IA50" i="7" s="1"/>
  <c r="IA51" i="7" s="1"/>
  <c r="IA52" i="7" s="1"/>
  <c r="HZ49" i="7"/>
  <c r="HZ50" i="7" s="1"/>
  <c r="HZ51" i="7" s="1"/>
  <c r="HZ52" i="7" s="1"/>
  <c r="HY49" i="7"/>
  <c r="HY50" i="7" s="1"/>
  <c r="HY51" i="7" s="1"/>
  <c r="HY52" i="7" s="1"/>
  <c r="HX49" i="7"/>
  <c r="HX50" i="7" s="1"/>
  <c r="HX51" i="7" s="1"/>
  <c r="HX52" i="7" s="1"/>
  <c r="HW49" i="7"/>
  <c r="HW50" i="7" s="1"/>
  <c r="HW51" i="7" s="1"/>
  <c r="HW52" i="7" s="1"/>
  <c r="HV49" i="7"/>
  <c r="HV50" i="7" s="1"/>
  <c r="HV51" i="7" s="1"/>
  <c r="HV52" i="7" s="1"/>
  <c r="HU49" i="7"/>
  <c r="HU50" i="7" s="1"/>
  <c r="HU51" i="7" s="1"/>
  <c r="HU52" i="7" s="1"/>
  <c r="HT49" i="7"/>
  <c r="HT50" i="7" s="1"/>
  <c r="HT51" i="7" s="1"/>
  <c r="HT52" i="7" s="1"/>
  <c r="HS49" i="7"/>
  <c r="HS50" i="7" s="1"/>
  <c r="HS51" i="7" s="1"/>
  <c r="HS52" i="7" s="1"/>
  <c r="HR49" i="7"/>
  <c r="HR50" i="7" s="1"/>
  <c r="HR51" i="7" s="1"/>
  <c r="HR52" i="7" s="1"/>
  <c r="HQ49" i="7"/>
  <c r="HQ50" i="7" s="1"/>
  <c r="HQ51" i="7" s="1"/>
  <c r="HQ52" i="7" s="1"/>
  <c r="HP49" i="7"/>
  <c r="HP50" i="7" s="1"/>
  <c r="HP51" i="7" s="1"/>
  <c r="HP52" i="7" s="1"/>
  <c r="HO49" i="7"/>
  <c r="HO50" i="7" s="1"/>
  <c r="HO51" i="7" s="1"/>
  <c r="HO52" i="7" s="1"/>
  <c r="HN49" i="7"/>
  <c r="HN50" i="7" s="1"/>
  <c r="HN51" i="7" s="1"/>
  <c r="HN52" i="7" s="1"/>
  <c r="HM49" i="7"/>
  <c r="HM50" i="7" s="1"/>
  <c r="HM51" i="7" s="1"/>
  <c r="HM52" i="7" s="1"/>
  <c r="HL49" i="7"/>
  <c r="HL50" i="7" s="1"/>
  <c r="HL51" i="7" s="1"/>
  <c r="HL52" i="7" s="1"/>
  <c r="HK49" i="7"/>
  <c r="HK50" i="7" s="1"/>
  <c r="HK51" i="7" s="1"/>
  <c r="HK52" i="7" s="1"/>
  <c r="HJ49" i="7"/>
  <c r="HJ50" i="7" s="1"/>
  <c r="HJ51" i="7" s="1"/>
  <c r="HJ52" i="7" s="1"/>
  <c r="HI49" i="7"/>
  <c r="HI50" i="7" s="1"/>
  <c r="HI51" i="7" s="1"/>
  <c r="HI52" i="7" s="1"/>
  <c r="HH49" i="7"/>
  <c r="HH50" i="7" s="1"/>
  <c r="HH51" i="7" s="1"/>
  <c r="HH52" i="7" s="1"/>
  <c r="HG49" i="7"/>
  <c r="HG50" i="7" s="1"/>
  <c r="HG51" i="7" s="1"/>
  <c r="HG52" i="7" s="1"/>
  <c r="HF49" i="7"/>
  <c r="HF50" i="7" s="1"/>
  <c r="HF51" i="7" s="1"/>
  <c r="HF52" i="7" s="1"/>
  <c r="HE49" i="7"/>
  <c r="HE50" i="7" s="1"/>
  <c r="HE51" i="7" s="1"/>
  <c r="HE52" i="7" s="1"/>
  <c r="HD49" i="7"/>
  <c r="HD50" i="7" s="1"/>
  <c r="HD51" i="7" s="1"/>
  <c r="HD52" i="7" s="1"/>
  <c r="HC49" i="7"/>
  <c r="HC50" i="7" s="1"/>
  <c r="HC51" i="7" s="1"/>
  <c r="HC52" i="7" s="1"/>
  <c r="HB49" i="7"/>
  <c r="HB50" i="7" s="1"/>
  <c r="HB51" i="7" s="1"/>
  <c r="HB52" i="7" s="1"/>
  <c r="HA49" i="7"/>
  <c r="HA50" i="7" s="1"/>
  <c r="HA51" i="7" s="1"/>
  <c r="HA52" i="7" s="1"/>
  <c r="GZ49" i="7"/>
  <c r="GZ50" i="7" s="1"/>
  <c r="GZ51" i="7" s="1"/>
  <c r="GZ52" i="7" s="1"/>
  <c r="GY49" i="7"/>
  <c r="GY50" i="7" s="1"/>
  <c r="GY51" i="7" s="1"/>
  <c r="GY52" i="7" s="1"/>
  <c r="GX49" i="7"/>
  <c r="GX50" i="7" s="1"/>
  <c r="GX51" i="7" s="1"/>
  <c r="GX52" i="7" s="1"/>
  <c r="GW49" i="7"/>
  <c r="GW50" i="7" s="1"/>
  <c r="GW51" i="7" s="1"/>
  <c r="GW52" i="7" s="1"/>
  <c r="GV49" i="7"/>
  <c r="GV50" i="7" s="1"/>
  <c r="GV51" i="7" s="1"/>
  <c r="GV52" i="7" s="1"/>
  <c r="GU49" i="7"/>
  <c r="GU50" i="7" s="1"/>
  <c r="GU51" i="7" s="1"/>
  <c r="GU52" i="7" s="1"/>
  <c r="GT49" i="7"/>
  <c r="GT50" i="7" s="1"/>
  <c r="GT51" i="7" s="1"/>
  <c r="GT52" i="7" s="1"/>
  <c r="GS49" i="7"/>
  <c r="GS50" i="7" s="1"/>
  <c r="GS51" i="7" s="1"/>
  <c r="GS52" i="7" s="1"/>
  <c r="GR49" i="7"/>
  <c r="GR50" i="7" s="1"/>
  <c r="GR51" i="7" s="1"/>
  <c r="GR52" i="7" s="1"/>
  <c r="GQ49" i="7"/>
  <c r="GQ50" i="7" s="1"/>
  <c r="GQ51" i="7" s="1"/>
  <c r="GQ52" i="7" s="1"/>
  <c r="GP49" i="7"/>
  <c r="GP50" i="7" s="1"/>
  <c r="GP51" i="7" s="1"/>
  <c r="GP52" i="7" s="1"/>
  <c r="GO49" i="7"/>
  <c r="GO50" i="7" s="1"/>
  <c r="GO51" i="7" s="1"/>
  <c r="GO52" i="7" s="1"/>
  <c r="GN49" i="7"/>
  <c r="GN50" i="7" s="1"/>
  <c r="GN51" i="7" s="1"/>
  <c r="GN52" i="7" s="1"/>
  <c r="GM49" i="7"/>
  <c r="GM50" i="7" s="1"/>
  <c r="GM51" i="7" s="1"/>
  <c r="GM52" i="7" s="1"/>
  <c r="GL49" i="7"/>
  <c r="GL50" i="7" s="1"/>
  <c r="GL51" i="7" s="1"/>
  <c r="GL52" i="7" s="1"/>
  <c r="GK49" i="7"/>
  <c r="GK50" i="7" s="1"/>
  <c r="GK51" i="7" s="1"/>
  <c r="GK52" i="7" s="1"/>
  <c r="GJ49" i="7"/>
  <c r="GJ50" i="7" s="1"/>
  <c r="GJ51" i="7" s="1"/>
  <c r="GJ52" i="7" s="1"/>
  <c r="GI49" i="7"/>
  <c r="GI50" i="7" s="1"/>
  <c r="GI51" i="7" s="1"/>
  <c r="GI52" i="7" s="1"/>
  <c r="GH49" i="7"/>
  <c r="GH50" i="7" s="1"/>
  <c r="GH51" i="7" s="1"/>
  <c r="GH52" i="7" s="1"/>
  <c r="GG49" i="7"/>
  <c r="GG50" i="7" s="1"/>
  <c r="GG51" i="7" s="1"/>
  <c r="GG52" i="7" s="1"/>
  <c r="GF49" i="7"/>
  <c r="GF50" i="7" s="1"/>
  <c r="GF51" i="7" s="1"/>
  <c r="GF52" i="7" s="1"/>
  <c r="GE49" i="7"/>
  <c r="GE50" i="7" s="1"/>
  <c r="GE51" i="7" s="1"/>
  <c r="GE52" i="7" s="1"/>
  <c r="GD49" i="7"/>
  <c r="GD50" i="7" s="1"/>
  <c r="GD51" i="7" s="1"/>
  <c r="GD52" i="7" s="1"/>
  <c r="GC49" i="7"/>
  <c r="GC50" i="7" s="1"/>
  <c r="GC51" i="7" s="1"/>
  <c r="GC52" i="7" s="1"/>
  <c r="GB49" i="7"/>
  <c r="GB50" i="7" s="1"/>
  <c r="GB51" i="7" s="1"/>
  <c r="GB52" i="7" s="1"/>
  <c r="GA49" i="7"/>
  <c r="GA50" i="7" s="1"/>
  <c r="GA51" i="7" s="1"/>
  <c r="GA52" i="7" s="1"/>
  <c r="FZ49" i="7"/>
  <c r="FZ50" i="7" s="1"/>
  <c r="FZ51" i="7" s="1"/>
  <c r="FZ52" i="7" s="1"/>
  <c r="FY49" i="7"/>
  <c r="FY50" i="7" s="1"/>
  <c r="FY51" i="7" s="1"/>
  <c r="FY52" i="7" s="1"/>
  <c r="FX49" i="7"/>
  <c r="FX50" i="7" s="1"/>
  <c r="FX51" i="7" s="1"/>
  <c r="FX52" i="7" s="1"/>
  <c r="FW49" i="7"/>
  <c r="FW50" i="7" s="1"/>
  <c r="FW51" i="7" s="1"/>
  <c r="FW52" i="7" s="1"/>
  <c r="FV49" i="7"/>
  <c r="FV50" i="7" s="1"/>
  <c r="FV51" i="7" s="1"/>
  <c r="FV52" i="7" s="1"/>
  <c r="FU49" i="7"/>
  <c r="FU50" i="7" s="1"/>
  <c r="FU51" i="7" s="1"/>
  <c r="FU52" i="7" s="1"/>
  <c r="FT49" i="7"/>
  <c r="FT50" i="7" s="1"/>
  <c r="FT51" i="7" s="1"/>
  <c r="FT52" i="7" s="1"/>
  <c r="FS49" i="7"/>
  <c r="FS50" i="7" s="1"/>
  <c r="FS51" i="7" s="1"/>
  <c r="FS52" i="7" s="1"/>
  <c r="FR49" i="7"/>
  <c r="FR50" i="7" s="1"/>
  <c r="FR51" i="7" s="1"/>
  <c r="FR52" i="7" s="1"/>
  <c r="FQ49" i="7"/>
  <c r="FQ50" i="7" s="1"/>
  <c r="FQ51" i="7" s="1"/>
  <c r="FQ52" i="7" s="1"/>
  <c r="FP49" i="7"/>
  <c r="FP50" i="7" s="1"/>
  <c r="FP51" i="7" s="1"/>
  <c r="FP52" i="7" s="1"/>
  <c r="FO49" i="7"/>
  <c r="FO50" i="7" s="1"/>
  <c r="FO51" i="7" s="1"/>
  <c r="FO52" i="7" s="1"/>
  <c r="FN49" i="7"/>
  <c r="FN50" i="7" s="1"/>
  <c r="FN51" i="7" s="1"/>
  <c r="FN52" i="7" s="1"/>
  <c r="FM49" i="7"/>
  <c r="FM50" i="7" s="1"/>
  <c r="FM51" i="7" s="1"/>
  <c r="FM52" i="7" s="1"/>
  <c r="FL49" i="7"/>
  <c r="FL50" i="7" s="1"/>
  <c r="FL51" i="7" s="1"/>
  <c r="FL52" i="7" s="1"/>
  <c r="FK49" i="7"/>
  <c r="FK50" i="7" s="1"/>
  <c r="FK51" i="7" s="1"/>
  <c r="FK52" i="7" s="1"/>
  <c r="FJ49" i="7"/>
  <c r="FJ50" i="7" s="1"/>
  <c r="FJ51" i="7" s="1"/>
  <c r="FJ52" i="7" s="1"/>
  <c r="FI49" i="7"/>
  <c r="FI50" i="7" s="1"/>
  <c r="FI51" i="7" s="1"/>
  <c r="FI52" i="7" s="1"/>
  <c r="FH49" i="7"/>
  <c r="FH50" i="7" s="1"/>
  <c r="FH51" i="7" s="1"/>
  <c r="FH52" i="7" s="1"/>
  <c r="FG49" i="7"/>
  <c r="FG50" i="7" s="1"/>
  <c r="FG51" i="7" s="1"/>
  <c r="FG52" i="7" s="1"/>
  <c r="FF49" i="7"/>
  <c r="FF50" i="7" s="1"/>
  <c r="FF51" i="7" s="1"/>
  <c r="FF52" i="7" s="1"/>
  <c r="FE49" i="7"/>
  <c r="FE50" i="7" s="1"/>
  <c r="FE51" i="7" s="1"/>
  <c r="FE52" i="7" s="1"/>
  <c r="FD49" i="7"/>
  <c r="FD50" i="7" s="1"/>
  <c r="FD51" i="7" s="1"/>
  <c r="FD52" i="7" s="1"/>
  <c r="FC49" i="7"/>
  <c r="FC50" i="7" s="1"/>
  <c r="FC51" i="7" s="1"/>
  <c r="FC52" i="7" s="1"/>
  <c r="FB49" i="7"/>
  <c r="FB50" i="7" s="1"/>
  <c r="FB51" i="7" s="1"/>
  <c r="FB52" i="7" s="1"/>
  <c r="FA49" i="7"/>
  <c r="FA50" i="7" s="1"/>
  <c r="FA51" i="7" s="1"/>
  <c r="FA52" i="7" s="1"/>
  <c r="EZ49" i="7"/>
  <c r="EZ50" i="7" s="1"/>
  <c r="EZ51" i="7" s="1"/>
  <c r="EZ52" i="7" s="1"/>
  <c r="EY49" i="7"/>
  <c r="EY50" i="7" s="1"/>
  <c r="EY51" i="7" s="1"/>
  <c r="EY52" i="7" s="1"/>
  <c r="EX49" i="7"/>
  <c r="EX50" i="7" s="1"/>
  <c r="EX51" i="7" s="1"/>
  <c r="EX52" i="7" s="1"/>
  <c r="EW49" i="7"/>
  <c r="EW50" i="7" s="1"/>
  <c r="EW51" i="7" s="1"/>
  <c r="EW52" i="7" s="1"/>
  <c r="EV49" i="7"/>
  <c r="EV50" i="7" s="1"/>
  <c r="EV51" i="7" s="1"/>
  <c r="EV52" i="7" s="1"/>
  <c r="EU49" i="7"/>
  <c r="EU50" i="7" s="1"/>
  <c r="EU51" i="7" s="1"/>
  <c r="EU52" i="7" s="1"/>
  <c r="ET49" i="7"/>
  <c r="ET50" i="7" s="1"/>
  <c r="ET51" i="7" s="1"/>
  <c r="ET52" i="7" s="1"/>
  <c r="ES49" i="7"/>
  <c r="ES50" i="7" s="1"/>
  <c r="ES51" i="7" s="1"/>
  <c r="ES52" i="7" s="1"/>
  <c r="ER49" i="7"/>
  <c r="ER50" i="7" s="1"/>
  <c r="ER51" i="7" s="1"/>
  <c r="ER52" i="7" s="1"/>
  <c r="EQ49" i="7"/>
  <c r="EQ50" i="7" s="1"/>
  <c r="EQ51" i="7" s="1"/>
  <c r="EQ52" i="7" s="1"/>
  <c r="EP49" i="7"/>
  <c r="EP50" i="7" s="1"/>
  <c r="EP51" i="7" s="1"/>
  <c r="EP52" i="7" s="1"/>
  <c r="EO49" i="7"/>
  <c r="EO50" i="7" s="1"/>
  <c r="EO51" i="7" s="1"/>
  <c r="EO52" i="7" s="1"/>
  <c r="EN49" i="7"/>
  <c r="EN50" i="7" s="1"/>
  <c r="EN51" i="7" s="1"/>
  <c r="EN52" i="7" s="1"/>
  <c r="EM49" i="7"/>
  <c r="EM50" i="7" s="1"/>
  <c r="EM51" i="7" s="1"/>
  <c r="EM52" i="7" s="1"/>
  <c r="EL49" i="7"/>
  <c r="EL50" i="7" s="1"/>
  <c r="EL51" i="7" s="1"/>
  <c r="EL52" i="7" s="1"/>
  <c r="EK49" i="7"/>
  <c r="EK50" i="7" s="1"/>
  <c r="EK51" i="7" s="1"/>
  <c r="EK52" i="7" s="1"/>
  <c r="EJ49" i="7"/>
  <c r="EJ50" i="7" s="1"/>
  <c r="EJ51" i="7" s="1"/>
  <c r="EJ52" i="7" s="1"/>
  <c r="EI49" i="7"/>
  <c r="EI50" i="7" s="1"/>
  <c r="EI51" i="7" s="1"/>
  <c r="EI52" i="7" s="1"/>
  <c r="EH49" i="7"/>
  <c r="EH50" i="7" s="1"/>
  <c r="EH51" i="7" s="1"/>
  <c r="EH52" i="7" s="1"/>
  <c r="EG49" i="7"/>
  <c r="EG50" i="7" s="1"/>
  <c r="EG51" i="7" s="1"/>
  <c r="EG52" i="7" s="1"/>
  <c r="EF49" i="7"/>
  <c r="EF50" i="7" s="1"/>
  <c r="EF51" i="7" s="1"/>
  <c r="EF52" i="7" s="1"/>
  <c r="EE49" i="7"/>
  <c r="EE50" i="7" s="1"/>
  <c r="EE51" i="7" s="1"/>
  <c r="EE52" i="7" s="1"/>
  <c r="ED49" i="7"/>
  <c r="ED50" i="7" s="1"/>
  <c r="ED51" i="7" s="1"/>
  <c r="ED52" i="7" s="1"/>
  <c r="EC49" i="7"/>
  <c r="EC50" i="7" s="1"/>
  <c r="EC51" i="7" s="1"/>
  <c r="EC52" i="7" s="1"/>
  <c r="EB49" i="7"/>
  <c r="EB50" i="7" s="1"/>
  <c r="EB51" i="7" s="1"/>
  <c r="EB52" i="7" s="1"/>
  <c r="EA49" i="7"/>
  <c r="EA50" i="7" s="1"/>
  <c r="EA51" i="7" s="1"/>
  <c r="EA52" i="7" s="1"/>
  <c r="DZ49" i="7"/>
  <c r="DZ50" i="7" s="1"/>
  <c r="DZ51" i="7" s="1"/>
  <c r="DZ52" i="7" s="1"/>
  <c r="DY49" i="7"/>
  <c r="DY50" i="7" s="1"/>
  <c r="DY51" i="7" s="1"/>
  <c r="DY52" i="7" s="1"/>
  <c r="DX49" i="7"/>
  <c r="DX50" i="7" s="1"/>
  <c r="DX51" i="7" s="1"/>
  <c r="DX52" i="7" s="1"/>
  <c r="DW49" i="7"/>
  <c r="DW50" i="7" s="1"/>
  <c r="DW51" i="7" s="1"/>
  <c r="DW52" i="7" s="1"/>
  <c r="DV49" i="7"/>
  <c r="DV50" i="7" s="1"/>
  <c r="DV51" i="7" s="1"/>
  <c r="DV52" i="7" s="1"/>
  <c r="DU49" i="7"/>
  <c r="DU50" i="7" s="1"/>
  <c r="DU51" i="7" s="1"/>
  <c r="DU52" i="7" s="1"/>
  <c r="DT49" i="7"/>
  <c r="DT50" i="7" s="1"/>
  <c r="DT51" i="7" s="1"/>
  <c r="DT52" i="7" s="1"/>
  <c r="DS49" i="7"/>
  <c r="DS50" i="7" s="1"/>
  <c r="DS51" i="7" s="1"/>
  <c r="DS52" i="7" s="1"/>
  <c r="DR49" i="7"/>
  <c r="DR50" i="7" s="1"/>
  <c r="DR51" i="7" s="1"/>
  <c r="DR52" i="7" s="1"/>
  <c r="JK41" i="7"/>
  <c r="IR41" i="7"/>
  <c r="IQ41" i="7"/>
  <c r="IP41" i="7"/>
  <c r="IO41" i="7"/>
  <c r="IN41" i="7"/>
  <c r="IM41" i="7"/>
  <c r="IL41" i="7"/>
  <c r="IK41" i="7"/>
  <c r="IJ41" i="7"/>
  <c r="II41" i="7"/>
  <c r="IH41" i="7"/>
  <c r="IG41" i="7"/>
  <c r="GO41" i="7"/>
  <c r="GN41" i="7"/>
  <c r="GM41" i="7"/>
  <c r="GL41" i="7"/>
  <c r="GK41" i="7"/>
  <c r="GJ41" i="7"/>
  <c r="GI41" i="7"/>
  <c r="GH41" i="7"/>
  <c r="GG41" i="7"/>
  <c r="GF41" i="7"/>
  <c r="GE41" i="7"/>
  <c r="GD41" i="7"/>
  <c r="GC41" i="7"/>
  <c r="GB41" i="7"/>
  <c r="GA41" i="7"/>
  <c r="FZ41" i="7"/>
  <c r="FY41" i="7"/>
  <c r="FX41" i="7"/>
  <c r="FW41" i="7"/>
  <c r="FV41" i="7"/>
  <c r="FU41" i="7"/>
  <c r="FT41" i="7"/>
  <c r="FS41" i="7"/>
  <c r="FR41" i="7"/>
  <c r="FQ41" i="7"/>
  <c r="FP41" i="7"/>
  <c r="FO41" i="7"/>
  <c r="FG41" i="7"/>
  <c r="FF41" i="7"/>
  <c r="FE41" i="7"/>
  <c r="FD41" i="7"/>
  <c r="FC41" i="7"/>
  <c r="FB41" i="7"/>
  <c r="FA41" i="7"/>
  <c r="EZ41" i="7"/>
  <c r="EY41" i="7"/>
  <c r="EX41" i="7"/>
  <c r="EW41" i="7"/>
  <c r="EV41" i="7"/>
  <c r="EU41" i="7"/>
  <c r="ET41" i="7"/>
  <c r="EO41" i="7"/>
  <c r="EN41" i="7"/>
  <c r="EM41" i="7"/>
  <c r="EL41" i="7"/>
  <c r="EG41" i="7"/>
  <c r="EF41" i="7"/>
  <c r="EE41" i="7"/>
  <c r="ED41" i="7"/>
  <c r="EC41" i="7"/>
  <c r="JK35" i="7"/>
  <c r="JJ35" i="7"/>
  <c r="JI35" i="7"/>
  <c r="JH35" i="7"/>
  <c r="JG35" i="7"/>
  <c r="JF35" i="7"/>
  <c r="JE35" i="7"/>
  <c r="JD35" i="7"/>
  <c r="JC35" i="7"/>
  <c r="JB35" i="7"/>
  <c r="JA35" i="7"/>
  <c r="IZ35" i="7"/>
  <c r="IX35" i="7"/>
  <c r="IW35" i="7"/>
  <c r="IV35" i="7"/>
  <c r="IU35" i="7"/>
  <c r="IT35" i="7"/>
  <c r="IS35" i="7"/>
  <c r="IR35" i="7"/>
  <c r="IQ35" i="7"/>
  <c r="IP35" i="7"/>
  <c r="IO35" i="7"/>
  <c r="IN35" i="7"/>
  <c r="IM35" i="7"/>
  <c r="IL35" i="7"/>
  <c r="IK35" i="7"/>
  <c r="IJ35" i="7"/>
  <c r="II35" i="7"/>
  <c r="IH35" i="7"/>
  <c r="IG35" i="7"/>
  <c r="IF35" i="7"/>
  <c r="IE35" i="7"/>
  <c r="ID35" i="7"/>
  <c r="IC35" i="7"/>
  <c r="IB35" i="7"/>
  <c r="IA35" i="7"/>
  <c r="HZ35" i="7"/>
  <c r="HY35" i="7"/>
  <c r="HX35" i="7"/>
  <c r="HW35" i="7"/>
  <c r="HV35" i="7"/>
  <c r="HU35" i="7"/>
  <c r="HT35" i="7"/>
  <c r="HS35" i="7"/>
  <c r="HR35" i="7"/>
  <c r="HQ35" i="7"/>
  <c r="HP35" i="7"/>
  <c r="HO35" i="7"/>
  <c r="HN35" i="7"/>
  <c r="HM35" i="7"/>
  <c r="HL35" i="7"/>
  <c r="HK35" i="7"/>
  <c r="HJ35" i="7"/>
  <c r="HI35" i="7"/>
  <c r="HH35" i="7"/>
  <c r="HG35" i="7"/>
  <c r="HF35" i="7"/>
  <c r="HE35" i="7"/>
  <c r="HD35" i="7"/>
  <c r="HC35" i="7"/>
  <c r="HB35" i="7"/>
  <c r="HA35" i="7"/>
  <c r="GZ35" i="7"/>
  <c r="GY35" i="7"/>
  <c r="GX35" i="7"/>
  <c r="GW35" i="7"/>
  <c r="GV35" i="7"/>
  <c r="GU35" i="7"/>
  <c r="GT35" i="7"/>
  <c r="GS35" i="7"/>
  <c r="GR35" i="7"/>
  <c r="GQ35" i="7"/>
  <c r="GP35" i="7"/>
  <c r="GO35" i="7"/>
  <c r="GN35" i="7"/>
  <c r="GM35" i="7"/>
  <c r="GL35" i="7"/>
  <c r="GK35" i="7"/>
  <c r="GJ35" i="7"/>
  <c r="GI35" i="7"/>
  <c r="GH35" i="7"/>
  <c r="GG35" i="7"/>
  <c r="GF35" i="7"/>
  <c r="GE35" i="7"/>
  <c r="GD35" i="7"/>
  <c r="GC35" i="7"/>
  <c r="GB35" i="7"/>
  <c r="GA35" i="7"/>
  <c r="FZ35" i="7"/>
  <c r="FY35" i="7"/>
  <c r="FX35" i="7"/>
  <c r="FW35" i="7"/>
  <c r="FV35" i="7"/>
  <c r="FU35" i="7"/>
  <c r="FT35" i="7"/>
  <c r="FS35" i="7"/>
  <c r="FR35" i="7"/>
  <c r="FQ35" i="7"/>
  <c r="FP35" i="7"/>
  <c r="FO35" i="7"/>
  <c r="FN35" i="7"/>
  <c r="FM35" i="7"/>
  <c r="FL35" i="7"/>
  <c r="FK35" i="7"/>
  <c r="FJ35" i="7"/>
  <c r="FI35" i="7"/>
  <c r="FH35" i="7"/>
  <c r="FG35" i="7"/>
  <c r="FF35" i="7"/>
  <c r="FE35" i="7"/>
  <c r="FD35" i="7"/>
  <c r="FC35" i="7"/>
  <c r="FB35" i="7"/>
  <c r="FA35" i="7"/>
  <c r="EZ35" i="7"/>
  <c r="EY35" i="7"/>
  <c r="EX35" i="7"/>
  <c r="EW35" i="7"/>
  <c r="EV35" i="7"/>
  <c r="EU35" i="7"/>
  <c r="ET35" i="7"/>
  <c r="ES35" i="7"/>
  <c r="ER35" i="7"/>
  <c r="EQ35" i="7"/>
  <c r="EP35" i="7"/>
  <c r="EO35" i="7"/>
  <c r="EN35" i="7"/>
  <c r="EM35" i="7"/>
  <c r="EL35" i="7"/>
  <c r="EK35" i="7"/>
  <c r="EJ35" i="7"/>
  <c r="EI35" i="7"/>
  <c r="EH35" i="7"/>
  <c r="EG35" i="7"/>
  <c r="EF35" i="7"/>
  <c r="EE35" i="7"/>
  <c r="IY33" i="7"/>
  <c r="IY35" i="7" s="1"/>
  <c r="JK31" i="7"/>
  <c r="JK32" i="7" s="1"/>
  <c r="JJ31" i="7"/>
  <c r="JJ32" i="7" s="1"/>
  <c r="JI31" i="7"/>
  <c r="JI32" i="7" s="1"/>
  <c r="JH31" i="7"/>
  <c r="JH32" i="7" s="1"/>
  <c r="JG31" i="7"/>
  <c r="JG32" i="7" s="1"/>
  <c r="JF31" i="7"/>
  <c r="JF32" i="7" s="1"/>
  <c r="JE31" i="7"/>
  <c r="JE32" i="7" s="1"/>
  <c r="JD31" i="7"/>
  <c r="JD32" i="7" s="1"/>
  <c r="JC31" i="7"/>
  <c r="JC32" i="7" s="1"/>
  <c r="JB31" i="7"/>
  <c r="JB32" i="7" s="1"/>
  <c r="JA31" i="7"/>
  <c r="JA32" i="7" s="1"/>
  <c r="IZ31" i="7"/>
  <c r="IZ32" i="7" s="1"/>
  <c r="IY31" i="7"/>
  <c r="IY32" i="7" s="1"/>
  <c r="IX31" i="7"/>
  <c r="IX32" i="7" s="1"/>
  <c r="IW31" i="7"/>
  <c r="IW32" i="7" s="1"/>
  <c r="IV31" i="7"/>
  <c r="IV32" i="7" s="1"/>
  <c r="IU31" i="7"/>
  <c r="IU32" i="7" s="1"/>
  <c r="IT31" i="7"/>
  <c r="IT32" i="7" s="1"/>
  <c r="IS31" i="7"/>
  <c r="IS32" i="7" s="1"/>
  <c r="IR31" i="7"/>
  <c r="IR32" i="7" s="1"/>
  <c r="IQ31" i="7"/>
  <c r="IQ32" i="7" s="1"/>
  <c r="IP31" i="7"/>
  <c r="IP32" i="7" s="1"/>
  <c r="IO31" i="7"/>
  <c r="IO32" i="7" s="1"/>
  <c r="IN31" i="7"/>
  <c r="IN32" i="7" s="1"/>
  <c r="IM31" i="7"/>
  <c r="IM32" i="7" s="1"/>
  <c r="IL31" i="7"/>
  <c r="IL32" i="7" s="1"/>
  <c r="IK31" i="7"/>
  <c r="IK32" i="7" s="1"/>
  <c r="IJ31" i="7"/>
  <c r="IJ32" i="7" s="1"/>
  <c r="II31" i="7"/>
  <c r="II32" i="7" s="1"/>
  <c r="IH31" i="7"/>
  <c r="IH32" i="7" s="1"/>
  <c r="IG31" i="7"/>
  <c r="IG32" i="7" s="1"/>
  <c r="IF31" i="7"/>
  <c r="IF32" i="7" s="1"/>
  <c r="IE31" i="7"/>
  <c r="IE32" i="7" s="1"/>
  <c r="ID31" i="7"/>
  <c r="ID32" i="7" s="1"/>
  <c r="IC31" i="7"/>
  <c r="IC32" i="7" s="1"/>
  <c r="IB31" i="7"/>
  <c r="IB32" i="7" s="1"/>
  <c r="IA31" i="7"/>
  <c r="IA32" i="7" s="1"/>
  <c r="HZ31" i="7"/>
  <c r="HZ32" i="7" s="1"/>
  <c r="HY31" i="7"/>
  <c r="HY32" i="7" s="1"/>
  <c r="HX31" i="7"/>
  <c r="HX32" i="7" s="1"/>
  <c r="HW31" i="7"/>
  <c r="HW32" i="7" s="1"/>
  <c r="HV31" i="7"/>
  <c r="HV32" i="7" s="1"/>
  <c r="HU31" i="7"/>
  <c r="HU32" i="7" s="1"/>
  <c r="HT31" i="7"/>
  <c r="HT32" i="7" s="1"/>
  <c r="HS31" i="7"/>
  <c r="HS32" i="7" s="1"/>
  <c r="HR31" i="7"/>
  <c r="HR32" i="7" s="1"/>
  <c r="HQ31" i="7"/>
  <c r="HQ32" i="7" s="1"/>
  <c r="HP31" i="7"/>
  <c r="HP32" i="7" s="1"/>
  <c r="HO31" i="7"/>
  <c r="HO32" i="7" s="1"/>
  <c r="HN31" i="7"/>
  <c r="HN32" i="7" s="1"/>
  <c r="HM31" i="7"/>
  <c r="HM32" i="7" s="1"/>
  <c r="HL31" i="7"/>
  <c r="HL32" i="7" s="1"/>
  <c r="HK31" i="7"/>
  <c r="HK32" i="7" s="1"/>
  <c r="HJ31" i="7"/>
  <c r="HJ32" i="7" s="1"/>
  <c r="HI31" i="7"/>
  <c r="HI32" i="7" s="1"/>
  <c r="HH31" i="7"/>
  <c r="HH32" i="7" s="1"/>
  <c r="HG31" i="7"/>
  <c r="HG32" i="7" s="1"/>
  <c r="HF31" i="7"/>
  <c r="HF32" i="7" s="1"/>
  <c r="HE31" i="7"/>
  <c r="HE32" i="7" s="1"/>
  <c r="HD31" i="7"/>
  <c r="HD32" i="7" s="1"/>
  <c r="HC31" i="7"/>
  <c r="HC32" i="7" s="1"/>
  <c r="HB31" i="7"/>
  <c r="HB32" i="7" s="1"/>
  <c r="HA31" i="7"/>
  <c r="HA32" i="7" s="1"/>
  <c r="GZ31" i="7"/>
  <c r="GZ32" i="7" s="1"/>
  <c r="GY31" i="7"/>
  <c r="GY32" i="7" s="1"/>
  <c r="GX31" i="7"/>
  <c r="GX32" i="7" s="1"/>
  <c r="GW31" i="7"/>
  <c r="GW32" i="7" s="1"/>
  <c r="GV31" i="7"/>
  <c r="GV32" i="7" s="1"/>
  <c r="GU31" i="7"/>
  <c r="GU32" i="7" s="1"/>
  <c r="GT31" i="7"/>
  <c r="GT32" i="7" s="1"/>
  <c r="GS31" i="7"/>
  <c r="GS32" i="7" s="1"/>
  <c r="GR31" i="7"/>
  <c r="GR32" i="7" s="1"/>
  <c r="GQ31" i="7"/>
  <c r="GQ32" i="7" s="1"/>
  <c r="GP31" i="7"/>
  <c r="GP32" i="7" s="1"/>
  <c r="GO31" i="7"/>
  <c r="GO32" i="7" s="1"/>
  <c r="GN31" i="7"/>
  <c r="GN32" i="7" s="1"/>
  <c r="GM31" i="7"/>
  <c r="GM32" i="7" s="1"/>
  <c r="GL31" i="7"/>
  <c r="GL32" i="7" s="1"/>
  <c r="GK31" i="7"/>
  <c r="GK32" i="7" s="1"/>
  <c r="GJ31" i="7"/>
  <c r="GJ32" i="7" s="1"/>
  <c r="GI31" i="7"/>
  <c r="GI32" i="7" s="1"/>
  <c r="GH31" i="7"/>
  <c r="GH32" i="7" s="1"/>
  <c r="GG31" i="7"/>
  <c r="GG32" i="7" s="1"/>
  <c r="GF31" i="7"/>
  <c r="GF32" i="7" s="1"/>
  <c r="GE31" i="7"/>
  <c r="GE32" i="7" s="1"/>
  <c r="GD31" i="7"/>
  <c r="GD32" i="7" s="1"/>
  <c r="GC31" i="7"/>
  <c r="GC32" i="7" s="1"/>
  <c r="GB31" i="7"/>
  <c r="GB32" i="7" s="1"/>
  <c r="GA31" i="7"/>
  <c r="GA32" i="7" s="1"/>
  <c r="FZ31" i="7"/>
  <c r="FZ32" i="7" s="1"/>
  <c r="FY31" i="7"/>
  <c r="FY32" i="7" s="1"/>
  <c r="FX31" i="7"/>
  <c r="FX32" i="7" s="1"/>
  <c r="FW31" i="7"/>
  <c r="FW32" i="7" s="1"/>
  <c r="FV31" i="7"/>
  <c r="FV32" i="7" s="1"/>
  <c r="FU31" i="7"/>
  <c r="FU32" i="7" s="1"/>
  <c r="FT31" i="7"/>
  <c r="FT32" i="7" s="1"/>
  <c r="FS31" i="7"/>
  <c r="FS32" i="7" s="1"/>
  <c r="FR31" i="7"/>
  <c r="FR32" i="7" s="1"/>
  <c r="FQ31" i="7"/>
  <c r="FQ32" i="7" s="1"/>
  <c r="FP31" i="7"/>
  <c r="FP32" i="7" s="1"/>
  <c r="FO31" i="7"/>
  <c r="FO32" i="7" s="1"/>
  <c r="FN31" i="7"/>
  <c r="FN32" i="7" s="1"/>
  <c r="FM31" i="7"/>
  <c r="FM32" i="7" s="1"/>
  <c r="FL31" i="7"/>
  <c r="FL32" i="7" s="1"/>
  <c r="FK31" i="7"/>
  <c r="FK32" i="7" s="1"/>
  <c r="FJ31" i="7"/>
  <c r="FJ32" i="7" s="1"/>
  <c r="FI31" i="7"/>
  <c r="FI32" i="7" s="1"/>
  <c r="FH31" i="7"/>
  <c r="FH32" i="7" s="1"/>
  <c r="FG31" i="7"/>
  <c r="FG32" i="7" s="1"/>
  <c r="FF31" i="7"/>
  <c r="FF32" i="7" s="1"/>
  <c r="FE31" i="7"/>
  <c r="FE32" i="7" s="1"/>
  <c r="FD31" i="7"/>
  <c r="FD32" i="7" s="1"/>
  <c r="FC31" i="7"/>
  <c r="FC32" i="7" s="1"/>
  <c r="FB31" i="7"/>
  <c r="FB32" i="7" s="1"/>
  <c r="FA31" i="7"/>
  <c r="FA32" i="7" s="1"/>
  <c r="EZ31" i="7"/>
  <c r="EZ32" i="7" s="1"/>
  <c r="EY31" i="7"/>
  <c r="EY32" i="7" s="1"/>
  <c r="EX31" i="7"/>
  <c r="EX32" i="7" s="1"/>
  <c r="EW31" i="7"/>
  <c r="EW32" i="7" s="1"/>
  <c r="EV31" i="7"/>
  <c r="EV32" i="7" s="1"/>
  <c r="EU31" i="7"/>
  <c r="EU32" i="7" s="1"/>
  <c r="ET31" i="7"/>
  <c r="ET32" i="7" s="1"/>
  <c r="ES31" i="7"/>
  <c r="ES32" i="7" s="1"/>
  <c r="ER31" i="7"/>
  <c r="ER32" i="7" s="1"/>
  <c r="EQ31" i="7"/>
  <c r="EQ32" i="7" s="1"/>
  <c r="EP31" i="7"/>
  <c r="EP32" i="7" s="1"/>
  <c r="EO31" i="7"/>
  <c r="EO32" i="7" s="1"/>
  <c r="EN31" i="7"/>
  <c r="EN32" i="7" s="1"/>
  <c r="EM31" i="7"/>
  <c r="EM32" i="7" s="1"/>
  <c r="EL31" i="7"/>
  <c r="EL32" i="7" s="1"/>
  <c r="EK31" i="7"/>
  <c r="EK32" i="7" s="1"/>
  <c r="EJ31" i="7"/>
  <c r="EJ32" i="7" s="1"/>
  <c r="EI31" i="7"/>
  <c r="EI32" i="7" s="1"/>
  <c r="EH31" i="7"/>
  <c r="EH32" i="7" s="1"/>
  <c r="EG31" i="7"/>
  <c r="EG32" i="7" s="1"/>
  <c r="EF31" i="7"/>
  <c r="EF32" i="7" s="1"/>
  <c r="EE31" i="7"/>
  <c r="EE32" i="7" s="1"/>
  <c r="ED31" i="7"/>
  <c r="ED32" i="7" s="1"/>
  <c r="EC31" i="7"/>
  <c r="EC32" i="7" s="1"/>
  <c r="EB31" i="7"/>
  <c r="EB32" i="7" s="1"/>
  <c r="EA31" i="7"/>
  <c r="EA32" i="7" s="1"/>
  <c r="DZ31" i="7"/>
  <c r="DZ32" i="7" s="1"/>
  <c r="DY31" i="7"/>
  <c r="DY32" i="7" s="1"/>
  <c r="DX31" i="7"/>
  <c r="DX32" i="7" s="1"/>
  <c r="DW31" i="7"/>
  <c r="DW32" i="7" s="1"/>
  <c r="DV31" i="7"/>
  <c r="DV32" i="7" s="1"/>
  <c r="DU31" i="7"/>
  <c r="DU32" i="7" s="1"/>
  <c r="DT31" i="7"/>
  <c r="DT32" i="7" s="1"/>
  <c r="DS31" i="7"/>
  <c r="DS32" i="7" s="1"/>
  <c r="DR31" i="7"/>
  <c r="DR32" i="7" s="1"/>
  <c r="JK23" i="7"/>
  <c r="JJ23" i="7"/>
  <c r="JI23" i="7"/>
  <c r="JH23" i="7"/>
  <c r="JG23" i="7"/>
  <c r="JF23" i="7"/>
  <c r="JE23" i="7"/>
  <c r="JD23" i="7"/>
  <c r="JC23" i="7"/>
  <c r="JB23" i="7"/>
  <c r="JA23" i="7"/>
  <c r="IZ23" i="7"/>
  <c r="IY23" i="7"/>
  <c r="IX23" i="7"/>
  <c r="IW23" i="7"/>
  <c r="IV23" i="7"/>
  <c r="IU23" i="7"/>
  <c r="IT23" i="7"/>
  <c r="IS23" i="7"/>
  <c r="IR23" i="7"/>
  <c r="IQ23" i="7"/>
  <c r="IP23" i="7"/>
  <c r="IO23" i="7"/>
  <c r="IN23" i="7"/>
  <c r="IM23" i="7"/>
  <c r="IL23" i="7"/>
  <c r="IK23" i="7"/>
  <c r="IJ23" i="7"/>
  <c r="II23" i="7"/>
  <c r="IH23" i="7"/>
  <c r="IG23" i="7"/>
  <c r="IF23" i="7"/>
  <c r="IE23" i="7"/>
  <c r="ID23" i="7"/>
  <c r="IC23" i="7"/>
  <c r="IB23" i="7"/>
  <c r="IA23" i="7"/>
  <c r="HZ23" i="7"/>
  <c r="HY23" i="7"/>
  <c r="HX23" i="7"/>
  <c r="HW23" i="7"/>
  <c r="HV23" i="7"/>
  <c r="HU23" i="7"/>
  <c r="HT23" i="7"/>
  <c r="HS23" i="7"/>
  <c r="HR23" i="7"/>
  <c r="HQ23" i="7"/>
  <c r="HP23" i="7"/>
  <c r="HO23" i="7"/>
  <c r="HN23" i="7"/>
  <c r="HM23" i="7"/>
  <c r="HL23" i="7"/>
  <c r="HK23" i="7"/>
  <c r="HJ23" i="7"/>
  <c r="HI23" i="7"/>
  <c r="HH23" i="7"/>
  <c r="HG23" i="7"/>
  <c r="HF23" i="7"/>
  <c r="HE23" i="7"/>
  <c r="HD23" i="7"/>
  <c r="HC23" i="7"/>
  <c r="HB23" i="7"/>
  <c r="HA23" i="7"/>
  <c r="GZ23" i="7"/>
  <c r="GY23" i="7"/>
  <c r="GX23" i="7"/>
  <c r="GW23" i="7"/>
  <c r="GV23" i="7"/>
  <c r="GU23" i="7"/>
  <c r="GT23" i="7"/>
  <c r="GS23" i="7"/>
  <c r="GR23" i="7"/>
  <c r="GQ23" i="7"/>
  <c r="GP23" i="7"/>
  <c r="GO23" i="7"/>
  <c r="GN23" i="7"/>
  <c r="GM23" i="7"/>
  <c r="GL23" i="7"/>
  <c r="GK23" i="7"/>
  <c r="GJ23" i="7"/>
  <c r="GI23" i="7"/>
  <c r="GH23" i="7"/>
  <c r="GG23" i="7"/>
  <c r="GF23" i="7"/>
  <c r="GE23" i="7"/>
  <c r="GD23" i="7"/>
  <c r="GC23" i="7"/>
  <c r="GB23" i="7"/>
  <c r="GA23" i="7"/>
  <c r="FZ23" i="7"/>
  <c r="FY23" i="7"/>
  <c r="FX23" i="7"/>
  <c r="FW23" i="7"/>
  <c r="FV23" i="7"/>
  <c r="FU23" i="7"/>
  <c r="FT23" i="7"/>
  <c r="FS23" i="7"/>
  <c r="FR23" i="7"/>
  <c r="FQ23" i="7"/>
  <c r="FP23" i="7"/>
  <c r="FO23" i="7"/>
  <c r="FN23" i="7"/>
  <c r="FM23" i="7"/>
  <c r="FL23" i="7"/>
  <c r="FK23" i="7"/>
  <c r="FJ23" i="7"/>
  <c r="FI23" i="7"/>
  <c r="FH23" i="7"/>
  <c r="FG23" i="7"/>
  <c r="FF23" i="7"/>
  <c r="FE23" i="7"/>
  <c r="FD23" i="7"/>
  <c r="FC23" i="7"/>
  <c r="FB23" i="7"/>
  <c r="FA23" i="7"/>
  <c r="EZ23" i="7"/>
  <c r="EY23" i="7"/>
  <c r="EX23" i="7"/>
  <c r="EW23" i="7"/>
  <c r="EV23" i="7"/>
  <c r="EU23" i="7"/>
  <c r="ET23" i="7"/>
  <c r="ES23" i="7"/>
  <c r="ER23" i="7"/>
  <c r="EQ23" i="7"/>
  <c r="EP23" i="7"/>
  <c r="EO23" i="7"/>
  <c r="EN23" i="7"/>
  <c r="EM23" i="7"/>
  <c r="EL23" i="7"/>
  <c r="EK23" i="7"/>
  <c r="EJ23" i="7"/>
  <c r="EI23" i="7"/>
  <c r="EH23" i="7"/>
  <c r="EG23" i="7"/>
  <c r="EF23" i="7"/>
  <c r="EE23" i="7"/>
  <c r="ED23" i="7"/>
  <c r="EC23" i="7"/>
  <c r="EB23" i="7"/>
  <c r="EA23" i="7"/>
  <c r="DZ23" i="7"/>
  <c r="DY23" i="7"/>
  <c r="DX23" i="7"/>
  <c r="DW23" i="7"/>
  <c r="DV23" i="7"/>
  <c r="DU23" i="7"/>
  <c r="DT23" i="7"/>
  <c r="DS23" i="7"/>
  <c r="DR23" i="7"/>
  <c r="JB21" i="7"/>
  <c r="JA21" i="7"/>
  <c r="IZ21" i="7"/>
  <c r="EV15" i="7"/>
  <c r="EU15" i="7"/>
  <c r="ET15" i="7"/>
  <c r="JB14" i="7"/>
  <c r="JA14" i="7"/>
  <c r="IZ14" i="7"/>
  <c r="IY14" i="7"/>
  <c r="JK13" i="7"/>
  <c r="JJ13" i="7"/>
  <c r="JI13" i="7"/>
  <c r="JH13" i="7"/>
  <c r="JG13" i="7"/>
  <c r="JF13" i="7"/>
  <c r="JE13" i="7"/>
  <c r="JD13" i="7"/>
  <c r="JC13" i="7"/>
  <c r="IX13" i="7"/>
  <c r="IW13" i="7"/>
  <c r="IV13" i="7"/>
  <c r="IU13" i="7"/>
  <c r="IT13" i="7"/>
  <c r="IS13" i="7"/>
  <c r="IR13" i="7"/>
  <c r="IQ13" i="7"/>
  <c r="IP13" i="7"/>
  <c r="IO13" i="7"/>
  <c r="IN13" i="7"/>
  <c r="IM13" i="7"/>
  <c r="IL13" i="7"/>
  <c r="IK13" i="7"/>
  <c r="IJ13" i="7"/>
  <c r="II13" i="7"/>
  <c r="IH13" i="7"/>
  <c r="IG13" i="7"/>
  <c r="IF13" i="7"/>
  <c r="IE13" i="7"/>
  <c r="ID13" i="7"/>
  <c r="IC13" i="7"/>
  <c r="IB13" i="7"/>
  <c r="IA13" i="7"/>
  <c r="HZ13" i="7"/>
  <c r="HY13" i="7"/>
  <c r="HX13" i="7"/>
  <c r="HW13" i="7"/>
  <c r="HV13" i="7"/>
  <c r="HU13" i="7"/>
  <c r="HT13" i="7"/>
  <c r="HS13" i="7"/>
  <c r="HR13" i="7"/>
  <c r="HQ13" i="7"/>
  <c r="HP13" i="7"/>
  <c r="HO13" i="7"/>
  <c r="HN13" i="7"/>
  <c r="HM13" i="7"/>
  <c r="HL13" i="7"/>
  <c r="HK13" i="7"/>
  <c r="HJ13" i="7"/>
  <c r="HI13" i="7"/>
  <c r="HH13" i="7"/>
  <c r="HG13" i="7"/>
  <c r="HF13" i="7"/>
  <c r="HE13" i="7"/>
  <c r="HD13" i="7"/>
  <c r="HC13" i="7"/>
  <c r="HB13" i="7"/>
  <c r="HA13" i="7"/>
  <c r="GZ13" i="7"/>
  <c r="GY13" i="7"/>
  <c r="GX13" i="7"/>
  <c r="GW13" i="7"/>
  <c r="GV13" i="7"/>
  <c r="GU13" i="7"/>
  <c r="GT13" i="7"/>
  <c r="GS13" i="7"/>
  <c r="GR13" i="7"/>
  <c r="GQ13" i="7"/>
  <c r="GP13" i="7"/>
  <c r="GO13" i="7"/>
  <c r="GN13" i="7"/>
  <c r="GM13" i="7"/>
  <c r="GL13" i="7"/>
  <c r="GK13" i="7"/>
  <c r="GJ13" i="7"/>
  <c r="GI13" i="7"/>
  <c r="GH13" i="7"/>
  <c r="GG13" i="7"/>
  <c r="GF13" i="7"/>
  <c r="GE13" i="7"/>
  <c r="GD13" i="7"/>
  <c r="GC13" i="7"/>
  <c r="GB13" i="7"/>
  <c r="GA13" i="7"/>
  <c r="FZ13" i="7"/>
  <c r="FY13" i="7"/>
  <c r="FX13" i="7"/>
  <c r="FW13" i="7"/>
  <c r="FV13" i="7"/>
  <c r="FU13" i="7"/>
  <c r="FT13" i="7"/>
  <c r="FS13" i="7"/>
  <c r="FR13" i="7"/>
  <c r="FQ13" i="7"/>
  <c r="FP13" i="7"/>
  <c r="FO13" i="7"/>
  <c r="FN13" i="7"/>
  <c r="FM13" i="7"/>
  <c r="FK13" i="7"/>
  <c r="FJ13" i="7"/>
  <c r="FI13" i="7"/>
  <c r="FH13" i="7"/>
  <c r="FG13" i="7"/>
  <c r="FF13" i="7"/>
  <c r="FE13" i="7"/>
  <c r="FD13" i="7"/>
  <c r="FC13" i="7"/>
  <c r="FB13" i="7"/>
  <c r="FA13" i="7"/>
  <c r="EZ13" i="7"/>
  <c r="EY13" i="7"/>
  <c r="EX13" i="7"/>
  <c r="EW13" i="7"/>
  <c r="EV13" i="7"/>
  <c r="EU13" i="7"/>
  <c r="ET13" i="7"/>
  <c r="ES13" i="7"/>
  <c r="ER13" i="7"/>
  <c r="EQ13" i="7"/>
  <c r="EP13" i="7"/>
  <c r="EO13" i="7"/>
  <c r="EN13" i="7"/>
  <c r="EM13" i="7"/>
  <c r="EL13" i="7"/>
  <c r="EK13" i="7"/>
  <c r="EJ13" i="7"/>
  <c r="EI13" i="7"/>
  <c r="EH13" i="7"/>
  <c r="EG13" i="7"/>
  <c r="EF13" i="7"/>
  <c r="EE13" i="7"/>
  <c r="ED13" i="7"/>
  <c r="EC13" i="7"/>
  <c r="EB13" i="7"/>
  <c r="EA13" i="7"/>
  <c r="DZ13" i="7"/>
  <c r="DY13" i="7"/>
  <c r="DX13" i="7"/>
  <c r="DW13" i="7"/>
  <c r="DV13" i="7"/>
  <c r="DU13" i="7"/>
  <c r="DT13" i="7"/>
  <c r="DS13" i="7"/>
  <c r="DR13" i="7"/>
  <c r="JK11" i="7"/>
  <c r="JJ11" i="7"/>
  <c r="JI11" i="7"/>
  <c r="JH11" i="7"/>
  <c r="JG11" i="7"/>
  <c r="JF11" i="7"/>
  <c r="JE11" i="7"/>
  <c r="JD11" i="7"/>
  <c r="JC11" i="7"/>
  <c r="JB11" i="7"/>
  <c r="JA11" i="7"/>
  <c r="IZ11" i="7"/>
  <c r="IY11" i="7"/>
  <c r="IX11" i="7"/>
  <c r="IW11" i="7"/>
  <c r="IV11" i="7"/>
  <c r="IU11" i="7"/>
  <c r="IT11" i="7"/>
  <c r="IS11" i="7"/>
  <c r="IR11" i="7"/>
  <c r="IQ11" i="7"/>
  <c r="IP11" i="7"/>
  <c r="IO11" i="7"/>
  <c r="IN11" i="7"/>
  <c r="IM11" i="7"/>
  <c r="IL11" i="7"/>
  <c r="IK11" i="7"/>
  <c r="IJ11" i="7"/>
  <c r="II11" i="7"/>
  <c r="IH11" i="7"/>
  <c r="IG11" i="7"/>
  <c r="IF11" i="7"/>
  <c r="IE11" i="7"/>
  <c r="ID11" i="7"/>
  <c r="IC11" i="7"/>
  <c r="IB11" i="7"/>
  <c r="IA11" i="7"/>
  <c r="HZ11" i="7"/>
  <c r="HY11" i="7"/>
  <c r="HX11" i="7"/>
  <c r="HW11" i="7"/>
  <c r="HV11" i="7"/>
  <c r="HU11" i="7"/>
  <c r="HT11" i="7"/>
  <c r="HS11" i="7"/>
  <c r="HR11" i="7"/>
  <c r="HQ11" i="7"/>
  <c r="HP11" i="7"/>
  <c r="HO11" i="7"/>
  <c r="HN11" i="7"/>
  <c r="HM11" i="7"/>
  <c r="HL11" i="7"/>
  <c r="HK11" i="7"/>
  <c r="HJ11" i="7"/>
  <c r="HI11" i="7"/>
  <c r="HH11" i="7"/>
  <c r="HG11" i="7"/>
  <c r="HF11" i="7"/>
  <c r="HE11" i="7"/>
  <c r="HD11" i="7"/>
  <c r="HC11" i="7"/>
  <c r="HB11" i="7"/>
  <c r="HA11" i="7"/>
  <c r="GZ11" i="7"/>
  <c r="GY11" i="7"/>
  <c r="GX11" i="7"/>
  <c r="GW11" i="7"/>
  <c r="GV11" i="7"/>
  <c r="GU11" i="7"/>
  <c r="GT11" i="7"/>
  <c r="GS11" i="7"/>
  <c r="GR11" i="7"/>
  <c r="GQ11" i="7"/>
  <c r="GP11" i="7"/>
  <c r="GO11" i="7"/>
  <c r="GN11" i="7"/>
  <c r="GM11" i="7"/>
  <c r="GL11" i="7"/>
  <c r="GK11" i="7"/>
  <c r="GJ11" i="7"/>
  <c r="GI11" i="7"/>
  <c r="GH11" i="7"/>
  <c r="GG11" i="7"/>
  <c r="GF11" i="7"/>
  <c r="GE11" i="7"/>
  <c r="GD11" i="7"/>
  <c r="GC11" i="7"/>
  <c r="GB11" i="7"/>
  <c r="GA11" i="7"/>
  <c r="FZ11" i="7"/>
  <c r="FY11" i="7"/>
  <c r="FX11" i="7"/>
  <c r="FW11" i="7"/>
  <c r="FV11" i="7"/>
  <c r="FU11" i="7"/>
  <c r="FT11" i="7"/>
  <c r="FS11" i="7"/>
  <c r="FR11" i="7"/>
  <c r="FQ11" i="7"/>
  <c r="FP11" i="7"/>
  <c r="FO11" i="7"/>
  <c r="FN11" i="7"/>
  <c r="FM11" i="7"/>
  <c r="FK11" i="7"/>
  <c r="FJ11" i="7"/>
  <c r="FI11" i="7"/>
  <c r="FH11" i="7"/>
  <c r="FG11" i="7"/>
  <c r="FF11" i="7"/>
  <c r="FE11" i="7"/>
  <c r="FD11" i="7"/>
  <c r="FC11" i="7"/>
  <c r="FB11" i="7"/>
  <c r="FA11" i="7"/>
  <c r="EZ11" i="7"/>
  <c r="EY11" i="7"/>
  <c r="EX11" i="7"/>
  <c r="EW11" i="7"/>
  <c r="ES11" i="7"/>
  <c r="ER11" i="7"/>
  <c r="EQ11" i="7"/>
  <c r="EP11" i="7"/>
  <c r="EO11" i="7"/>
  <c r="EN11" i="7"/>
  <c r="EM11" i="7"/>
  <c r="EL11" i="7"/>
  <c r="EK11" i="7"/>
  <c r="EJ11" i="7"/>
  <c r="EI11" i="7"/>
  <c r="EH11" i="7"/>
  <c r="EG11" i="7"/>
  <c r="EF11" i="7"/>
  <c r="EE11" i="7"/>
  <c r="ED11" i="7"/>
  <c r="EC11" i="7"/>
  <c r="EB11" i="7"/>
  <c r="EA11" i="7"/>
  <c r="DZ11" i="7"/>
  <c r="DY11" i="7"/>
  <c r="DX11" i="7"/>
  <c r="DW11" i="7"/>
  <c r="DV11" i="7"/>
  <c r="DU11" i="7"/>
  <c r="DT11" i="7"/>
  <c r="DS11" i="7"/>
  <c r="DR11" i="7"/>
  <c r="JK10" i="7"/>
  <c r="JJ10" i="7"/>
  <c r="JI10" i="7"/>
  <c r="JH10" i="7"/>
  <c r="JG10" i="7"/>
  <c r="JF10" i="7"/>
  <c r="JE10" i="7"/>
  <c r="JD10" i="7"/>
  <c r="JC10" i="7"/>
  <c r="JB10" i="7"/>
  <c r="JA10" i="7"/>
  <c r="IZ10" i="7"/>
  <c r="IY10" i="7"/>
  <c r="IX10" i="7"/>
  <c r="IW10" i="7"/>
  <c r="IV10" i="7"/>
  <c r="IU10" i="7"/>
  <c r="IT10" i="7"/>
  <c r="IS10" i="7"/>
  <c r="IR10" i="7"/>
  <c r="IQ10" i="7"/>
  <c r="IP10" i="7"/>
  <c r="IO10" i="7"/>
  <c r="IN10" i="7"/>
  <c r="IM10" i="7"/>
  <c r="IL10" i="7"/>
  <c r="IK10" i="7"/>
  <c r="IJ10" i="7"/>
  <c r="II10" i="7"/>
  <c r="IH10" i="7"/>
  <c r="IG10" i="7"/>
  <c r="IF10" i="7"/>
  <c r="IE10" i="7"/>
  <c r="ID10" i="7"/>
  <c r="IC10" i="7"/>
  <c r="IB10" i="7"/>
  <c r="IA10" i="7"/>
  <c r="HZ10" i="7"/>
  <c r="HY10" i="7"/>
  <c r="HX10" i="7"/>
  <c r="HW10" i="7"/>
  <c r="HV10" i="7"/>
  <c r="HU10" i="7"/>
  <c r="HT10" i="7"/>
  <c r="HS10" i="7"/>
  <c r="HR10" i="7"/>
  <c r="HQ10" i="7"/>
  <c r="HP10" i="7"/>
  <c r="HO10" i="7"/>
  <c r="HN10" i="7"/>
  <c r="HM10" i="7"/>
  <c r="HL10" i="7"/>
  <c r="HK10" i="7"/>
  <c r="HJ10" i="7"/>
  <c r="HI10" i="7"/>
  <c r="HH10" i="7"/>
  <c r="HG10" i="7"/>
  <c r="HF10" i="7"/>
  <c r="HE10" i="7"/>
  <c r="HD10" i="7"/>
  <c r="HC10" i="7"/>
  <c r="HB10" i="7"/>
  <c r="HA10" i="7"/>
  <c r="GZ10" i="7"/>
  <c r="GY10" i="7"/>
  <c r="GX10" i="7"/>
  <c r="GW10" i="7"/>
  <c r="GV10" i="7"/>
  <c r="GU10" i="7"/>
  <c r="GT10" i="7"/>
  <c r="GS10" i="7"/>
  <c r="GR10" i="7"/>
  <c r="GQ10" i="7"/>
  <c r="GP10" i="7"/>
  <c r="GO10" i="7"/>
  <c r="GN10" i="7"/>
  <c r="GM10" i="7"/>
  <c r="GL10" i="7"/>
  <c r="GK10" i="7"/>
  <c r="GJ10" i="7"/>
  <c r="GI10" i="7"/>
  <c r="GH10" i="7"/>
  <c r="GG10" i="7"/>
  <c r="GF10" i="7"/>
  <c r="GE10" i="7"/>
  <c r="GD10" i="7"/>
  <c r="GC10" i="7"/>
  <c r="GB10" i="7"/>
  <c r="GA10" i="7"/>
  <c r="FZ10" i="7"/>
  <c r="FY10" i="7"/>
  <c r="FX10" i="7"/>
  <c r="FW10" i="7"/>
  <c r="FV10" i="7"/>
  <c r="FU10" i="7"/>
  <c r="FT10" i="7"/>
  <c r="FS10" i="7"/>
  <c r="FR10" i="7"/>
  <c r="FQ10" i="7"/>
  <c r="FP10" i="7"/>
  <c r="FO10" i="7"/>
  <c r="FN10" i="7"/>
  <c r="FM10" i="7"/>
  <c r="FK10" i="7"/>
  <c r="FJ10" i="7"/>
  <c r="FI10" i="7"/>
  <c r="FH10" i="7"/>
  <c r="FG10" i="7"/>
  <c r="FF10" i="7"/>
  <c r="FE10" i="7"/>
  <c r="FD10" i="7"/>
  <c r="FC10" i="7"/>
  <c r="FB10" i="7"/>
  <c r="FA10" i="7"/>
  <c r="EZ10" i="7"/>
  <c r="EY10" i="7"/>
  <c r="EX10" i="7"/>
  <c r="EW10" i="7"/>
  <c r="ES10" i="7"/>
  <c r="ER10" i="7"/>
  <c r="EQ10" i="7"/>
  <c r="EP10" i="7"/>
  <c r="EO10" i="7"/>
  <c r="EN10" i="7"/>
  <c r="EM10" i="7"/>
  <c r="EL10" i="7"/>
  <c r="EK10" i="7"/>
  <c r="EJ10" i="7"/>
  <c r="EI10" i="7"/>
  <c r="EH10" i="7"/>
  <c r="EG10" i="7"/>
  <c r="EF10" i="7"/>
  <c r="EE10" i="7"/>
  <c r="ED10" i="7"/>
  <c r="EC10" i="7"/>
  <c r="EB10" i="7"/>
  <c r="EA10" i="7"/>
  <c r="DZ10" i="7"/>
  <c r="DY10" i="7"/>
  <c r="DX10" i="7"/>
  <c r="DW10" i="7"/>
  <c r="DV10" i="7"/>
  <c r="DU10" i="7"/>
  <c r="DT10" i="7"/>
  <c r="DS10" i="7"/>
  <c r="DR10" i="7"/>
  <c r="CH51" i="7"/>
  <c r="CB51" i="7"/>
  <c r="CA51" i="7"/>
  <c r="BZ51" i="7"/>
  <c r="BY51" i="7"/>
  <c r="BX51" i="7"/>
  <c r="BW51" i="7"/>
  <c r="BV51" i="7"/>
  <c r="BU51" i="7"/>
  <c r="BT51" i="7"/>
  <c r="BS51" i="7"/>
  <c r="AO51" i="7"/>
  <c r="DQ49" i="7"/>
  <c r="DP49" i="7"/>
  <c r="DO49" i="7"/>
  <c r="DN49" i="7"/>
  <c r="DM49" i="7"/>
  <c r="DL49" i="7"/>
  <c r="DK49" i="7"/>
  <c r="DJ49" i="7"/>
  <c r="DI49" i="7"/>
  <c r="DH49" i="7"/>
  <c r="DG49" i="7"/>
  <c r="DF49" i="7"/>
  <c r="DE49" i="7"/>
  <c r="DD49" i="7"/>
  <c r="DC49" i="7"/>
  <c r="DB49" i="7"/>
  <c r="DA49" i="7"/>
  <c r="CZ49" i="7"/>
  <c r="CY49" i="7"/>
  <c r="CX49" i="7"/>
  <c r="CW49" i="7"/>
  <c r="CV49" i="7"/>
  <c r="CU49" i="7"/>
  <c r="CT49" i="7"/>
  <c r="CS49" i="7"/>
  <c r="CR49" i="7"/>
  <c r="CQ49" i="7"/>
  <c r="CP49" i="7"/>
  <c r="CO49" i="7"/>
  <c r="CN49" i="7"/>
  <c r="CM49" i="7"/>
  <c r="CL49" i="7"/>
  <c r="DN42" i="7"/>
  <c r="DG42" i="7"/>
  <c r="DF42" i="7"/>
  <c r="DE42" i="7"/>
  <c r="DD42" i="7"/>
  <c r="DC42" i="7"/>
  <c r="DB42" i="7"/>
  <c r="CY42" i="7"/>
  <c r="CX42" i="7"/>
  <c r="CW42" i="7"/>
  <c r="CN42" i="7"/>
  <c r="CM42" i="7"/>
  <c r="CK41" i="7"/>
  <c r="CJ41" i="7"/>
  <c r="CI41" i="7"/>
  <c r="CG41" i="7"/>
  <c r="CF41" i="7"/>
  <c r="CE41" i="7"/>
  <c r="CD41" i="7"/>
  <c r="BQ41" i="7"/>
  <c r="BP41" i="7"/>
  <c r="BL41" i="7"/>
  <c r="BJ41" i="7"/>
  <c r="BI41" i="7"/>
  <c r="BH41" i="7"/>
  <c r="BC41" i="7"/>
  <c r="BB41" i="7"/>
  <c r="BA41" i="7"/>
  <c r="AZ41" i="7"/>
  <c r="AY41" i="7"/>
  <c r="AX41" i="7"/>
  <c r="AW41" i="7"/>
  <c r="AT41" i="7"/>
  <c r="AS41" i="7"/>
  <c r="AQ41" i="7"/>
  <c r="AJ41" i="7"/>
  <c r="AI41" i="7"/>
  <c r="AF41" i="7"/>
  <c r="AC41" i="7"/>
  <c r="AB41" i="7"/>
  <c r="H41" i="7"/>
  <c r="G41" i="7"/>
  <c r="CK38" i="7"/>
  <c r="CJ38" i="7"/>
  <c r="CI38" i="7"/>
  <c r="CH38" i="7"/>
  <c r="CG38" i="7"/>
  <c r="CF38" i="7"/>
  <c r="CE38" i="7"/>
  <c r="CD38" i="7"/>
  <c r="CC38" i="7"/>
  <c r="CB38" i="7"/>
  <c r="CA38" i="7"/>
  <c r="BZ38" i="7"/>
  <c r="BY38" i="7"/>
  <c r="BW38" i="7"/>
  <c r="BV38" i="7"/>
  <c r="BU38" i="7"/>
  <c r="BT38" i="7"/>
  <c r="BS38" i="7"/>
  <c r="BR38" i="7"/>
  <c r="AO38" i="7"/>
  <c r="DQ35" i="7"/>
  <c r="DP35" i="7"/>
  <c r="DO35" i="7"/>
  <c r="DA35" i="7"/>
  <c r="CN35" i="7"/>
  <c r="CK35" i="7"/>
  <c r="CJ35" i="7"/>
  <c r="CI35" i="7"/>
  <c r="CG35" i="7"/>
  <c r="CF35" i="7"/>
  <c r="CE35" i="7"/>
  <c r="CD35" i="7"/>
  <c r="BO35" i="7"/>
  <c r="BN35" i="7"/>
  <c r="BM35" i="7"/>
  <c r="BL35" i="7"/>
  <c r="BK35" i="7"/>
  <c r="BH35" i="7"/>
  <c r="AJ35" i="7"/>
  <c r="AI35" i="7"/>
  <c r="AH35" i="7"/>
  <c r="AA35" i="7"/>
  <c r="BR33" i="7"/>
  <c r="AR33" i="7"/>
  <c r="AO33" i="7"/>
  <c r="AK33" i="7"/>
  <c r="AG33" i="7"/>
  <c r="AG41" i="7" s="1"/>
  <c r="Y33" i="7"/>
  <c r="Y41" i="7" s="1"/>
  <c r="X33" i="7"/>
  <c r="W33" i="7"/>
  <c r="V33" i="7"/>
  <c r="V41" i="7" s="1"/>
  <c r="U33" i="7"/>
  <c r="U41" i="7" s="1"/>
  <c r="T33" i="7"/>
  <c r="S33" i="7"/>
  <c r="S41" i="7" s="1"/>
  <c r="R33" i="7"/>
  <c r="R41" i="7" s="1"/>
  <c r="Q33" i="7"/>
  <c r="Q41" i="7" s="1"/>
  <c r="P33" i="7"/>
  <c r="P41" i="7" s="1"/>
  <c r="O33" i="7"/>
  <c r="O41" i="7" s="1"/>
  <c r="N33" i="7"/>
  <c r="N41" i="7" s="1"/>
  <c r="M33" i="7"/>
  <c r="M41" i="7" s="1"/>
  <c r="L33" i="7"/>
  <c r="L41" i="7" s="1"/>
  <c r="K33" i="7"/>
  <c r="K41" i="7" s="1"/>
  <c r="J33" i="7"/>
  <c r="J41" i="7" s="1"/>
  <c r="I33" i="7"/>
  <c r="I41" i="7" s="1"/>
  <c r="F33" i="7"/>
  <c r="F41" i="7" s="1"/>
  <c r="E33" i="7"/>
  <c r="D33" i="7"/>
  <c r="D41" i="7" s="1"/>
  <c r="C33" i="7"/>
  <c r="C41" i="7" s="1"/>
  <c r="B33" i="7"/>
  <c r="B41" i="7" s="1"/>
  <c r="DQ31" i="7"/>
  <c r="DQ32" i="7" s="1"/>
  <c r="DP31" i="7"/>
  <c r="DP32" i="7" s="1"/>
  <c r="DO31" i="7"/>
  <c r="DO32" i="7" s="1"/>
  <c r="DN31" i="7"/>
  <c r="DN32" i="7" s="1"/>
  <c r="DM31" i="7"/>
  <c r="DM32" i="7" s="1"/>
  <c r="DL31" i="7"/>
  <c r="DL32" i="7" s="1"/>
  <c r="DK31" i="7"/>
  <c r="DK32" i="7" s="1"/>
  <c r="DJ31" i="7"/>
  <c r="DJ32" i="7" s="1"/>
  <c r="DI31" i="7"/>
  <c r="DI32" i="7" s="1"/>
  <c r="DH31" i="7"/>
  <c r="DH32" i="7" s="1"/>
  <c r="DG31" i="7"/>
  <c r="DG32" i="7" s="1"/>
  <c r="DF31" i="7"/>
  <c r="DF32" i="7" s="1"/>
  <c r="DE31" i="7"/>
  <c r="DE32" i="7" s="1"/>
  <c r="DD31" i="7"/>
  <c r="DD32" i="7" s="1"/>
  <c r="DC31" i="7"/>
  <c r="DC32" i="7" s="1"/>
  <c r="DB31" i="7"/>
  <c r="DB32" i="7" s="1"/>
  <c r="DA31" i="7"/>
  <c r="DA32" i="7" s="1"/>
  <c r="CZ31" i="7"/>
  <c r="CZ32" i="7" s="1"/>
  <c r="CY31" i="7"/>
  <c r="CY32" i="7" s="1"/>
  <c r="CX31" i="7"/>
  <c r="CX32" i="7" s="1"/>
  <c r="CW31" i="7"/>
  <c r="CW32" i="7" s="1"/>
  <c r="CV31" i="7"/>
  <c r="CV32" i="7" s="1"/>
  <c r="CU31" i="7"/>
  <c r="CU32" i="7" s="1"/>
  <c r="CT31" i="7"/>
  <c r="CT32" i="7" s="1"/>
  <c r="CS31" i="7"/>
  <c r="CS32" i="7" s="1"/>
  <c r="CR31" i="7"/>
  <c r="CR32" i="7" s="1"/>
  <c r="CQ31" i="7"/>
  <c r="CQ32" i="7" s="1"/>
  <c r="CP31" i="7"/>
  <c r="CP32" i="7" s="1"/>
  <c r="CO31" i="7"/>
  <c r="CO32" i="7" s="1"/>
  <c r="CN31" i="7"/>
  <c r="CN32" i="7" s="1"/>
  <c r="CM31" i="7"/>
  <c r="CM32" i="7" s="1"/>
  <c r="CL31" i="7"/>
  <c r="CL32" i="7" s="1"/>
  <c r="CK31" i="7"/>
  <c r="CK32" i="7" s="1"/>
  <c r="CJ31" i="7"/>
  <c r="CJ32" i="7" s="1"/>
  <c r="CI31" i="7"/>
  <c r="CI32" i="7" s="1"/>
  <c r="CH31" i="7"/>
  <c r="CH32" i="7" s="1"/>
  <c r="CG31" i="7"/>
  <c r="CG32" i="7" s="1"/>
  <c r="CF31" i="7"/>
  <c r="CF32" i="7" s="1"/>
  <c r="CE31" i="7"/>
  <c r="CE32" i="7" s="1"/>
  <c r="CD31" i="7"/>
  <c r="CD32" i="7" s="1"/>
  <c r="CC31" i="7"/>
  <c r="CC32" i="7" s="1"/>
  <c r="CB31" i="7"/>
  <c r="CB32" i="7" s="1"/>
  <c r="CA31" i="7"/>
  <c r="CA32" i="7" s="1"/>
  <c r="BZ31" i="7"/>
  <c r="BZ32" i="7" s="1"/>
  <c r="BY31" i="7"/>
  <c r="BY32" i="7" s="1"/>
  <c r="BX31" i="7"/>
  <c r="BX32" i="7" s="1"/>
  <c r="BW31" i="7"/>
  <c r="BW32" i="7" s="1"/>
  <c r="BV31" i="7"/>
  <c r="BV32" i="7" s="1"/>
  <c r="BU31" i="7"/>
  <c r="BU32" i="7" s="1"/>
  <c r="BT31" i="7"/>
  <c r="BT32" i="7" s="1"/>
  <c r="BS31" i="7"/>
  <c r="BS32" i="7" s="1"/>
  <c r="BR31" i="7"/>
  <c r="BR32" i="7" s="1"/>
  <c r="BQ31" i="7"/>
  <c r="BQ32" i="7" s="1"/>
  <c r="BP31" i="7"/>
  <c r="BP32" i="7" s="1"/>
  <c r="BO31" i="7"/>
  <c r="BO32" i="7" s="1"/>
  <c r="BN31" i="7"/>
  <c r="BN32" i="7" s="1"/>
  <c r="BM31" i="7"/>
  <c r="BM32" i="7" s="1"/>
  <c r="BL31" i="7"/>
  <c r="BL32" i="7" s="1"/>
  <c r="BK31" i="7"/>
  <c r="BK32" i="7" s="1"/>
  <c r="BJ31" i="7"/>
  <c r="BJ32" i="7" s="1"/>
  <c r="BI31" i="7"/>
  <c r="BI32" i="7" s="1"/>
  <c r="BH31" i="7"/>
  <c r="BH32" i="7" s="1"/>
  <c r="BG31" i="7"/>
  <c r="BG32" i="7" s="1"/>
  <c r="BF31" i="7"/>
  <c r="BF32" i="7" s="1"/>
  <c r="BE31" i="7"/>
  <c r="BE32" i="7" s="1"/>
  <c r="BD31" i="7"/>
  <c r="BD32" i="7" s="1"/>
  <c r="BC31" i="7"/>
  <c r="BC32" i="7" s="1"/>
  <c r="BB31" i="7"/>
  <c r="BB32" i="7" s="1"/>
  <c r="BA31" i="7"/>
  <c r="BA32" i="7" s="1"/>
  <c r="AZ31" i="7"/>
  <c r="AZ32" i="7" s="1"/>
  <c r="AY31" i="7"/>
  <c r="AY32" i="7" s="1"/>
  <c r="AX31" i="7"/>
  <c r="AX32" i="7" s="1"/>
  <c r="AW31" i="7"/>
  <c r="AW32" i="7" s="1"/>
  <c r="AV31" i="7"/>
  <c r="AV32" i="7" s="1"/>
  <c r="AU31" i="7"/>
  <c r="AU32" i="7" s="1"/>
  <c r="AT31" i="7"/>
  <c r="AT32" i="7" s="1"/>
  <c r="AS31" i="7"/>
  <c r="AS32" i="7" s="1"/>
  <c r="AR31" i="7"/>
  <c r="AR32" i="7" s="1"/>
  <c r="AQ31" i="7"/>
  <c r="AQ32" i="7" s="1"/>
  <c r="AP31" i="7"/>
  <c r="AP32" i="7" s="1"/>
  <c r="AO31" i="7"/>
  <c r="AO32" i="7" s="1"/>
  <c r="AN31" i="7"/>
  <c r="AN32" i="7" s="1"/>
  <c r="AM31" i="7"/>
  <c r="AM32" i="7" s="1"/>
  <c r="AL31" i="7"/>
  <c r="AL32" i="7" s="1"/>
  <c r="AK31" i="7"/>
  <c r="AK32" i="7" s="1"/>
  <c r="AJ31" i="7"/>
  <c r="AJ32" i="7" s="1"/>
  <c r="AI31" i="7"/>
  <c r="AI32" i="7" s="1"/>
  <c r="AH31" i="7"/>
  <c r="AH32" i="7" s="1"/>
  <c r="AG31" i="7"/>
  <c r="AG32" i="7" s="1"/>
  <c r="AF31" i="7"/>
  <c r="AF32" i="7" s="1"/>
  <c r="AE31" i="7"/>
  <c r="AE32" i="7" s="1"/>
  <c r="AD31" i="7"/>
  <c r="AD32" i="7" s="1"/>
  <c r="AC31" i="7"/>
  <c r="AC32" i="7" s="1"/>
  <c r="AB31" i="7"/>
  <c r="AB32" i="7" s="1"/>
  <c r="AA31" i="7"/>
  <c r="AA32" i="7" s="1"/>
  <c r="Z31" i="7"/>
  <c r="Z32" i="7" s="1"/>
  <c r="Y31" i="7"/>
  <c r="Y32" i="7" s="1"/>
  <c r="X31" i="7"/>
  <c r="X32" i="7" s="1"/>
  <c r="W31" i="7"/>
  <c r="W32" i="7" s="1"/>
  <c r="V31" i="7"/>
  <c r="V32" i="7" s="1"/>
  <c r="U31" i="7"/>
  <c r="U32" i="7" s="1"/>
  <c r="T31" i="7"/>
  <c r="T32" i="7" s="1"/>
  <c r="S31" i="7"/>
  <c r="S32" i="7" s="1"/>
  <c r="R31" i="7"/>
  <c r="R32" i="7" s="1"/>
  <c r="Q31" i="7"/>
  <c r="Q32" i="7" s="1"/>
  <c r="P31" i="7"/>
  <c r="P32" i="7" s="1"/>
  <c r="O31" i="7"/>
  <c r="O32" i="7" s="1"/>
  <c r="N31" i="7"/>
  <c r="N32" i="7" s="1"/>
  <c r="M31" i="7"/>
  <c r="M32" i="7" s="1"/>
  <c r="L31" i="7"/>
  <c r="L32" i="7" s="1"/>
  <c r="K31" i="7"/>
  <c r="K32" i="7" s="1"/>
  <c r="J31" i="7"/>
  <c r="J32" i="7" s="1"/>
  <c r="I31" i="7"/>
  <c r="I32" i="7" s="1"/>
  <c r="H31" i="7"/>
  <c r="H32" i="7" s="1"/>
  <c r="G31" i="7"/>
  <c r="G32" i="7" s="1"/>
  <c r="F31" i="7"/>
  <c r="F32" i="7" s="1"/>
  <c r="E31" i="7"/>
  <c r="E32" i="7" s="1"/>
  <c r="D31" i="7"/>
  <c r="D32" i="7" s="1"/>
  <c r="C31" i="7"/>
  <c r="C32" i="7" s="1"/>
  <c r="B31" i="7"/>
  <c r="B32" i="7" s="1"/>
  <c r="CK30" i="7"/>
  <c r="CK51" i="7" s="1"/>
  <c r="CJ30" i="7"/>
  <c r="CJ51" i="7" s="1"/>
  <c r="CI30" i="7"/>
  <c r="CI51" i="7" s="1"/>
  <c r="CG30" i="7"/>
  <c r="CG51" i="7" s="1"/>
  <c r="CF30" i="7"/>
  <c r="CF51" i="7" s="1"/>
  <c r="CE30" i="7"/>
  <c r="CE51" i="7" s="1"/>
  <c r="CD30" i="7"/>
  <c r="CD51" i="7" s="1"/>
  <c r="CC30" i="7"/>
  <c r="CC51" i="7" s="1"/>
  <c r="BJ30" i="7"/>
  <c r="BJ51" i="7" s="1"/>
  <c r="BI30" i="7"/>
  <c r="BI51" i="7" s="1"/>
  <c r="BA30" i="7"/>
  <c r="BA51" i="7" s="1"/>
  <c r="AZ30" i="7"/>
  <c r="AZ51" i="7" s="1"/>
  <c r="AT30" i="7"/>
  <c r="AT51" i="7" s="1"/>
  <c r="AS30" i="7"/>
  <c r="AS51" i="7" s="1"/>
  <c r="AR30" i="7"/>
  <c r="AR51" i="7" s="1"/>
  <c r="AP30" i="7"/>
  <c r="AP51" i="7" s="1"/>
  <c r="AN30" i="7"/>
  <c r="AN51" i="7" s="1"/>
  <c r="AM30" i="7"/>
  <c r="AM51" i="7" s="1"/>
  <c r="AL30" i="7"/>
  <c r="AL51" i="7" s="1"/>
  <c r="AK30" i="7"/>
  <c r="AK51" i="7" s="1"/>
  <c r="AJ30" i="7"/>
  <c r="AJ51" i="7" s="1"/>
  <c r="AI30" i="7"/>
  <c r="AI51" i="7" s="1"/>
  <c r="AH30" i="7"/>
  <c r="AH51" i="7" s="1"/>
  <c r="AG30" i="7"/>
  <c r="AG51" i="7" s="1"/>
  <c r="AF30" i="7"/>
  <c r="AF51" i="7" s="1"/>
  <c r="AE30" i="7"/>
  <c r="AE51" i="7" s="1"/>
  <c r="AD30" i="7"/>
  <c r="AD51" i="7" s="1"/>
  <c r="AC30" i="7"/>
  <c r="AC51" i="7" s="1"/>
  <c r="AB30" i="7"/>
  <c r="AB51" i="7" s="1"/>
  <c r="AA30" i="7"/>
  <c r="AA51" i="7" s="1"/>
  <c r="Y30" i="7"/>
  <c r="Y51" i="7" s="1"/>
  <c r="X30" i="7"/>
  <c r="X51" i="7" s="1"/>
  <c r="W30" i="7"/>
  <c r="W51" i="7" s="1"/>
  <c r="V30" i="7"/>
  <c r="V51" i="7" s="1"/>
  <c r="U30" i="7"/>
  <c r="U51" i="7" s="1"/>
  <c r="T30" i="7"/>
  <c r="T51" i="7" s="1"/>
  <c r="O30" i="7"/>
  <c r="O51" i="7" s="1"/>
  <c r="N30" i="7"/>
  <c r="N51" i="7" s="1"/>
  <c r="M30" i="7"/>
  <c r="M51" i="7" s="1"/>
  <c r="L30" i="7"/>
  <c r="L51" i="7" s="1"/>
  <c r="K30" i="7"/>
  <c r="K51" i="7" s="1"/>
  <c r="J30" i="7"/>
  <c r="J51" i="7" s="1"/>
  <c r="I30" i="7"/>
  <c r="I51" i="7" s="1"/>
  <c r="G30" i="7"/>
  <c r="G51" i="7" s="1"/>
  <c r="F30" i="7"/>
  <c r="F51" i="7" s="1"/>
  <c r="E30" i="7"/>
  <c r="E51" i="7" s="1"/>
  <c r="D30" i="7"/>
  <c r="D51" i="7" s="1"/>
  <c r="C30" i="7"/>
  <c r="C51" i="7" s="1"/>
  <c r="B30" i="7"/>
  <c r="B51" i="7" s="1"/>
  <c r="CK29" i="7"/>
  <c r="CJ29" i="7"/>
  <c r="CI29" i="7"/>
  <c r="CG29" i="7"/>
  <c r="CF29" i="7"/>
  <c r="CE29" i="7"/>
  <c r="CD29" i="7"/>
  <c r="CC29" i="7"/>
  <c r="CB29" i="7"/>
  <c r="CA29" i="7"/>
  <c r="BZ29" i="7"/>
  <c r="BY29" i="7"/>
  <c r="BX29" i="7"/>
  <c r="BW29" i="7"/>
  <c r="BV29" i="7"/>
  <c r="BT29" i="7"/>
  <c r="BS29" i="7"/>
  <c r="BR29" i="7"/>
  <c r="BQ29" i="7"/>
  <c r="BQ30" i="7" s="1"/>
  <c r="BQ51" i="7" s="1"/>
  <c r="BP29" i="7"/>
  <c r="BP30" i="7" s="1"/>
  <c r="BP51" i="7" s="1"/>
  <c r="BO29" i="7"/>
  <c r="BO30" i="7" s="1"/>
  <c r="BO51" i="7" s="1"/>
  <c r="BN29" i="7"/>
  <c r="BN30" i="7" s="1"/>
  <c r="BN51" i="7" s="1"/>
  <c r="BM29" i="7"/>
  <c r="BM30" i="7" s="1"/>
  <c r="BM51" i="7" s="1"/>
  <c r="BL29" i="7"/>
  <c r="BL30" i="7" s="1"/>
  <c r="BL51" i="7" s="1"/>
  <c r="BK29" i="7"/>
  <c r="BK30" i="7" s="1"/>
  <c r="BK51" i="7" s="1"/>
  <c r="BH29" i="7"/>
  <c r="BH30" i="7" s="1"/>
  <c r="BH51" i="7" s="1"/>
  <c r="BG29" i="7"/>
  <c r="BG30" i="7" s="1"/>
  <c r="BG51" i="7" s="1"/>
  <c r="BF29" i="7"/>
  <c r="BF30" i="7" s="1"/>
  <c r="BF51" i="7" s="1"/>
  <c r="BE29" i="7"/>
  <c r="BE30" i="7" s="1"/>
  <c r="BE51" i="7" s="1"/>
  <c r="BD29" i="7"/>
  <c r="BD30" i="7" s="1"/>
  <c r="BD51" i="7" s="1"/>
  <c r="BC29" i="7"/>
  <c r="BC30" i="7" s="1"/>
  <c r="BC51" i="7" s="1"/>
  <c r="BB29" i="7"/>
  <c r="BB30" i="7" s="1"/>
  <c r="BB51" i="7" s="1"/>
  <c r="AY29" i="7"/>
  <c r="AY30" i="7" s="1"/>
  <c r="AY51" i="7" s="1"/>
  <c r="AX29" i="7"/>
  <c r="AX30" i="7" s="1"/>
  <c r="AX51" i="7" s="1"/>
  <c r="AW29" i="7"/>
  <c r="AW30" i="7" s="1"/>
  <c r="AW51" i="7" s="1"/>
  <c r="AQ29" i="7"/>
  <c r="AQ30" i="7" s="1"/>
  <c r="AQ51" i="7" s="1"/>
  <c r="Z29" i="7"/>
  <c r="Z30" i="7" s="1"/>
  <c r="Z51" i="7" s="1"/>
  <c r="S29" i="7"/>
  <c r="S30" i="7" s="1"/>
  <c r="S51" i="7" s="1"/>
  <c r="R29" i="7"/>
  <c r="R30" i="7" s="1"/>
  <c r="R51" i="7" s="1"/>
  <c r="Q29" i="7"/>
  <c r="Q30" i="7" s="1"/>
  <c r="Q51" i="7" s="1"/>
  <c r="P29" i="7"/>
  <c r="P30" i="7" s="1"/>
  <c r="P51" i="7" s="1"/>
  <c r="H29" i="7"/>
  <c r="H30" i="7" s="1"/>
  <c r="H51" i="7" s="1"/>
  <c r="DP28" i="7"/>
  <c r="DN28" i="7"/>
  <c r="DM28" i="7"/>
  <c r="DL28" i="7"/>
  <c r="DK28" i="7"/>
  <c r="DJ28" i="7"/>
  <c r="DI28" i="7"/>
  <c r="DH28" i="7"/>
  <c r="DC28" i="7"/>
  <c r="CY28" i="7"/>
  <c r="CW28" i="7"/>
  <c r="CV28" i="7"/>
  <c r="CU28" i="7"/>
  <c r="CT28" i="7"/>
  <c r="CS28" i="7"/>
  <c r="CR28" i="7"/>
  <c r="CQ28" i="7"/>
  <c r="CP28" i="7"/>
  <c r="CO28" i="7"/>
  <c r="DQ27" i="7"/>
  <c r="DP27" i="7"/>
  <c r="DO27" i="7"/>
  <c r="DN27" i="7"/>
  <c r="DM27" i="7"/>
  <c r="DL27" i="7"/>
  <c r="DK27" i="7"/>
  <c r="DJ27" i="7"/>
  <c r="DI27" i="7"/>
  <c r="DH27" i="7"/>
  <c r="DG27" i="7"/>
  <c r="DF27" i="7"/>
  <c r="DE27" i="7"/>
  <c r="DD27" i="7"/>
  <c r="DC27" i="7"/>
  <c r="DB27" i="7"/>
  <c r="DA27" i="7"/>
  <c r="CZ27" i="7"/>
  <c r="CY27" i="7"/>
  <c r="CX27" i="7"/>
  <c r="CW27" i="7"/>
  <c r="CV27" i="7"/>
  <c r="CU27" i="7"/>
  <c r="CT27" i="7"/>
  <c r="CS27" i="7"/>
  <c r="CR27" i="7"/>
  <c r="CQ27" i="7"/>
  <c r="CP27" i="7"/>
  <c r="CO27" i="7"/>
  <c r="CN27" i="7"/>
  <c r="CM27" i="7"/>
  <c r="CL27" i="7"/>
  <c r="DQ23" i="7"/>
  <c r="DP23" i="7"/>
  <c r="DO23" i="7"/>
  <c r="DN23" i="7"/>
  <c r="DM23" i="7"/>
  <c r="DL23" i="7"/>
  <c r="DK23" i="7"/>
  <c r="DJ23" i="7"/>
  <c r="DI23" i="7"/>
  <c r="DH23" i="7"/>
  <c r="DG23" i="7"/>
  <c r="DF23" i="7"/>
  <c r="DE23" i="7"/>
  <c r="DD23" i="7"/>
  <c r="DC23" i="7"/>
  <c r="DB23" i="7"/>
  <c r="DA23" i="7"/>
  <c r="CZ23" i="7"/>
  <c r="CY23" i="7"/>
  <c r="CX23" i="7"/>
  <c r="CW23" i="7"/>
  <c r="CV23" i="7"/>
  <c r="CU23" i="7"/>
  <c r="CT23" i="7"/>
  <c r="CS23" i="7"/>
  <c r="CR23" i="7"/>
  <c r="CQ23" i="7"/>
  <c r="CP23" i="7"/>
  <c r="CO23" i="7"/>
  <c r="CN23" i="7"/>
  <c r="CM23" i="7"/>
  <c r="CL23" i="7"/>
  <c r="CK23" i="7"/>
  <c r="CJ23" i="7"/>
  <c r="CI23" i="7"/>
  <c r="CH23" i="7"/>
  <c r="CG23" i="7"/>
  <c r="CF23" i="7"/>
  <c r="CE23" i="7"/>
  <c r="CD23" i="7"/>
  <c r="CC23" i="7"/>
  <c r="CB23" i="7"/>
  <c r="CA23" i="7"/>
  <c r="BZ23" i="7"/>
  <c r="BY23" i="7"/>
  <c r="BX23" i="7"/>
  <c r="BW23" i="7"/>
  <c r="BV23" i="7"/>
  <c r="BU23" i="7"/>
  <c r="BT23" i="7"/>
  <c r="BS23" i="7"/>
  <c r="BQ23" i="7"/>
  <c r="BP23" i="7"/>
  <c r="BO23" i="7"/>
  <c r="BN23" i="7"/>
  <c r="BM23" i="7"/>
  <c r="BL23" i="7"/>
  <c r="BK23" i="7"/>
  <c r="BJ23" i="7"/>
  <c r="BI23" i="7"/>
  <c r="BH23" i="7"/>
  <c r="BG23" i="7"/>
  <c r="BF23" i="7"/>
  <c r="BE23" i="7"/>
  <c r="BD23" i="7"/>
  <c r="BC23" i="7"/>
  <c r="BB23" i="7"/>
  <c r="BA23" i="7"/>
  <c r="AZ23" i="7"/>
  <c r="AY23" i="7"/>
  <c r="AX23" i="7"/>
  <c r="AW23" i="7"/>
  <c r="AV23" i="7"/>
  <c r="AU23" i="7"/>
  <c r="AT23" i="7"/>
  <c r="AS23" i="7"/>
  <c r="AR23" i="7"/>
  <c r="AQ23" i="7"/>
  <c r="AP23" i="7"/>
  <c r="AO23" i="7"/>
  <c r="AN23" i="7"/>
  <c r="AM23" i="7"/>
  <c r="AL23" i="7"/>
  <c r="AK23" i="7"/>
  <c r="AJ23" i="7"/>
  <c r="AI23" i="7"/>
  <c r="AH23" i="7"/>
  <c r="AG23" i="7"/>
  <c r="AF23" i="7"/>
  <c r="AE23" i="7"/>
  <c r="AD23" i="7"/>
  <c r="AC23" i="7"/>
  <c r="AB23" i="7"/>
  <c r="AA23" i="7"/>
  <c r="Z23" i="7"/>
  <c r="Y23" i="7"/>
  <c r="X23" i="7"/>
  <c r="W23" i="7"/>
  <c r="V23" i="7"/>
  <c r="U23" i="7"/>
  <c r="T23" i="7"/>
  <c r="S23" i="7"/>
  <c r="R23" i="7"/>
  <c r="Q23" i="7"/>
  <c r="P23" i="7"/>
  <c r="O23" i="7"/>
  <c r="N23" i="7"/>
  <c r="M23" i="7"/>
  <c r="L23" i="7"/>
  <c r="K23" i="7"/>
  <c r="J23" i="7"/>
  <c r="I23" i="7"/>
  <c r="H23" i="7"/>
  <c r="G23" i="7"/>
  <c r="F23" i="7"/>
  <c r="E23" i="7"/>
  <c r="D23" i="7"/>
  <c r="C23" i="7"/>
  <c r="B23" i="7"/>
  <c r="BD21" i="7"/>
  <c r="DN18" i="7"/>
  <c r="DG18" i="7"/>
  <c r="DF18" i="7"/>
  <c r="CV18" i="7"/>
  <c r="CU18" i="7"/>
  <c r="CT18" i="7"/>
  <c r="CS18" i="7"/>
  <c r="CR18" i="7"/>
  <c r="CQ18" i="7"/>
  <c r="DE17" i="7"/>
  <c r="DD17" i="7"/>
  <c r="DC17" i="7"/>
  <c r="DB17" i="7"/>
  <c r="DA17" i="7"/>
  <c r="BX17" i="7"/>
  <c r="BU17" i="7"/>
  <c r="BQ17" i="7"/>
  <c r="BO17" i="7"/>
  <c r="BL17" i="7"/>
  <c r="BK17" i="7"/>
  <c r="BJ17" i="7"/>
  <c r="BI17" i="7"/>
  <c r="BH17" i="7"/>
  <c r="BG17" i="7"/>
  <c r="BF17" i="7"/>
  <c r="BE17" i="7"/>
  <c r="BD17" i="7"/>
  <c r="BC17" i="7"/>
  <c r="BB17" i="7"/>
  <c r="BA17" i="7"/>
  <c r="AZ17" i="7"/>
  <c r="AY17" i="7"/>
  <c r="AX17" i="7"/>
  <c r="AW17" i="7"/>
  <c r="AT17" i="7"/>
  <c r="AS17" i="7"/>
  <c r="AR17" i="7"/>
  <c r="AQ17" i="7"/>
  <c r="AP17" i="7"/>
  <c r="AO17" i="7"/>
  <c r="AN17" i="7"/>
  <c r="AM17" i="7"/>
  <c r="AJ17" i="7"/>
  <c r="AH17" i="7"/>
  <c r="AG17" i="7"/>
  <c r="AF17" i="7"/>
  <c r="AE17" i="7"/>
  <c r="AD17" i="7"/>
  <c r="AC17" i="7"/>
  <c r="AB17" i="7"/>
  <c r="Z17" i="7"/>
  <c r="Y17" i="7"/>
  <c r="X17" i="7"/>
  <c r="W17" i="7"/>
  <c r="V17" i="7"/>
  <c r="U17" i="7"/>
  <c r="T17" i="7"/>
  <c r="S17" i="7"/>
  <c r="R17" i="7"/>
  <c r="Q17" i="7"/>
  <c r="P17" i="7"/>
  <c r="O17" i="7"/>
  <c r="N17" i="7"/>
  <c r="M17" i="7"/>
  <c r="L17" i="7"/>
  <c r="K17" i="7"/>
  <c r="J17" i="7"/>
  <c r="I17" i="7"/>
  <c r="H17" i="7"/>
  <c r="G17" i="7"/>
  <c r="F17" i="7"/>
  <c r="E17" i="7"/>
  <c r="D17" i="7"/>
  <c r="C17" i="7"/>
  <c r="B17" i="7"/>
  <c r="DQ14" i="7"/>
  <c r="DP14" i="7"/>
  <c r="DO14" i="7"/>
  <c r="DN14" i="7"/>
  <c r="DM14" i="7"/>
  <c r="DL14" i="7"/>
  <c r="DK14" i="7"/>
  <c r="DJ14" i="7"/>
  <c r="DI14" i="7"/>
  <c r="DH14" i="7"/>
  <c r="DG14" i="7"/>
  <c r="DF14" i="7"/>
  <c r="DE14" i="7"/>
  <c r="DD14" i="7"/>
  <c r="DC14" i="7"/>
  <c r="DB14" i="7"/>
  <c r="DA14" i="7"/>
  <c r="CZ14" i="7"/>
  <c r="CY14" i="7"/>
  <c r="CX14" i="7"/>
  <c r="CW14" i="7"/>
  <c r="CV14" i="7"/>
  <c r="CU14" i="7"/>
  <c r="CT14" i="7"/>
  <c r="CS14" i="7"/>
  <c r="CR14" i="7"/>
  <c r="CQ14" i="7"/>
  <c r="CP14" i="7"/>
  <c r="CO14" i="7"/>
  <c r="CN14" i="7"/>
  <c r="CM14" i="7"/>
  <c r="CL14" i="7"/>
  <c r="CK14" i="7"/>
  <c r="CJ14" i="7"/>
  <c r="CI14" i="7"/>
  <c r="CH14" i="7"/>
  <c r="CG14" i="7"/>
  <c r="CF14" i="7"/>
  <c r="CE14" i="7"/>
  <c r="CD14" i="7"/>
  <c r="CC14" i="7"/>
  <c r="CB14" i="7"/>
  <c r="CB52" i="7" s="1"/>
  <c r="CA14" i="7"/>
  <c r="CA52" i="7" s="1"/>
  <c r="BZ14" i="7"/>
  <c r="BZ52" i="7" s="1"/>
  <c r="BY14" i="7"/>
  <c r="BY52" i="7" s="1"/>
  <c r="BX14" i="7"/>
  <c r="BX52" i="7" s="1"/>
  <c r="BW14" i="7"/>
  <c r="BW52" i="7" s="1"/>
  <c r="BV14" i="7"/>
  <c r="BV52" i="7" s="1"/>
  <c r="BU14" i="7"/>
  <c r="BU52" i="7" s="1"/>
  <c r="BT14" i="7"/>
  <c r="BT52" i="7" s="1"/>
  <c r="BS14" i="7"/>
  <c r="BS52" i="7" s="1"/>
  <c r="BR14" i="7"/>
  <c r="BQ14" i="7"/>
  <c r="BP14" i="7"/>
  <c r="BO14" i="7"/>
  <c r="BN14" i="7"/>
  <c r="BM14" i="7"/>
  <c r="BL14" i="7"/>
  <c r="BK14" i="7"/>
  <c r="BJ14" i="7"/>
  <c r="BI14" i="7"/>
  <c r="BH14" i="7"/>
  <c r="BG14" i="7"/>
  <c r="BF14" i="7"/>
  <c r="BE14" i="7"/>
  <c r="BD14" i="7"/>
  <c r="BC14" i="7"/>
  <c r="BB14" i="7"/>
  <c r="BA14" i="7"/>
  <c r="AZ14" i="7"/>
  <c r="AY14" i="7"/>
  <c r="AX14" i="7"/>
  <c r="AW14" i="7"/>
  <c r="AV14" i="7"/>
  <c r="AU14" i="7"/>
  <c r="AT14" i="7"/>
  <c r="AS14" i="7"/>
  <c r="AR14" i="7"/>
  <c r="AQ14" i="7"/>
  <c r="AP14" i="7"/>
  <c r="AO14" i="7"/>
  <c r="AN14" i="7"/>
  <c r="AM14" i="7"/>
  <c r="AL14" i="7"/>
  <c r="AK14" i="7"/>
  <c r="AJ14" i="7"/>
  <c r="AI14" i="7"/>
  <c r="AH14" i="7"/>
  <c r="AG14" i="7"/>
  <c r="AF14" i="7"/>
  <c r="AE14" i="7"/>
  <c r="AD14" i="7"/>
  <c r="AC14" i="7"/>
  <c r="AB14" i="7"/>
  <c r="AA14" i="7"/>
  <c r="Z14" i="7"/>
  <c r="Y14" i="7"/>
  <c r="X14" i="7"/>
  <c r="W14" i="7"/>
  <c r="V14" i="7"/>
  <c r="U14" i="7"/>
  <c r="T14" i="7"/>
  <c r="S14" i="7"/>
  <c r="R14" i="7"/>
  <c r="Q14" i="7"/>
  <c r="P14" i="7"/>
  <c r="O14" i="7"/>
  <c r="N14" i="7"/>
  <c r="M14" i="7"/>
  <c r="L14" i="7"/>
  <c r="K14" i="7"/>
  <c r="J14" i="7"/>
  <c r="I14" i="7"/>
  <c r="H14" i="7"/>
  <c r="G14" i="7"/>
  <c r="F14" i="7"/>
  <c r="E14" i="7"/>
  <c r="D14" i="7"/>
  <c r="C14" i="7"/>
  <c r="B14" i="7"/>
  <c r="DQ11" i="7"/>
  <c r="DP11" i="7"/>
  <c r="DO11" i="7"/>
  <c r="DN11" i="7"/>
  <c r="DM11" i="7"/>
  <c r="DL11" i="7"/>
  <c r="DK11" i="7"/>
  <c r="DJ11" i="7"/>
  <c r="DI11" i="7"/>
  <c r="DH11" i="7"/>
  <c r="DG11" i="7"/>
  <c r="DF11" i="7"/>
  <c r="DE11" i="7"/>
  <c r="DD11" i="7"/>
  <c r="DC11" i="7"/>
  <c r="DB11" i="7"/>
  <c r="DA11" i="7"/>
  <c r="CZ11" i="7"/>
  <c r="CY11" i="7"/>
  <c r="CX11" i="7"/>
  <c r="CW11" i="7"/>
  <c r="CV11" i="7"/>
  <c r="CU11" i="7"/>
  <c r="CT11" i="7"/>
  <c r="CS11" i="7"/>
  <c r="CR11" i="7"/>
  <c r="CQ11" i="7"/>
  <c r="CP11" i="7"/>
  <c r="CO11" i="7"/>
  <c r="CN11" i="7"/>
  <c r="CM11" i="7"/>
  <c r="CL11" i="7"/>
  <c r="CK11" i="7"/>
  <c r="CK27" i="7" s="1"/>
  <c r="CK42" i="7" s="1"/>
  <c r="CJ11" i="7"/>
  <c r="CJ27" i="7" s="1"/>
  <c r="CJ42" i="7" s="1"/>
  <c r="CI11" i="7"/>
  <c r="CI27" i="7" s="1"/>
  <c r="CI42" i="7" s="1"/>
  <c r="CH11" i="7"/>
  <c r="CH27" i="7" s="1"/>
  <c r="CH42" i="7" s="1"/>
  <c r="CG11" i="7"/>
  <c r="CG27" i="7" s="1"/>
  <c r="CG42" i="7" s="1"/>
  <c r="CF11" i="7"/>
  <c r="CF27" i="7" s="1"/>
  <c r="CF42" i="7" s="1"/>
  <c r="CE11" i="7"/>
  <c r="CE27" i="7" s="1"/>
  <c r="CE42" i="7" s="1"/>
  <c r="CD11" i="7"/>
  <c r="CD27" i="7" s="1"/>
  <c r="CD42" i="7" s="1"/>
  <c r="CC11" i="7"/>
  <c r="CC27" i="7" s="1"/>
  <c r="CC42" i="7" s="1"/>
  <c r="CB11" i="7"/>
  <c r="CB27" i="7" s="1"/>
  <c r="CB42" i="7" s="1"/>
  <c r="CA11" i="7"/>
  <c r="CA27" i="7" s="1"/>
  <c r="CA42" i="7" s="1"/>
  <c r="BZ11" i="7"/>
  <c r="BZ27" i="7" s="1"/>
  <c r="BZ42" i="7" s="1"/>
  <c r="BY11" i="7"/>
  <c r="BY27" i="7" s="1"/>
  <c r="BY42" i="7" s="1"/>
  <c r="BR11" i="7"/>
  <c r="BR27" i="7" s="1"/>
  <c r="BQ11" i="7"/>
  <c r="BQ27" i="7" s="1"/>
  <c r="BQ42" i="7" s="1"/>
  <c r="BN11" i="7"/>
  <c r="BN27" i="7" s="1"/>
  <c r="BN42" i="7" s="1"/>
  <c r="BM11" i="7"/>
  <c r="BM27" i="7" s="1"/>
  <c r="BM42" i="7" s="1"/>
  <c r="BL11" i="7"/>
  <c r="BL27" i="7" s="1"/>
  <c r="BL42" i="7" s="1"/>
  <c r="BK11" i="7"/>
  <c r="BK27" i="7" s="1"/>
  <c r="BK42" i="7" s="1"/>
  <c r="BJ11" i="7"/>
  <c r="BJ27" i="7" s="1"/>
  <c r="BJ42" i="7" s="1"/>
  <c r="BI11" i="7"/>
  <c r="BI27" i="7" s="1"/>
  <c r="BI42" i="7" s="1"/>
  <c r="BH11" i="7"/>
  <c r="BH27" i="7" s="1"/>
  <c r="BH42" i="7" s="1"/>
  <c r="BG11" i="7"/>
  <c r="BG27" i="7" s="1"/>
  <c r="BG42" i="7" s="1"/>
  <c r="BF11" i="7"/>
  <c r="BF27" i="7" s="1"/>
  <c r="BF42" i="7" s="1"/>
  <c r="BD11" i="7"/>
  <c r="BD27" i="7" s="1"/>
  <c r="BD42" i="7" s="1"/>
  <c r="BC11" i="7"/>
  <c r="BC27" i="7" s="1"/>
  <c r="BC42" i="7" s="1"/>
  <c r="BB11" i="7"/>
  <c r="BB27" i="7" s="1"/>
  <c r="BB42" i="7" s="1"/>
  <c r="BA11" i="7"/>
  <c r="BA27" i="7" s="1"/>
  <c r="BA42" i="7" s="1"/>
  <c r="AZ11" i="7"/>
  <c r="AZ27" i="7" s="1"/>
  <c r="AZ42" i="7" s="1"/>
  <c r="AY11" i="7"/>
  <c r="AY27" i="7" s="1"/>
  <c r="AY42" i="7" s="1"/>
  <c r="AX11" i="7"/>
  <c r="AX27" i="7" s="1"/>
  <c r="AX42" i="7" s="1"/>
  <c r="AW11" i="7"/>
  <c r="AW27" i="7" s="1"/>
  <c r="AW42" i="7" s="1"/>
  <c r="AV11" i="7"/>
  <c r="AV27" i="7" s="1"/>
  <c r="AV42" i="7" s="1"/>
  <c r="AU11" i="7"/>
  <c r="AU27" i="7" s="1"/>
  <c r="AU42" i="7" s="1"/>
  <c r="AT11" i="7"/>
  <c r="AT27" i="7" s="1"/>
  <c r="AT42" i="7" s="1"/>
  <c r="AS11" i="7"/>
  <c r="AS27" i="7" s="1"/>
  <c r="AS42" i="7" s="1"/>
  <c r="AR11" i="7"/>
  <c r="AR27" i="7" s="1"/>
  <c r="AR42" i="7" s="1"/>
  <c r="AQ11" i="7"/>
  <c r="AQ27" i="7" s="1"/>
  <c r="AQ42" i="7" s="1"/>
  <c r="AP11" i="7"/>
  <c r="AP27" i="7" s="1"/>
  <c r="AP42" i="7" s="1"/>
  <c r="AO11" i="7"/>
  <c r="AO27" i="7" s="1"/>
  <c r="AO42" i="7" s="1"/>
  <c r="AN11" i="7"/>
  <c r="AN27" i="7" s="1"/>
  <c r="AN42" i="7" s="1"/>
  <c r="AM11" i="7"/>
  <c r="AM27" i="7" s="1"/>
  <c r="AM42" i="7" s="1"/>
  <c r="AJ11" i="7"/>
  <c r="AJ27" i="7" s="1"/>
  <c r="AJ42" i="7" s="1"/>
  <c r="AI11" i="7"/>
  <c r="AI27" i="7" s="1"/>
  <c r="AI42" i="7" s="1"/>
  <c r="AH11" i="7"/>
  <c r="AH27" i="7" s="1"/>
  <c r="AH42" i="7" s="1"/>
  <c r="AG11" i="7"/>
  <c r="AG27" i="7" s="1"/>
  <c r="AG42" i="7" s="1"/>
  <c r="AE11" i="7"/>
  <c r="AE27" i="7" s="1"/>
  <c r="AE42" i="7" s="1"/>
  <c r="AD11" i="7"/>
  <c r="AD27" i="7" s="1"/>
  <c r="AD42" i="7" s="1"/>
  <c r="AC11" i="7"/>
  <c r="AC27" i="7" s="1"/>
  <c r="AC42" i="7" s="1"/>
  <c r="AB11" i="7"/>
  <c r="AB27" i="7" s="1"/>
  <c r="AB42" i="7" s="1"/>
  <c r="AA11" i="7"/>
  <c r="AA27" i="7" s="1"/>
  <c r="AA42" i="7" s="1"/>
  <c r="Z11" i="7"/>
  <c r="Z27" i="7" s="1"/>
  <c r="Z42" i="7" s="1"/>
  <c r="Y11" i="7"/>
  <c r="Y27" i="7" s="1"/>
  <c r="Y42" i="7" s="1"/>
  <c r="X11" i="7"/>
  <c r="X27" i="7" s="1"/>
  <c r="X42" i="7" s="1"/>
  <c r="W11" i="7"/>
  <c r="W27" i="7" s="1"/>
  <c r="W42" i="7" s="1"/>
  <c r="V11" i="7"/>
  <c r="V27" i="7" s="1"/>
  <c r="V42" i="7" s="1"/>
  <c r="U11" i="7"/>
  <c r="U27" i="7" s="1"/>
  <c r="U42" i="7" s="1"/>
  <c r="T11" i="7"/>
  <c r="T27" i="7" s="1"/>
  <c r="T42" i="7" s="1"/>
  <c r="S11" i="7"/>
  <c r="S27" i="7" s="1"/>
  <c r="S42" i="7" s="1"/>
  <c r="R11" i="7"/>
  <c r="R27" i="7" s="1"/>
  <c r="R42" i="7" s="1"/>
  <c r="Q11" i="7"/>
  <c r="Q27" i="7" s="1"/>
  <c r="Q42" i="7" s="1"/>
  <c r="P11" i="7"/>
  <c r="P27" i="7" s="1"/>
  <c r="P42" i="7" s="1"/>
  <c r="O11" i="7"/>
  <c r="O27" i="7" s="1"/>
  <c r="O42" i="7" s="1"/>
  <c r="N11" i="7"/>
  <c r="N27" i="7" s="1"/>
  <c r="N42" i="7" s="1"/>
  <c r="M11" i="7"/>
  <c r="M27" i="7" s="1"/>
  <c r="M42" i="7" s="1"/>
  <c r="L11" i="7"/>
  <c r="L27" i="7" s="1"/>
  <c r="L42" i="7" s="1"/>
  <c r="K11" i="7"/>
  <c r="K27" i="7" s="1"/>
  <c r="K42" i="7" s="1"/>
  <c r="J11" i="7"/>
  <c r="J27" i="7" s="1"/>
  <c r="J42" i="7" s="1"/>
  <c r="I11" i="7"/>
  <c r="I27" i="7" s="1"/>
  <c r="I42" i="7" s="1"/>
  <c r="H11" i="7"/>
  <c r="H27" i="7" s="1"/>
  <c r="H42" i="7" s="1"/>
  <c r="G11" i="7"/>
  <c r="G27" i="7" s="1"/>
  <c r="G42" i="7" s="1"/>
  <c r="F11" i="7"/>
  <c r="F27" i="7" s="1"/>
  <c r="F42" i="7" s="1"/>
  <c r="E11" i="7"/>
  <c r="E27" i="7" s="1"/>
  <c r="E42" i="7" s="1"/>
  <c r="D11" i="7"/>
  <c r="D27" i="7" s="1"/>
  <c r="D42" i="7" s="1"/>
  <c r="C11" i="7"/>
  <c r="C27" i="7" s="1"/>
  <c r="C42" i="7" s="1"/>
  <c r="B11" i="7"/>
  <c r="B27" i="7" s="1"/>
  <c r="B42" i="7" s="1"/>
  <c r="DQ10" i="7"/>
  <c r="DQ15" i="7" s="1"/>
  <c r="DP10" i="7"/>
  <c r="DP15" i="7" s="1"/>
  <c r="DO10" i="7"/>
  <c r="DO15" i="7" s="1"/>
  <c r="DN10" i="7"/>
  <c r="DN15" i="7" s="1"/>
  <c r="DM10" i="7"/>
  <c r="DM15" i="7" s="1"/>
  <c r="DL10" i="7"/>
  <c r="DL15" i="7" s="1"/>
  <c r="DK10" i="7"/>
  <c r="DK15" i="7" s="1"/>
  <c r="DJ10" i="7"/>
  <c r="DJ15" i="7" s="1"/>
  <c r="DI10" i="7"/>
  <c r="DI15" i="7" s="1"/>
  <c r="DH10" i="7"/>
  <c r="DH15" i="7" s="1"/>
  <c r="DG10" i="7"/>
  <c r="DG15" i="7" s="1"/>
  <c r="DF10" i="7"/>
  <c r="DF15" i="7" s="1"/>
  <c r="DE10" i="7"/>
  <c r="DE15" i="7" s="1"/>
  <c r="DD10" i="7"/>
  <c r="DD15" i="7" s="1"/>
  <c r="DC10" i="7"/>
  <c r="DC15" i="7" s="1"/>
  <c r="DB10" i="7"/>
  <c r="DB15" i="7" s="1"/>
  <c r="DA10" i="7"/>
  <c r="DA15" i="7" s="1"/>
  <c r="CZ10" i="7"/>
  <c r="CZ15" i="7" s="1"/>
  <c r="CY10" i="7"/>
  <c r="CY15" i="7" s="1"/>
  <c r="CX10" i="7"/>
  <c r="CX15" i="7" s="1"/>
  <c r="CW10" i="7"/>
  <c r="CW15" i="7" s="1"/>
  <c r="CV10" i="7"/>
  <c r="CV15" i="7" s="1"/>
  <c r="CU10" i="7"/>
  <c r="CU15" i="7" s="1"/>
  <c r="CT10" i="7"/>
  <c r="CT15" i="7" s="1"/>
  <c r="CS10" i="7"/>
  <c r="CS15" i="7" s="1"/>
  <c r="CR10" i="7"/>
  <c r="CR15" i="7" s="1"/>
  <c r="CQ10" i="7"/>
  <c r="CQ15" i="7" s="1"/>
  <c r="CP10" i="7"/>
  <c r="CP15" i="7" s="1"/>
  <c r="CO10" i="7"/>
  <c r="CO15" i="7" s="1"/>
  <c r="CN10" i="7"/>
  <c r="CN15" i="7" s="1"/>
  <c r="CM10" i="7"/>
  <c r="CM15" i="7" s="1"/>
  <c r="CL10" i="7"/>
  <c r="CL15" i="7" s="1"/>
  <c r="CK10" i="7"/>
  <c r="CK15" i="7" s="1"/>
  <c r="CJ10" i="7"/>
  <c r="CJ15" i="7" s="1"/>
  <c r="CI10" i="7"/>
  <c r="CI15" i="7" s="1"/>
  <c r="CH10" i="7"/>
  <c r="CH15" i="7" s="1"/>
  <c r="CG10" i="7"/>
  <c r="CG15" i="7" s="1"/>
  <c r="CF10" i="7"/>
  <c r="CF15" i="7" s="1"/>
  <c r="CE10" i="7"/>
  <c r="CE15" i="7" s="1"/>
  <c r="CD10" i="7"/>
  <c r="CD15" i="7" s="1"/>
  <c r="CC10" i="7"/>
  <c r="CC15" i="7" s="1"/>
  <c r="CB10" i="7"/>
  <c r="CB15" i="7" s="1"/>
  <c r="CA10" i="7"/>
  <c r="CA15" i="7" s="1"/>
  <c r="BZ10" i="7"/>
  <c r="BZ15" i="7" s="1"/>
  <c r="BY10" i="7"/>
  <c r="BY15" i="7" s="1"/>
  <c r="BR10" i="7"/>
  <c r="BR15" i="7" s="1"/>
  <c r="BQ10" i="7"/>
  <c r="BQ15" i="7" s="1"/>
  <c r="BN10" i="7"/>
  <c r="BN15" i="7" s="1"/>
  <c r="BM10" i="7"/>
  <c r="BM15" i="7" s="1"/>
  <c r="BL10" i="7"/>
  <c r="BL15" i="7" s="1"/>
  <c r="BK10" i="7"/>
  <c r="BK15" i="7" s="1"/>
  <c r="BJ10" i="7"/>
  <c r="BJ15" i="7" s="1"/>
  <c r="BI10" i="7"/>
  <c r="BI15" i="7" s="1"/>
  <c r="BH10" i="7"/>
  <c r="BH15" i="7" s="1"/>
  <c r="BG10" i="7"/>
  <c r="BG15" i="7" s="1"/>
  <c r="BF10" i="7"/>
  <c r="BF15" i="7" s="1"/>
  <c r="BD10" i="7"/>
  <c r="BD15" i="7" s="1"/>
  <c r="BC10" i="7"/>
  <c r="BC15" i="7" s="1"/>
  <c r="BB10" i="7"/>
  <c r="BB15" i="7" s="1"/>
  <c r="BA10" i="7"/>
  <c r="BA15" i="7" s="1"/>
  <c r="AZ10" i="7"/>
  <c r="AZ15" i="7" s="1"/>
  <c r="AY10" i="7"/>
  <c r="AY15" i="7" s="1"/>
  <c r="AX10" i="7"/>
  <c r="AX15" i="7" s="1"/>
  <c r="AW10" i="7"/>
  <c r="AW15" i="7" s="1"/>
  <c r="AV10" i="7"/>
  <c r="AV15" i="7" s="1"/>
  <c r="AU10" i="7"/>
  <c r="AU15" i="7" s="1"/>
  <c r="AT10" i="7"/>
  <c r="AT15" i="7" s="1"/>
  <c r="AS10" i="7"/>
  <c r="AS15" i="7" s="1"/>
  <c r="AR10" i="7"/>
  <c r="AR15" i="7" s="1"/>
  <c r="AQ10" i="7"/>
  <c r="AQ15" i="7" s="1"/>
  <c r="AP10" i="7"/>
  <c r="AP15" i="7" s="1"/>
  <c r="AO10" i="7"/>
  <c r="AO15" i="7" s="1"/>
  <c r="AN10" i="7"/>
  <c r="AN15" i="7" s="1"/>
  <c r="AM10" i="7"/>
  <c r="AM15" i="7" s="1"/>
  <c r="AJ10" i="7"/>
  <c r="AJ15" i="7" s="1"/>
  <c r="AI10" i="7"/>
  <c r="AI15" i="7" s="1"/>
  <c r="AH10" i="7"/>
  <c r="AH15" i="7" s="1"/>
  <c r="AG10" i="7"/>
  <c r="AG15" i="7" s="1"/>
  <c r="AE10" i="7"/>
  <c r="AE15" i="7" s="1"/>
  <c r="AD10" i="7"/>
  <c r="AD15" i="7" s="1"/>
  <c r="AC10" i="7"/>
  <c r="AC15" i="7" s="1"/>
  <c r="AB10" i="7"/>
  <c r="AB15" i="7" s="1"/>
  <c r="AA10" i="7"/>
  <c r="AA15" i="7" s="1"/>
  <c r="Z10" i="7"/>
  <c r="Z15" i="7" s="1"/>
  <c r="Y10" i="7"/>
  <c r="Y15" i="7" s="1"/>
  <c r="X10" i="7"/>
  <c r="X15" i="7" s="1"/>
  <c r="W10" i="7"/>
  <c r="W15" i="7" s="1"/>
  <c r="V10" i="7"/>
  <c r="V15" i="7" s="1"/>
  <c r="U10" i="7"/>
  <c r="U15" i="7" s="1"/>
  <c r="T10" i="7"/>
  <c r="T15" i="7" s="1"/>
  <c r="S10" i="7"/>
  <c r="S15" i="7" s="1"/>
  <c r="R10" i="7"/>
  <c r="R15" i="7" s="1"/>
  <c r="Q10" i="7"/>
  <c r="Q15" i="7" s="1"/>
  <c r="P10" i="7"/>
  <c r="P15" i="7" s="1"/>
  <c r="O10" i="7"/>
  <c r="O15" i="7" s="1"/>
  <c r="N10" i="7"/>
  <c r="N15" i="7" s="1"/>
  <c r="M10" i="7"/>
  <c r="M15" i="7" s="1"/>
  <c r="L10" i="7"/>
  <c r="L15" i="7" s="1"/>
  <c r="K10" i="7"/>
  <c r="K15" i="7" s="1"/>
  <c r="J10" i="7"/>
  <c r="J15" i="7" s="1"/>
  <c r="I10" i="7"/>
  <c r="I15" i="7" s="1"/>
  <c r="H10" i="7"/>
  <c r="H15" i="7" s="1"/>
  <c r="G10" i="7"/>
  <c r="G15" i="7" s="1"/>
  <c r="F10" i="7"/>
  <c r="F15" i="7" s="1"/>
  <c r="E10" i="7"/>
  <c r="E15" i="7" s="1"/>
  <c r="D10" i="7"/>
  <c r="D15" i="7" s="1"/>
  <c r="C10" i="7"/>
  <c r="C15" i="7" s="1"/>
  <c r="B10" i="7"/>
  <c r="B15" i="7" s="1"/>
  <c r="BX9" i="7"/>
  <c r="BP9" i="7"/>
  <c r="BO9" i="7"/>
  <c r="BE9" i="7"/>
  <c r="AL9" i="7"/>
  <c r="AK9" i="7"/>
  <c r="AF9" i="7"/>
  <c r="K61" i="5"/>
  <c r="L61" i="5"/>
  <c r="M61" i="5"/>
  <c r="N61" i="5"/>
  <c r="O61" i="5"/>
  <c r="P61" i="5"/>
  <c r="Q61" i="5"/>
  <c r="R61" i="5"/>
  <c r="S61" i="5"/>
  <c r="T61" i="5"/>
  <c r="U61" i="5"/>
  <c r="V61" i="5"/>
  <c r="W61" i="5"/>
  <c r="X61" i="5"/>
  <c r="Y61" i="5"/>
  <c r="Z61" i="5"/>
  <c r="AA61" i="5"/>
  <c r="AB61" i="5"/>
  <c r="AC61" i="5"/>
  <c r="AD61" i="5"/>
  <c r="AE61" i="5"/>
  <c r="AF61" i="5"/>
  <c r="AG61" i="5"/>
  <c r="C61" i="5"/>
  <c r="D61" i="5"/>
  <c r="E61" i="5"/>
  <c r="F61" i="5"/>
  <c r="G61" i="5"/>
  <c r="H61" i="5"/>
  <c r="I61" i="5"/>
  <c r="J61" i="5"/>
  <c r="B61" i="5"/>
  <c r="C59" i="5"/>
  <c r="D59" i="5"/>
  <c r="E59" i="5"/>
  <c r="F59" i="5"/>
  <c r="G59" i="5"/>
  <c r="H59" i="5"/>
  <c r="I59" i="5"/>
  <c r="J59" i="5"/>
  <c r="K59" i="5"/>
  <c r="L59" i="5"/>
  <c r="M59" i="5"/>
  <c r="N59" i="5"/>
  <c r="O59" i="5"/>
  <c r="P59" i="5"/>
  <c r="Q59" i="5"/>
  <c r="R59" i="5"/>
  <c r="S59" i="5"/>
  <c r="T59" i="5"/>
  <c r="U59" i="5"/>
  <c r="V59" i="5"/>
  <c r="W59" i="5"/>
  <c r="X59" i="5"/>
  <c r="Y59" i="5"/>
  <c r="Z59" i="5"/>
  <c r="AA59" i="5"/>
  <c r="AB59" i="5"/>
  <c r="AC59" i="5"/>
  <c r="AD59" i="5"/>
  <c r="AE59" i="5"/>
  <c r="AF59" i="5"/>
  <c r="AG59" i="5"/>
  <c r="C60" i="5"/>
  <c r="D60" i="5"/>
  <c r="E60" i="5"/>
  <c r="F60" i="5"/>
  <c r="G60" i="5"/>
  <c r="H60" i="5"/>
  <c r="I60" i="5"/>
  <c r="J60" i="5"/>
  <c r="K60" i="5"/>
  <c r="L60" i="5"/>
  <c r="M60" i="5"/>
  <c r="N60" i="5"/>
  <c r="O60" i="5"/>
  <c r="P60" i="5"/>
  <c r="Q60" i="5"/>
  <c r="R60" i="5"/>
  <c r="S60" i="5"/>
  <c r="T60" i="5"/>
  <c r="U60" i="5"/>
  <c r="V60" i="5"/>
  <c r="W60" i="5"/>
  <c r="X60" i="5"/>
  <c r="Y60" i="5"/>
  <c r="Z60" i="5"/>
  <c r="AA60" i="5"/>
  <c r="AB60" i="5"/>
  <c r="AC60" i="5"/>
  <c r="AD60" i="5"/>
  <c r="AE60" i="5"/>
  <c r="AF60" i="5"/>
  <c r="AG60" i="5"/>
  <c r="B60" i="5"/>
  <c r="B59" i="5"/>
  <c r="BF50" i="5"/>
  <c r="C54" i="5"/>
  <c r="D54" i="5"/>
  <c r="E54" i="5"/>
  <c r="F54" i="5"/>
  <c r="G54" i="5"/>
  <c r="H54" i="5"/>
  <c r="I54" i="5"/>
  <c r="J54" i="5"/>
  <c r="K54" i="5"/>
  <c r="L54" i="5"/>
  <c r="M54" i="5"/>
  <c r="N54" i="5"/>
  <c r="O54" i="5"/>
  <c r="P54" i="5"/>
  <c r="Q54" i="5"/>
  <c r="R54" i="5"/>
  <c r="S54" i="5"/>
  <c r="T54" i="5"/>
  <c r="U54" i="5"/>
  <c r="V54" i="5"/>
  <c r="W54" i="5"/>
  <c r="X54" i="5"/>
  <c r="Y54" i="5"/>
  <c r="Z54" i="5"/>
  <c r="AA54" i="5"/>
  <c r="AB54" i="5"/>
  <c r="AC54" i="5"/>
  <c r="AD54" i="5"/>
  <c r="AE54" i="5"/>
  <c r="AF54" i="5"/>
  <c r="AG54" i="5"/>
  <c r="AH54" i="5"/>
  <c r="AI54" i="5"/>
  <c r="AJ54" i="5"/>
  <c r="AK54" i="5"/>
  <c r="AL54" i="5"/>
  <c r="AM54" i="5"/>
  <c r="AN54" i="5"/>
  <c r="AO54" i="5"/>
  <c r="AP54" i="5"/>
  <c r="AQ54" i="5"/>
  <c r="AR54" i="5"/>
  <c r="AS54" i="5"/>
  <c r="AT54" i="5"/>
  <c r="AU54" i="5"/>
  <c r="AV54" i="5"/>
  <c r="AW54" i="5"/>
  <c r="AX54" i="5"/>
  <c r="AY54" i="5"/>
  <c r="AZ54" i="5"/>
  <c r="BA54" i="5"/>
  <c r="BB54" i="5"/>
  <c r="BC54" i="5"/>
  <c r="BD54" i="5"/>
  <c r="BE54" i="5"/>
  <c r="BF54" i="5"/>
  <c r="BG54" i="5"/>
  <c r="BH54" i="5"/>
  <c r="BI54" i="5"/>
  <c r="BJ54" i="5"/>
  <c r="BK54" i="5"/>
  <c r="BL54" i="5"/>
  <c r="BM54" i="5"/>
  <c r="BN54" i="5"/>
  <c r="BO54" i="5"/>
  <c r="BP54" i="5"/>
  <c r="BQ54" i="5"/>
  <c r="BR54" i="5"/>
  <c r="BS54" i="5"/>
  <c r="BT54" i="5"/>
  <c r="BU54" i="5"/>
  <c r="BV54" i="5"/>
  <c r="BW54" i="5"/>
  <c r="BX54" i="5"/>
  <c r="BY54" i="5"/>
  <c r="BZ54" i="5"/>
  <c r="CA54" i="5"/>
  <c r="CB54" i="5"/>
  <c r="CC54" i="5"/>
  <c r="CD54" i="5"/>
  <c r="CE54" i="5"/>
  <c r="CF54" i="5"/>
  <c r="CG54" i="5"/>
  <c r="CH54" i="5"/>
  <c r="CI54" i="5"/>
  <c r="CJ54" i="5"/>
  <c r="CK54" i="5"/>
  <c r="CL54" i="5"/>
  <c r="CM54" i="5"/>
  <c r="CN54" i="5"/>
  <c r="CO54" i="5"/>
  <c r="CP54" i="5"/>
  <c r="CQ54" i="5"/>
  <c r="CR54" i="5"/>
  <c r="CS54" i="5"/>
  <c r="CT54" i="5"/>
  <c r="CU54" i="5"/>
  <c r="CV54" i="5"/>
  <c r="CW54" i="5"/>
  <c r="CX54" i="5"/>
  <c r="CY54" i="5"/>
  <c r="CZ54" i="5"/>
  <c r="DA54" i="5"/>
  <c r="DB54" i="5"/>
  <c r="DC54" i="5"/>
  <c r="DD54" i="5"/>
  <c r="DE54" i="5"/>
  <c r="DF54" i="5"/>
  <c r="DG54" i="5"/>
  <c r="DH54" i="5"/>
  <c r="DI54" i="5"/>
  <c r="DJ54" i="5"/>
  <c r="DK54" i="5"/>
  <c r="DL54" i="5"/>
  <c r="DM54" i="5"/>
  <c r="DN54" i="5"/>
  <c r="DO54" i="5"/>
  <c r="DP54" i="5"/>
  <c r="DQ54" i="5"/>
  <c r="DR54" i="5"/>
  <c r="DS54" i="5"/>
  <c r="DT54" i="5"/>
  <c r="DU54" i="5"/>
  <c r="DV54" i="5"/>
  <c r="DW54" i="5"/>
  <c r="DX54" i="5"/>
  <c r="DY54" i="5"/>
  <c r="DZ54" i="5"/>
  <c r="EA54" i="5"/>
  <c r="EB54" i="5"/>
  <c r="EC54" i="5"/>
  <c r="ED54" i="5"/>
  <c r="EE54" i="5"/>
  <c r="EF54" i="5"/>
  <c r="EG54" i="5"/>
  <c r="EH54" i="5"/>
  <c r="EI54" i="5"/>
  <c r="EJ54" i="5"/>
  <c r="EK54" i="5"/>
  <c r="EL54" i="5"/>
  <c r="EM54" i="5"/>
  <c r="EN54" i="5"/>
  <c r="EO54" i="5"/>
  <c r="EP54" i="5"/>
  <c r="EQ54" i="5"/>
  <c r="ER54" i="5"/>
  <c r="ES54" i="5"/>
  <c r="ET54" i="5"/>
  <c r="EU54" i="5"/>
  <c r="EV54" i="5"/>
  <c r="EW54" i="5"/>
  <c r="EX54" i="5"/>
  <c r="EY54" i="5"/>
  <c r="EZ54" i="5"/>
  <c r="FA54" i="5"/>
  <c r="FB54" i="5"/>
  <c r="FC54" i="5"/>
  <c r="FD54" i="5"/>
  <c r="FE54" i="5"/>
  <c r="FF54" i="5"/>
  <c r="FG54" i="5"/>
  <c r="FH54" i="5"/>
  <c r="C55" i="5"/>
  <c r="D55" i="5"/>
  <c r="E55" i="5"/>
  <c r="F55" i="5"/>
  <c r="G55" i="5"/>
  <c r="H55" i="5"/>
  <c r="I55" i="5"/>
  <c r="J55" i="5"/>
  <c r="K55" i="5"/>
  <c r="L55" i="5"/>
  <c r="M55" i="5"/>
  <c r="N55" i="5"/>
  <c r="O55" i="5"/>
  <c r="P55" i="5"/>
  <c r="Q55" i="5"/>
  <c r="R55" i="5"/>
  <c r="S55" i="5"/>
  <c r="T55" i="5"/>
  <c r="U55" i="5"/>
  <c r="V55" i="5"/>
  <c r="W55" i="5"/>
  <c r="X55" i="5"/>
  <c r="Y55" i="5"/>
  <c r="Z55" i="5"/>
  <c r="AA55" i="5"/>
  <c r="AB55" i="5"/>
  <c r="AC55" i="5"/>
  <c r="AD55" i="5"/>
  <c r="AE55" i="5"/>
  <c r="AF55" i="5"/>
  <c r="AG55" i="5"/>
  <c r="AH55" i="5"/>
  <c r="AI55" i="5"/>
  <c r="AJ55" i="5"/>
  <c r="AK55" i="5"/>
  <c r="AL55" i="5"/>
  <c r="AM55" i="5"/>
  <c r="AN55" i="5"/>
  <c r="AO55" i="5"/>
  <c r="AP55" i="5"/>
  <c r="AQ55" i="5"/>
  <c r="AR55" i="5"/>
  <c r="AS55" i="5"/>
  <c r="AT55" i="5"/>
  <c r="AU55" i="5"/>
  <c r="AV55" i="5"/>
  <c r="AW55" i="5"/>
  <c r="AX55" i="5"/>
  <c r="AY55" i="5"/>
  <c r="AZ55" i="5"/>
  <c r="BA55" i="5"/>
  <c r="BB55" i="5"/>
  <c r="BC55" i="5"/>
  <c r="BD55" i="5"/>
  <c r="BE55" i="5"/>
  <c r="BF55" i="5"/>
  <c r="BG55" i="5"/>
  <c r="BH55" i="5"/>
  <c r="BI55" i="5"/>
  <c r="BJ55" i="5"/>
  <c r="BK55" i="5"/>
  <c r="BL55" i="5"/>
  <c r="BM55" i="5"/>
  <c r="BN55" i="5"/>
  <c r="BO55" i="5"/>
  <c r="BP55" i="5"/>
  <c r="BQ55" i="5"/>
  <c r="BR55" i="5"/>
  <c r="BS55" i="5"/>
  <c r="BT55" i="5"/>
  <c r="BU55" i="5"/>
  <c r="BV55" i="5"/>
  <c r="BW55" i="5"/>
  <c r="BX55" i="5"/>
  <c r="BY55" i="5"/>
  <c r="BZ55" i="5"/>
  <c r="CA55" i="5"/>
  <c r="CB55" i="5"/>
  <c r="CC55" i="5"/>
  <c r="CD55" i="5"/>
  <c r="CE55" i="5"/>
  <c r="CF55" i="5"/>
  <c r="CG55" i="5"/>
  <c r="CH55" i="5"/>
  <c r="CI55" i="5"/>
  <c r="CJ55" i="5"/>
  <c r="CK55" i="5"/>
  <c r="CL55" i="5"/>
  <c r="CM55" i="5"/>
  <c r="CN55" i="5"/>
  <c r="CO55" i="5"/>
  <c r="CP55" i="5"/>
  <c r="CQ55" i="5"/>
  <c r="CR55" i="5"/>
  <c r="CS55" i="5"/>
  <c r="CT55" i="5"/>
  <c r="CU55" i="5"/>
  <c r="CV55" i="5"/>
  <c r="CW55" i="5"/>
  <c r="CX55" i="5"/>
  <c r="CY55" i="5"/>
  <c r="CZ55" i="5"/>
  <c r="DA55" i="5"/>
  <c r="DB55" i="5"/>
  <c r="DC55" i="5"/>
  <c r="DD55" i="5"/>
  <c r="DE55" i="5"/>
  <c r="DF55" i="5"/>
  <c r="DG55" i="5"/>
  <c r="DH55" i="5"/>
  <c r="DI55" i="5"/>
  <c r="DJ55" i="5"/>
  <c r="DK55" i="5"/>
  <c r="DL55" i="5"/>
  <c r="DM55" i="5"/>
  <c r="DN55" i="5"/>
  <c r="DO55" i="5"/>
  <c r="DP55" i="5"/>
  <c r="DQ55" i="5"/>
  <c r="DR55" i="5"/>
  <c r="DS55" i="5"/>
  <c r="DT55" i="5"/>
  <c r="DU55" i="5"/>
  <c r="DV55" i="5"/>
  <c r="DW55" i="5"/>
  <c r="DX55" i="5"/>
  <c r="DY55" i="5"/>
  <c r="DZ55" i="5"/>
  <c r="EA55" i="5"/>
  <c r="EB55" i="5"/>
  <c r="EC55" i="5"/>
  <c r="ED55" i="5"/>
  <c r="EE55" i="5"/>
  <c r="EF55" i="5"/>
  <c r="EG55" i="5"/>
  <c r="EH55" i="5"/>
  <c r="EI55" i="5"/>
  <c r="EJ55" i="5"/>
  <c r="EK55" i="5"/>
  <c r="EL55" i="5"/>
  <c r="EM55" i="5"/>
  <c r="EN55" i="5"/>
  <c r="EO55" i="5"/>
  <c r="EP55" i="5"/>
  <c r="EQ55" i="5"/>
  <c r="ER55" i="5"/>
  <c r="ES55" i="5"/>
  <c r="ET55" i="5"/>
  <c r="EU55" i="5"/>
  <c r="EV55" i="5"/>
  <c r="EW55" i="5"/>
  <c r="EX55" i="5"/>
  <c r="EY55" i="5"/>
  <c r="EZ55" i="5"/>
  <c r="FA55" i="5"/>
  <c r="FB55" i="5"/>
  <c r="FC55" i="5"/>
  <c r="FD55" i="5"/>
  <c r="FE55" i="5"/>
  <c r="FF55" i="5"/>
  <c r="FG55" i="5"/>
  <c r="FH55" i="5"/>
  <c r="C56" i="5"/>
  <c r="D56" i="5"/>
  <c r="E56" i="5"/>
  <c r="F56" i="5"/>
  <c r="G56" i="5"/>
  <c r="H56" i="5"/>
  <c r="I56" i="5"/>
  <c r="J56" i="5"/>
  <c r="K56" i="5"/>
  <c r="L56" i="5"/>
  <c r="M56" i="5"/>
  <c r="N56" i="5"/>
  <c r="O56" i="5"/>
  <c r="P56" i="5"/>
  <c r="Q56" i="5"/>
  <c r="R56" i="5"/>
  <c r="S56" i="5"/>
  <c r="T56" i="5"/>
  <c r="U56" i="5"/>
  <c r="V56" i="5"/>
  <c r="W56" i="5"/>
  <c r="X56" i="5"/>
  <c r="Y56" i="5"/>
  <c r="Z56" i="5"/>
  <c r="AA56" i="5"/>
  <c r="AB56" i="5"/>
  <c r="AC56" i="5"/>
  <c r="AD56" i="5"/>
  <c r="AE56" i="5"/>
  <c r="AF56" i="5"/>
  <c r="AG56" i="5"/>
  <c r="AH56" i="5"/>
  <c r="AI56" i="5"/>
  <c r="AJ56" i="5"/>
  <c r="AK56" i="5"/>
  <c r="AL56" i="5"/>
  <c r="AM56" i="5"/>
  <c r="AN56" i="5"/>
  <c r="AO56" i="5"/>
  <c r="AP56" i="5"/>
  <c r="AQ56" i="5"/>
  <c r="AR56" i="5"/>
  <c r="AS56" i="5"/>
  <c r="AT56" i="5"/>
  <c r="AU56" i="5"/>
  <c r="AV56" i="5"/>
  <c r="AW56" i="5"/>
  <c r="AX56" i="5"/>
  <c r="AY56" i="5"/>
  <c r="AZ56" i="5"/>
  <c r="BA56" i="5"/>
  <c r="BB56" i="5"/>
  <c r="BC56" i="5"/>
  <c r="BD56" i="5"/>
  <c r="BE56" i="5"/>
  <c r="BF56" i="5"/>
  <c r="BG56" i="5"/>
  <c r="BH56" i="5"/>
  <c r="BI56" i="5"/>
  <c r="BJ56" i="5"/>
  <c r="BK56" i="5"/>
  <c r="BL56" i="5"/>
  <c r="BM56" i="5"/>
  <c r="BN56" i="5"/>
  <c r="BO56" i="5"/>
  <c r="BP56" i="5"/>
  <c r="BQ56" i="5"/>
  <c r="BR56" i="5"/>
  <c r="BS56" i="5"/>
  <c r="BT56" i="5"/>
  <c r="BU56" i="5"/>
  <c r="BV56" i="5"/>
  <c r="BW56" i="5"/>
  <c r="BX56" i="5"/>
  <c r="BY56" i="5"/>
  <c r="BZ56" i="5"/>
  <c r="CA56" i="5"/>
  <c r="CB56" i="5"/>
  <c r="CC56" i="5"/>
  <c r="CD56" i="5"/>
  <c r="CE56" i="5"/>
  <c r="CF56" i="5"/>
  <c r="CG56" i="5"/>
  <c r="CH56" i="5"/>
  <c r="CI56" i="5"/>
  <c r="CJ56" i="5"/>
  <c r="CK56" i="5"/>
  <c r="CL56" i="5"/>
  <c r="CM56" i="5"/>
  <c r="CN56" i="5"/>
  <c r="CO56" i="5"/>
  <c r="CP56" i="5"/>
  <c r="CQ56" i="5"/>
  <c r="CR56" i="5"/>
  <c r="CS56" i="5"/>
  <c r="CT56" i="5"/>
  <c r="CU56" i="5"/>
  <c r="CV56" i="5"/>
  <c r="CW56" i="5"/>
  <c r="CX56" i="5"/>
  <c r="CY56" i="5"/>
  <c r="CZ56" i="5"/>
  <c r="DA56" i="5"/>
  <c r="DB56" i="5"/>
  <c r="DC56" i="5"/>
  <c r="DD56" i="5"/>
  <c r="DE56" i="5"/>
  <c r="DF56" i="5"/>
  <c r="DG56" i="5"/>
  <c r="DH56" i="5"/>
  <c r="DI56" i="5"/>
  <c r="DJ56" i="5"/>
  <c r="DK56" i="5"/>
  <c r="DL56" i="5"/>
  <c r="DM56" i="5"/>
  <c r="DN56" i="5"/>
  <c r="DO56" i="5"/>
  <c r="DP56" i="5"/>
  <c r="DQ56" i="5"/>
  <c r="DR56" i="5"/>
  <c r="DS56" i="5"/>
  <c r="DT56" i="5"/>
  <c r="DU56" i="5"/>
  <c r="DV56" i="5"/>
  <c r="DW56" i="5"/>
  <c r="DX56" i="5"/>
  <c r="DY56" i="5"/>
  <c r="DZ56" i="5"/>
  <c r="EA56" i="5"/>
  <c r="EB56" i="5"/>
  <c r="EC56" i="5"/>
  <c r="ED56" i="5"/>
  <c r="EE56" i="5"/>
  <c r="EF56" i="5"/>
  <c r="EG56" i="5"/>
  <c r="EH56" i="5"/>
  <c r="EI56" i="5"/>
  <c r="EJ56" i="5"/>
  <c r="EK56" i="5"/>
  <c r="EL56" i="5"/>
  <c r="EM56" i="5"/>
  <c r="EN56" i="5"/>
  <c r="EO56" i="5"/>
  <c r="EP56" i="5"/>
  <c r="EQ56" i="5"/>
  <c r="ER56" i="5"/>
  <c r="ES56" i="5"/>
  <c r="ET56" i="5"/>
  <c r="EU56" i="5"/>
  <c r="EV56" i="5"/>
  <c r="EW56" i="5"/>
  <c r="EX56" i="5"/>
  <c r="EY56" i="5"/>
  <c r="EZ56" i="5"/>
  <c r="FA56" i="5"/>
  <c r="FB56" i="5"/>
  <c r="FC56" i="5"/>
  <c r="FD56" i="5"/>
  <c r="FE56" i="5"/>
  <c r="FF56" i="5"/>
  <c r="FG56" i="5"/>
  <c r="FH56" i="5"/>
  <c r="B56" i="5"/>
  <c r="B55" i="5"/>
  <c r="B54" i="5"/>
  <c r="B52" i="1"/>
  <c r="C52" i="1"/>
  <c r="D52" i="1"/>
  <c r="E52" i="1"/>
  <c r="F52" i="1"/>
  <c r="G52" i="1"/>
  <c r="H52" i="1"/>
  <c r="I52" i="1"/>
  <c r="J52" i="1"/>
  <c r="K52" i="1"/>
  <c r="L52" i="1"/>
  <c r="M52" i="1"/>
  <c r="N52" i="1"/>
  <c r="O52" i="1"/>
  <c r="P52" i="1"/>
  <c r="Q52" i="1"/>
  <c r="R52" i="1"/>
  <c r="S52" i="1"/>
  <c r="T52" i="1"/>
  <c r="U52" i="1"/>
  <c r="V52" i="1"/>
  <c r="W52" i="1"/>
  <c r="X52" i="1"/>
  <c r="Y52" i="1"/>
  <c r="Z52" i="1"/>
  <c r="AA52" i="1"/>
  <c r="AB52" i="1"/>
  <c r="AC52" i="1"/>
  <c r="AD52" i="1"/>
  <c r="AE52" i="1"/>
  <c r="AF52" i="1"/>
  <c r="AG52" i="1"/>
  <c r="AH52" i="1"/>
  <c r="AI52" i="1"/>
  <c r="AJ52" i="1"/>
  <c r="AK52" i="1"/>
  <c r="AL52" i="1"/>
  <c r="AM52" i="1"/>
  <c r="AN52" i="1"/>
  <c r="AO52" i="1"/>
  <c r="AP52" i="1"/>
  <c r="AQ52" i="1"/>
  <c r="AR52" i="1"/>
  <c r="AS52" i="1"/>
  <c r="AT52" i="1"/>
  <c r="AU52" i="1"/>
  <c r="AV52" i="1"/>
  <c r="AW52" i="1"/>
  <c r="AX52" i="1"/>
  <c r="AY52" i="1"/>
  <c r="AZ52" i="1"/>
  <c r="BA52" i="1"/>
  <c r="BB52" i="1"/>
  <c r="BC52" i="1"/>
  <c r="BD52" i="1"/>
  <c r="BE52" i="1"/>
  <c r="BF52" i="1"/>
  <c r="BG52" i="1"/>
  <c r="BH52" i="1"/>
  <c r="BI52" i="1"/>
  <c r="BJ52" i="1"/>
  <c r="BK52" i="1"/>
  <c r="BL52" i="1"/>
  <c r="BM52" i="1"/>
  <c r="BN52" i="1"/>
  <c r="BO52" i="1"/>
  <c r="BP52" i="1"/>
  <c r="BQ52" i="1"/>
  <c r="BR52" i="1"/>
  <c r="BS52" i="1"/>
  <c r="BT52" i="1"/>
  <c r="BU52" i="1"/>
  <c r="BV52" i="1"/>
  <c r="BW52" i="1"/>
  <c r="BX52" i="1"/>
  <c r="BY52" i="1"/>
  <c r="BZ52" i="1"/>
  <c r="CA52" i="1"/>
  <c r="CB52" i="1"/>
  <c r="CC52" i="1"/>
  <c r="CD52" i="1"/>
  <c r="CE52" i="1"/>
  <c r="CF52" i="1"/>
  <c r="CG52" i="1"/>
  <c r="CH52" i="1"/>
  <c r="CI52" i="1"/>
  <c r="CJ52" i="1"/>
  <c r="CK52" i="1"/>
  <c r="CM50" i="1"/>
  <c r="CN50" i="1"/>
  <c r="CO50" i="1"/>
  <c r="CP50" i="1"/>
  <c r="CQ50" i="1"/>
  <c r="CR50" i="1"/>
  <c r="CS50" i="1"/>
  <c r="CT50" i="1"/>
  <c r="CU50" i="1"/>
  <c r="CV50" i="1"/>
  <c r="CW50" i="1"/>
  <c r="CX50" i="1"/>
  <c r="CY50" i="1"/>
  <c r="CZ50" i="1"/>
  <c r="DA50" i="1"/>
  <c r="DB50" i="1"/>
  <c r="DC50" i="1"/>
  <c r="DD50" i="1"/>
  <c r="DE50" i="1"/>
  <c r="DF50" i="1"/>
  <c r="DG50" i="1"/>
  <c r="DH50" i="1"/>
  <c r="DI50" i="1"/>
  <c r="DJ50" i="1"/>
  <c r="DK50" i="1"/>
  <c r="DL50" i="1"/>
  <c r="DM50" i="1"/>
  <c r="DN50" i="1"/>
  <c r="DO50" i="1"/>
  <c r="DP50" i="1"/>
  <c r="DQ50" i="1"/>
  <c r="CM51" i="1"/>
  <c r="CN51" i="1"/>
  <c r="CO51" i="1"/>
  <c r="CP51" i="1"/>
  <c r="CQ51" i="1"/>
  <c r="CR51" i="1"/>
  <c r="CS51" i="1"/>
  <c r="CT51" i="1"/>
  <c r="CU51" i="1"/>
  <c r="CV51" i="1"/>
  <c r="CW51" i="1"/>
  <c r="CX51" i="1"/>
  <c r="CY51" i="1"/>
  <c r="CZ51" i="1"/>
  <c r="DA51" i="1"/>
  <c r="DB51" i="1"/>
  <c r="DC51" i="1"/>
  <c r="DD51" i="1"/>
  <c r="DE51" i="1"/>
  <c r="DF51" i="1"/>
  <c r="DG51" i="1"/>
  <c r="DH51" i="1"/>
  <c r="DI51" i="1"/>
  <c r="DJ51" i="1"/>
  <c r="DK51" i="1"/>
  <c r="DL51" i="1"/>
  <c r="DM51" i="1"/>
  <c r="DN51" i="1"/>
  <c r="DO51" i="1"/>
  <c r="DP51" i="1"/>
  <c r="DQ51" i="1"/>
  <c r="CM52" i="1"/>
  <c r="CN52" i="1"/>
  <c r="CO52" i="1"/>
  <c r="CP52" i="1"/>
  <c r="CQ52" i="1"/>
  <c r="CR52" i="1"/>
  <c r="CS52" i="1"/>
  <c r="CT52" i="1"/>
  <c r="CU52" i="1"/>
  <c r="CV52" i="1"/>
  <c r="CW52" i="1"/>
  <c r="CX52" i="1"/>
  <c r="CY52" i="1"/>
  <c r="CZ52" i="1"/>
  <c r="DA52" i="1"/>
  <c r="DB52" i="1"/>
  <c r="DC52" i="1"/>
  <c r="DD52" i="1"/>
  <c r="DE52" i="1"/>
  <c r="DF52" i="1"/>
  <c r="DG52" i="1"/>
  <c r="DH52" i="1"/>
  <c r="DI52" i="1"/>
  <c r="DJ52" i="1"/>
  <c r="DK52" i="1"/>
  <c r="DL52" i="1"/>
  <c r="DM52" i="1"/>
  <c r="DN52" i="1"/>
  <c r="DO52" i="1"/>
  <c r="DP52" i="1"/>
  <c r="DQ52" i="1"/>
  <c r="CL52" i="1"/>
  <c r="CL51" i="1"/>
  <c r="CL50" i="1"/>
  <c r="CN49" i="1"/>
  <c r="CZ49" i="1"/>
  <c r="DF49" i="1"/>
  <c r="DG49" i="1"/>
  <c r="DE49" i="1"/>
  <c r="DC49" i="1"/>
  <c r="DN49" i="1"/>
  <c r="DQ49" i="1"/>
  <c r="CM49" i="1"/>
  <c r="CO49" i="1"/>
  <c r="CP49" i="1"/>
  <c r="CQ49" i="1"/>
  <c r="CR49" i="1"/>
  <c r="CS49" i="1"/>
  <c r="CT49" i="1"/>
  <c r="CU49" i="1"/>
  <c r="CV49" i="1"/>
  <c r="CW49" i="1"/>
  <c r="CX49" i="1"/>
  <c r="CY49" i="1"/>
  <c r="DA49" i="1"/>
  <c r="DB49" i="1"/>
  <c r="DD49" i="1"/>
  <c r="DH49" i="1"/>
  <c r="DI49" i="1"/>
  <c r="DJ49" i="1"/>
  <c r="DK49" i="1"/>
  <c r="DL49" i="1"/>
  <c r="DM49" i="1"/>
  <c r="DO49" i="1"/>
  <c r="DP49" i="1"/>
  <c r="CL49" i="1"/>
  <c r="B49" i="5"/>
  <c r="B50" i="5" s="1"/>
  <c r="B51" i="5" s="1"/>
  <c r="B52" i="5" s="1"/>
  <c r="C30" i="2"/>
  <c r="FH49" i="5"/>
  <c r="FH50" i="5" s="1"/>
  <c r="FH51" i="5" s="1"/>
  <c r="FH52" i="5" s="1"/>
  <c r="EO49" i="5"/>
  <c r="EO50" i="5" s="1"/>
  <c r="EO51" i="5" s="1"/>
  <c r="EO52" i="5" s="1"/>
  <c r="EN49" i="5"/>
  <c r="EN50" i="5" s="1"/>
  <c r="EN51" i="5" s="1"/>
  <c r="EN52" i="5" s="1"/>
  <c r="EM49" i="5"/>
  <c r="EM50" i="5" s="1"/>
  <c r="EM51" i="5" s="1"/>
  <c r="EM52" i="5" s="1"/>
  <c r="EK49" i="5"/>
  <c r="EK50" i="5" s="1"/>
  <c r="EK51" i="5" s="1"/>
  <c r="EK52" i="5" s="1"/>
  <c r="EJ49" i="5"/>
  <c r="EJ50" i="5" s="1"/>
  <c r="EJ51" i="5" s="1"/>
  <c r="EJ52" i="5" s="1"/>
  <c r="C49" i="5"/>
  <c r="C50" i="5" s="1"/>
  <c r="C51" i="5" s="1"/>
  <c r="C52" i="5" s="1"/>
  <c r="D49" i="5"/>
  <c r="D50" i="5" s="1"/>
  <c r="D51" i="5" s="1"/>
  <c r="D52" i="5" s="1"/>
  <c r="E49" i="5"/>
  <c r="E50" i="5" s="1"/>
  <c r="E51" i="5" s="1"/>
  <c r="E52" i="5" s="1"/>
  <c r="F49" i="5"/>
  <c r="F50" i="5" s="1"/>
  <c r="F51" i="5" s="1"/>
  <c r="F52" i="5" s="1"/>
  <c r="G49" i="5"/>
  <c r="G50" i="5" s="1"/>
  <c r="G51" i="5" s="1"/>
  <c r="G52" i="5" s="1"/>
  <c r="H49" i="5"/>
  <c r="H50" i="5" s="1"/>
  <c r="H51" i="5" s="1"/>
  <c r="H52" i="5" s="1"/>
  <c r="I49" i="5"/>
  <c r="I50" i="5" s="1"/>
  <c r="I51" i="5" s="1"/>
  <c r="I52" i="5" s="1"/>
  <c r="J49" i="5"/>
  <c r="J50" i="5" s="1"/>
  <c r="J51" i="5" s="1"/>
  <c r="J52" i="5" s="1"/>
  <c r="K49" i="5"/>
  <c r="K50" i="5" s="1"/>
  <c r="K51" i="5" s="1"/>
  <c r="K52" i="5" s="1"/>
  <c r="L49" i="5"/>
  <c r="L50" i="5" s="1"/>
  <c r="L51" i="5" s="1"/>
  <c r="L52" i="5" s="1"/>
  <c r="M49" i="5"/>
  <c r="M50" i="5" s="1"/>
  <c r="M51" i="5" s="1"/>
  <c r="M52" i="5" s="1"/>
  <c r="N49" i="5"/>
  <c r="N50" i="5" s="1"/>
  <c r="N51" i="5" s="1"/>
  <c r="N52" i="5" s="1"/>
  <c r="O49" i="5"/>
  <c r="O50" i="5" s="1"/>
  <c r="O51" i="5" s="1"/>
  <c r="O52" i="5" s="1"/>
  <c r="P49" i="5"/>
  <c r="P50" i="5" s="1"/>
  <c r="P51" i="5" s="1"/>
  <c r="P52" i="5" s="1"/>
  <c r="Q49" i="5"/>
  <c r="Q50" i="5" s="1"/>
  <c r="Q51" i="5" s="1"/>
  <c r="Q52" i="5" s="1"/>
  <c r="R49" i="5"/>
  <c r="R50" i="5" s="1"/>
  <c r="R51" i="5" s="1"/>
  <c r="R52" i="5" s="1"/>
  <c r="S49" i="5"/>
  <c r="S50" i="5" s="1"/>
  <c r="S51" i="5" s="1"/>
  <c r="S52" i="5" s="1"/>
  <c r="T49" i="5"/>
  <c r="T50" i="5" s="1"/>
  <c r="T51" i="5" s="1"/>
  <c r="T52" i="5" s="1"/>
  <c r="U49" i="5"/>
  <c r="U50" i="5" s="1"/>
  <c r="U51" i="5" s="1"/>
  <c r="U52" i="5" s="1"/>
  <c r="V49" i="5"/>
  <c r="V50" i="5" s="1"/>
  <c r="V51" i="5" s="1"/>
  <c r="V52" i="5" s="1"/>
  <c r="W49" i="5"/>
  <c r="W50" i="5" s="1"/>
  <c r="W51" i="5" s="1"/>
  <c r="W52" i="5" s="1"/>
  <c r="X49" i="5"/>
  <c r="X50" i="5" s="1"/>
  <c r="X51" i="5" s="1"/>
  <c r="X52" i="5" s="1"/>
  <c r="Y49" i="5"/>
  <c r="Y50" i="5" s="1"/>
  <c r="Y51" i="5" s="1"/>
  <c r="Y52" i="5" s="1"/>
  <c r="Z49" i="5"/>
  <c r="Z50" i="5" s="1"/>
  <c r="Z51" i="5" s="1"/>
  <c r="Z52" i="5" s="1"/>
  <c r="AA49" i="5"/>
  <c r="AA50" i="5" s="1"/>
  <c r="AA51" i="5" s="1"/>
  <c r="AA52" i="5" s="1"/>
  <c r="AB49" i="5"/>
  <c r="AB50" i="5" s="1"/>
  <c r="AB51" i="5" s="1"/>
  <c r="AB52" i="5" s="1"/>
  <c r="AC49" i="5"/>
  <c r="AC50" i="5" s="1"/>
  <c r="AC51" i="5" s="1"/>
  <c r="AC52" i="5" s="1"/>
  <c r="AD49" i="5"/>
  <c r="AD50" i="5" s="1"/>
  <c r="AD51" i="5" s="1"/>
  <c r="AD52" i="5" s="1"/>
  <c r="AE49" i="5"/>
  <c r="AE50" i="5" s="1"/>
  <c r="AE51" i="5" s="1"/>
  <c r="AE52" i="5" s="1"/>
  <c r="AF49" i="5"/>
  <c r="AF50" i="5" s="1"/>
  <c r="AF51" i="5" s="1"/>
  <c r="AF52" i="5" s="1"/>
  <c r="AG49" i="5"/>
  <c r="AG50" i="5" s="1"/>
  <c r="AG51" i="5" s="1"/>
  <c r="AG52" i="5" s="1"/>
  <c r="AH49" i="5"/>
  <c r="AH50" i="5" s="1"/>
  <c r="AH51" i="5" s="1"/>
  <c r="AH52" i="5" s="1"/>
  <c r="AI49" i="5"/>
  <c r="AI50" i="5" s="1"/>
  <c r="AI51" i="5" s="1"/>
  <c r="AI52" i="5" s="1"/>
  <c r="AJ49" i="5"/>
  <c r="AJ50" i="5" s="1"/>
  <c r="AJ51" i="5" s="1"/>
  <c r="AJ52" i="5" s="1"/>
  <c r="AK49" i="5"/>
  <c r="AK50" i="5" s="1"/>
  <c r="AK51" i="5" s="1"/>
  <c r="AK52" i="5" s="1"/>
  <c r="AL49" i="5"/>
  <c r="AL50" i="5" s="1"/>
  <c r="AL51" i="5" s="1"/>
  <c r="AL52" i="5" s="1"/>
  <c r="AM49" i="5"/>
  <c r="AM50" i="5" s="1"/>
  <c r="AM51" i="5" s="1"/>
  <c r="AM52" i="5" s="1"/>
  <c r="AN49" i="5"/>
  <c r="AN50" i="5" s="1"/>
  <c r="AN51" i="5" s="1"/>
  <c r="AN52" i="5" s="1"/>
  <c r="AO49" i="5"/>
  <c r="AO50" i="5" s="1"/>
  <c r="AO51" i="5" s="1"/>
  <c r="AO52" i="5" s="1"/>
  <c r="AP49" i="5"/>
  <c r="AP50" i="5" s="1"/>
  <c r="AP51" i="5" s="1"/>
  <c r="AP52" i="5" s="1"/>
  <c r="AQ49" i="5"/>
  <c r="AQ50" i="5" s="1"/>
  <c r="AQ51" i="5" s="1"/>
  <c r="AQ52" i="5" s="1"/>
  <c r="AR49" i="5"/>
  <c r="AR50" i="5" s="1"/>
  <c r="AR51" i="5" s="1"/>
  <c r="AR52" i="5" s="1"/>
  <c r="AS49" i="5"/>
  <c r="AS50" i="5" s="1"/>
  <c r="AS51" i="5" s="1"/>
  <c r="AS52" i="5" s="1"/>
  <c r="AT49" i="5"/>
  <c r="AT50" i="5" s="1"/>
  <c r="AT51" i="5" s="1"/>
  <c r="AT52" i="5" s="1"/>
  <c r="AU49" i="5"/>
  <c r="AU50" i="5" s="1"/>
  <c r="AU51" i="5" s="1"/>
  <c r="AU52" i="5" s="1"/>
  <c r="AV49" i="5"/>
  <c r="AV50" i="5" s="1"/>
  <c r="AV51" i="5" s="1"/>
  <c r="AV52" i="5" s="1"/>
  <c r="AW49" i="5"/>
  <c r="AW50" i="5" s="1"/>
  <c r="AW51" i="5" s="1"/>
  <c r="AW52" i="5" s="1"/>
  <c r="AX49" i="5"/>
  <c r="AX50" i="5" s="1"/>
  <c r="AX51" i="5" s="1"/>
  <c r="AX52" i="5" s="1"/>
  <c r="AY49" i="5"/>
  <c r="AY50" i="5" s="1"/>
  <c r="AY51" i="5" s="1"/>
  <c r="AY52" i="5" s="1"/>
  <c r="AZ49" i="5"/>
  <c r="AZ50" i="5" s="1"/>
  <c r="AZ51" i="5" s="1"/>
  <c r="AZ52" i="5" s="1"/>
  <c r="BA49" i="5"/>
  <c r="BA50" i="5" s="1"/>
  <c r="BA51" i="5" s="1"/>
  <c r="BA52" i="5" s="1"/>
  <c r="BB49" i="5"/>
  <c r="BB50" i="5" s="1"/>
  <c r="BB51" i="5" s="1"/>
  <c r="BB52" i="5" s="1"/>
  <c r="BC49" i="5"/>
  <c r="BC50" i="5" s="1"/>
  <c r="BC51" i="5" s="1"/>
  <c r="BC52" i="5" s="1"/>
  <c r="BD49" i="5"/>
  <c r="BD50" i="5" s="1"/>
  <c r="BD51" i="5" s="1"/>
  <c r="BD52" i="5" s="1"/>
  <c r="BE49" i="5"/>
  <c r="BE50" i="5" s="1"/>
  <c r="BE51" i="5" s="1"/>
  <c r="BE52" i="5" s="1"/>
  <c r="BF49" i="5"/>
  <c r="BF51" i="5" s="1"/>
  <c r="BF52" i="5" s="1"/>
  <c r="BG49" i="5"/>
  <c r="BG50" i="5" s="1"/>
  <c r="BG51" i="5" s="1"/>
  <c r="BG52" i="5" s="1"/>
  <c r="BH49" i="5"/>
  <c r="BH50" i="5" s="1"/>
  <c r="BH51" i="5" s="1"/>
  <c r="BH52" i="5" s="1"/>
  <c r="BI49" i="5"/>
  <c r="BI50" i="5" s="1"/>
  <c r="BI51" i="5" s="1"/>
  <c r="BI52" i="5" s="1"/>
  <c r="BJ49" i="5"/>
  <c r="BJ50" i="5" s="1"/>
  <c r="BJ51" i="5" s="1"/>
  <c r="BJ52" i="5" s="1"/>
  <c r="BK49" i="5"/>
  <c r="BK50" i="5" s="1"/>
  <c r="BK51" i="5" s="1"/>
  <c r="BK52" i="5" s="1"/>
  <c r="BL49" i="5"/>
  <c r="BL50" i="5" s="1"/>
  <c r="BL51" i="5" s="1"/>
  <c r="BL52" i="5" s="1"/>
  <c r="BM49" i="5"/>
  <c r="BM50" i="5" s="1"/>
  <c r="BM51" i="5" s="1"/>
  <c r="BM52" i="5" s="1"/>
  <c r="BN49" i="5"/>
  <c r="BN50" i="5" s="1"/>
  <c r="BN51" i="5" s="1"/>
  <c r="BN52" i="5" s="1"/>
  <c r="BO49" i="5"/>
  <c r="BO50" i="5" s="1"/>
  <c r="BO51" i="5" s="1"/>
  <c r="BO52" i="5" s="1"/>
  <c r="BP49" i="5"/>
  <c r="BP50" i="5" s="1"/>
  <c r="BP51" i="5" s="1"/>
  <c r="BP52" i="5" s="1"/>
  <c r="BQ49" i="5"/>
  <c r="BQ50" i="5" s="1"/>
  <c r="BQ51" i="5" s="1"/>
  <c r="BQ52" i="5" s="1"/>
  <c r="BR49" i="5"/>
  <c r="BR50" i="5" s="1"/>
  <c r="BR51" i="5" s="1"/>
  <c r="BR52" i="5" s="1"/>
  <c r="BS49" i="5"/>
  <c r="BS50" i="5" s="1"/>
  <c r="BS51" i="5" s="1"/>
  <c r="BS52" i="5" s="1"/>
  <c r="BT49" i="5"/>
  <c r="BT50" i="5" s="1"/>
  <c r="BT51" i="5" s="1"/>
  <c r="BT52" i="5" s="1"/>
  <c r="BU49" i="5"/>
  <c r="BU50" i="5" s="1"/>
  <c r="BU51" i="5" s="1"/>
  <c r="BU52" i="5" s="1"/>
  <c r="BV49" i="5"/>
  <c r="BV50" i="5" s="1"/>
  <c r="BV51" i="5" s="1"/>
  <c r="BV52" i="5" s="1"/>
  <c r="BW49" i="5"/>
  <c r="BW50" i="5" s="1"/>
  <c r="BW51" i="5" s="1"/>
  <c r="BW52" i="5" s="1"/>
  <c r="BX49" i="5"/>
  <c r="BX50" i="5" s="1"/>
  <c r="BX51" i="5" s="1"/>
  <c r="BX52" i="5" s="1"/>
  <c r="BY49" i="5"/>
  <c r="BY50" i="5" s="1"/>
  <c r="BY51" i="5" s="1"/>
  <c r="BY52" i="5" s="1"/>
  <c r="BZ49" i="5"/>
  <c r="BZ50" i="5" s="1"/>
  <c r="BZ51" i="5" s="1"/>
  <c r="BZ52" i="5" s="1"/>
  <c r="CA49" i="5"/>
  <c r="CA50" i="5" s="1"/>
  <c r="CA51" i="5" s="1"/>
  <c r="CA52" i="5" s="1"/>
  <c r="CB49" i="5"/>
  <c r="CB50" i="5" s="1"/>
  <c r="CB51" i="5" s="1"/>
  <c r="CB52" i="5" s="1"/>
  <c r="CC49" i="5"/>
  <c r="CC50" i="5" s="1"/>
  <c r="CC51" i="5" s="1"/>
  <c r="CC52" i="5" s="1"/>
  <c r="CD49" i="5"/>
  <c r="CD50" i="5" s="1"/>
  <c r="CD51" i="5" s="1"/>
  <c r="CD52" i="5" s="1"/>
  <c r="CE49" i="5"/>
  <c r="CE50" i="5" s="1"/>
  <c r="CE51" i="5" s="1"/>
  <c r="CE52" i="5" s="1"/>
  <c r="CF49" i="5"/>
  <c r="CF50" i="5" s="1"/>
  <c r="CF51" i="5" s="1"/>
  <c r="CF52" i="5" s="1"/>
  <c r="CG49" i="5"/>
  <c r="CG50" i="5" s="1"/>
  <c r="CG51" i="5" s="1"/>
  <c r="CG52" i="5" s="1"/>
  <c r="CH49" i="5"/>
  <c r="CH50" i="5" s="1"/>
  <c r="CH51" i="5" s="1"/>
  <c r="CH52" i="5" s="1"/>
  <c r="CI49" i="5"/>
  <c r="CI50" i="5" s="1"/>
  <c r="CI51" i="5" s="1"/>
  <c r="CI52" i="5" s="1"/>
  <c r="CJ49" i="5"/>
  <c r="CJ50" i="5" s="1"/>
  <c r="CJ51" i="5" s="1"/>
  <c r="CJ52" i="5" s="1"/>
  <c r="CK49" i="5"/>
  <c r="CK50" i="5" s="1"/>
  <c r="CK51" i="5" s="1"/>
  <c r="CK52" i="5" s="1"/>
  <c r="CL49" i="5"/>
  <c r="CL50" i="5" s="1"/>
  <c r="CL51" i="5" s="1"/>
  <c r="CL52" i="5" s="1"/>
  <c r="CM49" i="5"/>
  <c r="CM50" i="5" s="1"/>
  <c r="CM51" i="5" s="1"/>
  <c r="CM52" i="5" s="1"/>
  <c r="CN49" i="5"/>
  <c r="CN50" i="5" s="1"/>
  <c r="CN51" i="5" s="1"/>
  <c r="CN52" i="5" s="1"/>
  <c r="CO49" i="5"/>
  <c r="CO50" i="5" s="1"/>
  <c r="CO51" i="5" s="1"/>
  <c r="CO52" i="5" s="1"/>
  <c r="CP49" i="5"/>
  <c r="CP50" i="5" s="1"/>
  <c r="CP51" i="5" s="1"/>
  <c r="CP52" i="5" s="1"/>
  <c r="CQ49" i="5"/>
  <c r="CQ50" i="5" s="1"/>
  <c r="CQ51" i="5" s="1"/>
  <c r="CQ52" i="5" s="1"/>
  <c r="CR49" i="5"/>
  <c r="CR50" i="5" s="1"/>
  <c r="CR51" i="5" s="1"/>
  <c r="CR52" i="5" s="1"/>
  <c r="CS49" i="5"/>
  <c r="CS50" i="5" s="1"/>
  <c r="CS51" i="5" s="1"/>
  <c r="CS52" i="5" s="1"/>
  <c r="CT49" i="5"/>
  <c r="CT50" i="5" s="1"/>
  <c r="CT51" i="5" s="1"/>
  <c r="CT52" i="5" s="1"/>
  <c r="CU49" i="5"/>
  <c r="CU50" i="5" s="1"/>
  <c r="CU51" i="5" s="1"/>
  <c r="CU52" i="5" s="1"/>
  <c r="CV49" i="5"/>
  <c r="CV50" i="5" s="1"/>
  <c r="CV51" i="5" s="1"/>
  <c r="CV52" i="5" s="1"/>
  <c r="CW49" i="5"/>
  <c r="CW50" i="5" s="1"/>
  <c r="CW51" i="5" s="1"/>
  <c r="CW52" i="5" s="1"/>
  <c r="CX49" i="5"/>
  <c r="CX50" i="5" s="1"/>
  <c r="CX51" i="5" s="1"/>
  <c r="CX52" i="5" s="1"/>
  <c r="CY49" i="5"/>
  <c r="CY50" i="5" s="1"/>
  <c r="CY51" i="5" s="1"/>
  <c r="CY52" i="5" s="1"/>
  <c r="CZ49" i="5"/>
  <c r="CZ50" i="5" s="1"/>
  <c r="CZ51" i="5" s="1"/>
  <c r="CZ52" i="5" s="1"/>
  <c r="DA49" i="5"/>
  <c r="DA50" i="5" s="1"/>
  <c r="DA51" i="5" s="1"/>
  <c r="DA52" i="5" s="1"/>
  <c r="DB49" i="5"/>
  <c r="DB50" i="5" s="1"/>
  <c r="DB51" i="5" s="1"/>
  <c r="DB52" i="5" s="1"/>
  <c r="DC49" i="5"/>
  <c r="DC50" i="5" s="1"/>
  <c r="DC51" i="5" s="1"/>
  <c r="DC52" i="5" s="1"/>
  <c r="DD49" i="5"/>
  <c r="DD50" i="5" s="1"/>
  <c r="DD51" i="5" s="1"/>
  <c r="DD52" i="5" s="1"/>
  <c r="DE49" i="5"/>
  <c r="DE50" i="5" s="1"/>
  <c r="DE51" i="5" s="1"/>
  <c r="DE52" i="5" s="1"/>
  <c r="DF49" i="5"/>
  <c r="DF50" i="5" s="1"/>
  <c r="DF51" i="5" s="1"/>
  <c r="DF52" i="5" s="1"/>
  <c r="DG49" i="5"/>
  <c r="DG50" i="5" s="1"/>
  <c r="DG51" i="5" s="1"/>
  <c r="DG52" i="5" s="1"/>
  <c r="DH49" i="5"/>
  <c r="DH50" i="5" s="1"/>
  <c r="DH51" i="5" s="1"/>
  <c r="DH52" i="5" s="1"/>
  <c r="DI49" i="5"/>
  <c r="DI50" i="5" s="1"/>
  <c r="DI51" i="5" s="1"/>
  <c r="DI52" i="5" s="1"/>
  <c r="DJ49" i="5"/>
  <c r="DJ50" i="5" s="1"/>
  <c r="DJ51" i="5" s="1"/>
  <c r="DJ52" i="5" s="1"/>
  <c r="DK49" i="5"/>
  <c r="DK50" i="5" s="1"/>
  <c r="DK51" i="5" s="1"/>
  <c r="DK52" i="5" s="1"/>
  <c r="DL49" i="5"/>
  <c r="DL50" i="5" s="1"/>
  <c r="DL51" i="5" s="1"/>
  <c r="DL52" i="5" s="1"/>
  <c r="DM49" i="5"/>
  <c r="DM50" i="5" s="1"/>
  <c r="DM51" i="5" s="1"/>
  <c r="DM52" i="5" s="1"/>
  <c r="DN49" i="5"/>
  <c r="DN50" i="5" s="1"/>
  <c r="DN51" i="5" s="1"/>
  <c r="DN52" i="5" s="1"/>
  <c r="DO49" i="5"/>
  <c r="DO50" i="5" s="1"/>
  <c r="DO51" i="5" s="1"/>
  <c r="DO52" i="5" s="1"/>
  <c r="DP49" i="5"/>
  <c r="DP50" i="5" s="1"/>
  <c r="DP51" i="5" s="1"/>
  <c r="DP52" i="5" s="1"/>
  <c r="DQ49" i="5"/>
  <c r="DQ50" i="5" s="1"/>
  <c r="DQ51" i="5" s="1"/>
  <c r="DQ52" i="5" s="1"/>
  <c r="DR49" i="5"/>
  <c r="DR50" i="5" s="1"/>
  <c r="DR51" i="5" s="1"/>
  <c r="DR52" i="5" s="1"/>
  <c r="DS49" i="5"/>
  <c r="DS50" i="5" s="1"/>
  <c r="DS51" i="5" s="1"/>
  <c r="DS52" i="5" s="1"/>
  <c r="DT49" i="5"/>
  <c r="DT50" i="5" s="1"/>
  <c r="DT51" i="5" s="1"/>
  <c r="DT52" i="5" s="1"/>
  <c r="DU49" i="5"/>
  <c r="DU50" i="5" s="1"/>
  <c r="DU51" i="5" s="1"/>
  <c r="DU52" i="5" s="1"/>
  <c r="DV49" i="5"/>
  <c r="DV50" i="5" s="1"/>
  <c r="DV51" i="5" s="1"/>
  <c r="DV52" i="5" s="1"/>
  <c r="DW49" i="5"/>
  <c r="DW50" i="5" s="1"/>
  <c r="DW51" i="5" s="1"/>
  <c r="DW52" i="5" s="1"/>
  <c r="DX49" i="5"/>
  <c r="DX50" i="5" s="1"/>
  <c r="DX51" i="5" s="1"/>
  <c r="DX52" i="5" s="1"/>
  <c r="DY49" i="5"/>
  <c r="DY50" i="5" s="1"/>
  <c r="DY51" i="5" s="1"/>
  <c r="DY52" i="5" s="1"/>
  <c r="DZ49" i="5"/>
  <c r="DZ50" i="5" s="1"/>
  <c r="DZ51" i="5" s="1"/>
  <c r="DZ52" i="5" s="1"/>
  <c r="EA49" i="5"/>
  <c r="EA50" i="5" s="1"/>
  <c r="EA51" i="5" s="1"/>
  <c r="EA52" i="5" s="1"/>
  <c r="EB49" i="5"/>
  <c r="EB50" i="5" s="1"/>
  <c r="EB51" i="5" s="1"/>
  <c r="EB52" i="5" s="1"/>
  <c r="EC49" i="5"/>
  <c r="EC50" i="5" s="1"/>
  <c r="EC51" i="5" s="1"/>
  <c r="EC52" i="5" s="1"/>
  <c r="ED49" i="5"/>
  <c r="ED50" i="5" s="1"/>
  <c r="ED51" i="5" s="1"/>
  <c r="ED52" i="5" s="1"/>
  <c r="EE49" i="5"/>
  <c r="EE50" i="5" s="1"/>
  <c r="EE51" i="5" s="1"/>
  <c r="EE52" i="5" s="1"/>
  <c r="EF49" i="5"/>
  <c r="EF50" i="5" s="1"/>
  <c r="EF51" i="5" s="1"/>
  <c r="EF52" i="5" s="1"/>
  <c r="EG49" i="5"/>
  <c r="EG50" i="5" s="1"/>
  <c r="EG51" i="5" s="1"/>
  <c r="EG52" i="5" s="1"/>
  <c r="EH49" i="5"/>
  <c r="EH50" i="5" s="1"/>
  <c r="EH51" i="5" s="1"/>
  <c r="EH52" i="5" s="1"/>
  <c r="EI49" i="5"/>
  <c r="EI50" i="5" s="1"/>
  <c r="EI51" i="5" s="1"/>
  <c r="EI52" i="5" s="1"/>
  <c r="EL49" i="5"/>
  <c r="EL50" i="5" s="1"/>
  <c r="EL51" i="5" s="1"/>
  <c r="EL52" i="5" s="1"/>
  <c r="EP49" i="5"/>
  <c r="EP50" i="5" s="1"/>
  <c r="EP51" i="5" s="1"/>
  <c r="EP52" i="5" s="1"/>
  <c r="EQ49" i="5"/>
  <c r="EQ50" i="5" s="1"/>
  <c r="EQ51" i="5" s="1"/>
  <c r="EQ52" i="5" s="1"/>
  <c r="ER49" i="5"/>
  <c r="ER50" i="5" s="1"/>
  <c r="ER51" i="5" s="1"/>
  <c r="ER52" i="5" s="1"/>
  <c r="ES49" i="5"/>
  <c r="ES50" i="5" s="1"/>
  <c r="ES51" i="5" s="1"/>
  <c r="ES52" i="5" s="1"/>
  <c r="ET49" i="5"/>
  <c r="ET50" i="5" s="1"/>
  <c r="ET51" i="5" s="1"/>
  <c r="ET52" i="5" s="1"/>
  <c r="EU49" i="5"/>
  <c r="EU50" i="5" s="1"/>
  <c r="EU51" i="5" s="1"/>
  <c r="EU52" i="5" s="1"/>
  <c r="EV49" i="5"/>
  <c r="EV50" i="5" s="1"/>
  <c r="EW49" i="5"/>
  <c r="EW50" i="5" s="1"/>
  <c r="EX49" i="5"/>
  <c r="EX50" i="5" s="1"/>
  <c r="EY49" i="5"/>
  <c r="EY50" i="5" s="1"/>
  <c r="EZ49" i="5"/>
  <c r="EZ50" i="5" s="1"/>
  <c r="EZ51" i="5" s="1"/>
  <c r="EZ52" i="5" s="1"/>
  <c r="FA49" i="5"/>
  <c r="FA50" i="5" s="1"/>
  <c r="FA51" i="5" s="1"/>
  <c r="FA52" i="5" s="1"/>
  <c r="FB49" i="5"/>
  <c r="FB50" i="5" s="1"/>
  <c r="FB51" i="5" s="1"/>
  <c r="FB52" i="5" s="1"/>
  <c r="FC49" i="5"/>
  <c r="FC50" i="5" s="1"/>
  <c r="FC51" i="5" s="1"/>
  <c r="FC52" i="5" s="1"/>
  <c r="FD49" i="5"/>
  <c r="FD50" i="5" s="1"/>
  <c r="FD51" i="5" s="1"/>
  <c r="FD52" i="5" s="1"/>
  <c r="FE49" i="5"/>
  <c r="FE50" i="5" s="1"/>
  <c r="FE51" i="5" s="1"/>
  <c r="FE52" i="5" s="1"/>
  <c r="FF50" i="5"/>
  <c r="FF51" i="5" s="1"/>
  <c r="FF52" i="5" s="1"/>
  <c r="FG49" i="5"/>
  <c r="FG50" i="5" s="1"/>
  <c r="FG51" i="5" s="1"/>
  <c r="FG52" i="5" s="1"/>
  <c r="AO51" i="1"/>
  <c r="BS51" i="1"/>
  <c r="BT51" i="1"/>
  <c r="BU51" i="1"/>
  <c r="BV51" i="1"/>
  <c r="BW51" i="1"/>
  <c r="BX51" i="1"/>
  <c r="BY51" i="1"/>
  <c r="BZ51" i="1"/>
  <c r="CA51" i="1"/>
  <c r="CB51" i="1"/>
  <c r="CH51" i="1"/>
  <c r="C46" i="2"/>
  <c r="AI35" i="1"/>
  <c r="AJ35" i="1"/>
  <c r="AH35" i="1"/>
  <c r="B10" i="1"/>
  <c r="B11" i="1"/>
  <c r="B14" i="1"/>
  <c r="B15" i="1"/>
  <c r="B17" i="1"/>
  <c r="B23" i="1"/>
  <c r="B27" i="1"/>
  <c r="B30" i="1"/>
  <c r="B31" i="1"/>
  <c r="B32" i="1"/>
  <c r="B33" i="1"/>
  <c r="B41" i="1"/>
  <c r="B42" i="1"/>
  <c r="DN42" i="1"/>
  <c r="DG42" i="1"/>
  <c r="DF42" i="1"/>
  <c r="DE42" i="1"/>
  <c r="DD42" i="1"/>
  <c r="DC42" i="1"/>
  <c r="DB42" i="1"/>
  <c r="CY42" i="1"/>
  <c r="CX42" i="1"/>
  <c r="CW42" i="1"/>
  <c r="CN42" i="1"/>
  <c r="CM42" i="1"/>
  <c r="CC30" i="1"/>
  <c r="CC51" i="1" s="1"/>
  <c r="CD30" i="1"/>
  <c r="CD51" i="1" s="1"/>
  <c r="CE30" i="1"/>
  <c r="CE51" i="1" s="1"/>
  <c r="CF30" i="1"/>
  <c r="CF51" i="1" s="1"/>
  <c r="CG30" i="1"/>
  <c r="CG51" i="1" s="1"/>
  <c r="CI30" i="1"/>
  <c r="CI51" i="1" s="1"/>
  <c r="CJ30" i="1"/>
  <c r="CJ51" i="1" s="1"/>
  <c r="CK30" i="1"/>
  <c r="CK51" i="1" s="1"/>
  <c r="BV29" i="1"/>
  <c r="BW29" i="1"/>
  <c r="CI41" i="1"/>
  <c r="CJ41" i="1"/>
  <c r="CK41" i="1"/>
  <c r="CE41" i="1"/>
  <c r="CF41" i="1"/>
  <c r="CG41" i="1"/>
  <c r="CE29" i="1"/>
  <c r="CG29" i="1"/>
  <c r="CF29" i="1"/>
  <c r="CI29" i="1"/>
  <c r="CK29" i="1"/>
  <c r="CJ35" i="1"/>
  <c r="CK35" i="1"/>
  <c r="CI35" i="1"/>
  <c r="CE35" i="1"/>
  <c r="CF35" i="1"/>
  <c r="CG35" i="1"/>
  <c r="CD35" i="1"/>
  <c r="CD41" i="1"/>
  <c r="CW28" i="1"/>
  <c r="CV28" i="1"/>
  <c r="CU28" i="1"/>
  <c r="CT28" i="1"/>
  <c r="CS28" i="1"/>
  <c r="CR28" i="1"/>
  <c r="CQ28" i="1"/>
  <c r="B10" i="5"/>
  <c r="C10" i="5"/>
  <c r="D10" i="5"/>
  <c r="E10" i="5"/>
  <c r="F10" i="5"/>
  <c r="G10" i="5"/>
  <c r="H10" i="5"/>
  <c r="I10" i="5"/>
  <c r="J10" i="5"/>
  <c r="K10" i="5"/>
  <c r="L10" i="5"/>
  <c r="M10" i="5"/>
  <c r="N10" i="5"/>
  <c r="O10" i="5"/>
  <c r="P10" i="5"/>
  <c r="Q10" i="5"/>
  <c r="R10" i="5"/>
  <c r="S10" i="5"/>
  <c r="T10" i="5"/>
  <c r="U10" i="5"/>
  <c r="V10" i="5"/>
  <c r="W10" i="5"/>
  <c r="X10" i="5"/>
  <c r="Y10" i="5"/>
  <c r="Z10" i="5"/>
  <c r="AA10" i="5"/>
  <c r="AB10" i="5"/>
  <c r="AC10" i="5"/>
  <c r="AD10" i="5"/>
  <c r="AE10" i="5"/>
  <c r="AF10" i="5"/>
  <c r="AG10" i="5"/>
  <c r="AH10" i="5"/>
  <c r="AI10" i="5"/>
  <c r="AJ10" i="5"/>
  <c r="AK10" i="5"/>
  <c r="AL10" i="5"/>
  <c r="AM10" i="5"/>
  <c r="AN10" i="5"/>
  <c r="AO10" i="5"/>
  <c r="AP10" i="5"/>
  <c r="AT10" i="5"/>
  <c r="AU10" i="5"/>
  <c r="AV10" i="5"/>
  <c r="AW10" i="5"/>
  <c r="AX10" i="5"/>
  <c r="AY10" i="5"/>
  <c r="AZ10" i="5"/>
  <c r="BA10" i="5"/>
  <c r="BB10" i="5"/>
  <c r="BC10" i="5"/>
  <c r="BD10" i="5"/>
  <c r="BE10" i="5"/>
  <c r="BF10" i="5"/>
  <c r="BG10" i="5"/>
  <c r="BH10" i="5"/>
  <c r="BJ10" i="5"/>
  <c r="BK10" i="5"/>
  <c r="BL10" i="5"/>
  <c r="BM10" i="5"/>
  <c r="BN10" i="5"/>
  <c r="BO10" i="5"/>
  <c r="BP10" i="5"/>
  <c r="BQ10" i="5"/>
  <c r="BR10" i="5"/>
  <c r="BS10" i="5"/>
  <c r="BT10" i="5"/>
  <c r="BU10" i="5"/>
  <c r="BV10" i="5"/>
  <c r="BW10" i="5"/>
  <c r="BX10" i="5"/>
  <c r="BY10" i="5"/>
  <c r="BZ10" i="5"/>
  <c r="CA10" i="5"/>
  <c r="CB10" i="5"/>
  <c r="CC10" i="5"/>
  <c r="CD10" i="5"/>
  <c r="CE10" i="5"/>
  <c r="CF10" i="5"/>
  <c r="CG10" i="5"/>
  <c r="CH10" i="5"/>
  <c r="CI10" i="5"/>
  <c r="CJ10" i="5"/>
  <c r="CK10" i="5"/>
  <c r="CL10" i="5"/>
  <c r="CM10" i="5"/>
  <c r="CN10" i="5"/>
  <c r="CO10" i="5"/>
  <c r="CP10" i="5"/>
  <c r="CQ10" i="5"/>
  <c r="CR10" i="5"/>
  <c r="CS10" i="5"/>
  <c r="CT10" i="5"/>
  <c r="CU10" i="5"/>
  <c r="CV10" i="5"/>
  <c r="CW10" i="5"/>
  <c r="CX10" i="5"/>
  <c r="CY10" i="5"/>
  <c r="CZ10" i="5"/>
  <c r="DA10" i="5"/>
  <c r="DB10" i="5"/>
  <c r="DC10" i="5"/>
  <c r="DD10" i="5"/>
  <c r="DE10" i="5"/>
  <c r="DF10" i="5"/>
  <c r="DG10" i="5"/>
  <c r="DH10" i="5"/>
  <c r="DI10" i="5"/>
  <c r="DJ10" i="5"/>
  <c r="DK10" i="5"/>
  <c r="DL10" i="5"/>
  <c r="DM10" i="5"/>
  <c r="DN10" i="5"/>
  <c r="DO10" i="5"/>
  <c r="DP10" i="5"/>
  <c r="DQ10" i="5"/>
  <c r="DR10" i="5"/>
  <c r="DS10" i="5"/>
  <c r="DT10" i="5"/>
  <c r="DU10" i="5"/>
  <c r="DV10" i="5"/>
  <c r="DW10" i="5"/>
  <c r="DX10" i="5"/>
  <c r="DY10" i="5"/>
  <c r="DZ10" i="5"/>
  <c r="EA10" i="5"/>
  <c r="EB10" i="5"/>
  <c r="EC10" i="5"/>
  <c r="ED10" i="5"/>
  <c r="EE10" i="5"/>
  <c r="EF10" i="5"/>
  <c r="EG10" i="5"/>
  <c r="EH10" i="5"/>
  <c r="EI10" i="5"/>
  <c r="EJ10" i="5"/>
  <c r="EK10" i="5"/>
  <c r="EL10" i="5"/>
  <c r="EM10" i="5"/>
  <c r="EN10" i="5"/>
  <c r="EO10" i="5"/>
  <c r="EP10" i="5"/>
  <c r="EQ10" i="5"/>
  <c r="ER10" i="5"/>
  <c r="ES10" i="5"/>
  <c r="ET10" i="5"/>
  <c r="EU10" i="5"/>
  <c r="EV10" i="5"/>
  <c r="EW10" i="5"/>
  <c r="EX10" i="5"/>
  <c r="EY10" i="5"/>
  <c r="EZ10" i="5"/>
  <c r="FA10" i="5"/>
  <c r="FB10" i="5"/>
  <c r="FC10" i="5"/>
  <c r="FD10" i="5"/>
  <c r="FE10" i="5"/>
  <c r="FF10" i="5"/>
  <c r="FG10" i="5"/>
  <c r="FH10" i="5"/>
  <c r="B11" i="5"/>
  <c r="C11" i="5"/>
  <c r="D11" i="5"/>
  <c r="E11" i="5"/>
  <c r="F11" i="5"/>
  <c r="G11" i="5"/>
  <c r="H11" i="5"/>
  <c r="I11" i="5"/>
  <c r="J11" i="5"/>
  <c r="K11" i="5"/>
  <c r="L11" i="5"/>
  <c r="M11" i="5"/>
  <c r="N11" i="5"/>
  <c r="O11" i="5"/>
  <c r="P11" i="5"/>
  <c r="Q11" i="5"/>
  <c r="R11" i="5"/>
  <c r="S11" i="5"/>
  <c r="T11" i="5"/>
  <c r="U11" i="5"/>
  <c r="V11" i="5"/>
  <c r="W11" i="5"/>
  <c r="X11" i="5"/>
  <c r="Y11" i="5"/>
  <c r="Z11" i="5"/>
  <c r="AA11" i="5"/>
  <c r="AB11" i="5"/>
  <c r="AC11" i="5"/>
  <c r="AD11" i="5"/>
  <c r="AE11" i="5"/>
  <c r="AF11" i="5"/>
  <c r="AG11" i="5"/>
  <c r="AH11" i="5"/>
  <c r="AI11" i="5"/>
  <c r="AJ11" i="5"/>
  <c r="AK11" i="5"/>
  <c r="AL11" i="5"/>
  <c r="AM11" i="5"/>
  <c r="AN11" i="5"/>
  <c r="AO11" i="5"/>
  <c r="AP11" i="5"/>
  <c r="AT11" i="5"/>
  <c r="AU11" i="5"/>
  <c r="AV11" i="5"/>
  <c r="AW11" i="5"/>
  <c r="AX11" i="5"/>
  <c r="AY11" i="5"/>
  <c r="AZ11" i="5"/>
  <c r="BA11" i="5"/>
  <c r="BB11" i="5"/>
  <c r="BC11" i="5"/>
  <c r="BD11" i="5"/>
  <c r="BE11" i="5"/>
  <c r="BF11" i="5"/>
  <c r="BG11" i="5"/>
  <c r="BH11" i="5"/>
  <c r="BJ11" i="5"/>
  <c r="BK11" i="5"/>
  <c r="BL11" i="5"/>
  <c r="BM11" i="5"/>
  <c r="BN11" i="5"/>
  <c r="BO11" i="5"/>
  <c r="BP11" i="5"/>
  <c r="BQ11" i="5"/>
  <c r="BR11" i="5"/>
  <c r="BS11" i="5"/>
  <c r="BT11" i="5"/>
  <c r="BU11" i="5"/>
  <c r="BV11" i="5"/>
  <c r="BW11" i="5"/>
  <c r="BX11" i="5"/>
  <c r="BY11" i="5"/>
  <c r="BZ11" i="5"/>
  <c r="CA11" i="5"/>
  <c r="CB11" i="5"/>
  <c r="CC11" i="5"/>
  <c r="CD11" i="5"/>
  <c r="CE11" i="5"/>
  <c r="CF11" i="5"/>
  <c r="CG11" i="5"/>
  <c r="CH11" i="5"/>
  <c r="CI11" i="5"/>
  <c r="CJ11" i="5"/>
  <c r="CK11" i="5"/>
  <c r="CL11" i="5"/>
  <c r="CM11" i="5"/>
  <c r="CN11" i="5"/>
  <c r="CO11" i="5"/>
  <c r="CP11" i="5"/>
  <c r="CQ11" i="5"/>
  <c r="CR11" i="5"/>
  <c r="CS11" i="5"/>
  <c r="CT11" i="5"/>
  <c r="CU11" i="5"/>
  <c r="CV11" i="5"/>
  <c r="CW11" i="5"/>
  <c r="CX11" i="5"/>
  <c r="CY11" i="5"/>
  <c r="CZ11" i="5"/>
  <c r="DA11" i="5"/>
  <c r="DB11" i="5"/>
  <c r="DC11" i="5"/>
  <c r="DD11" i="5"/>
  <c r="DE11" i="5"/>
  <c r="DF11" i="5"/>
  <c r="DG11" i="5"/>
  <c r="DH11" i="5"/>
  <c r="DI11" i="5"/>
  <c r="DJ11" i="5"/>
  <c r="DK11" i="5"/>
  <c r="DL11" i="5"/>
  <c r="DM11" i="5"/>
  <c r="DN11" i="5"/>
  <c r="DO11" i="5"/>
  <c r="DP11" i="5"/>
  <c r="DQ11" i="5"/>
  <c r="DR11" i="5"/>
  <c r="DS11" i="5"/>
  <c r="DT11" i="5"/>
  <c r="DU11" i="5"/>
  <c r="DV11" i="5"/>
  <c r="DW11" i="5"/>
  <c r="DX11" i="5"/>
  <c r="DY11" i="5"/>
  <c r="DZ11" i="5"/>
  <c r="EA11" i="5"/>
  <c r="EB11" i="5"/>
  <c r="EC11" i="5"/>
  <c r="ED11" i="5"/>
  <c r="EE11" i="5"/>
  <c r="EF11" i="5"/>
  <c r="EG11" i="5"/>
  <c r="EH11" i="5"/>
  <c r="EI11" i="5"/>
  <c r="EJ11" i="5"/>
  <c r="EK11" i="5"/>
  <c r="EL11" i="5"/>
  <c r="EM11" i="5"/>
  <c r="EN11" i="5"/>
  <c r="EO11" i="5"/>
  <c r="EP11" i="5"/>
  <c r="EQ11" i="5"/>
  <c r="ER11" i="5"/>
  <c r="ES11" i="5"/>
  <c r="ET11" i="5"/>
  <c r="EU11" i="5"/>
  <c r="EV11" i="5"/>
  <c r="EW11" i="5"/>
  <c r="EX11" i="5"/>
  <c r="EY11" i="5"/>
  <c r="EZ11" i="5"/>
  <c r="FA11" i="5"/>
  <c r="FB11" i="5"/>
  <c r="FC11" i="5"/>
  <c r="FD11" i="5"/>
  <c r="FE11" i="5"/>
  <c r="FF11" i="5"/>
  <c r="FG11" i="5"/>
  <c r="FH11" i="5"/>
  <c r="B13" i="5"/>
  <c r="C13" i="5"/>
  <c r="D13" i="5"/>
  <c r="E13" i="5"/>
  <c r="F13" i="5"/>
  <c r="G13" i="5"/>
  <c r="H13" i="5"/>
  <c r="I13" i="5"/>
  <c r="J13" i="5"/>
  <c r="K13" i="5"/>
  <c r="L13" i="5"/>
  <c r="M13" i="5"/>
  <c r="N13" i="5"/>
  <c r="O13" i="5"/>
  <c r="P13" i="5"/>
  <c r="Q13" i="5"/>
  <c r="R13" i="5"/>
  <c r="S13" i="5"/>
  <c r="T13" i="5"/>
  <c r="U13" i="5"/>
  <c r="V13" i="5"/>
  <c r="W13" i="5"/>
  <c r="X13" i="5"/>
  <c r="Y13" i="5"/>
  <c r="Z13" i="5"/>
  <c r="AA13" i="5"/>
  <c r="AB13" i="5"/>
  <c r="AC13" i="5"/>
  <c r="AD13" i="5"/>
  <c r="AE13" i="5"/>
  <c r="AF13" i="5"/>
  <c r="AG13" i="5"/>
  <c r="AH13" i="5"/>
  <c r="AI13" i="5"/>
  <c r="AJ13" i="5"/>
  <c r="AK13" i="5"/>
  <c r="AL13" i="5"/>
  <c r="AM13" i="5"/>
  <c r="AN13" i="5"/>
  <c r="AO13" i="5"/>
  <c r="AP13" i="5"/>
  <c r="AQ13" i="5"/>
  <c r="AR13" i="5"/>
  <c r="AS13" i="5"/>
  <c r="AT13" i="5"/>
  <c r="AU13" i="5"/>
  <c r="AV13" i="5"/>
  <c r="AW13" i="5"/>
  <c r="AX13" i="5"/>
  <c r="AY13" i="5"/>
  <c r="AZ13" i="5"/>
  <c r="BA13" i="5"/>
  <c r="BB13" i="5"/>
  <c r="BC13" i="5"/>
  <c r="BD13" i="5"/>
  <c r="BE13" i="5"/>
  <c r="BF13" i="5"/>
  <c r="BG13" i="5"/>
  <c r="BH13" i="5"/>
  <c r="BJ13" i="5"/>
  <c r="BK13" i="5"/>
  <c r="BL13" i="5"/>
  <c r="BM13" i="5"/>
  <c r="BN13" i="5"/>
  <c r="BO13" i="5"/>
  <c r="BP13" i="5"/>
  <c r="BQ13" i="5"/>
  <c r="BR13" i="5"/>
  <c r="BS13" i="5"/>
  <c r="BT13" i="5"/>
  <c r="BU13" i="5"/>
  <c r="BV13" i="5"/>
  <c r="BW13" i="5"/>
  <c r="BX13" i="5"/>
  <c r="BY13" i="5"/>
  <c r="BZ13" i="5"/>
  <c r="CA13" i="5"/>
  <c r="CB13" i="5"/>
  <c r="CC13" i="5"/>
  <c r="CD13" i="5"/>
  <c r="CE13" i="5"/>
  <c r="CF13" i="5"/>
  <c r="CG13" i="5"/>
  <c r="CH13" i="5"/>
  <c r="CI13" i="5"/>
  <c r="CJ13" i="5"/>
  <c r="CK13" i="5"/>
  <c r="CL13" i="5"/>
  <c r="CM13" i="5"/>
  <c r="CN13" i="5"/>
  <c r="CO13" i="5"/>
  <c r="CP13" i="5"/>
  <c r="CQ13" i="5"/>
  <c r="CR13" i="5"/>
  <c r="CS13" i="5"/>
  <c r="CT13" i="5"/>
  <c r="CU13" i="5"/>
  <c r="CV13" i="5"/>
  <c r="CW13" i="5"/>
  <c r="CX13" i="5"/>
  <c r="CY13" i="5"/>
  <c r="CZ13" i="5"/>
  <c r="DA13" i="5"/>
  <c r="DB13" i="5"/>
  <c r="DC13" i="5"/>
  <c r="DD13" i="5"/>
  <c r="DE13" i="5"/>
  <c r="DF13" i="5"/>
  <c r="DG13" i="5"/>
  <c r="DH13" i="5"/>
  <c r="DI13" i="5"/>
  <c r="DJ13" i="5"/>
  <c r="DK13" i="5"/>
  <c r="DL13" i="5"/>
  <c r="DM13" i="5"/>
  <c r="DN13" i="5"/>
  <c r="DO13" i="5"/>
  <c r="DP13" i="5"/>
  <c r="DQ13" i="5"/>
  <c r="DR13" i="5"/>
  <c r="DS13" i="5"/>
  <c r="DT13" i="5"/>
  <c r="DU13" i="5"/>
  <c r="DV13" i="5"/>
  <c r="DW13" i="5"/>
  <c r="DX13" i="5"/>
  <c r="DY13" i="5"/>
  <c r="DZ13" i="5"/>
  <c r="EA13" i="5"/>
  <c r="EB13" i="5"/>
  <c r="EC13" i="5"/>
  <c r="ED13" i="5"/>
  <c r="EE13" i="5"/>
  <c r="EF13" i="5"/>
  <c r="EG13" i="5"/>
  <c r="EH13" i="5"/>
  <c r="EI13" i="5"/>
  <c r="EJ13" i="5"/>
  <c r="EK13" i="5"/>
  <c r="EL13" i="5"/>
  <c r="EM13" i="5"/>
  <c r="EN13" i="5"/>
  <c r="EO13" i="5"/>
  <c r="EP13" i="5"/>
  <c r="EQ13" i="5"/>
  <c r="ER13" i="5"/>
  <c r="ES13" i="5"/>
  <c r="ET13" i="5"/>
  <c r="EU13" i="5"/>
  <c r="EZ13" i="5"/>
  <c r="FA13" i="5"/>
  <c r="FB13" i="5"/>
  <c r="FC13" i="5"/>
  <c r="FD13" i="5"/>
  <c r="FE13" i="5"/>
  <c r="FF13" i="5"/>
  <c r="FG13" i="5"/>
  <c r="FH13" i="5"/>
  <c r="EV14" i="5"/>
  <c r="EW14" i="5"/>
  <c r="EX14" i="5"/>
  <c r="EY14" i="5"/>
  <c r="B15" i="5"/>
  <c r="C15" i="5"/>
  <c r="D15" i="5"/>
  <c r="E15" i="5"/>
  <c r="F15" i="5"/>
  <c r="G15" i="5"/>
  <c r="H15" i="5"/>
  <c r="I15" i="5"/>
  <c r="J15" i="5"/>
  <c r="K15" i="5"/>
  <c r="L15" i="5"/>
  <c r="M15" i="5"/>
  <c r="N15" i="5"/>
  <c r="O15" i="5"/>
  <c r="P15" i="5"/>
  <c r="Q15" i="5"/>
  <c r="R15" i="5"/>
  <c r="S15" i="5"/>
  <c r="T15" i="5"/>
  <c r="U15" i="5"/>
  <c r="V15" i="5"/>
  <c r="W15" i="5"/>
  <c r="X15" i="5"/>
  <c r="Y15" i="5"/>
  <c r="Z15" i="5"/>
  <c r="AA15" i="5"/>
  <c r="AB15" i="5"/>
  <c r="AC15" i="5"/>
  <c r="AD15" i="5"/>
  <c r="AE15" i="5"/>
  <c r="AF15" i="5"/>
  <c r="AG15" i="5"/>
  <c r="AH15" i="5"/>
  <c r="AI15" i="5"/>
  <c r="AJ15" i="5"/>
  <c r="AK15" i="5"/>
  <c r="AL15" i="5"/>
  <c r="AM15" i="5"/>
  <c r="AN15" i="5"/>
  <c r="AO15" i="5"/>
  <c r="AP15" i="5"/>
  <c r="AQ15" i="5"/>
  <c r="AR15" i="5"/>
  <c r="AS15" i="5"/>
  <c r="AT15" i="5"/>
  <c r="AU15" i="5"/>
  <c r="AV15" i="5"/>
  <c r="AW15" i="5"/>
  <c r="AX15" i="5"/>
  <c r="AY15" i="5"/>
  <c r="AZ15" i="5"/>
  <c r="BA15" i="5"/>
  <c r="BB15" i="5"/>
  <c r="BC15" i="5"/>
  <c r="BD15" i="5"/>
  <c r="BE15" i="5"/>
  <c r="BF15" i="5"/>
  <c r="BG15" i="5"/>
  <c r="BH15" i="5"/>
  <c r="BJ15" i="5"/>
  <c r="BK15" i="5"/>
  <c r="BL15" i="5"/>
  <c r="BM15" i="5"/>
  <c r="BN15" i="5"/>
  <c r="BO15" i="5"/>
  <c r="BP15" i="5"/>
  <c r="BQ15" i="5"/>
  <c r="BR15" i="5"/>
  <c r="BS15" i="5"/>
  <c r="BT15" i="5"/>
  <c r="BU15" i="5"/>
  <c r="BV15" i="5"/>
  <c r="BW15" i="5"/>
  <c r="BX15" i="5"/>
  <c r="BY15" i="5"/>
  <c r="BZ15" i="5"/>
  <c r="CA15" i="5"/>
  <c r="CB15" i="5"/>
  <c r="CC15" i="5"/>
  <c r="CD15" i="5"/>
  <c r="CE15" i="5"/>
  <c r="CF15" i="5"/>
  <c r="CG15" i="5"/>
  <c r="CH15" i="5"/>
  <c r="CI15" i="5"/>
  <c r="CJ15" i="5"/>
  <c r="CK15" i="5"/>
  <c r="CL15" i="5"/>
  <c r="CM15" i="5"/>
  <c r="CN15" i="5"/>
  <c r="CO15" i="5"/>
  <c r="CP15" i="5"/>
  <c r="CQ15" i="5"/>
  <c r="CR15" i="5"/>
  <c r="CS15" i="5"/>
  <c r="CT15" i="5"/>
  <c r="CU15" i="5"/>
  <c r="CV15" i="5"/>
  <c r="CW15" i="5"/>
  <c r="CX15" i="5"/>
  <c r="CY15" i="5"/>
  <c r="CZ15" i="5"/>
  <c r="DA15" i="5"/>
  <c r="DB15" i="5"/>
  <c r="DC15" i="5"/>
  <c r="DD15" i="5"/>
  <c r="DE15" i="5"/>
  <c r="DF15" i="5"/>
  <c r="DG15" i="5"/>
  <c r="DH15" i="5"/>
  <c r="DI15" i="5"/>
  <c r="DJ15" i="5"/>
  <c r="DK15" i="5"/>
  <c r="DL15" i="5"/>
  <c r="DM15" i="5"/>
  <c r="DN15" i="5"/>
  <c r="DO15" i="5"/>
  <c r="DP15" i="5"/>
  <c r="DQ15" i="5"/>
  <c r="DR15" i="5"/>
  <c r="DS15" i="5"/>
  <c r="DT15" i="5"/>
  <c r="DU15" i="5"/>
  <c r="DV15" i="5"/>
  <c r="DW15" i="5"/>
  <c r="DX15" i="5"/>
  <c r="DY15" i="5"/>
  <c r="DZ15" i="5"/>
  <c r="EA15" i="5"/>
  <c r="EB15" i="5"/>
  <c r="EC15" i="5"/>
  <c r="ED15" i="5"/>
  <c r="EE15" i="5"/>
  <c r="EF15" i="5"/>
  <c r="EG15" i="5"/>
  <c r="EH15" i="5"/>
  <c r="EI15" i="5"/>
  <c r="EJ15" i="5"/>
  <c r="EK15" i="5"/>
  <c r="EL15" i="5"/>
  <c r="EM15" i="5"/>
  <c r="EN15" i="5"/>
  <c r="EO15" i="5"/>
  <c r="EP15" i="5"/>
  <c r="EQ15" i="5"/>
  <c r="ER15" i="5"/>
  <c r="ES15" i="5"/>
  <c r="ET15" i="5"/>
  <c r="EU15" i="5"/>
  <c r="EV15" i="5"/>
  <c r="EW15" i="5"/>
  <c r="EX15" i="5"/>
  <c r="EY15" i="5"/>
  <c r="EZ15" i="5"/>
  <c r="FA15" i="5"/>
  <c r="FB15" i="5"/>
  <c r="FC15" i="5"/>
  <c r="FD15" i="5"/>
  <c r="FE15" i="5"/>
  <c r="FF15" i="5"/>
  <c r="FG15" i="5"/>
  <c r="FH15" i="5"/>
  <c r="EW21" i="5"/>
  <c r="EX21" i="5"/>
  <c r="EY21" i="5"/>
  <c r="B23" i="5"/>
  <c r="C23" i="5"/>
  <c r="D23" i="5"/>
  <c r="E23" i="5"/>
  <c r="F23" i="5"/>
  <c r="G23" i="5"/>
  <c r="H23" i="5"/>
  <c r="I23" i="5"/>
  <c r="J23" i="5"/>
  <c r="K23" i="5"/>
  <c r="L23" i="5"/>
  <c r="M23" i="5"/>
  <c r="N23" i="5"/>
  <c r="O23" i="5"/>
  <c r="P23" i="5"/>
  <c r="Q23" i="5"/>
  <c r="R23" i="5"/>
  <c r="S23" i="5"/>
  <c r="T23" i="5"/>
  <c r="U23" i="5"/>
  <c r="V23" i="5"/>
  <c r="W23" i="5"/>
  <c r="X23" i="5"/>
  <c r="Y23" i="5"/>
  <c r="Z23" i="5"/>
  <c r="AA23" i="5"/>
  <c r="AB23" i="5"/>
  <c r="AC23" i="5"/>
  <c r="AD23" i="5"/>
  <c r="AE23" i="5"/>
  <c r="AF23" i="5"/>
  <c r="AG23" i="5"/>
  <c r="AH23" i="5"/>
  <c r="AI23" i="5"/>
  <c r="AJ23" i="5"/>
  <c r="AK23" i="5"/>
  <c r="AL23" i="5"/>
  <c r="AM23" i="5"/>
  <c r="AN23" i="5"/>
  <c r="AO23" i="5"/>
  <c r="AP23" i="5"/>
  <c r="AQ23" i="5"/>
  <c r="AR23" i="5"/>
  <c r="AS23" i="5"/>
  <c r="AT23" i="5"/>
  <c r="AU23" i="5"/>
  <c r="AV23" i="5"/>
  <c r="AW23" i="5"/>
  <c r="AX23" i="5"/>
  <c r="AY23" i="5"/>
  <c r="AZ23" i="5"/>
  <c r="BA23" i="5"/>
  <c r="BB23" i="5"/>
  <c r="BC23" i="5"/>
  <c r="BD23" i="5"/>
  <c r="BE23" i="5"/>
  <c r="BF23" i="5"/>
  <c r="BG23" i="5"/>
  <c r="BH23" i="5"/>
  <c r="BI23" i="5"/>
  <c r="BJ23" i="5"/>
  <c r="BK23" i="5"/>
  <c r="BL23" i="5"/>
  <c r="BM23" i="5"/>
  <c r="BN23" i="5"/>
  <c r="BO23" i="5"/>
  <c r="BP23" i="5"/>
  <c r="BQ23" i="5"/>
  <c r="BR23" i="5"/>
  <c r="BS23" i="5"/>
  <c r="BT23" i="5"/>
  <c r="BU23" i="5"/>
  <c r="BV23" i="5"/>
  <c r="BW23" i="5"/>
  <c r="BX23" i="5"/>
  <c r="BY23" i="5"/>
  <c r="BZ23" i="5"/>
  <c r="CA23" i="5"/>
  <c r="CB23" i="5"/>
  <c r="CC23" i="5"/>
  <c r="CD23" i="5"/>
  <c r="CE23" i="5"/>
  <c r="CF23" i="5"/>
  <c r="CG23" i="5"/>
  <c r="CH23" i="5"/>
  <c r="CI23" i="5"/>
  <c r="CJ23" i="5"/>
  <c r="CK23" i="5"/>
  <c r="CL23" i="5"/>
  <c r="CM23" i="5"/>
  <c r="CN23" i="5"/>
  <c r="CO23" i="5"/>
  <c r="CP23" i="5"/>
  <c r="CQ23" i="5"/>
  <c r="CR23" i="5"/>
  <c r="CS23" i="5"/>
  <c r="CT23" i="5"/>
  <c r="CU23" i="5"/>
  <c r="CV23" i="5"/>
  <c r="CW23" i="5"/>
  <c r="CX23" i="5"/>
  <c r="CY23" i="5"/>
  <c r="CZ23" i="5"/>
  <c r="DA23" i="5"/>
  <c r="DB23" i="5"/>
  <c r="DC23" i="5"/>
  <c r="DD23" i="5"/>
  <c r="DE23" i="5"/>
  <c r="DF23" i="5"/>
  <c r="DG23" i="5"/>
  <c r="DH23" i="5"/>
  <c r="DI23" i="5"/>
  <c r="DJ23" i="5"/>
  <c r="DK23" i="5"/>
  <c r="DL23" i="5"/>
  <c r="DM23" i="5"/>
  <c r="DN23" i="5"/>
  <c r="DO23" i="5"/>
  <c r="DP23" i="5"/>
  <c r="DQ23" i="5"/>
  <c r="DR23" i="5"/>
  <c r="DS23" i="5"/>
  <c r="DT23" i="5"/>
  <c r="DU23" i="5"/>
  <c r="DV23" i="5"/>
  <c r="DW23" i="5"/>
  <c r="DX23" i="5"/>
  <c r="DY23" i="5"/>
  <c r="DZ23" i="5"/>
  <c r="EA23" i="5"/>
  <c r="EB23" i="5"/>
  <c r="EC23" i="5"/>
  <c r="ED23" i="5"/>
  <c r="EE23" i="5"/>
  <c r="EF23" i="5"/>
  <c r="EG23" i="5"/>
  <c r="EH23" i="5"/>
  <c r="EI23" i="5"/>
  <c r="EJ23" i="5"/>
  <c r="EK23" i="5"/>
  <c r="EL23" i="5"/>
  <c r="EM23" i="5"/>
  <c r="EN23" i="5"/>
  <c r="EO23" i="5"/>
  <c r="EP23" i="5"/>
  <c r="EQ23" i="5"/>
  <c r="ER23" i="5"/>
  <c r="ES23" i="5"/>
  <c r="ET23" i="5"/>
  <c r="EU23" i="5"/>
  <c r="EV23" i="5"/>
  <c r="EW23" i="5"/>
  <c r="EX23" i="5"/>
  <c r="EY23" i="5"/>
  <c r="EZ23" i="5"/>
  <c r="FA23" i="5"/>
  <c r="FB23" i="5"/>
  <c r="FC23" i="5"/>
  <c r="FD23" i="5"/>
  <c r="FE23" i="5"/>
  <c r="FF23" i="5"/>
  <c r="FG23" i="5"/>
  <c r="FH23" i="5"/>
  <c r="B31" i="5"/>
  <c r="C31" i="5"/>
  <c r="D31" i="5"/>
  <c r="E31" i="5"/>
  <c r="F31" i="5"/>
  <c r="G31" i="5"/>
  <c r="H31" i="5"/>
  <c r="I31" i="5"/>
  <c r="J31" i="5"/>
  <c r="K31" i="5"/>
  <c r="L31" i="5"/>
  <c r="M31" i="5"/>
  <c r="N31" i="5"/>
  <c r="O31" i="5"/>
  <c r="P31" i="5"/>
  <c r="Q31" i="5"/>
  <c r="R31" i="5"/>
  <c r="S31" i="5"/>
  <c r="T31" i="5"/>
  <c r="U31" i="5"/>
  <c r="V31" i="5"/>
  <c r="W31" i="5"/>
  <c r="X31" i="5"/>
  <c r="Y31" i="5"/>
  <c r="Z31" i="5"/>
  <c r="AA31" i="5"/>
  <c r="AB31" i="5"/>
  <c r="AC31" i="5"/>
  <c r="AD31" i="5"/>
  <c r="AE31" i="5"/>
  <c r="AF31" i="5"/>
  <c r="AG31" i="5"/>
  <c r="AH31" i="5"/>
  <c r="AI31" i="5"/>
  <c r="AJ31" i="5"/>
  <c r="AK31" i="5"/>
  <c r="AL31" i="5"/>
  <c r="AM31" i="5"/>
  <c r="AN31" i="5"/>
  <c r="AO31" i="5"/>
  <c r="AP31" i="5"/>
  <c r="AQ31" i="5"/>
  <c r="AR31" i="5"/>
  <c r="AS31" i="5"/>
  <c r="AT31" i="5"/>
  <c r="AU31" i="5"/>
  <c r="AV31" i="5"/>
  <c r="AW31" i="5"/>
  <c r="AX31" i="5"/>
  <c r="AY31" i="5"/>
  <c r="AZ31" i="5"/>
  <c r="BA31" i="5"/>
  <c r="BB31" i="5"/>
  <c r="BC31" i="5"/>
  <c r="BD31" i="5"/>
  <c r="BE31" i="5"/>
  <c r="BF31" i="5"/>
  <c r="BG31" i="5"/>
  <c r="BH31" i="5"/>
  <c r="BI31" i="5"/>
  <c r="BJ31" i="5"/>
  <c r="BK31" i="5"/>
  <c r="BL31" i="5"/>
  <c r="BM31" i="5"/>
  <c r="BN31" i="5"/>
  <c r="BO31" i="5"/>
  <c r="BP31" i="5"/>
  <c r="BQ31" i="5"/>
  <c r="BR31" i="5"/>
  <c r="BS31" i="5"/>
  <c r="BT31" i="5"/>
  <c r="BU31" i="5"/>
  <c r="BV31" i="5"/>
  <c r="BW31" i="5"/>
  <c r="BX31" i="5"/>
  <c r="BY31" i="5"/>
  <c r="BZ31" i="5"/>
  <c r="CA31" i="5"/>
  <c r="CB31" i="5"/>
  <c r="CC31" i="5"/>
  <c r="CD31" i="5"/>
  <c r="CE31" i="5"/>
  <c r="CF31" i="5"/>
  <c r="CG31" i="5"/>
  <c r="CH31" i="5"/>
  <c r="CI31" i="5"/>
  <c r="CJ31" i="5"/>
  <c r="CK31" i="5"/>
  <c r="CL31" i="5"/>
  <c r="CM31" i="5"/>
  <c r="CN31" i="5"/>
  <c r="CO31" i="5"/>
  <c r="CP31" i="5"/>
  <c r="CQ31" i="5"/>
  <c r="CR31" i="5"/>
  <c r="CS31" i="5"/>
  <c r="CT31" i="5"/>
  <c r="CU31" i="5"/>
  <c r="CV31" i="5"/>
  <c r="CW31" i="5"/>
  <c r="CX31" i="5"/>
  <c r="CY31" i="5"/>
  <c r="CZ31" i="5"/>
  <c r="DA31" i="5"/>
  <c r="DB31" i="5"/>
  <c r="DC31" i="5"/>
  <c r="DD31" i="5"/>
  <c r="DE31" i="5"/>
  <c r="DF31" i="5"/>
  <c r="DG31" i="5"/>
  <c r="DH31" i="5"/>
  <c r="DI31" i="5"/>
  <c r="DJ31" i="5"/>
  <c r="DK31" i="5"/>
  <c r="DL31" i="5"/>
  <c r="DM31" i="5"/>
  <c r="DN31" i="5"/>
  <c r="DO31" i="5"/>
  <c r="DP31" i="5"/>
  <c r="DQ31" i="5"/>
  <c r="DR31" i="5"/>
  <c r="DS31" i="5"/>
  <c r="DT31" i="5"/>
  <c r="DU31" i="5"/>
  <c r="DV31" i="5"/>
  <c r="DW31" i="5"/>
  <c r="DX31" i="5"/>
  <c r="DY31" i="5"/>
  <c r="DZ31" i="5"/>
  <c r="EA31" i="5"/>
  <c r="EB31" i="5"/>
  <c r="EC31" i="5"/>
  <c r="ED31" i="5"/>
  <c r="EE31" i="5"/>
  <c r="EF31" i="5"/>
  <c r="EG31" i="5"/>
  <c r="EH31" i="5"/>
  <c r="EI31" i="5"/>
  <c r="EJ31" i="5"/>
  <c r="EK31" i="5"/>
  <c r="EL31" i="5"/>
  <c r="EM31" i="5"/>
  <c r="EN31" i="5"/>
  <c r="EO31" i="5"/>
  <c r="EP31" i="5"/>
  <c r="EQ31" i="5"/>
  <c r="ER31" i="5"/>
  <c r="ES31" i="5"/>
  <c r="ET31" i="5"/>
  <c r="EU31" i="5"/>
  <c r="EV31" i="5"/>
  <c r="EW31" i="5"/>
  <c r="EX31" i="5"/>
  <c r="EY31" i="5"/>
  <c r="EZ31" i="5"/>
  <c r="FA31" i="5"/>
  <c r="FB31" i="5"/>
  <c r="FC31" i="5"/>
  <c r="FD31" i="5"/>
  <c r="FE31" i="5"/>
  <c r="FF31" i="5"/>
  <c r="FG31" i="5"/>
  <c r="FH31" i="5"/>
  <c r="B32" i="5"/>
  <c r="C32" i="5"/>
  <c r="D32" i="5"/>
  <c r="E32" i="5"/>
  <c r="F32" i="5"/>
  <c r="G32" i="5"/>
  <c r="H32" i="5"/>
  <c r="I32" i="5"/>
  <c r="J32" i="5"/>
  <c r="K32" i="5"/>
  <c r="L32" i="5"/>
  <c r="M32" i="5"/>
  <c r="N32" i="5"/>
  <c r="O32" i="5"/>
  <c r="P32" i="5"/>
  <c r="Q32" i="5"/>
  <c r="R32" i="5"/>
  <c r="S32" i="5"/>
  <c r="T32" i="5"/>
  <c r="U32" i="5"/>
  <c r="V32" i="5"/>
  <c r="W32" i="5"/>
  <c r="X32" i="5"/>
  <c r="Y32" i="5"/>
  <c r="Z32" i="5"/>
  <c r="AA32" i="5"/>
  <c r="AB32" i="5"/>
  <c r="AC32" i="5"/>
  <c r="AD32" i="5"/>
  <c r="AE32" i="5"/>
  <c r="AF32" i="5"/>
  <c r="AG32" i="5"/>
  <c r="AH32" i="5"/>
  <c r="AI32" i="5"/>
  <c r="AJ32" i="5"/>
  <c r="AK32" i="5"/>
  <c r="AL32" i="5"/>
  <c r="AM32" i="5"/>
  <c r="AN32" i="5"/>
  <c r="AO32" i="5"/>
  <c r="AP32" i="5"/>
  <c r="AQ32" i="5"/>
  <c r="AR32" i="5"/>
  <c r="AS32" i="5"/>
  <c r="AT32" i="5"/>
  <c r="AU32" i="5"/>
  <c r="AV32" i="5"/>
  <c r="AW32" i="5"/>
  <c r="AX32" i="5"/>
  <c r="AY32" i="5"/>
  <c r="AZ32" i="5"/>
  <c r="BA32" i="5"/>
  <c r="BB32" i="5"/>
  <c r="BC32" i="5"/>
  <c r="BD32" i="5"/>
  <c r="BE32" i="5"/>
  <c r="BF32" i="5"/>
  <c r="BG32" i="5"/>
  <c r="BH32" i="5"/>
  <c r="BI32" i="5"/>
  <c r="BJ32" i="5"/>
  <c r="BK32" i="5"/>
  <c r="BL32" i="5"/>
  <c r="BM32" i="5"/>
  <c r="BN32" i="5"/>
  <c r="BO32" i="5"/>
  <c r="BP32" i="5"/>
  <c r="BQ32" i="5"/>
  <c r="BR32" i="5"/>
  <c r="BS32" i="5"/>
  <c r="BT32" i="5"/>
  <c r="BU32" i="5"/>
  <c r="BV32" i="5"/>
  <c r="BW32" i="5"/>
  <c r="BX32" i="5"/>
  <c r="BY32" i="5"/>
  <c r="BZ32" i="5"/>
  <c r="CA32" i="5"/>
  <c r="CB32" i="5"/>
  <c r="CC32" i="5"/>
  <c r="CD32" i="5"/>
  <c r="CE32" i="5"/>
  <c r="CF32" i="5"/>
  <c r="CG32" i="5"/>
  <c r="CH32" i="5"/>
  <c r="CI32" i="5"/>
  <c r="CJ32" i="5"/>
  <c r="CK32" i="5"/>
  <c r="CL32" i="5"/>
  <c r="CM32" i="5"/>
  <c r="CN32" i="5"/>
  <c r="CO32" i="5"/>
  <c r="CP32" i="5"/>
  <c r="CQ32" i="5"/>
  <c r="CR32" i="5"/>
  <c r="CS32" i="5"/>
  <c r="CT32" i="5"/>
  <c r="CU32" i="5"/>
  <c r="CV32" i="5"/>
  <c r="CW32" i="5"/>
  <c r="CX32" i="5"/>
  <c r="CY32" i="5"/>
  <c r="CZ32" i="5"/>
  <c r="DA32" i="5"/>
  <c r="DB32" i="5"/>
  <c r="DC32" i="5"/>
  <c r="DD32" i="5"/>
  <c r="DE32" i="5"/>
  <c r="DF32" i="5"/>
  <c r="DG32" i="5"/>
  <c r="DH32" i="5"/>
  <c r="DI32" i="5"/>
  <c r="DJ32" i="5"/>
  <c r="DK32" i="5"/>
  <c r="DL32" i="5"/>
  <c r="DM32" i="5"/>
  <c r="DN32" i="5"/>
  <c r="DO32" i="5"/>
  <c r="DP32" i="5"/>
  <c r="DQ32" i="5"/>
  <c r="DR32" i="5"/>
  <c r="DS32" i="5"/>
  <c r="DT32" i="5"/>
  <c r="DU32" i="5"/>
  <c r="DV32" i="5"/>
  <c r="DW32" i="5"/>
  <c r="DX32" i="5"/>
  <c r="DY32" i="5"/>
  <c r="DZ32" i="5"/>
  <c r="EA32" i="5"/>
  <c r="EB32" i="5"/>
  <c r="EC32" i="5"/>
  <c r="ED32" i="5"/>
  <c r="EE32" i="5"/>
  <c r="EF32" i="5"/>
  <c r="EG32" i="5"/>
  <c r="EH32" i="5"/>
  <c r="EI32" i="5"/>
  <c r="EJ32" i="5"/>
  <c r="EK32" i="5"/>
  <c r="EL32" i="5"/>
  <c r="EM32" i="5"/>
  <c r="EN32" i="5"/>
  <c r="EO32" i="5"/>
  <c r="EP32" i="5"/>
  <c r="EQ32" i="5"/>
  <c r="ER32" i="5"/>
  <c r="ES32" i="5"/>
  <c r="ET32" i="5"/>
  <c r="EU32" i="5"/>
  <c r="EV32" i="5"/>
  <c r="EW32" i="5"/>
  <c r="EX32" i="5"/>
  <c r="EY32" i="5"/>
  <c r="EZ32" i="5"/>
  <c r="FA32" i="5"/>
  <c r="FB32" i="5"/>
  <c r="FC32" i="5"/>
  <c r="FD32" i="5"/>
  <c r="FE32" i="5"/>
  <c r="FF32" i="5"/>
  <c r="FG32" i="5"/>
  <c r="FH32" i="5"/>
  <c r="EV33" i="5"/>
  <c r="AB35" i="5"/>
  <c r="AC35" i="5"/>
  <c r="AD35" i="5"/>
  <c r="AE35" i="5"/>
  <c r="AF35" i="5"/>
  <c r="AG35" i="5"/>
  <c r="AH35" i="5"/>
  <c r="AI35" i="5"/>
  <c r="AJ35" i="5"/>
  <c r="AK35" i="5"/>
  <c r="AL35" i="5"/>
  <c r="AM35" i="5"/>
  <c r="AN35" i="5"/>
  <c r="AO35" i="5"/>
  <c r="AP35" i="5"/>
  <c r="AQ35" i="5"/>
  <c r="AR35" i="5"/>
  <c r="AS35" i="5"/>
  <c r="AT35" i="5"/>
  <c r="AU35" i="5"/>
  <c r="AV35" i="5"/>
  <c r="AW35" i="5"/>
  <c r="AX35" i="5"/>
  <c r="AY35" i="5"/>
  <c r="AZ35" i="5"/>
  <c r="BA35" i="5"/>
  <c r="BB35" i="5"/>
  <c r="BC35" i="5"/>
  <c r="BD35" i="5"/>
  <c r="BE35" i="5"/>
  <c r="BF35" i="5"/>
  <c r="BG35" i="5"/>
  <c r="BH35" i="5"/>
  <c r="BI35" i="5"/>
  <c r="BJ35" i="5"/>
  <c r="BK35" i="5"/>
  <c r="BL35" i="5"/>
  <c r="BM35" i="5"/>
  <c r="BN35" i="5"/>
  <c r="BO35" i="5"/>
  <c r="BP35" i="5"/>
  <c r="BQ35" i="5"/>
  <c r="BR35" i="5"/>
  <c r="BS35" i="5"/>
  <c r="BT35" i="5"/>
  <c r="BU35" i="5"/>
  <c r="BV35" i="5"/>
  <c r="BW35" i="5"/>
  <c r="BX35" i="5"/>
  <c r="BY35" i="5"/>
  <c r="BZ35" i="5"/>
  <c r="CA35" i="5"/>
  <c r="CB35" i="5"/>
  <c r="CC35" i="5"/>
  <c r="CD35" i="5"/>
  <c r="CE35" i="5"/>
  <c r="CF35" i="5"/>
  <c r="CG35" i="5"/>
  <c r="CH35" i="5"/>
  <c r="CI35" i="5"/>
  <c r="CJ35" i="5"/>
  <c r="CK35" i="5"/>
  <c r="CL35" i="5"/>
  <c r="CM35" i="5"/>
  <c r="CN35" i="5"/>
  <c r="CO35" i="5"/>
  <c r="CP35" i="5"/>
  <c r="CQ35" i="5"/>
  <c r="CR35" i="5"/>
  <c r="CS35" i="5"/>
  <c r="CT35" i="5"/>
  <c r="CU35" i="5"/>
  <c r="CV35" i="5"/>
  <c r="CW35" i="5"/>
  <c r="CX35" i="5"/>
  <c r="CY35" i="5"/>
  <c r="CZ35" i="5"/>
  <c r="DA35" i="5"/>
  <c r="DB35" i="5"/>
  <c r="DC35" i="5"/>
  <c r="DD35" i="5"/>
  <c r="DE35" i="5"/>
  <c r="DF35" i="5"/>
  <c r="DG35" i="5"/>
  <c r="DH35" i="5"/>
  <c r="DI35" i="5"/>
  <c r="DJ35" i="5"/>
  <c r="DK35" i="5"/>
  <c r="DL35" i="5"/>
  <c r="DM35" i="5"/>
  <c r="DN35" i="5"/>
  <c r="DO35" i="5"/>
  <c r="DP35" i="5"/>
  <c r="DQ35" i="5"/>
  <c r="DR35" i="5"/>
  <c r="DS35" i="5"/>
  <c r="DT35" i="5"/>
  <c r="DU35" i="5"/>
  <c r="DV35" i="5"/>
  <c r="DW35" i="5"/>
  <c r="DX35" i="5"/>
  <c r="DY35" i="5"/>
  <c r="DZ35" i="5"/>
  <c r="EA35" i="5"/>
  <c r="EB35" i="5"/>
  <c r="EC35" i="5"/>
  <c r="ED35" i="5"/>
  <c r="EE35" i="5"/>
  <c r="EF35" i="5"/>
  <c r="EG35" i="5"/>
  <c r="EH35" i="5"/>
  <c r="EI35" i="5"/>
  <c r="EJ35" i="5"/>
  <c r="EK35" i="5"/>
  <c r="EL35" i="5"/>
  <c r="EM35" i="5"/>
  <c r="EN35" i="5"/>
  <c r="EO35" i="5"/>
  <c r="EP35" i="5"/>
  <c r="EQ35" i="5"/>
  <c r="ER35" i="5"/>
  <c r="ES35" i="5"/>
  <c r="ET35" i="5"/>
  <c r="EU35" i="5"/>
  <c r="EV35" i="5"/>
  <c r="EW35" i="5"/>
  <c r="EX35" i="5"/>
  <c r="EY35" i="5"/>
  <c r="EZ35" i="5"/>
  <c r="FA35" i="5"/>
  <c r="FB35" i="5"/>
  <c r="FC35" i="5"/>
  <c r="FD35" i="5"/>
  <c r="FE35" i="5"/>
  <c r="FF35" i="5"/>
  <c r="FG35" i="5"/>
  <c r="FH35" i="5"/>
  <c r="Z41" i="5"/>
  <c r="AA41" i="5"/>
  <c r="AB41" i="5"/>
  <c r="AC41" i="5"/>
  <c r="AD41" i="5"/>
  <c r="AI41" i="5"/>
  <c r="AJ41" i="5"/>
  <c r="AK41" i="5"/>
  <c r="AL41" i="5"/>
  <c r="AQ41" i="5"/>
  <c r="AR41" i="5"/>
  <c r="AS41" i="5"/>
  <c r="AT41" i="5"/>
  <c r="AU41" i="5"/>
  <c r="AV41" i="5"/>
  <c r="AW41" i="5"/>
  <c r="AX41" i="5"/>
  <c r="AY41" i="5"/>
  <c r="AZ41" i="5"/>
  <c r="BA41" i="5"/>
  <c r="BB41" i="5"/>
  <c r="BC41" i="5"/>
  <c r="BD41" i="5"/>
  <c r="BL41" i="5"/>
  <c r="BM41" i="5"/>
  <c r="BN41" i="5"/>
  <c r="BO41" i="5"/>
  <c r="BP41" i="5"/>
  <c r="BQ41" i="5"/>
  <c r="BR41" i="5"/>
  <c r="BS41" i="5"/>
  <c r="BT41" i="5"/>
  <c r="BU41" i="5"/>
  <c r="BV41" i="5"/>
  <c r="BW41" i="5"/>
  <c r="BX41" i="5"/>
  <c r="BY41" i="5"/>
  <c r="BZ41" i="5"/>
  <c r="CA41" i="5"/>
  <c r="CB41" i="5"/>
  <c r="CC41" i="5"/>
  <c r="CD41" i="5"/>
  <c r="CE41" i="5"/>
  <c r="CF41" i="5"/>
  <c r="CG41" i="5"/>
  <c r="CH41" i="5"/>
  <c r="CI41" i="5"/>
  <c r="CJ41" i="5"/>
  <c r="CK41" i="5"/>
  <c r="CL41" i="5"/>
  <c r="ED41" i="5"/>
  <c r="EE41" i="5"/>
  <c r="EF41" i="5"/>
  <c r="EG41" i="5"/>
  <c r="EH41" i="5"/>
  <c r="EI41" i="5"/>
  <c r="EJ41" i="5"/>
  <c r="EK41" i="5"/>
  <c r="EL41" i="5"/>
  <c r="EM41" i="5"/>
  <c r="EN41" i="5"/>
  <c r="EO41" i="5"/>
  <c r="FH41" i="5"/>
  <c r="BR33" i="1"/>
  <c r="BX17" i="1"/>
  <c r="CK38" i="1"/>
  <c r="CJ38" i="1"/>
  <c r="CI38" i="1"/>
  <c r="CH38" i="1"/>
  <c r="CG38" i="1"/>
  <c r="CF38" i="1"/>
  <c r="CE38" i="1"/>
  <c r="CD38" i="1"/>
  <c r="CC38" i="1"/>
  <c r="CB38" i="1"/>
  <c r="CA38" i="1"/>
  <c r="BZ38" i="1"/>
  <c r="BY38" i="1"/>
  <c r="BW38" i="1"/>
  <c r="BV38" i="1"/>
  <c r="BU38" i="1"/>
  <c r="BT38" i="1"/>
  <c r="BS38" i="1"/>
  <c r="BR38" i="1"/>
  <c r="D45" i="2"/>
  <c r="E45" i="2"/>
  <c r="F45" i="2"/>
  <c r="G45" i="2"/>
  <c r="H45" i="2"/>
  <c r="I45" i="2"/>
  <c r="J45" i="2"/>
  <c r="K45" i="2"/>
  <c r="L45" i="2"/>
  <c r="M45" i="2"/>
  <c r="N45" i="2"/>
  <c r="O45" i="2"/>
  <c r="P45" i="2"/>
  <c r="Q45" i="2"/>
  <c r="R45" i="2"/>
  <c r="S45" i="2"/>
  <c r="T45" i="2"/>
  <c r="U45" i="2"/>
  <c r="V45" i="2"/>
  <c r="W45" i="2"/>
  <c r="X45" i="2"/>
  <c r="Y45" i="2"/>
  <c r="Z45" i="2"/>
  <c r="AA45" i="2"/>
  <c r="AB45" i="2"/>
  <c r="AC45" i="2"/>
  <c r="AD45" i="2"/>
  <c r="AE45" i="2"/>
  <c r="AF45" i="2"/>
  <c r="AG45" i="2"/>
  <c r="AH45" i="2"/>
  <c r="AI45" i="2"/>
  <c r="AJ45" i="2"/>
  <c r="AK45" i="2"/>
  <c r="AL45" i="2"/>
  <c r="AM45" i="2"/>
  <c r="AN45" i="2"/>
  <c r="AO45" i="2"/>
  <c r="AP45" i="2"/>
  <c r="AQ45" i="2"/>
  <c r="AR45" i="2"/>
  <c r="AS45" i="2"/>
  <c r="AT45" i="2"/>
  <c r="AU45" i="2"/>
  <c r="AV45" i="2"/>
  <c r="AW45" i="2"/>
  <c r="AX45" i="2"/>
  <c r="AY45" i="2"/>
  <c r="AZ45" i="2"/>
  <c r="BA45" i="2"/>
  <c r="BB45" i="2"/>
  <c r="BC45" i="2"/>
  <c r="BD45" i="2"/>
  <c r="BE45" i="2"/>
  <c r="BF45" i="2"/>
  <c r="BG45" i="2"/>
  <c r="BH45" i="2"/>
  <c r="BI45" i="2"/>
  <c r="BJ45" i="2"/>
  <c r="BK45" i="2"/>
  <c r="BL45" i="2"/>
  <c r="BM45" i="2"/>
  <c r="BN45" i="2"/>
  <c r="BO45" i="2"/>
  <c r="BP45" i="2"/>
  <c r="BQ45" i="2"/>
  <c r="BR45" i="2"/>
  <c r="BS45" i="2"/>
  <c r="BT45" i="2"/>
  <c r="BU45" i="2"/>
  <c r="BV45" i="2"/>
  <c r="BW45" i="2"/>
  <c r="BX45" i="2"/>
  <c r="BY45" i="2"/>
  <c r="BZ45" i="2"/>
  <c r="CA45" i="2"/>
  <c r="CB45" i="2"/>
  <c r="CC45" i="2"/>
  <c r="CD45" i="2"/>
  <c r="CE45" i="2"/>
  <c r="CF45" i="2"/>
  <c r="CG45" i="2"/>
  <c r="CH45" i="2"/>
  <c r="CI45" i="2"/>
  <c r="CJ45" i="2"/>
  <c r="CK45" i="2"/>
  <c r="CL45" i="2"/>
  <c r="CM45" i="2"/>
  <c r="CN45" i="2"/>
  <c r="CO45" i="2"/>
  <c r="CP45" i="2"/>
  <c r="CQ45" i="2"/>
  <c r="CR45" i="2"/>
  <c r="CS45" i="2"/>
  <c r="CT45" i="2"/>
  <c r="CU45" i="2"/>
  <c r="CV45" i="2"/>
  <c r="CW45" i="2"/>
  <c r="CX45" i="2"/>
  <c r="CY45" i="2"/>
  <c r="CZ45" i="2"/>
  <c r="DA45" i="2"/>
  <c r="DB45" i="2"/>
  <c r="DC45" i="2"/>
  <c r="DD45" i="2"/>
  <c r="DE45" i="2"/>
  <c r="DF45" i="2"/>
  <c r="DG45" i="2"/>
  <c r="DH45" i="2"/>
  <c r="DI45" i="2"/>
  <c r="DJ45" i="2"/>
  <c r="DK45" i="2"/>
  <c r="DL45" i="2"/>
  <c r="DM45" i="2"/>
  <c r="DN45" i="2"/>
  <c r="DO45" i="2"/>
  <c r="DP45" i="2"/>
  <c r="DQ45" i="2"/>
  <c r="DR45" i="2"/>
  <c r="DS45" i="2"/>
  <c r="DT45" i="2"/>
  <c r="DU45" i="2"/>
  <c r="DV45" i="2"/>
  <c r="DW45" i="2"/>
  <c r="DX45" i="2"/>
  <c r="DY45" i="2"/>
  <c r="DZ45" i="2"/>
  <c r="EA45" i="2"/>
  <c r="EB45" i="2"/>
  <c r="EC45" i="2"/>
  <c r="ED45" i="2"/>
  <c r="EE45" i="2"/>
  <c r="EF45" i="2"/>
  <c r="EG45" i="2"/>
  <c r="EH45" i="2"/>
  <c r="EI45" i="2"/>
  <c r="EJ45" i="2"/>
  <c r="EK45" i="2"/>
  <c r="EL45" i="2"/>
  <c r="EM45" i="2"/>
  <c r="EN45" i="2"/>
  <c r="EO45" i="2"/>
  <c r="EP45" i="2"/>
  <c r="EQ45" i="2"/>
  <c r="ER45" i="2"/>
  <c r="ES45" i="2"/>
  <c r="ET45" i="2"/>
  <c r="EU45" i="2"/>
  <c r="EV45" i="2"/>
  <c r="EW45" i="2"/>
  <c r="EX45" i="2"/>
  <c r="EY45" i="2"/>
  <c r="EZ45" i="2"/>
  <c r="FA45" i="2"/>
  <c r="FB45" i="2"/>
  <c r="FC45" i="2"/>
  <c r="FD45" i="2"/>
  <c r="FE45" i="2"/>
  <c r="FF45" i="2"/>
  <c r="FG45" i="2"/>
  <c r="FH45" i="2"/>
  <c r="FI45" i="2"/>
  <c r="C45" i="2"/>
  <c r="FI44" i="2"/>
  <c r="FH44" i="2"/>
  <c r="FG44" i="2"/>
  <c r="FF44" i="2"/>
  <c r="FE44" i="2"/>
  <c r="FD44" i="2"/>
  <c r="FC44" i="2"/>
  <c r="FB44" i="2"/>
  <c r="FA44" i="2"/>
  <c r="EZ44" i="2"/>
  <c r="EY44" i="2"/>
  <c r="EX44" i="2"/>
  <c r="EW44" i="2"/>
  <c r="EV44" i="2"/>
  <c r="EU44" i="2"/>
  <c r="ET44" i="2"/>
  <c r="ES44" i="2"/>
  <c r="ER44" i="2"/>
  <c r="EQ44" i="2"/>
  <c r="EP44" i="2"/>
  <c r="EO44" i="2"/>
  <c r="EN44" i="2"/>
  <c r="EM44" i="2"/>
  <c r="EL44" i="2"/>
  <c r="EK44" i="2"/>
  <c r="EJ44" i="2"/>
  <c r="EI44" i="2"/>
  <c r="EH44" i="2"/>
  <c r="EG44" i="2"/>
  <c r="EF44" i="2"/>
  <c r="EE44" i="2"/>
  <c r="ED44" i="2"/>
  <c r="EC44" i="2"/>
  <c r="EB44" i="2"/>
  <c r="EA44" i="2"/>
  <c r="DZ44" i="2"/>
  <c r="DY44" i="2"/>
  <c r="DX44" i="2"/>
  <c r="DW44" i="2"/>
  <c r="DV44" i="2"/>
  <c r="DU44" i="2"/>
  <c r="DT44" i="2"/>
  <c r="DS44" i="2"/>
  <c r="DR44" i="2"/>
  <c r="DQ44" i="2"/>
  <c r="DP44" i="2"/>
  <c r="DO44" i="2"/>
  <c r="DN44" i="2"/>
  <c r="DM44" i="2"/>
  <c r="DL44" i="2"/>
  <c r="DK44" i="2"/>
  <c r="DJ44" i="2"/>
  <c r="DI44" i="2"/>
  <c r="DH44" i="2"/>
  <c r="DG44" i="2"/>
  <c r="DF44" i="2"/>
  <c r="DE44" i="2"/>
  <c r="DD44" i="2"/>
  <c r="DC44" i="2"/>
  <c r="DB44" i="2"/>
  <c r="DA44" i="2"/>
  <c r="CZ44" i="2"/>
  <c r="CY44" i="2"/>
  <c r="CX44" i="2"/>
  <c r="CW44" i="2"/>
  <c r="CV44" i="2"/>
  <c r="CU44" i="2"/>
  <c r="CT44" i="2"/>
  <c r="CS44" i="2"/>
  <c r="CR44" i="2"/>
  <c r="CQ44" i="2"/>
  <c r="CP44" i="2"/>
  <c r="CO44" i="2"/>
  <c r="CN44" i="2"/>
  <c r="CM44" i="2"/>
  <c r="CL44" i="2"/>
  <c r="CK44" i="2"/>
  <c r="CJ44" i="2"/>
  <c r="CI44" i="2"/>
  <c r="CH44" i="2"/>
  <c r="CG44" i="2"/>
  <c r="CF44" i="2"/>
  <c r="CE44" i="2"/>
  <c r="CD44" i="2"/>
  <c r="CC44" i="2"/>
  <c r="CB44" i="2"/>
  <c r="CA44" i="2"/>
  <c r="BZ44" i="2"/>
  <c r="BY44" i="2"/>
  <c r="BX44" i="2"/>
  <c r="BW44" i="2"/>
  <c r="BV44" i="2"/>
  <c r="BU44" i="2"/>
  <c r="BT44" i="2"/>
  <c r="BS44" i="2"/>
  <c r="BR44" i="2"/>
  <c r="BQ44" i="2"/>
  <c r="BP44" i="2"/>
  <c r="BO44" i="2"/>
  <c r="BN44" i="2"/>
  <c r="BM44" i="2"/>
  <c r="BL44" i="2"/>
  <c r="BK44" i="2"/>
  <c r="BJ44" i="2"/>
  <c r="BI44" i="2"/>
  <c r="BH44" i="2"/>
  <c r="BG44" i="2"/>
  <c r="BF44" i="2"/>
  <c r="BE44" i="2"/>
  <c r="BD44" i="2"/>
  <c r="BC44" i="2"/>
  <c r="BB44" i="2"/>
  <c r="BA44" i="2"/>
  <c r="AZ44" i="2"/>
  <c r="AY44" i="2"/>
  <c r="AX44" i="2"/>
  <c r="AW44" i="2"/>
  <c r="AV44" i="2"/>
  <c r="AU44" i="2"/>
  <c r="AT44" i="2"/>
  <c r="AS44" i="2"/>
  <c r="AR44" i="2"/>
  <c r="AQ44" i="2"/>
  <c r="AP44" i="2"/>
  <c r="AO44" i="2"/>
  <c r="AN44" i="2"/>
  <c r="AM44" i="2"/>
  <c r="AL44" i="2"/>
  <c r="AK44" i="2"/>
  <c r="AJ44" i="2"/>
  <c r="AI44" i="2"/>
  <c r="AH44" i="2"/>
  <c r="AG44" i="2"/>
  <c r="AF44" i="2"/>
  <c r="AE44" i="2"/>
  <c r="AD44" i="2"/>
  <c r="AC44" i="2"/>
  <c r="AB44" i="2"/>
  <c r="AA44" i="2"/>
  <c r="Z44" i="2"/>
  <c r="Y44" i="2"/>
  <c r="X44" i="2"/>
  <c r="W44" i="2"/>
  <c r="V44" i="2"/>
  <c r="U44" i="2"/>
  <c r="T44" i="2"/>
  <c r="S44" i="2"/>
  <c r="R44" i="2"/>
  <c r="Q44" i="2"/>
  <c r="P44" i="2"/>
  <c r="O44" i="2"/>
  <c r="N44" i="2"/>
  <c r="M44" i="2"/>
  <c r="L44" i="2"/>
  <c r="K44" i="2"/>
  <c r="J44" i="2"/>
  <c r="I44" i="2"/>
  <c r="H44" i="2"/>
  <c r="G44" i="2"/>
  <c r="F44" i="2"/>
  <c r="E44" i="2"/>
  <c r="D44" i="2"/>
  <c r="C44" i="2"/>
  <c r="N43" i="2"/>
  <c r="M43" i="2"/>
  <c r="L43" i="2"/>
  <c r="K43" i="2"/>
  <c r="J43" i="2"/>
  <c r="I43" i="2"/>
  <c r="H43" i="2"/>
  <c r="G43" i="2"/>
  <c r="F43" i="2"/>
  <c r="E43" i="2"/>
  <c r="D43" i="2"/>
  <c r="C43" i="2"/>
  <c r="O43" i="2"/>
  <c r="FI16" i="2"/>
  <c r="FH16" i="2"/>
  <c r="FG16" i="2"/>
  <c r="FF16" i="2"/>
  <c r="FI12" i="2"/>
  <c r="FH12" i="2"/>
  <c r="FG12" i="2"/>
  <c r="FF12" i="2"/>
  <c r="FI11" i="2"/>
  <c r="FH11" i="2"/>
  <c r="FG11" i="2"/>
  <c r="FF11" i="2"/>
  <c r="FI43" i="2"/>
  <c r="FH43" i="2"/>
  <c r="FG43" i="2"/>
  <c r="FF43" i="2"/>
  <c r="FI41" i="2"/>
  <c r="FH14" i="2"/>
  <c r="FG14" i="2"/>
  <c r="FF14" i="2"/>
  <c r="FI14" i="2"/>
  <c r="FI35" i="2"/>
  <c r="FH35" i="2"/>
  <c r="FG35" i="2"/>
  <c r="FF35" i="2"/>
  <c r="FI31" i="2"/>
  <c r="FI32" i="2" s="1"/>
  <c r="FH31" i="2"/>
  <c r="FH32" i="2" s="1"/>
  <c r="FG31" i="2"/>
  <c r="FG32" i="2" s="1"/>
  <c r="FF31" i="2"/>
  <c r="FF32" i="2" s="1"/>
  <c r="FI30" i="2"/>
  <c r="FH30" i="2"/>
  <c r="FG30" i="2"/>
  <c r="FF30" i="2"/>
  <c r="FI29" i="2"/>
  <c r="FH29" i="2"/>
  <c r="FG29" i="2"/>
  <c r="FF29" i="2"/>
  <c r="FI27" i="2"/>
  <c r="FH27" i="2"/>
  <c r="FG27" i="2"/>
  <c r="FF27" i="2"/>
  <c r="FE43" i="2"/>
  <c r="FD43" i="2"/>
  <c r="FC43" i="2"/>
  <c r="FB43" i="2"/>
  <c r="FA43" i="2"/>
  <c r="FE35" i="2"/>
  <c r="FD35" i="2"/>
  <c r="FC35" i="2"/>
  <c r="FB35" i="2"/>
  <c r="FA35" i="2"/>
  <c r="FE31" i="2"/>
  <c r="FE32" i="2" s="1"/>
  <c r="FD31" i="2"/>
  <c r="FD32" i="2" s="1"/>
  <c r="FC31" i="2"/>
  <c r="FC32" i="2" s="1"/>
  <c r="FB31" i="2"/>
  <c r="FB32" i="2" s="1"/>
  <c r="FA31" i="2"/>
  <c r="FA32" i="2" s="1"/>
  <c r="FE30" i="2"/>
  <c r="FD30" i="2"/>
  <c r="FC30" i="2"/>
  <c r="FB30" i="2"/>
  <c r="FA30" i="2"/>
  <c r="FE29" i="2"/>
  <c r="FD29" i="2"/>
  <c r="FC29" i="2"/>
  <c r="FB29" i="2"/>
  <c r="FA29" i="2"/>
  <c r="FE16" i="2"/>
  <c r="FD16" i="2"/>
  <c r="FC16" i="2"/>
  <c r="FB16" i="2"/>
  <c r="FA16" i="2"/>
  <c r="FE12" i="2"/>
  <c r="FD12" i="2"/>
  <c r="FC12" i="2"/>
  <c r="FE11" i="2"/>
  <c r="FD11" i="2"/>
  <c r="FC11" i="2"/>
  <c r="FB12" i="2"/>
  <c r="FB11" i="2"/>
  <c r="FA12" i="2"/>
  <c r="FA11" i="2"/>
  <c r="FE14" i="2"/>
  <c r="FD14" i="2"/>
  <c r="FC14" i="2"/>
  <c r="FB14" i="2"/>
  <c r="FA14" i="2"/>
  <c r="FE28" i="2"/>
  <c r="FD28" i="2"/>
  <c r="FC28" i="2"/>
  <c r="FB28" i="2"/>
  <c r="FA28" i="2"/>
  <c r="FE27" i="2"/>
  <c r="FD27" i="2"/>
  <c r="FC27" i="2"/>
  <c r="FB27" i="2"/>
  <c r="FA27" i="2"/>
  <c r="EZ35" i="2"/>
  <c r="EY35" i="2"/>
  <c r="EX35" i="2"/>
  <c r="EZ31" i="2"/>
  <c r="EZ32" i="2" s="1"/>
  <c r="EY31" i="2"/>
  <c r="EY32" i="2" s="1"/>
  <c r="EX31" i="2"/>
  <c r="EX32" i="2" s="1"/>
  <c r="EW31" i="2"/>
  <c r="EW32" i="2" s="1"/>
  <c r="EZ27" i="2"/>
  <c r="EZ43" i="2" s="1"/>
  <c r="EY27" i="2"/>
  <c r="EY43" i="2" s="1"/>
  <c r="EX27" i="2"/>
  <c r="EX43" i="2" s="1"/>
  <c r="EW27" i="2"/>
  <c r="EW43" i="2" s="1"/>
  <c r="EZ12" i="2"/>
  <c r="EY12" i="2"/>
  <c r="EX12" i="2"/>
  <c r="EW12" i="2"/>
  <c r="EZ11" i="2"/>
  <c r="EY11" i="2"/>
  <c r="EX11" i="2"/>
  <c r="EW11" i="2"/>
  <c r="EW33" i="2"/>
  <c r="EW35" i="2" s="1"/>
  <c r="EY15" i="2"/>
  <c r="EX15" i="2"/>
  <c r="EW15" i="2"/>
  <c r="EZ15" i="2"/>
  <c r="EV35" i="2"/>
  <c r="EU35" i="2"/>
  <c r="ET35" i="2"/>
  <c r="ES35" i="2"/>
  <c r="ER35" i="2"/>
  <c r="EQ35" i="2"/>
  <c r="EV31" i="2"/>
  <c r="EV32" i="2" s="1"/>
  <c r="EU31" i="2"/>
  <c r="EU32" i="2" s="1"/>
  <c r="ET31" i="2"/>
  <c r="ET32" i="2" s="1"/>
  <c r="ES31" i="2"/>
  <c r="ES32" i="2" s="1"/>
  <c r="ER31" i="2"/>
  <c r="ER32" i="2" s="1"/>
  <c r="EQ31" i="2"/>
  <c r="EQ32" i="2" s="1"/>
  <c r="EV27" i="2"/>
  <c r="EV43" i="2" s="1"/>
  <c r="EU27" i="2"/>
  <c r="EU43" i="2" s="1"/>
  <c r="ET27" i="2"/>
  <c r="ET43" i="2" s="1"/>
  <c r="ES27" i="2"/>
  <c r="ES43" i="2" s="1"/>
  <c r="ER27" i="2"/>
  <c r="ER43" i="2" s="1"/>
  <c r="EQ27" i="2"/>
  <c r="EQ43" i="2" s="1"/>
  <c r="EV12" i="2"/>
  <c r="EV16" i="2" s="1"/>
  <c r="EU12" i="2"/>
  <c r="EU16" i="2" s="1"/>
  <c r="ET12" i="2"/>
  <c r="ET16" i="2" s="1"/>
  <c r="ES12" i="2"/>
  <c r="ES16" i="2" s="1"/>
  <c r="ER12" i="2"/>
  <c r="ER16" i="2" s="1"/>
  <c r="EQ12" i="2"/>
  <c r="EQ16" i="2" s="1"/>
  <c r="EV11" i="2"/>
  <c r="EU11" i="2"/>
  <c r="ET11" i="2"/>
  <c r="ES11" i="2"/>
  <c r="ER11" i="2"/>
  <c r="EQ11" i="2"/>
  <c r="BQ41" i="1"/>
  <c r="BQ17" i="1"/>
  <c r="BP41" i="1"/>
  <c r="BO35" i="1"/>
  <c r="BO17" i="1"/>
  <c r="BN35" i="1"/>
  <c r="BM35" i="1"/>
  <c r="BL17" i="1"/>
  <c r="BL35" i="1"/>
  <c r="BL41" i="1"/>
  <c r="BK35" i="1"/>
  <c r="BK17" i="1"/>
  <c r="BJ30" i="1"/>
  <c r="BJ51" i="1" s="1"/>
  <c r="BJ41" i="1"/>
  <c r="BJ17" i="1"/>
  <c r="BI41" i="1"/>
  <c r="BH41" i="1"/>
  <c r="BI17" i="1"/>
  <c r="BI30" i="1"/>
  <c r="BI51" i="1" s="1"/>
  <c r="BH35" i="1"/>
  <c r="BH17" i="1"/>
  <c r="BG17" i="1"/>
  <c r="BF17" i="1"/>
  <c r="BG29" i="1"/>
  <c r="BG30" i="1" s="1"/>
  <c r="BG51" i="1" s="1"/>
  <c r="BF29" i="1"/>
  <c r="BF30" i="1" s="1"/>
  <c r="BF51" i="1" s="1"/>
  <c r="BE17" i="1"/>
  <c r="BD17" i="1"/>
  <c r="BC17" i="1"/>
  <c r="BC41" i="1"/>
  <c r="BB17" i="1"/>
  <c r="BB41" i="1"/>
  <c r="BA30" i="1"/>
  <c r="BA51" i="1" s="1"/>
  <c r="AZ30" i="1"/>
  <c r="AZ51" i="1" s="1"/>
  <c r="AZ41" i="1"/>
  <c r="BA41" i="1"/>
  <c r="BA17" i="1"/>
  <c r="C17" i="1"/>
  <c r="D17" i="1"/>
  <c r="E17" i="1"/>
  <c r="F17" i="1"/>
  <c r="G17" i="1"/>
  <c r="H17" i="1"/>
  <c r="I17" i="1"/>
  <c r="J17" i="1"/>
  <c r="K17" i="1"/>
  <c r="L17" i="1"/>
  <c r="M17" i="1"/>
  <c r="N17" i="1"/>
  <c r="O17" i="1"/>
  <c r="P17" i="1"/>
  <c r="Q17" i="1"/>
  <c r="R17" i="1"/>
  <c r="S17" i="1"/>
  <c r="T17" i="1"/>
  <c r="U17" i="1"/>
  <c r="V17" i="1"/>
  <c r="W17" i="1"/>
  <c r="X17" i="1"/>
  <c r="Y17" i="1"/>
  <c r="Z17" i="1"/>
  <c r="AB17" i="1"/>
  <c r="AC17" i="1"/>
  <c r="AD17" i="1"/>
  <c r="AE17" i="1"/>
  <c r="AF17" i="1"/>
  <c r="AG17" i="1"/>
  <c r="AH17" i="1"/>
  <c r="AJ17" i="1"/>
  <c r="AM17" i="1"/>
  <c r="AN17" i="1"/>
  <c r="AO17" i="1"/>
  <c r="AP17" i="1"/>
  <c r="AQ17" i="1"/>
  <c r="AR17" i="1"/>
  <c r="AS17" i="1"/>
  <c r="AT17" i="1"/>
  <c r="AW17" i="1"/>
  <c r="AX17" i="1"/>
  <c r="AY17" i="1"/>
  <c r="AZ17" i="1"/>
  <c r="AY41" i="1"/>
  <c r="FA22" i="2"/>
  <c r="FB22" i="2"/>
  <c r="FC22" i="2"/>
  <c r="FD22" i="2"/>
  <c r="FE22" i="2"/>
  <c r="FF22" i="2"/>
  <c r="FG22" i="2"/>
  <c r="FH22" i="2"/>
  <c r="FI22" i="2"/>
  <c r="FI28" i="2"/>
  <c r="FH28" i="2"/>
  <c r="FG28" i="2"/>
  <c r="FF28" i="2"/>
  <c r="EZ22" i="2"/>
  <c r="EZ20" i="2"/>
  <c r="EY22" i="2"/>
  <c r="EY20" i="2"/>
  <c r="EX22" i="2"/>
  <c r="EX20" i="2"/>
  <c r="EW22" i="2"/>
  <c r="EV22" i="2"/>
  <c r="EU22" i="2"/>
  <c r="ET22" i="2"/>
  <c r="ES22" i="2"/>
  <c r="ER22" i="2"/>
  <c r="EQ22" i="2"/>
  <c r="EV14" i="2"/>
  <c r="EU14" i="2"/>
  <c r="ET14" i="2"/>
  <c r="ES14" i="2"/>
  <c r="ER14" i="2"/>
  <c r="EQ14" i="2"/>
  <c r="EP35" i="2"/>
  <c r="EO35" i="2"/>
  <c r="EN35" i="2"/>
  <c r="EM35" i="2"/>
  <c r="EL35" i="2"/>
  <c r="EK35" i="2"/>
  <c r="EJ35" i="2"/>
  <c r="EI35" i="2"/>
  <c r="EH35" i="2"/>
  <c r="EG35" i="2"/>
  <c r="EF35" i="2"/>
  <c r="EE35" i="2"/>
  <c r="EJ31" i="2"/>
  <c r="EJ32" i="2" s="1"/>
  <c r="EI31" i="2"/>
  <c r="EI32" i="2" s="1"/>
  <c r="EH31" i="2"/>
  <c r="EH32" i="2" s="1"/>
  <c r="EJ27" i="2"/>
  <c r="EJ43" i="2" s="1"/>
  <c r="EI27" i="2"/>
  <c r="EI43" i="2" s="1"/>
  <c r="EH27" i="2"/>
  <c r="EH43" i="2" s="1"/>
  <c r="EG31" i="2"/>
  <c r="EG32" i="2" s="1"/>
  <c r="EF31" i="2"/>
  <c r="EF32" i="2" s="1"/>
  <c r="EG27" i="2"/>
  <c r="EG43" i="2" s="1"/>
  <c r="EF27" i="2"/>
  <c r="EF43" i="2" s="1"/>
  <c r="EE31" i="2"/>
  <c r="EE32" i="2" s="1"/>
  <c r="EE27" i="2"/>
  <c r="EE43" i="2" s="1"/>
  <c r="EP31" i="2"/>
  <c r="EP32" i="2" s="1"/>
  <c r="EO31" i="2"/>
  <c r="EO32" i="2" s="1"/>
  <c r="EN31" i="2"/>
  <c r="EN32" i="2" s="1"/>
  <c r="EP27" i="2"/>
  <c r="EP43" i="2" s="1"/>
  <c r="EO27" i="2"/>
  <c r="EO43" i="2" s="1"/>
  <c r="EN27" i="2"/>
  <c r="EN43" i="2" s="1"/>
  <c r="EM31" i="2"/>
  <c r="EM32" i="2" s="1"/>
  <c r="EL31" i="2"/>
  <c r="EL32" i="2" s="1"/>
  <c r="EK31" i="2"/>
  <c r="EK32" i="2" s="1"/>
  <c r="EM27" i="2"/>
  <c r="EL27" i="2"/>
  <c r="EK27" i="2"/>
  <c r="EP41" i="2"/>
  <c r="EO41" i="2"/>
  <c r="EN41" i="2"/>
  <c r="EM41" i="2"/>
  <c r="EL41" i="2"/>
  <c r="EK41" i="2"/>
  <c r="EJ41" i="2"/>
  <c r="EI41" i="2"/>
  <c r="EH41" i="2"/>
  <c r="EG41" i="2"/>
  <c r="EF41" i="2"/>
  <c r="EE41" i="2"/>
  <c r="EP12" i="2"/>
  <c r="EO12" i="2"/>
  <c r="EN12" i="2"/>
  <c r="EM12" i="2"/>
  <c r="EL12" i="2"/>
  <c r="EP11" i="2"/>
  <c r="EO11" i="2"/>
  <c r="EN11" i="2"/>
  <c r="EM11" i="2"/>
  <c r="EL11" i="2"/>
  <c r="EK12" i="2"/>
  <c r="EK11" i="2"/>
  <c r="EP16" i="2"/>
  <c r="EO16" i="2"/>
  <c r="EN16" i="2"/>
  <c r="EM16" i="2"/>
  <c r="EL16" i="2"/>
  <c r="EK16" i="2"/>
  <c r="EP14" i="2"/>
  <c r="EO14" i="2"/>
  <c r="EN14" i="2"/>
  <c r="EM14" i="2"/>
  <c r="EL14" i="2"/>
  <c r="EK14" i="2"/>
  <c r="EM28" i="2"/>
  <c r="EM30" i="2" s="1"/>
  <c r="EL28" i="2"/>
  <c r="EL30" i="2" s="1"/>
  <c r="EK28" i="2"/>
  <c r="EK30" i="2" s="1"/>
  <c r="EJ14" i="2"/>
  <c r="EI14" i="2"/>
  <c r="EH14" i="2"/>
  <c r="EJ12" i="2"/>
  <c r="EJ16" i="2" s="1"/>
  <c r="EI12" i="2"/>
  <c r="EI16" i="2" s="1"/>
  <c r="EH12" i="2"/>
  <c r="EH16" i="2" s="1"/>
  <c r="EJ11" i="2"/>
  <c r="EI11" i="2"/>
  <c r="EH11" i="2"/>
  <c r="EG14" i="2"/>
  <c r="EF14" i="2"/>
  <c r="EG12" i="2"/>
  <c r="EG16" i="2" s="1"/>
  <c r="EF12" i="2"/>
  <c r="EF16" i="2" s="1"/>
  <c r="EG11" i="2"/>
  <c r="EF11" i="2"/>
  <c r="EE12" i="2"/>
  <c r="EE16" i="2" s="1"/>
  <c r="EE11" i="2"/>
  <c r="EE14" i="2"/>
  <c r="EP22" i="2"/>
  <c r="EO22" i="2"/>
  <c r="EN22" i="2"/>
  <c r="EM22" i="2"/>
  <c r="EL22" i="2"/>
  <c r="EK22" i="2"/>
  <c r="EJ22" i="2"/>
  <c r="EI22" i="2"/>
  <c r="EH22" i="2"/>
  <c r="EG22" i="2"/>
  <c r="EF22" i="2"/>
  <c r="EE22" i="2"/>
  <c r="ED35" i="2"/>
  <c r="EC35" i="2"/>
  <c r="EB35" i="2"/>
  <c r="EA35" i="2"/>
  <c r="DZ35" i="2"/>
  <c r="DY35" i="2"/>
  <c r="DX35" i="2"/>
  <c r="DW35" i="2"/>
  <c r="DV35" i="2"/>
  <c r="DU35" i="2"/>
  <c r="DT35" i="2"/>
  <c r="DS35" i="2"/>
  <c r="DR35" i="2"/>
  <c r="DQ35" i="2"/>
  <c r="DP35" i="2"/>
  <c r="DO35" i="2"/>
  <c r="DN35" i="2"/>
  <c r="DM35" i="2"/>
  <c r="DL35" i="2"/>
  <c r="DK35" i="2"/>
  <c r="DJ35" i="2"/>
  <c r="DI35" i="2"/>
  <c r="DH35" i="2"/>
  <c r="DG35" i="2"/>
  <c r="DF35" i="2"/>
  <c r="DE35" i="2"/>
  <c r="DD35" i="2"/>
  <c r="DC35" i="2"/>
  <c r="DB35" i="2"/>
  <c r="DA35" i="2"/>
  <c r="CZ35" i="2"/>
  <c r="CY35" i="2"/>
  <c r="CX35" i="2"/>
  <c r="CW35" i="2"/>
  <c r="CV35" i="2"/>
  <c r="CU35" i="2"/>
  <c r="CT35" i="2"/>
  <c r="CS35" i="2"/>
  <c r="CR35" i="2"/>
  <c r="CQ35" i="2"/>
  <c r="CP35" i="2"/>
  <c r="CO35" i="2"/>
  <c r="CN35" i="2"/>
  <c r="CM35" i="2"/>
  <c r="CL35" i="2"/>
  <c r="CK35" i="2"/>
  <c r="CJ35" i="2"/>
  <c r="CI35" i="2"/>
  <c r="CH35" i="2"/>
  <c r="CG35" i="2"/>
  <c r="CF35" i="2"/>
  <c r="CE35" i="2"/>
  <c r="CD35" i="2"/>
  <c r="CM41" i="2"/>
  <c r="CL41" i="2"/>
  <c r="CK41" i="2"/>
  <c r="CJ41" i="2"/>
  <c r="CI41" i="2"/>
  <c r="CH41" i="2"/>
  <c r="CG41" i="2"/>
  <c r="CF41" i="2"/>
  <c r="CE41" i="2"/>
  <c r="CD41" i="2"/>
  <c r="CC41" i="2"/>
  <c r="CB41" i="2"/>
  <c r="CA41" i="2"/>
  <c r="BZ41" i="2"/>
  <c r="CC35" i="2"/>
  <c r="CB35" i="2"/>
  <c r="CA35" i="2"/>
  <c r="BZ35" i="2"/>
  <c r="BY41" i="2"/>
  <c r="BX41" i="2"/>
  <c r="BW41" i="2"/>
  <c r="BV41" i="2"/>
  <c r="BU41" i="2"/>
  <c r="BT41" i="2"/>
  <c r="BY35" i="2"/>
  <c r="BX35" i="2"/>
  <c r="BW35" i="2"/>
  <c r="BV35" i="2"/>
  <c r="BU35" i="2"/>
  <c r="BT35" i="2"/>
  <c r="BS35" i="2"/>
  <c r="BR35" i="2"/>
  <c r="BQ35" i="2"/>
  <c r="BP35" i="2"/>
  <c r="BO35" i="2"/>
  <c r="BN35" i="2"/>
  <c r="BM35" i="2"/>
  <c r="BS41" i="2"/>
  <c r="BR41" i="2"/>
  <c r="BQ41" i="2"/>
  <c r="BP41" i="2"/>
  <c r="BO41" i="2"/>
  <c r="BN41" i="2"/>
  <c r="BM41" i="2"/>
  <c r="BL35" i="2"/>
  <c r="BK35" i="2"/>
  <c r="BJ35" i="2"/>
  <c r="BI35" i="2"/>
  <c r="BH35" i="2"/>
  <c r="BG35" i="2"/>
  <c r="BF35" i="2"/>
  <c r="G41" i="1"/>
  <c r="H41" i="1"/>
  <c r="AB41" i="1"/>
  <c r="AC41" i="1"/>
  <c r="AF41" i="1"/>
  <c r="AI41" i="1"/>
  <c r="AJ41" i="1"/>
  <c r="AQ41" i="1"/>
  <c r="AS41" i="1"/>
  <c r="AT41" i="1"/>
  <c r="AW41" i="1"/>
  <c r="AY29" i="1"/>
  <c r="AY30" i="1" s="1"/>
  <c r="AY51" i="1" s="1"/>
  <c r="AX41" i="1"/>
  <c r="AS30" i="1"/>
  <c r="AS51" i="1" s="1"/>
  <c r="AT30" i="1"/>
  <c r="AT51" i="1" s="1"/>
  <c r="AR30" i="1"/>
  <c r="AR51" i="1" s="1"/>
  <c r="AR33" i="1"/>
  <c r="AP30" i="1"/>
  <c r="AP51" i="1" s="1"/>
  <c r="AO38" i="1"/>
  <c r="AO33" i="1"/>
  <c r="AK33" i="1"/>
  <c r="AG33" i="1"/>
  <c r="AG41" i="1" s="1"/>
  <c r="AN30" i="1"/>
  <c r="AN51" i="1" s="1"/>
  <c r="AM30" i="1"/>
  <c r="AM51" i="1" s="1"/>
  <c r="DA35" i="1"/>
  <c r="CN35" i="1"/>
  <c r="DF10" i="1"/>
  <c r="DG10" i="1"/>
  <c r="DF11" i="1"/>
  <c r="DG11" i="1"/>
  <c r="DH10" i="1"/>
  <c r="DI10" i="1"/>
  <c r="DH11" i="1"/>
  <c r="DI11" i="1"/>
  <c r="DP35" i="1"/>
  <c r="DQ35" i="1"/>
  <c r="DO35" i="1"/>
  <c r="DD17" i="1"/>
  <c r="DC17" i="1"/>
  <c r="DB17" i="1"/>
  <c r="DA17" i="1"/>
  <c r="CP27" i="1"/>
  <c r="CP42" i="1" s="1"/>
  <c r="C30" i="1"/>
  <c r="C51" i="1" s="1"/>
  <c r="D30" i="1"/>
  <c r="D51" i="1" s="1"/>
  <c r="E30" i="1"/>
  <c r="E51" i="1" s="1"/>
  <c r="F30" i="1"/>
  <c r="F51" i="1" s="1"/>
  <c r="G30" i="1"/>
  <c r="G51" i="1" s="1"/>
  <c r="I30" i="1"/>
  <c r="I51" i="1" s="1"/>
  <c r="J30" i="1"/>
  <c r="J51" i="1" s="1"/>
  <c r="K30" i="1"/>
  <c r="K51" i="1" s="1"/>
  <c r="L30" i="1"/>
  <c r="L51" i="1" s="1"/>
  <c r="M30" i="1"/>
  <c r="M51" i="1" s="1"/>
  <c r="N30" i="1"/>
  <c r="N51" i="1" s="1"/>
  <c r="O30" i="1"/>
  <c r="O51" i="1" s="1"/>
  <c r="T30" i="1"/>
  <c r="T51" i="1" s="1"/>
  <c r="U30" i="1"/>
  <c r="U51" i="1" s="1"/>
  <c r="V30" i="1"/>
  <c r="V51" i="1" s="1"/>
  <c r="W30" i="1"/>
  <c r="W51" i="1" s="1"/>
  <c r="X30" i="1"/>
  <c r="X51" i="1" s="1"/>
  <c r="Y30" i="1"/>
  <c r="Y51" i="1" s="1"/>
  <c r="AA30" i="1"/>
  <c r="AA51" i="1" s="1"/>
  <c r="AB30" i="1"/>
  <c r="AB51" i="1" s="1"/>
  <c r="AC30" i="1"/>
  <c r="AC51" i="1" s="1"/>
  <c r="AD30" i="1"/>
  <c r="AD51" i="1" s="1"/>
  <c r="AE30" i="1"/>
  <c r="AE51" i="1" s="1"/>
  <c r="AF30" i="1"/>
  <c r="AF51" i="1" s="1"/>
  <c r="AG30" i="1"/>
  <c r="AG51" i="1" s="1"/>
  <c r="AH30" i="1"/>
  <c r="AH51" i="1" s="1"/>
  <c r="AI30" i="1"/>
  <c r="AI51" i="1" s="1"/>
  <c r="AJ30" i="1"/>
  <c r="AJ51" i="1" s="1"/>
  <c r="AK30" i="1"/>
  <c r="AK51" i="1" s="1"/>
  <c r="AL30" i="1"/>
  <c r="AL51" i="1" s="1"/>
  <c r="BE41" i="2"/>
  <c r="BD41" i="2"/>
  <c r="BC41" i="2"/>
  <c r="BB41" i="2"/>
  <c r="BA41" i="2"/>
  <c r="BE35" i="2"/>
  <c r="BD35" i="2"/>
  <c r="BC35" i="2"/>
  <c r="BB35" i="2"/>
  <c r="BA35" i="2"/>
  <c r="AZ41" i="2"/>
  <c r="AY41" i="2"/>
  <c r="AX41" i="2"/>
  <c r="AW41" i="2"/>
  <c r="AV41" i="2"/>
  <c r="AU41" i="2"/>
  <c r="AT41" i="2"/>
  <c r="AS41" i="2"/>
  <c r="AR41" i="2"/>
  <c r="AZ35" i="2"/>
  <c r="AY35" i="2"/>
  <c r="AX35" i="2"/>
  <c r="AW35" i="2"/>
  <c r="AV35" i="2"/>
  <c r="AU35" i="2"/>
  <c r="AT35" i="2"/>
  <c r="AS35" i="2"/>
  <c r="AR35" i="2"/>
  <c r="AM41" i="2"/>
  <c r="AL41" i="2"/>
  <c r="AK41" i="2"/>
  <c r="AJ41" i="2"/>
  <c r="AJ35" i="2"/>
  <c r="AK35" i="2"/>
  <c r="AL35" i="2"/>
  <c r="AM35" i="2"/>
  <c r="AN35" i="2"/>
  <c r="AO35" i="2"/>
  <c r="AP35" i="2"/>
  <c r="AQ35" i="2"/>
  <c r="AI35" i="2"/>
  <c r="AH35" i="2"/>
  <c r="AG35" i="2"/>
  <c r="AF35" i="2"/>
  <c r="AE35" i="2"/>
  <c r="AD35" i="2"/>
  <c r="AC35" i="2"/>
  <c r="AE41" i="2"/>
  <c r="AD41" i="2"/>
  <c r="AC41" i="2"/>
  <c r="AB41" i="2"/>
  <c r="BU17" i="1"/>
  <c r="CN27" i="1"/>
  <c r="CO28" i="1"/>
  <c r="CO27" i="1"/>
  <c r="CO42" i="1" s="1"/>
  <c r="CP28" i="1"/>
  <c r="CK31" i="1"/>
  <c r="CK32" i="1" s="1"/>
  <c r="CJ31" i="1"/>
  <c r="CJ32" i="1" s="1"/>
  <c r="CI31" i="1"/>
  <c r="CI32" i="1" s="1"/>
  <c r="CH31" i="1"/>
  <c r="CH32" i="1" s="1"/>
  <c r="CG31" i="1"/>
  <c r="CG32" i="1" s="1"/>
  <c r="CF31" i="1"/>
  <c r="CF32" i="1" s="1"/>
  <c r="CE31" i="1"/>
  <c r="CE32" i="1" s="1"/>
  <c r="CD31" i="1"/>
  <c r="CD32" i="1" s="1"/>
  <c r="CC31" i="1"/>
  <c r="CC32" i="1" s="1"/>
  <c r="CB31" i="1"/>
  <c r="CB32" i="1" s="1"/>
  <c r="CA31" i="1"/>
  <c r="CA32" i="1" s="1"/>
  <c r="BZ31" i="1"/>
  <c r="BZ32" i="1" s="1"/>
  <c r="BY31" i="1"/>
  <c r="BY32" i="1" s="1"/>
  <c r="BX31" i="1"/>
  <c r="BX32" i="1" s="1"/>
  <c r="BW31" i="1"/>
  <c r="BW32" i="1" s="1"/>
  <c r="BV31" i="1"/>
  <c r="BV32" i="1" s="1"/>
  <c r="BU31" i="1"/>
  <c r="BU32" i="1" s="1"/>
  <c r="BT31" i="1"/>
  <c r="BT32" i="1" s="1"/>
  <c r="BS31" i="1"/>
  <c r="BS32" i="1" s="1"/>
  <c r="BR31" i="1"/>
  <c r="BR32" i="1" s="1"/>
  <c r="CJ29" i="1"/>
  <c r="CD29" i="1"/>
  <c r="CC29" i="1"/>
  <c r="CB29" i="1"/>
  <c r="CA29" i="1"/>
  <c r="BZ29" i="1"/>
  <c r="BY29" i="1"/>
  <c r="BX29" i="1"/>
  <c r="BT29" i="1"/>
  <c r="BS29" i="1"/>
  <c r="BR29" i="1"/>
  <c r="CK23" i="1"/>
  <c r="CJ23" i="1"/>
  <c r="CI23" i="1"/>
  <c r="CH23" i="1"/>
  <c r="CG23" i="1"/>
  <c r="CF23" i="1"/>
  <c r="CE23" i="1"/>
  <c r="CD23" i="1"/>
  <c r="CC23" i="1"/>
  <c r="CB23" i="1"/>
  <c r="CA23" i="1"/>
  <c r="BZ23" i="1"/>
  <c r="BY23" i="1"/>
  <c r="BX23" i="1"/>
  <c r="BW23" i="1"/>
  <c r="BV23" i="1"/>
  <c r="BU23" i="1"/>
  <c r="BT23" i="1"/>
  <c r="BS23" i="1"/>
  <c r="CK14" i="1"/>
  <c r="CK28" i="1" s="1"/>
  <c r="CJ14" i="1"/>
  <c r="CJ28" i="1" s="1"/>
  <c r="CI14" i="1"/>
  <c r="CI28" i="1" s="1"/>
  <c r="CH14" i="1"/>
  <c r="CH28" i="1" s="1"/>
  <c r="CG14" i="1"/>
  <c r="CG28" i="1" s="1"/>
  <c r="CF14" i="1"/>
  <c r="CF28" i="1" s="1"/>
  <c r="CE14" i="1"/>
  <c r="CE28" i="1" s="1"/>
  <c r="CD14" i="1"/>
  <c r="CD28" i="1" s="1"/>
  <c r="CC14" i="1"/>
  <c r="CC28" i="1" s="1"/>
  <c r="CB14" i="1"/>
  <c r="CA14" i="1"/>
  <c r="BZ14" i="1"/>
  <c r="BY14" i="1"/>
  <c r="BX14" i="1"/>
  <c r="BW14" i="1"/>
  <c r="BV14" i="1"/>
  <c r="BU14" i="1"/>
  <c r="BT14" i="1"/>
  <c r="BS14" i="1"/>
  <c r="BR14" i="1"/>
  <c r="CK11" i="1"/>
  <c r="CK27" i="1" s="1"/>
  <c r="CK42" i="1" s="1"/>
  <c r="CJ11" i="1"/>
  <c r="CJ27" i="1" s="1"/>
  <c r="CJ42" i="1" s="1"/>
  <c r="CI11" i="1"/>
  <c r="CI27" i="1" s="1"/>
  <c r="CI42" i="1" s="1"/>
  <c r="CH11" i="1"/>
  <c r="CH27" i="1" s="1"/>
  <c r="CH42" i="1" s="1"/>
  <c r="CG11" i="1"/>
  <c r="CF11" i="1"/>
  <c r="CE11" i="1"/>
  <c r="CD11" i="1"/>
  <c r="CD27" i="1" s="1"/>
  <c r="CD42" i="1" s="1"/>
  <c r="CC11" i="1"/>
  <c r="CC27" i="1" s="1"/>
  <c r="CC42" i="1" s="1"/>
  <c r="BR11" i="1"/>
  <c r="BR27" i="1" s="1"/>
  <c r="CK10" i="1"/>
  <c r="CK15" i="1" s="1"/>
  <c r="CJ10" i="1"/>
  <c r="CJ15" i="1" s="1"/>
  <c r="CI10" i="1"/>
  <c r="CI15" i="1" s="1"/>
  <c r="CH10" i="1"/>
  <c r="CH15" i="1" s="1"/>
  <c r="CG10" i="1"/>
  <c r="CG15" i="1" s="1"/>
  <c r="CF10" i="1"/>
  <c r="CF15" i="1" s="1"/>
  <c r="CE10" i="1"/>
  <c r="CE15" i="1" s="1"/>
  <c r="CD10" i="1"/>
  <c r="CD15" i="1" s="1"/>
  <c r="CC10" i="1"/>
  <c r="CC15" i="1" s="1"/>
  <c r="BR10" i="1"/>
  <c r="BR15" i="1" s="1"/>
  <c r="BZ11" i="1"/>
  <c r="BX9" i="1"/>
  <c r="BX11" i="1" s="1"/>
  <c r="CS18" i="1"/>
  <c r="CR18" i="1"/>
  <c r="CQ18" i="1"/>
  <c r="CQ27" i="1"/>
  <c r="CQ42" i="1" s="1"/>
  <c r="CS27" i="1"/>
  <c r="CS42" i="1" s="1"/>
  <c r="CR27" i="1"/>
  <c r="CR42" i="1" s="1"/>
  <c r="CT27" i="1"/>
  <c r="CT42" i="1" s="1"/>
  <c r="CT18" i="1"/>
  <c r="CU18" i="1"/>
  <c r="CV18" i="1"/>
  <c r="CY28" i="1"/>
  <c r="CY23" i="1"/>
  <c r="CY14" i="1"/>
  <c r="CY10" i="1"/>
  <c r="CY15" i="1" s="1"/>
  <c r="CY11" i="1"/>
  <c r="CX27" i="1"/>
  <c r="CW27" i="1"/>
  <c r="DO27" i="1"/>
  <c r="DO42" i="1" s="1"/>
  <c r="DP28" i="1"/>
  <c r="DP27" i="1"/>
  <c r="DP42" i="1" s="1"/>
  <c r="DQ27" i="1"/>
  <c r="DQ42" i="1" s="1"/>
  <c r="CZ27" i="1"/>
  <c r="CZ42" i="1" s="1"/>
  <c r="DN18" i="1"/>
  <c r="DN28" i="1"/>
  <c r="DN27" i="1"/>
  <c r="DA27" i="1"/>
  <c r="DA42" i="1" s="1"/>
  <c r="DA14" i="1"/>
  <c r="DB27" i="1"/>
  <c r="DB14" i="1"/>
  <c r="DC28" i="1"/>
  <c r="DD27" i="1"/>
  <c r="AA41" i="2"/>
  <c r="DE10" i="1"/>
  <c r="DE11" i="1"/>
  <c r="DE27" i="1"/>
  <c r="DE17" i="1"/>
  <c r="DF14" i="1"/>
  <c r="DF18" i="1"/>
  <c r="DG18" i="1"/>
  <c r="DG27" i="1"/>
  <c r="DH27" i="1"/>
  <c r="DH42" i="1" s="1"/>
  <c r="DH28" i="1"/>
  <c r="DI28" i="1"/>
  <c r="DI27" i="1"/>
  <c r="DI42" i="1" s="1"/>
  <c r="DJ28" i="1"/>
  <c r="DJ27" i="1"/>
  <c r="DJ42" i="1" s="1"/>
  <c r="DJ10" i="1"/>
  <c r="DK28" i="1"/>
  <c r="DK27" i="1"/>
  <c r="DK42" i="1" s="1"/>
  <c r="DL28" i="1"/>
  <c r="DL27" i="1"/>
  <c r="DL42" i="1" s="1"/>
  <c r="DL10" i="1"/>
  <c r="DL11" i="1"/>
  <c r="DL14" i="1"/>
  <c r="DM27" i="1"/>
  <c r="DM42" i="1" s="1"/>
  <c r="DM28" i="1"/>
  <c r="AA35" i="1"/>
  <c r="Y33" i="1"/>
  <c r="Y41" i="1" s="1"/>
  <c r="X33" i="1"/>
  <c r="W33" i="1"/>
  <c r="V33" i="1"/>
  <c r="V41" i="1" s="1"/>
  <c r="T33" i="1"/>
  <c r="U33" i="1"/>
  <c r="U41" i="1" s="1"/>
  <c r="R33" i="1"/>
  <c r="R41" i="1" s="1"/>
  <c r="S33" i="1"/>
  <c r="S41" i="1" s="1"/>
  <c r="Q33" i="1"/>
  <c r="Q41" i="1" s="1"/>
  <c r="P33" i="1"/>
  <c r="P41" i="1" s="1"/>
  <c r="O33" i="1"/>
  <c r="O41" i="1" s="1"/>
  <c r="Q31" i="1"/>
  <c r="S23" i="1"/>
  <c r="P10" i="1"/>
  <c r="Q23" i="1"/>
  <c r="O11" i="1"/>
  <c r="N33" i="1"/>
  <c r="N41" i="1" s="1"/>
  <c r="J11" i="1"/>
  <c r="J10" i="1"/>
  <c r="M33" i="1"/>
  <c r="M41" i="1" s="1"/>
  <c r="L33" i="1"/>
  <c r="L41" i="1" s="1"/>
  <c r="K33" i="1"/>
  <c r="K41" i="1" s="1"/>
  <c r="J31" i="1"/>
  <c r="J32" i="1"/>
  <c r="J27" i="1"/>
  <c r="J42" i="1" s="1"/>
  <c r="J23" i="1"/>
  <c r="J33" i="1"/>
  <c r="J41" i="1" s="1"/>
  <c r="I33" i="1"/>
  <c r="I41" i="1" s="1"/>
  <c r="F33" i="1"/>
  <c r="F41" i="1" s="1"/>
  <c r="J14" i="1"/>
  <c r="J15" i="1"/>
  <c r="E33" i="1"/>
  <c r="D33" i="1"/>
  <c r="D41" i="1" s="1"/>
  <c r="C33" i="1"/>
  <c r="C41" i="1" s="1"/>
  <c r="BP9" i="1"/>
  <c r="BP31" i="1"/>
  <c r="BP32" i="1" s="1"/>
  <c r="BP29" i="1"/>
  <c r="BP30" i="1" s="1"/>
  <c r="BP51" i="1" s="1"/>
  <c r="BP23" i="1"/>
  <c r="BP14" i="1"/>
  <c r="AJ31" i="1"/>
  <c r="AJ32" i="1" s="1"/>
  <c r="AJ14" i="1"/>
  <c r="AJ10" i="1"/>
  <c r="AJ15" i="1" s="1"/>
  <c r="AJ11" i="1"/>
  <c r="AJ27" i="1" s="1"/>
  <c r="AJ42" i="1" s="1"/>
  <c r="AJ23" i="1"/>
  <c r="Z14" i="1"/>
  <c r="Z10" i="1"/>
  <c r="Z15" i="1" s="1"/>
  <c r="Z11" i="1"/>
  <c r="Z23" i="1"/>
  <c r="Z31" i="1"/>
  <c r="Z32" i="1" s="1"/>
  <c r="Z29" i="1"/>
  <c r="Z30" i="1" s="1"/>
  <c r="AX10" i="1"/>
  <c r="AX11" i="1"/>
  <c r="AX23" i="1"/>
  <c r="AX31" i="1"/>
  <c r="AX32" i="1" s="1"/>
  <c r="AX29" i="1"/>
  <c r="AX30" i="1" s="1"/>
  <c r="AX51" i="1" s="1"/>
  <c r="AX14" i="1"/>
  <c r="AX15" i="1"/>
  <c r="BC14" i="1"/>
  <c r="BC31" i="1"/>
  <c r="BC32" i="1" s="1"/>
  <c r="BC10" i="1"/>
  <c r="BC15" i="1" s="1"/>
  <c r="BC11" i="1"/>
  <c r="BC23" i="1"/>
  <c r="BC29" i="1"/>
  <c r="BC30" i="1" s="1"/>
  <c r="BC51" i="1" s="1"/>
  <c r="AR14" i="1"/>
  <c r="AR28" i="1" s="1"/>
  <c r="AR10" i="1"/>
  <c r="AR15" i="1" s="1"/>
  <c r="AR11" i="1"/>
  <c r="AR27" i="1" s="1"/>
  <c r="AR42" i="1" s="1"/>
  <c r="AR23" i="1"/>
  <c r="AR31" i="1"/>
  <c r="AR32" i="1" s="1"/>
  <c r="ED31" i="2"/>
  <c r="ED32" i="2" s="1"/>
  <c r="EC31" i="2"/>
  <c r="EC32" i="2" s="1"/>
  <c r="EB31" i="2"/>
  <c r="EB32" i="2" s="1"/>
  <c r="EA31" i="2"/>
  <c r="EA32" i="2" s="1"/>
  <c r="DZ31" i="2"/>
  <c r="DZ32" i="2" s="1"/>
  <c r="DY31" i="2"/>
  <c r="DY32" i="2" s="1"/>
  <c r="DX31" i="2"/>
  <c r="DX32" i="2" s="1"/>
  <c r="DW31" i="2"/>
  <c r="DW32" i="2" s="1"/>
  <c r="DV31" i="2"/>
  <c r="DV32" i="2" s="1"/>
  <c r="DU31" i="2"/>
  <c r="DU32" i="2" s="1"/>
  <c r="DT31" i="2"/>
  <c r="DT32" i="2" s="1"/>
  <c r="ED27" i="2"/>
  <c r="ED43" i="2" s="1"/>
  <c r="EC27" i="2"/>
  <c r="EC43" i="2" s="1"/>
  <c r="EB27" i="2"/>
  <c r="EB43" i="2" s="1"/>
  <c r="EA27" i="2"/>
  <c r="EA43" i="2" s="1"/>
  <c r="DZ27" i="2"/>
  <c r="DZ43" i="2" s="1"/>
  <c r="DY27" i="2"/>
  <c r="DY43" i="2" s="1"/>
  <c r="DX27" i="2"/>
  <c r="DX43" i="2" s="1"/>
  <c r="DW27" i="2"/>
  <c r="DW43" i="2" s="1"/>
  <c r="DV27" i="2"/>
  <c r="DV43" i="2" s="1"/>
  <c r="DU27" i="2"/>
  <c r="DU43" i="2" s="1"/>
  <c r="DT27" i="2"/>
  <c r="DT43" i="2" s="1"/>
  <c r="ED22" i="2"/>
  <c r="EC22" i="2"/>
  <c r="EB22" i="2"/>
  <c r="EA22" i="2"/>
  <c r="DZ22" i="2"/>
  <c r="DY22" i="2"/>
  <c r="DX22" i="2"/>
  <c r="DW22" i="2"/>
  <c r="DV22" i="2"/>
  <c r="DU22" i="2"/>
  <c r="DT22" i="2"/>
  <c r="ED14" i="2"/>
  <c r="EC14" i="2"/>
  <c r="EB14" i="2"/>
  <c r="EA14" i="2"/>
  <c r="DZ14" i="2"/>
  <c r="DY14" i="2"/>
  <c r="DX14" i="2"/>
  <c r="DW14" i="2"/>
  <c r="DV14" i="2"/>
  <c r="DU14" i="2"/>
  <c r="DT14" i="2"/>
  <c r="ED12" i="2"/>
  <c r="ED16" i="2" s="1"/>
  <c r="EC12" i="2"/>
  <c r="EC16" i="2" s="1"/>
  <c r="EB12" i="2"/>
  <c r="EB16" i="2" s="1"/>
  <c r="EA12" i="2"/>
  <c r="EA16" i="2" s="1"/>
  <c r="DZ12" i="2"/>
  <c r="DZ16" i="2" s="1"/>
  <c r="DY12" i="2"/>
  <c r="DY16" i="2" s="1"/>
  <c r="DX12" i="2"/>
  <c r="DX16" i="2" s="1"/>
  <c r="DW12" i="2"/>
  <c r="DW16" i="2" s="1"/>
  <c r="DV12" i="2"/>
  <c r="DV16" i="2" s="1"/>
  <c r="DU12" i="2"/>
  <c r="DU16" i="2" s="1"/>
  <c r="DT12" i="2"/>
  <c r="DT16" i="2" s="1"/>
  <c r="ED11" i="2"/>
  <c r="EC11" i="2"/>
  <c r="EB11" i="2"/>
  <c r="EA11" i="2"/>
  <c r="DZ11" i="2"/>
  <c r="DY11" i="2"/>
  <c r="DX11" i="2"/>
  <c r="DW11" i="2"/>
  <c r="DV11" i="2"/>
  <c r="DU11" i="2"/>
  <c r="DT11" i="2"/>
  <c r="DS14" i="2"/>
  <c r="DR14" i="2"/>
  <c r="DQ14" i="2"/>
  <c r="DP14" i="2"/>
  <c r="DO14" i="2"/>
  <c r="DN14" i="2"/>
  <c r="DM14" i="2"/>
  <c r="DL14" i="2"/>
  <c r="DK14" i="2"/>
  <c r="DJ14" i="2"/>
  <c r="DI14" i="2"/>
  <c r="DS31" i="2"/>
  <c r="DS32" i="2" s="1"/>
  <c r="DR31" i="2"/>
  <c r="DR32" i="2" s="1"/>
  <c r="DQ31" i="2"/>
  <c r="DQ32" i="2" s="1"/>
  <c r="DP31" i="2"/>
  <c r="DP32" i="2" s="1"/>
  <c r="DO31" i="2"/>
  <c r="DO32" i="2" s="1"/>
  <c r="DN31" i="2"/>
  <c r="DN32" i="2" s="1"/>
  <c r="DM31" i="2"/>
  <c r="DM32" i="2" s="1"/>
  <c r="DL31" i="2"/>
  <c r="DL32" i="2" s="1"/>
  <c r="DK31" i="2"/>
  <c r="DK32" i="2" s="1"/>
  <c r="DJ31" i="2"/>
  <c r="DJ32" i="2" s="1"/>
  <c r="DI31" i="2"/>
  <c r="DI32" i="2" s="1"/>
  <c r="DS27" i="2"/>
  <c r="DS43" i="2" s="1"/>
  <c r="DR27" i="2"/>
  <c r="DR43" i="2" s="1"/>
  <c r="DQ27" i="2"/>
  <c r="DQ43" i="2" s="1"/>
  <c r="DP27" i="2"/>
  <c r="DP43" i="2" s="1"/>
  <c r="DO27" i="2"/>
  <c r="DO43" i="2" s="1"/>
  <c r="DN27" i="2"/>
  <c r="DN43" i="2" s="1"/>
  <c r="DM27" i="2"/>
  <c r="DM43" i="2" s="1"/>
  <c r="DL27" i="2"/>
  <c r="DL43" i="2" s="1"/>
  <c r="DK27" i="2"/>
  <c r="DK43" i="2" s="1"/>
  <c r="DJ27" i="2"/>
  <c r="DJ43" i="2" s="1"/>
  <c r="DI27" i="2"/>
  <c r="DI43" i="2" s="1"/>
  <c r="DS22" i="2"/>
  <c r="DR22" i="2"/>
  <c r="DQ22" i="2"/>
  <c r="DP22" i="2"/>
  <c r="DO22" i="2"/>
  <c r="DN22" i="2"/>
  <c r="DM22" i="2"/>
  <c r="DL22" i="2"/>
  <c r="DK22" i="2"/>
  <c r="DJ22" i="2"/>
  <c r="DI22" i="2"/>
  <c r="DS12" i="2"/>
  <c r="DS16" i="2" s="1"/>
  <c r="DR12" i="2"/>
  <c r="DR16" i="2" s="1"/>
  <c r="DQ12" i="2"/>
  <c r="DQ16" i="2" s="1"/>
  <c r="DP12" i="2"/>
  <c r="DP16" i="2" s="1"/>
  <c r="DO12" i="2"/>
  <c r="DO16" i="2" s="1"/>
  <c r="DN12" i="2"/>
  <c r="DN16" i="2" s="1"/>
  <c r="DM12" i="2"/>
  <c r="DM16" i="2" s="1"/>
  <c r="DL12" i="2"/>
  <c r="DL16" i="2" s="1"/>
  <c r="DK12" i="2"/>
  <c r="DK16" i="2" s="1"/>
  <c r="DJ12" i="2"/>
  <c r="DJ16" i="2" s="1"/>
  <c r="DI12" i="2"/>
  <c r="DI16" i="2" s="1"/>
  <c r="DS11" i="2"/>
  <c r="DR11" i="2"/>
  <c r="DQ11" i="2"/>
  <c r="DP11" i="2"/>
  <c r="DO11" i="2"/>
  <c r="DN11" i="2"/>
  <c r="DM11" i="2"/>
  <c r="DL11" i="2"/>
  <c r="DK11" i="2"/>
  <c r="DJ11" i="2"/>
  <c r="DI11" i="2"/>
  <c r="DH14" i="2"/>
  <c r="DG14" i="2"/>
  <c r="DF14" i="2"/>
  <c r="DE14" i="2"/>
  <c r="DD14" i="2"/>
  <c r="DC14" i="2"/>
  <c r="DB14" i="2"/>
  <c r="DH12" i="2"/>
  <c r="DG12" i="2"/>
  <c r="DF12" i="2"/>
  <c r="DE12" i="2"/>
  <c r="DD12" i="2"/>
  <c r="DC12" i="2"/>
  <c r="DB12" i="2"/>
  <c r="DH11" i="2"/>
  <c r="DG11" i="2"/>
  <c r="DF11" i="2"/>
  <c r="DE11" i="2"/>
  <c r="DD11" i="2"/>
  <c r="DC11" i="2"/>
  <c r="DB11" i="2"/>
  <c r="AQ31" i="1"/>
  <c r="AQ32" i="1"/>
  <c r="AQ23" i="1"/>
  <c r="AQ10" i="1"/>
  <c r="AQ15" i="1" s="1"/>
  <c r="AQ11" i="1"/>
  <c r="AQ29" i="1"/>
  <c r="AQ14" i="1"/>
  <c r="BB31" i="1"/>
  <c r="BB32" i="1"/>
  <c r="BB29" i="1"/>
  <c r="BB30" i="1" s="1"/>
  <c r="BB51" i="1" s="1"/>
  <c r="BB14" i="1"/>
  <c r="BB10" i="1"/>
  <c r="BB15" i="1" s="1"/>
  <c r="BB11" i="1"/>
  <c r="BB23" i="1"/>
  <c r="BA31" i="1"/>
  <c r="BA32" i="1"/>
  <c r="BA14" i="1"/>
  <c r="BA10" i="1"/>
  <c r="BA15" i="1" s="1"/>
  <c r="BA11" i="1"/>
  <c r="BA27" i="1" s="1"/>
  <c r="BA42" i="1" s="1"/>
  <c r="BA23" i="1"/>
  <c r="AY31" i="1"/>
  <c r="AY32" i="1" s="1"/>
  <c r="AY14" i="1"/>
  <c r="AY28" i="1" s="1"/>
  <c r="AY10" i="1"/>
  <c r="AY15" i="1" s="1"/>
  <c r="AY11" i="1"/>
  <c r="AY23" i="1"/>
  <c r="AW31" i="1"/>
  <c r="AW32" i="1"/>
  <c r="AW14" i="1"/>
  <c r="AW10" i="1"/>
  <c r="AW15" i="1" s="1"/>
  <c r="AW11" i="1"/>
  <c r="AW23" i="1"/>
  <c r="AW29" i="1"/>
  <c r="DH31" i="2"/>
  <c r="DH32" i="2" s="1"/>
  <c r="DG31" i="2"/>
  <c r="DG32" i="2" s="1"/>
  <c r="DF31" i="2"/>
  <c r="DF32" i="2" s="1"/>
  <c r="DE31" i="2"/>
  <c r="DE32" i="2" s="1"/>
  <c r="DD31" i="2"/>
  <c r="DD32" i="2" s="1"/>
  <c r="DC31" i="2"/>
  <c r="DC32" i="2" s="1"/>
  <c r="DB31" i="2"/>
  <c r="DB32" i="2" s="1"/>
  <c r="DA31" i="2"/>
  <c r="DA32" i="2" s="1"/>
  <c r="DH27" i="2"/>
  <c r="DH43" i="2" s="1"/>
  <c r="DG27" i="2"/>
  <c r="DG43" i="2" s="1"/>
  <c r="DF27" i="2"/>
  <c r="DF43" i="2" s="1"/>
  <c r="DE27" i="2"/>
  <c r="DE43" i="2" s="1"/>
  <c r="DD27" i="2"/>
  <c r="DD43" i="2" s="1"/>
  <c r="DC27" i="2"/>
  <c r="DC43" i="2" s="1"/>
  <c r="DB27" i="2"/>
  <c r="DB43" i="2" s="1"/>
  <c r="DA27" i="2"/>
  <c r="DA43" i="2" s="1"/>
  <c r="DH22" i="2"/>
  <c r="DG22" i="2"/>
  <c r="DF22" i="2"/>
  <c r="DE22" i="2"/>
  <c r="DD22" i="2"/>
  <c r="DC22" i="2"/>
  <c r="DB22" i="2"/>
  <c r="DA22" i="2"/>
  <c r="DA14" i="2"/>
  <c r="DH16" i="2"/>
  <c r="DG16" i="2"/>
  <c r="DF16" i="2"/>
  <c r="DE16" i="2"/>
  <c r="DD16" i="2"/>
  <c r="DC16" i="2"/>
  <c r="DB16" i="2"/>
  <c r="DA12" i="2"/>
  <c r="DA16" i="2" s="1"/>
  <c r="DA11" i="2"/>
  <c r="R31" i="1"/>
  <c r="R32" i="1" s="1"/>
  <c r="S31" i="1"/>
  <c r="S32" i="1" s="1"/>
  <c r="S29" i="1"/>
  <c r="S30" i="1" s="1"/>
  <c r="S51" i="1" s="1"/>
  <c r="R29" i="1"/>
  <c r="R30" i="1" s="1"/>
  <c r="R51" i="1" s="1"/>
  <c r="R23" i="1"/>
  <c r="R10" i="1"/>
  <c r="S10" i="1"/>
  <c r="S15" i="1" s="1"/>
  <c r="R11" i="1"/>
  <c r="S11" i="1"/>
  <c r="S14" i="1"/>
  <c r="R14" i="1"/>
  <c r="R15" i="1"/>
  <c r="Q10" i="1"/>
  <c r="Q15" i="1" s="1"/>
  <c r="Q11" i="1"/>
  <c r="H29" i="1"/>
  <c r="H30" i="1" s="1"/>
  <c r="H51" i="1" s="1"/>
  <c r="P29" i="1"/>
  <c r="P30" i="1" s="1"/>
  <c r="P51" i="1" s="1"/>
  <c r="Q32" i="1"/>
  <c r="Q29" i="1"/>
  <c r="Q30" i="1" s="1"/>
  <c r="Q51" i="1" s="1"/>
  <c r="Q14" i="1"/>
  <c r="P23" i="1"/>
  <c r="P31" i="1"/>
  <c r="P32" i="1" s="1"/>
  <c r="P11" i="1"/>
  <c r="P14" i="1"/>
  <c r="P15" i="1"/>
  <c r="H31" i="1"/>
  <c r="H32" i="1" s="1"/>
  <c r="H10" i="1"/>
  <c r="H15" i="1" s="1"/>
  <c r="H11" i="1"/>
  <c r="H14" i="1"/>
  <c r="H23" i="1"/>
  <c r="D31" i="1"/>
  <c r="D32" i="1"/>
  <c r="D10" i="1"/>
  <c r="D15" i="1" s="1"/>
  <c r="D11" i="1"/>
  <c r="D27" i="1" s="1"/>
  <c r="D42" i="1" s="1"/>
  <c r="D23" i="1"/>
  <c r="D14" i="1"/>
  <c r="F10" i="1"/>
  <c r="F15" i="1" s="1"/>
  <c r="F11" i="1"/>
  <c r="F23" i="1"/>
  <c r="F31" i="1"/>
  <c r="F32" i="1"/>
  <c r="F27" i="1"/>
  <c r="F42" i="1" s="1"/>
  <c r="F14" i="1"/>
  <c r="CZ31" i="2"/>
  <c r="CZ32" i="2" s="1"/>
  <c r="CY31" i="2"/>
  <c r="CY32" i="2" s="1"/>
  <c r="CX31" i="2"/>
  <c r="CX32" i="2" s="1"/>
  <c r="CW31" i="2"/>
  <c r="CW32" i="2" s="1"/>
  <c r="CZ27" i="2"/>
  <c r="CZ43" i="2" s="1"/>
  <c r="CY27" i="2"/>
  <c r="CY43" i="2" s="1"/>
  <c r="CX27" i="2"/>
  <c r="CX43" i="2" s="1"/>
  <c r="CW27" i="2"/>
  <c r="CW43" i="2" s="1"/>
  <c r="CZ22" i="2"/>
  <c r="CY22" i="2"/>
  <c r="CX22" i="2"/>
  <c r="CW22" i="2"/>
  <c r="CZ14" i="2"/>
  <c r="CY14" i="2"/>
  <c r="CX14" i="2"/>
  <c r="CW14" i="2"/>
  <c r="CZ12" i="2"/>
  <c r="CZ16" i="2" s="1"/>
  <c r="CY12" i="2"/>
  <c r="CY16" i="2" s="1"/>
  <c r="CX12" i="2"/>
  <c r="CX16" i="2" s="1"/>
  <c r="CW12" i="2"/>
  <c r="CW16" i="2" s="1"/>
  <c r="CZ11" i="2"/>
  <c r="CY11" i="2"/>
  <c r="CX11" i="2"/>
  <c r="CW11" i="2"/>
  <c r="CV14" i="2"/>
  <c r="CV12" i="2"/>
  <c r="CV11" i="2"/>
  <c r="CU14" i="2"/>
  <c r="CU12" i="2"/>
  <c r="CU11" i="2"/>
  <c r="CT14" i="2"/>
  <c r="CT12" i="2"/>
  <c r="CT11" i="2"/>
  <c r="CS14" i="2"/>
  <c r="CS12" i="2"/>
  <c r="CS11" i="2"/>
  <c r="CR14" i="2"/>
  <c r="CR12" i="2"/>
  <c r="CR11" i="2"/>
  <c r="CQ14" i="2"/>
  <c r="CQ12" i="2"/>
  <c r="CQ11" i="2"/>
  <c r="CP14" i="2"/>
  <c r="CP12" i="2"/>
  <c r="CP11" i="2"/>
  <c r="CO14" i="2"/>
  <c r="CO12" i="2"/>
  <c r="CO11" i="2"/>
  <c r="BJ31" i="1"/>
  <c r="BJ32" i="1" s="1"/>
  <c r="BJ14" i="1"/>
  <c r="BJ10" i="1"/>
  <c r="BJ15" i="1" s="1"/>
  <c r="BJ11" i="1"/>
  <c r="BJ27" i="1" s="1"/>
  <c r="BJ42" i="1" s="1"/>
  <c r="BJ23" i="1"/>
  <c r="BI31" i="1"/>
  <c r="BI32" i="1" s="1"/>
  <c r="BI23" i="1"/>
  <c r="BI10" i="1"/>
  <c r="BI11" i="1"/>
  <c r="BI27" i="1" s="1"/>
  <c r="BI42" i="1" s="1"/>
  <c r="BI14" i="1"/>
  <c r="BI28" i="1" s="1"/>
  <c r="BI15" i="1"/>
  <c r="AU31" i="1"/>
  <c r="AU32" i="1" s="1"/>
  <c r="AV31" i="1"/>
  <c r="AV32" i="1"/>
  <c r="AU10" i="1"/>
  <c r="AU15" i="1" s="1"/>
  <c r="AV10" i="1"/>
  <c r="AU11" i="1"/>
  <c r="AU27" i="1" s="1"/>
  <c r="AU42" i="1" s="1"/>
  <c r="AV11" i="1"/>
  <c r="AV27" i="1" s="1"/>
  <c r="AV42" i="1" s="1"/>
  <c r="AU14" i="1"/>
  <c r="AV14" i="1"/>
  <c r="AV15" i="1"/>
  <c r="AU23" i="1"/>
  <c r="AV23" i="1"/>
  <c r="AS10" i="1"/>
  <c r="AS15" i="1" s="1"/>
  <c r="AT10" i="1"/>
  <c r="AT15" i="1" s="1"/>
  <c r="AS11" i="1"/>
  <c r="AS27" i="1" s="1"/>
  <c r="AS42" i="1" s="1"/>
  <c r="AT11" i="1"/>
  <c r="AS23" i="1"/>
  <c r="AT23" i="1"/>
  <c r="AS31" i="1"/>
  <c r="AT31" i="1"/>
  <c r="AS32" i="1"/>
  <c r="AT32" i="1"/>
  <c r="AT27" i="1"/>
  <c r="AT42" i="1" s="1"/>
  <c r="AS14" i="1"/>
  <c r="AT14" i="1"/>
  <c r="AA31" i="1"/>
  <c r="AA32" i="1"/>
  <c r="AA23" i="1"/>
  <c r="AA14" i="1"/>
  <c r="AA10" i="1"/>
  <c r="AA15" i="1" s="1"/>
  <c r="AA11" i="1"/>
  <c r="AA27" i="1" s="1"/>
  <c r="AA42" i="1" s="1"/>
  <c r="T23" i="1"/>
  <c r="U23" i="1"/>
  <c r="U11" i="1"/>
  <c r="U27" i="1" s="1"/>
  <c r="U42" i="1" s="1"/>
  <c r="U10" i="1"/>
  <c r="T10" i="1"/>
  <c r="T15" i="1" s="1"/>
  <c r="T11" i="1"/>
  <c r="T27" i="1"/>
  <c r="T42" i="1" s="1"/>
  <c r="T31" i="1"/>
  <c r="U31" i="1"/>
  <c r="T32" i="1"/>
  <c r="U32" i="1"/>
  <c r="T14" i="1"/>
  <c r="U14" i="1"/>
  <c r="U15" i="1"/>
  <c r="N31" i="1"/>
  <c r="N32" i="1" s="1"/>
  <c r="N23" i="1"/>
  <c r="N14" i="1"/>
  <c r="N10" i="1"/>
  <c r="N15" i="1" s="1"/>
  <c r="N11" i="1"/>
  <c r="N27" i="1" s="1"/>
  <c r="N42" i="1" s="1"/>
  <c r="M23" i="1"/>
  <c r="M10" i="1"/>
  <c r="M15" i="1" s="1"/>
  <c r="M11" i="1"/>
  <c r="M27" i="1" s="1"/>
  <c r="M42" i="1" s="1"/>
  <c r="M31" i="1"/>
  <c r="M32" i="1"/>
  <c r="M14" i="1"/>
  <c r="O31" i="1"/>
  <c r="O32" i="1"/>
  <c r="O10" i="1"/>
  <c r="O27" i="1"/>
  <c r="O42" i="1" s="1"/>
  <c r="O23" i="1"/>
  <c r="O14" i="1"/>
  <c r="O15" i="1"/>
  <c r="CV31" i="2"/>
  <c r="CV32" i="2" s="1"/>
  <c r="CU31" i="2"/>
  <c r="CU32" i="2" s="1"/>
  <c r="CT31" i="2"/>
  <c r="CT32" i="2" s="1"/>
  <c r="CS31" i="2"/>
  <c r="CS32" i="2" s="1"/>
  <c r="CR31" i="2"/>
  <c r="CR32" i="2" s="1"/>
  <c r="CQ31" i="2"/>
  <c r="CQ32" i="2" s="1"/>
  <c r="CP31" i="2"/>
  <c r="CP32" i="2" s="1"/>
  <c r="CO31" i="2"/>
  <c r="CO32" i="2" s="1"/>
  <c r="CN31" i="2"/>
  <c r="CN32" i="2" s="1"/>
  <c r="CV27" i="2"/>
  <c r="CV43" i="2" s="1"/>
  <c r="CU27" i="2"/>
  <c r="CU43" i="2" s="1"/>
  <c r="CT27" i="2"/>
  <c r="CT43" i="2" s="1"/>
  <c r="CS27" i="2"/>
  <c r="CS43" i="2" s="1"/>
  <c r="CR27" i="2"/>
  <c r="CR43" i="2" s="1"/>
  <c r="CQ27" i="2"/>
  <c r="CQ43" i="2" s="1"/>
  <c r="CP27" i="2"/>
  <c r="CP43" i="2" s="1"/>
  <c r="CO27" i="2"/>
  <c r="CO43" i="2" s="1"/>
  <c r="CN27" i="2"/>
  <c r="CN43" i="2" s="1"/>
  <c r="CV22" i="2"/>
  <c r="CU22" i="2"/>
  <c r="CT22" i="2"/>
  <c r="CS22" i="2"/>
  <c r="CR22" i="2"/>
  <c r="CQ22" i="2"/>
  <c r="CP22" i="2"/>
  <c r="CO22" i="2"/>
  <c r="CN22" i="2"/>
  <c r="CN14" i="2"/>
  <c r="CV16" i="2"/>
  <c r="CU16" i="2"/>
  <c r="CT16" i="2"/>
  <c r="CS16" i="2"/>
  <c r="CR16" i="2"/>
  <c r="CQ16" i="2"/>
  <c r="CP16" i="2"/>
  <c r="CO16" i="2"/>
  <c r="CN12" i="2"/>
  <c r="CN16" i="2" s="1"/>
  <c r="CN11" i="2"/>
  <c r="C11" i="2"/>
  <c r="C12" i="2"/>
  <c r="C14" i="2"/>
  <c r="C16" i="2"/>
  <c r="C22" i="2"/>
  <c r="C27" i="2"/>
  <c r="C28" i="2"/>
  <c r="C29" i="2"/>
  <c r="C31" i="2"/>
  <c r="C32" i="2"/>
  <c r="D12" i="2"/>
  <c r="D11" i="2"/>
  <c r="D14" i="2"/>
  <c r="D22" i="2"/>
  <c r="D16" i="2"/>
  <c r="D31" i="2"/>
  <c r="D32" i="2" s="1"/>
  <c r="D27" i="2"/>
  <c r="J22" i="2"/>
  <c r="I22" i="2"/>
  <c r="H22" i="2"/>
  <c r="G22" i="2"/>
  <c r="F22" i="2"/>
  <c r="E22" i="2"/>
  <c r="J14" i="2"/>
  <c r="I14" i="2"/>
  <c r="H14" i="2"/>
  <c r="G14" i="2"/>
  <c r="F14" i="2"/>
  <c r="E14" i="2"/>
  <c r="J12" i="2"/>
  <c r="J16" i="2" s="1"/>
  <c r="I12" i="2"/>
  <c r="I16" i="2" s="1"/>
  <c r="H12" i="2"/>
  <c r="H16" i="2" s="1"/>
  <c r="G12" i="2"/>
  <c r="G16" i="2" s="1"/>
  <c r="F12" i="2"/>
  <c r="F16" i="2" s="1"/>
  <c r="E12" i="2"/>
  <c r="E16" i="2" s="1"/>
  <c r="J11" i="2"/>
  <c r="I11" i="2"/>
  <c r="H11" i="2"/>
  <c r="G11" i="2"/>
  <c r="F11" i="2"/>
  <c r="E11" i="2"/>
  <c r="J31" i="2"/>
  <c r="J32" i="2" s="1"/>
  <c r="I31" i="2"/>
  <c r="I32" i="2" s="1"/>
  <c r="H31" i="2"/>
  <c r="H32" i="2" s="1"/>
  <c r="G31" i="2"/>
  <c r="G32" i="2" s="1"/>
  <c r="F31" i="2"/>
  <c r="F32" i="2" s="1"/>
  <c r="E31" i="2"/>
  <c r="E32" i="2" s="1"/>
  <c r="J27" i="2"/>
  <c r="I27" i="2"/>
  <c r="H27" i="2"/>
  <c r="F27" i="2"/>
  <c r="E27" i="2"/>
  <c r="AO14" i="1"/>
  <c r="AO28" i="1" s="1"/>
  <c r="AO10" i="1"/>
  <c r="AO15" i="1" s="1"/>
  <c r="AO11" i="1"/>
  <c r="AO27" i="1" s="1"/>
  <c r="AO42" i="1" s="1"/>
  <c r="AO23" i="1"/>
  <c r="AO31" i="1"/>
  <c r="AO32" i="1" s="1"/>
  <c r="AF23" i="1"/>
  <c r="AF9" i="1"/>
  <c r="AF14" i="1"/>
  <c r="AF31" i="1"/>
  <c r="AF32" i="1" s="1"/>
  <c r="AE31" i="1"/>
  <c r="AE32" i="1" s="1"/>
  <c r="AE23" i="1"/>
  <c r="AE14" i="1"/>
  <c r="AE10" i="1"/>
  <c r="AE15" i="1" s="1"/>
  <c r="AE11" i="1"/>
  <c r="AE27" i="1" s="1"/>
  <c r="AE42" i="1" s="1"/>
  <c r="AD10" i="1"/>
  <c r="AD15" i="1" s="1"/>
  <c r="AD11" i="1"/>
  <c r="AD27" i="1" s="1"/>
  <c r="AD42" i="1" s="1"/>
  <c r="AD31" i="1"/>
  <c r="AD32" i="1" s="1"/>
  <c r="AD23" i="1"/>
  <c r="AD14" i="1"/>
  <c r="AC14" i="1"/>
  <c r="AC10" i="1"/>
  <c r="AC15" i="1" s="1"/>
  <c r="AC11" i="1"/>
  <c r="AC27" i="1" s="1"/>
  <c r="AC42" i="1" s="1"/>
  <c r="AC23" i="1"/>
  <c r="AC31" i="1"/>
  <c r="AC32" i="1"/>
  <c r="AB10" i="1"/>
  <c r="AB15" i="1" s="1"/>
  <c r="AB11" i="1"/>
  <c r="AB31" i="1"/>
  <c r="AB32" i="1"/>
  <c r="AB27" i="1"/>
  <c r="AB42" i="1" s="1"/>
  <c r="AB14" i="1"/>
  <c r="AB23" i="1"/>
  <c r="V10" i="1"/>
  <c r="V11" i="1"/>
  <c r="V27" i="1" s="1"/>
  <c r="V42" i="1" s="1"/>
  <c r="V23" i="1"/>
  <c r="V31" i="1"/>
  <c r="V32" i="1"/>
  <c r="V14" i="1"/>
  <c r="V15" i="1"/>
  <c r="M14" i="2"/>
  <c r="O14" i="2"/>
  <c r="N14" i="2"/>
  <c r="L14" i="2"/>
  <c r="K14" i="2"/>
  <c r="O12" i="2"/>
  <c r="N12" i="2"/>
  <c r="M12" i="2"/>
  <c r="L12" i="2"/>
  <c r="K12" i="2"/>
  <c r="O11" i="2"/>
  <c r="N11" i="2"/>
  <c r="M11" i="2"/>
  <c r="L11" i="2"/>
  <c r="K11" i="2"/>
  <c r="O16" i="2"/>
  <c r="N16" i="2"/>
  <c r="M16" i="2"/>
  <c r="L16" i="2"/>
  <c r="K16" i="2"/>
  <c r="O22" i="2"/>
  <c r="N22" i="2"/>
  <c r="M22" i="2"/>
  <c r="L22" i="2"/>
  <c r="K22" i="2"/>
  <c r="O31" i="2"/>
  <c r="O32" i="2" s="1"/>
  <c r="N31" i="2"/>
  <c r="N32" i="2" s="1"/>
  <c r="M31" i="2"/>
  <c r="M32" i="2" s="1"/>
  <c r="L31" i="2"/>
  <c r="L32" i="2" s="1"/>
  <c r="O27" i="2"/>
  <c r="N27" i="2"/>
  <c r="M27" i="2"/>
  <c r="L27" i="2"/>
  <c r="K31" i="2"/>
  <c r="K32" i="2" s="1"/>
  <c r="K27" i="2"/>
  <c r="R14" i="2"/>
  <c r="Q14" i="2"/>
  <c r="P14" i="2"/>
  <c r="R31" i="2"/>
  <c r="R32" i="2" s="1"/>
  <c r="R27" i="2"/>
  <c r="R43" i="2" s="1"/>
  <c r="Q31" i="2"/>
  <c r="Q32" i="2" s="1"/>
  <c r="Q27" i="2"/>
  <c r="Q43" i="2" s="1"/>
  <c r="P31" i="2"/>
  <c r="P32" i="2" s="1"/>
  <c r="P27" i="2"/>
  <c r="P43" i="2" s="1"/>
  <c r="R22" i="2"/>
  <c r="Q22" i="2"/>
  <c r="P22" i="2"/>
  <c r="R12" i="2"/>
  <c r="R16" i="2" s="1"/>
  <c r="Q12" i="2"/>
  <c r="Q16" i="2" s="1"/>
  <c r="P12" i="2"/>
  <c r="P16" i="2" s="1"/>
  <c r="R11" i="2"/>
  <c r="Q11" i="2"/>
  <c r="P11" i="2"/>
  <c r="Z22" i="2"/>
  <c r="Y22" i="2"/>
  <c r="Z12" i="2"/>
  <c r="Z11" i="2"/>
  <c r="Y12" i="2"/>
  <c r="Y11" i="2"/>
  <c r="X12" i="2"/>
  <c r="X11" i="2"/>
  <c r="Z16" i="2"/>
  <c r="Z14" i="2"/>
  <c r="Y16" i="2"/>
  <c r="Y14" i="2"/>
  <c r="X16" i="2"/>
  <c r="X14" i="2"/>
  <c r="X22" i="2"/>
  <c r="W12" i="2"/>
  <c r="W11" i="2"/>
  <c r="W16" i="2"/>
  <c r="W14" i="2"/>
  <c r="W22" i="2"/>
  <c r="V12" i="2"/>
  <c r="V11" i="2"/>
  <c r="W23" i="1"/>
  <c r="V16" i="2"/>
  <c r="V14" i="2"/>
  <c r="V22" i="2"/>
  <c r="W10" i="1"/>
  <c r="W15" i="1" s="1"/>
  <c r="W11" i="1"/>
  <c r="W27" i="1" s="1"/>
  <c r="W42" i="1" s="1"/>
  <c r="W31" i="1"/>
  <c r="W32" i="1"/>
  <c r="U12" i="2"/>
  <c r="U11" i="2"/>
  <c r="U16" i="2"/>
  <c r="U14" i="2"/>
  <c r="U22" i="2"/>
  <c r="W14" i="1"/>
  <c r="T12" i="2"/>
  <c r="T11" i="2"/>
  <c r="T22" i="2"/>
  <c r="Z31" i="2"/>
  <c r="Z32" i="2" s="1"/>
  <c r="Z27" i="2"/>
  <c r="Z43" i="2" s="1"/>
  <c r="Y31" i="2"/>
  <c r="Y32" i="2" s="1"/>
  <c r="Y27" i="2"/>
  <c r="Y43" i="2" s="1"/>
  <c r="X31" i="2"/>
  <c r="X32" i="2" s="1"/>
  <c r="X27" i="2"/>
  <c r="X43" i="2" s="1"/>
  <c r="T16" i="2"/>
  <c r="T14" i="2"/>
  <c r="W31" i="2"/>
  <c r="W32" i="2" s="1"/>
  <c r="W27" i="2"/>
  <c r="W43" i="2" s="1"/>
  <c r="V31" i="2"/>
  <c r="V32" i="2" s="1"/>
  <c r="V27" i="2"/>
  <c r="V43" i="2" s="1"/>
  <c r="U31" i="2"/>
  <c r="U32" i="2" s="1"/>
  <c r="U27" i="2"/>
  <c r="U43" i="2" s="1"/>
  <c r="T31" i="2"/>
  <c r="T32" i="2" s="1"/>
  <c r="T27" i="2"/>
  <c r="T43" i="2" s="1"/>
  <c r="X10" i="1"/>
  <c r="X11" i="1"/>
  <c r="X27" i="1" s="1"/>
  <c r="X42" i="1" s="1"/>
  <c r="X23" i="1"/>
  <c r="X14" i="1"/>
  <c r="X15" i="1"/>
  <c r="X31" i="1"/>
  <c r="X32" i="1"/>
  <c r="S22" i="2"/>
  <c r="S14" i="2"/>
  <c r="S12" i="2"/>
  <c r="S16" i="2" s="1"/>
  <c r="S11" i="2"/>
  <c r="S31" i="2"/>
  <c r="S32" i="2" s="1"/>
  <c r="S27" i="2"/>
  <c r="S43" i="2" s="1"/>
  <c r="AB12" i="2"/>
  <c r="AB11" i="2"/>
  <c r="AA12" i="2"/>
  <c r="AA11" i="2"/>
  <c r="AB22" i="2"/>
  <c r="AA22" i="2"/>
  <c r="AB16" i="2"/>
  <c r="AB14" i="2"/>
  <c r="AA16" i="2"/>
  <c r="AA14" i="2"/>
  <c r="AA31" i="2"/>
  <c r="AA32" i="2" s="1"/>
  <c r="AA27" i="2"/>
  <c r="AA43" i="2" s="1"/>
  <c r="AB31" i="2"/>
  <c r="AB32" i="2" s="1"/>
  <c r="AB27" i="2"/>
  <c r="AB43" i="2" s="1"/>
  <c r="AG12" i="2"/>
  <c r="AG16" i="2" s="1"/>
  <c r="AG11" i="2"/>
  <c r="AF12" i="2"/>
  <c r="AF16" i="2" s="1"/>
  <c r="AF11" i="2"/>
  <c r="AG22" i="2"/>
  <c r="AF22" i="2"/>
  <c r="AE22" i="2"/>
  <c r="AE12" i="2"/>
  <c r="AE16" i="2" s="1"/>
  <c r="AE11" i="2"/>
  <c r="AD12" i="2"/>
  <c r="AD11" i="2"/>
  <c r="AD16" i="2"/>
  <c r="AD22" i="2"/>
  <c r="AC12" i="2"/>
  <c r="AC16" i="2" s="1"/>
  <c r="AC11" i="2"/>
  <c r="AC22" i="2"/>
  <c r="Y23" i="1"/>
  <c r="Y31" i="1"/>
  <c r="Y32" i="1" s="1"/>
  <c r="Y10" i="1"/>
  <c r="Y11" i="1"/>
  <c r="Y27" i="1" s="1"/>
  <c r="Y42" i="1" s="1"/>
  <c r="Y14" i="1"/>
  <c r="Y15" i="1"/>
  <c r="AL23" i="1"/>
  <c r="AL9" i="1"/>
  <c r="AL31" i="1"/>
  <c r="AL32" i="1" s="1"/>
  <c r="AG14" i="2"/>
  <c r="AF14" i="2"/>
  <c r="AE14" i="2"/>
  <c r="AD14" i="2"/>
  <c r="AC14" i="2"/>
  <c r="AL14" i="1"/>
  <c r="AH23" i="1"/>
  <c r="AH31" i="1"/>
  <c r="AH32" i="1" s="1"/>
  <c r="AH14" i="1"/>
  <c r="AH10" i="1"/>
  <c r="AH15" i="1" s="1"/>
  <c r="AH11" i="1"/>
  <c r="AH27" i="1" s="1"/>
  <c r="AH42" i="1" s="1"/>
  <c r="AG31" i="1"/>
  <c r="AG32" i="1"/>
  <c r="AG23" i="1"/>
  <c r="AG14" i="1"/>
  <c r="AG10" i="1"/>
  <c r="AG15" i="1" s="1"/>
  <c r="AG11" i="1"/>
  <c r="AG27" i="1" s="1"/>
  <c r="AG42" i="1" s="1"/>
  <c r="AK31" i="1"/>
  <c r="AK32" i="1" s="1"/>
  <c r="AK23" i="1"/>
  <c r="AK14" i="1"/>
  <c r="AK9" i="1"/>
  <c r="DI15" i="1"/>
  <c r="DK10" i="1"/>
  <c r="DK15" i="1" s="1"/>
  <c r="DM10" i="1"/>
  <c r="DJ11" i="1"/>
  <c r="DK11" i="1"/>
  <c r="DM11" i="1"/>
  <c r="DM31" i="1"/>
  <c r="DM32" i="1" s="1"/>
  <c r="DL31" i="1"/>
  <c r="DL32" i="1" s="1"/>
  <c r="DJ31" i="1"/>
  <c r="DJ32" i="1" s="1"/>
  <c r="DK31" i="1"/>
  <c r="DK32" i="1" s="1"/>
  <c r="DI31" i="1"/>
  <c r="DI32" i="1"/>
  <c r="DH29" i="1"/>
  <c r="DH31" i="1"/>
  <c r="DH32" i="1" s="1"/>
  <c r="DM23" i="1"/>
  <c r="DM15" i="1"/>
  <c r="DM14" i="1"/>
  <c r="DL23" i="1"/>
  <c r="DL15" i="1"/>
  <c r="DK23" i="1"/>
  <c r="DK14" i="1"/>
  <c r="DJ23" i="1"/>
  <c r="DJ15" i="1"/>
  <c r="DJ14" i="1"/>
  <c r="DI23" i="1"/>
  <c r="DI14" i="1"/>
  <c r="DH14" i="1"/>
  <c r="DH30" i="1" s="1"/>
  <c r="DH15" i="1"/>
  <c r="DH23" i="1"/>
  <c r="CV27" i="1"/>
  <c r="CV42" i="1" s="1"/>
  <c r="CU27" i="1"/>
  <c r="CU42" i="1" s="1"/>
  <c r="CQ31" i="1"/>
  <c r="CQ32" i="1" s="1"/>
  <c r="CR31" i="1"/>
  <c r="CS31" i="1"/>
  <c r="CT31" i="1"/>
  <c r="CT32" i="1" s="1"/>
  <c r="CU31" i="1"/>
  <c r="CU32" i="1" s="1"/>
  <c r="CV31" i="1"/>
  <c r="CR32" i="1"/>
  <c r="CS32" i="1"/>
  <c r="CV32" i="1"/>
  <c r="CV14" i="1"/>
  <c r="CV11" i="1"/>
  <c r="CV10" i="1"/>
  <c r="CV15" i="1" s="1"/>
  <c r="CU14" i="1"/>
  <c r="CU11" i="1"/>
  <c r="CU10" i="1"/>
  <c r="CU15" i="1" s="1"/>
  <c r="CT14" i="1"/>
  <c r="CT11" i="1"/>
  <c r="CT10" i="1"/>
  <c r="CT15" i="1" s="1"/>
  <c r="CS14" i="1"/>
  <c r="CS11" i="1"/>
  <c r="CS10" i="1"/>
  <c r="CS15" i="1" s="1"/>
  <c r="CR14" i="1"/>
  <c r="CR11" i="1"/>
  <c r="CR10" i="1"/>
  <c r="CR15" i="1" s="1"/>
  <c r="CQ10" i="1"/>
  <c r="CQ15" i="1" s="1"/>
  <c r="CQ11" i="1"/>
  <c r="CQ14" i="1"/>
  <c r="CT23" i="1"/>
  <c r="CS23" i="1"/>
  <c r="CU23" i="1"/>
  <c r="CR23" i="1"/>
  <c r="AG27" i="2"/>
  <c r="AG43" i="2" s="1"/>
  <c r="AG28" i="2"/>
  <c r="AG29" i="2"/>
  <c r="AG30" i="2"/>
  <c r="AG31" i="2"/>
  <c r="AG32" i="2"/>
  <c r="AF27" i="2"/>
  <c r="AF43" i="2" s="1"/>
  <c r="AF28" i="2"/>
  <c r="AF29" i="2"/>
  <c r="AF30" i="2"/>
  <c r="AF31" i="2"/>
  <c r="AF32" i="2"/>
  <c r="AE27" i="2"/>
  <c r="AE43" i="2" s="1"/>
  <c r="AE28" i="2"/>
  <c r="AE29" i="2"/>
  <c r="AE30" i="2"/>
  <c r="AE31" i="2"/>
  <c r="AE32" i="2"/>
  <c r="AD27" i="2"/>
  <c r="AD43" i="2" s="1"/>
  <c r="AD28" i="2"/>
  <c r="AD29" i="2"/>
  <c r="AD30" i="2"/>
  <c r="AD31" i="2"/>
  <c r="AD32" i="2"/>
  <c r="AC27" i="2"/>
  <c r="AC43" i="2" s="1"/>
  <c r="AC28" i="2"/>
  <c r="AC29" i="2"/>
  <c r="AC30" i="2"/>
  <c r="AC31" i="2"/>
  <c r="AC32" i="2" s="1"/>
  <c r="CQ23" i="1"/>
  <c r="CV23" i="1"/>
  <c r="DG14" i="1"/>
  <c r="DG15" i="1"/>
  <c r="DF15" i="1"/>
  <c r="DF31" i="1"/>
  <c r="DF32" i="1" s="1"/>
  <c r="DG31" i="1"/>
  <c r="DG32" i="1" s="1"/>
  <c r="DF27" i="1"/>
  <c r="DG23" i="1"/>
  <c r="DF23" i="1"/>
  <c r="AI14" i="2"/>
  <c r="AH14" i="2"/>
  <c r="AI12" i="2"/>
  <c r="AI16" i="2" s="1"/>
  <c r="AH12" i="2"/>
  <c r="AH16" i="2" s="1"/>
  <c r="AI11" i="2"/>
  <c r="AH11" i="2"/>
  <c r="AI22" i="2"/>
  <c r="AH22" i="2"/>
  <c r="AI31" i="2"/>
  <c r="AI32" i="2" s="1"/>
  <c r="AH31" i="2"/>
  <c r="AH32" i="2" s="1"/>
  <c r="AI27" i="2"/>
  <c r="AI43" i="2" s="1"/>
  <c r="AH27" i="2"/>
  <c r="AH43" i="2" s="1"/>
  <c r="AQ22" i="2"/>
  <c r="AP22" i="2"/>
  <c r="AO22" i="2"/>
  <c r="AN22" i="2"/>
  <c r="AQ14" i="2"/>
  <c r="AP14" i="2"/>
  <c r="AO14" i="2"/>
  <c r="AN14" i="2"/>
  <c r="AQ12" i="2"/>
  <c r="AQ16" i="2" s="1"/>
  <c r="AQ11" i="2"/>
  <c r="AP12" i="2"/>
  <c r="AP16" i="2" s="1"/>
  <c r="AP11" i="2"/>
  <c r="AO12" i="2"/>
  <c r="AO16" i="2" s="1"/>
  <c r="AO11" i="2"/>
  <c r="AN12" i="2"/>
  <c r="AN16" i="2" s="1"/>
  <c r="AN11" i="2"/>
  <c r="AM22" i="2"/>
  <c r="AL22" i="2"/>
  <c r="AK22" i="2"/>
  <c r="AJ22" i="2"/>
  <c r="AM14" i="2"/>
  <c r="AL14" i="2"/>
  <c r="AK14" i="2"/>
  <c r="AJ14" i="2"/>
  <c r="AM12" i="2"/>
  <c r="AM16" i="2" s="1"/>
  <c r="AL12" i="2"/>
  <c r="AL16" i="2" s="1"/>
  <c r="AK12" i="2"/>
  <c r="AK16" i="2" s="1"/>
  <c r="AJ12" i="2"/>
  <c r="AJ16" i="2" s="1"/>
  <c r="AM11" i="2"/>
  <c r="AL11" i="2"/>
  <c r="AK11" i="2"/>
  <c r="AJ11" i="2"/>
  <c r="BH29" i="1"/>
  <c r="BH30" i="1" s="1"/>
  <c r="BH51" i="1" s="1"/>
  <c r="BH31" i="1"/>
  <c r="BH32" i="1" s="1"/>
  <c r="BH23" i="1"/>
  <c r="BH14" i="1"/>
  <c r="BM31" i="1"/>
  <c r="BM32" i="1"/>
  <c r="BM29" i="1"/>
  <c r="BM30" i="1" s="1"/>
  <c r="BM51" i="1" s="1"/>
  <c r="BM23" i="1"/>
  <c r="BM14" i="1"/>
  <c r="BL31" i="1"/>
  <c r="BL32" i="1"/>
  <c r="BL29" i="1"/>
  <c r="BL30" i="1" s="1"/>
  <c r="BL51" i="1" s="1"/>
  <c r="BL23" i="1"/>
  <c r="BL14" i="1"/>
  <c r="BK23" i="1"/>
  <c r="BK31" i="1"/>
  <c r="BK32" i="1"/>
  <c r="BK29" i="1"/>
  <c r="BK30" i="1" s="1"/>
  <c r="BK51" i="1" s="1"/>
  <c r="BK14" i="1"/>
  <c r="BO9" i="1"/>
  <c r="BO31" i="1"/>
  <c r="BO32" i="1" s="1"/>
  <c r="BO29" i="1"/>
  <c r="BO30" i="1" s="1"/>
  <c r="BO51" i="1" s="1"/>
  <c r="BO23" i="1"/>
  <c r="BO14" i="1"/>
  <c r="BN31" i="1"/>
  <c r="BN32" i="1" s="1"/>
  <c r="BN29" i="1"/>
  <c r="BN30" i="1" s="1"/>
  <c r="BN51" i="1" s="1"/>
  <c r="BN23" i="1"/>
  <c r="BN14" i="1"/>
  <c r="AQ31" i="2"/>
  <c r="AQ32" i="2" s="1"/>
  <c r="AQ27" i="2"/>
  <c r="AQ43" i="2" s="1"/>
  <c r="AP31" i="2"/>
  <c r="AP32" i="2" s="1"/>
  <c r="AP27" i="2"/>
  <c r="AP43" i="2" s="1"/>
  <c r="AO31" i="2"/>
  <c r="AO32" i="2" s="1"/>
  <c r="AO27" i="2"/>
  <c r="AO43" i="2" s="1"/>
  <c r="AN31" i="2"/>
  <c r="AN32" i="2" s="1"/>
  <c r="AN27" i="2"/>
  <c r="AN43" i="2" s="1"/>
  <c r="AM31" i="2"/>
  <c r="AM32" i="2" s="1"/>
  <c r="AM27" i="2"/>
  <c r="AM43" i="2" s="1"/>
  <c r="AK31" i="2"/>
  <c r="AK32" i="2" s="1"/>
  <c r="AK27" i="2"/>
  <c r="AK43" i="2" s="1"/>
  <c r="AL31" i="2"/>
  <c r="AL32" i="2" s="1"/>
  <c r="AL27" i="2"/>
  <c r="AL43" i="2" s="1"/>
  <c r="AJ31" i="2"/>
  <c r="AJ32" i="2" s="1"/>
  <c r="AJ27" i="2"/>
  <c r="AJ43" i="2" s="1"/>
  <c r="G10" i="1"/>
  <c r="G11" i="1"/>
  <c r="G27" i="1" s="1"/>
  <c r="G42" i="1" s="1"/>
  <c r="G31" i="1"/>
  <c r="G32" i="1" s="1"/>
  <c r="G23" i="1"/>
  <c r="G14" i="1"/>
  <c r="G15" i="1"/>
  <c r="CN31" i="1"/>
  <c r="CN32" i="1" s="1"/>
  <c r="CN11" i="1"/>
  <c r="CN10" i="1"/>
  <c r="CN15" i="1"/>
  <c r="CN14" i="1"/>
  <c r="CN23" i="1"/>
  <c r="DQ11" i="1"/>
  <c r="DP11" i="1"/>
  <c r="DO11" i="1"/>
  <c r="DQ10" i="1"/>
  <c r="DP10" i="1"/>
  <c r="DP15" i="1" s="1"/>
  <c r="DO10" i="1"/>
  <c r="DO15" i="1" s="1"/>
  <c r="DO31" i="1"/>
  <c r="DP31" i="1"/>
  <c r="DP32" i="1" s="1"/>
  <c r="DQ31" i="1"/>
  <c r="DQ32" i="1" s="1"/>
  <c r="DO32" i="1"/>
  <c r="DQ23" i="1"/>
  <c r="DQ15" i="1"/>
  <c r="DQ14" i="1"/>
  <c r="DP23" i="1"/>
  <c r="DP14" i="1"/>
  <c r="DO14" i="1"/>
  <c r="DO23" i="1"/>
  <c r="CY31" i="1"/>
  <c r="CY32" i="1"/>
  <c r="CY27" i="1"/>
  <c r="CX31" i="1"/>
  <c r="CX32" i="1"/>
  <c r="CX23" i="1"/>
  <c r="CX14" i="1"/>
  <c r="CX11" i="1"/>
  <c r="CX10" i="1"/>
  <c r="CX15" i="1" s="1"/>
  <c r="DE31" i="1"/>
  <c r="DE32" i="1"/>
  <c r="DE23" i="1"/>
  <c r="DE14" i="1"/>
  <c r="DE15" i="1"/>
  <c r="DC14" i="1"/>
  <c r="DC11" i="1"/>
  <c r="DC10" i="1"/>
  <c r="DC15" i="1" s="1"/>
  <c r="DC31" i="1"/>
  <c r="DC32" i="1"/>
  <c r="DC27" i="1"/>
  <c r="DC23" i="1"/>
  <c r="CM22" i="2"/>
  <c r="CL22" i="2"/>
  <c r="CK22" i="2"/>
  <c r="CJ22" i="2"/>
  <c r="CM14" i="2"/>
  <c r="CM12" i="2"/>
  <c r="CM16" i="2" s="1"/>
  <c r="CM11" i="2"/>
  <c r="CL14" i="2"/>
  <c r="CL12" i="2"/>
  <c r="CL16" i="2" s="1"/>
  <c r="CL11" i="2"/>
  <c r="CK14" i="2"/>
  <c r="CK12" i="2"/>
  <c r="CK16" i="2" s="1"/>
  <c r="CK11" i="2"/>
  <c r="CJ14" i="2"/>
  <c r="CJ12" i="2"/>
  <c r="CJ16" i="2" s="1"/>
  <c r="CJ11" i="2"/>
  <c r="DD14" i="1"/>
  <c r="DD10" i="1"/>
  <c r="DD15" i="1" s="1"/>
  <c r="DD11" i="1"/>
  <c r="DA10" i="1"/>
  <c r="DA15" i="1" s="1"/>
  <c r="DB10" i="1"/>
  <c r="DA11" i="1"/>
  <c r="DB11" i="1"/>
  <c r="DB15" i="1"/>
  <c r="DA31" i="1"/>
  <c r="DA32" i="1" s="1"/>
  <c r="DB31" i="1"/>
  <c r="DB32" i="1" s="1"/>
  <c r="DD31" i="1"/>
  <c r="DD32" i="1"/>
  <c r="CM31" i="2"/>
  <c r="CM32" i="2" s="1"/>
  <c r="CM27" i="2"/>
  <c r="CM43" i="2" s="1"/>
  <c r="DD23" i="1"/>
  <c r="CL31" i="2"/>
  <c r="CL32" i="2" s="1"/>
  <c r="CL27" i="2"/>
  <c r="CL43" i="2" s="1"/>
  <c r="CK31" i="2"/>
  <c r="CK32" i="2" s="1"/>
  <c r="CK27" i="2"/>
  <c r="CK43" i="2" s="1"/>
  <c r="CJ31" i="2"/>
  <c r="CJ32" i="2" s="1"/>
  <c r="CJ27" i="2"/>
  <c r="CJ43" i="2" s="1"/>
  <c r="DA23" i="1"/>
  <c r="DB23" i="1"/>
  <c r="CI22" i="2"/>
  <c r="CH22" i="2"/>
  <c r="CG22" i="2"/>
  <c r="CF22" i="2"/>
  <c r="CH14" i="2"/>
  <c r="CH12" i="2"/>
  <c r="CH16" i="2" s="1"/>
  <c r="CH11" i="2"/>
  <c r="CI14" i="2"/>
  <c r="CI12" i="2"/>
  <c r="CI16" i="2" s="1"/>
  <c r="CI11" i="2"/>
  <c r="CG14" i="2"/>
  <c r="CG12" i="2"/>
  <c r="CG16" i="2" s="1"/>
  <c r="CG11" i="2"/>
  <c r="CF14" i="2"/>
  <c r="CF12" i="2"/>
  <c r="CF16" i="2" s="1"/>
  <c r="CF11" i="2"/>
  <c r="CE22" i="2"/>
  <c r="CE14" i="2"/>
  <c r="CE12" i="2"/>
  <c r="CE16" i="2" s="1"/>
  <c r="CE11" i="2"/>
  <c r="CD22" i="2"/>
  <c r="CD14" i="2"/>
  <c r="CD12" i="2"/>
  <c r="CD16" i="2" s="1"/>
  <c r="CD11" i="2"/>
  <c r="DN14" i="1"/>
  <c r="DN10" i="1"/>
  <c r="DN15" i="1" s="1"/>
  <c r="DN11" i="1"/>
  <c r="DN31" i="1"/>
  <c r="DN32" i="1"/>
  <c r="DN23" i="1"/>
  <c r="C31" i="1"/>
  <c r="C32" i="1" s="1"/>
  <c r="C23" i="1"/>
  <c r="C11" i="1"/>
  <c r="C27" i="1" s="1"/>
  <c r="C42" i="1" s="1"/>
  <c r="C10" i="1"/>
  <c r="C15" i="1" s="1"/>
  <c r="C14" i="1"/>
  <c r="CH31" i="2"/>
  <c r="CH32" i="2" s="1"/>
  <c r="CH27" i="2"/>
  <c r="CH43" i="2" s="1"/>
  <c r="CI31" i="2"/>
  <c r="CI32" i="2" s="1"/>
  <c r="CI27" i="2"/>
  <c r="CI43" i="2" s="1"/>
  <c r="CG31" i="2"/>
  <c r="CG32" i="2" s="1"/>
  <c r="CG27" i="2"/>
  <c r="CG43" i="2" s="1"/>
  <c r="CE31" i="2"/>
  <c r="CE32" i="2" s="1"/>
  <c r="CE27" i="2"/>
  <c r="CE43" i="2" s="1"/>
  <c r="CF31" i="2"/>
  <c r="CF32" i="2" s="1"/>
  <c r="CF27" i="2"/>
  <c r="CF43" i="2" s="1"/>
  <c r="CD31" i="2"/>
  <c r="CD32" i="2" s="1"/>
  <c r="CD27" i="2"/>
  <c r="CD43" i="2" s="1"/>
  <c r="CA31" i="2"/>
  <c r="CA32" i="2" s="1"/>
  <c r="CA27" i="2"/>
  <c r="CA43" i="2" s="1"/>
  <c r="CC22" i="2"/>
  <c r="CB22" i="2"/>
  <c r="CA22" i="2"/>
  <c r="BZ22" i="2"/>
  <c r="CC14" i="2"/>
  <c r="CC12" i="2"/>
  <c r="CC16" i="2" s="1"/>
  <c r="CC11" i="2"/>
  <c r="CB14" i="2"/>
  <c r="CB12" i="2"/>
  <c r="CB16" i="2" s="1"/>
  <c r="CB11" i="2"/>
  <c r="CA14" i="2"/>
  <c r="CA12" i="2"/>
  <c r="CA16" i="2" s="1"/>
  <c r="CA11" i="2"/>
  <c r="BZ14" i="2"/>
  <c r="BZ12" i="2"/>
  <c r="BZ16" i="2" s="1"/>
  <c r="BZ11" i="2"/>
  <c r="CC31" i="2"/>
  <c r="CC32" i="2" s="1"/>
  <c r="CC27" i="2"/>
  <c r="CC43" i="2" s="1"/>
  <c r="CB31" i="2"/>
  <c r="CB32" i="2" s="1"/>
  <c r="CB27" i="2"/>
  <c r="CB43" i="2" s="1"/>
  <c r="BZ31" i="2"/>
  <c r="BZ32" i="2" s="1"/>
  <c r="BZ27" i="2"/>
  <c r="BZ43" i="2" s="1"/>
  <c r="BY31" i="2"/>
  <c r="BY32" i="2" s="1"/>
  <c r="BY27" i="2"/>
  <c r="BY43" i="2" s="1"/>
  <c r="BY22" i="2"/>
  <c r="BX31" i="2"/>
  <c r="BX32" i="2" s="1"/>
  <c r="BX27" i="2"/>
  <c r="BX43" i="2" s="1"/>
  <c r="BX22" i="2"/>
  <c r="BU31" i="2"/>
  <c r="BU32" i="2" s="1"/>
  <c r="BU27" i="2"/>
  <c r="BU43" i="2" s="1"/>
  <c r="BT31" i="2"/>
  <c r="BT32" i="2" s="1"/>
  <c r="BT27" i="2"/>
  <c r="BT43" i="2" s="1"/>
  <c r="BU22" i="2"/>
  <c r="BT22" i="2"/>
  <c r="BY14" i="2"/>
  <c r="BY12" i="2"/>
  <c r="BY16" i="2" s="1"/>
  <c r="BY11" i="2"/>
  <c r="BX14" i="2"/>
  <c r="BX12" i="2"/>
  <c r="BX16" i="2" s="1"/>
  <c r="BX11" i="2"/>
  <c r="BT14" i="2"/>
  <c r="BT12" i="2"/>
  <c r="BT16" i="2" s="1"/>
  <c r="BT11" i="2"/>
  <c r="BU14" i="2"/>
  <c r="BU12" i="2"/>
  <c r="BU16" i="2" s="1"/>
  <c r="BU11" i="2"/>
  <c r="BW22" i="2"/>
  <c r="BW31" i="2"/>
  <c r="BW32" i="2" s="1"/>
  <c r="BW27" i="2"/>
  <c r="BW43" i="2" s="1"/>
  <c r="BW14" i="2"/>
  <c r="BW12" i="2"/>
  <c r="BW16" i="2" s="1"/>
  <c r="BW11" i="2"/>
  <c r="BV31" i="2"/>
  <c r="BV32" i="2" s="1"/>
  <c r="BV27" i="2"/>
  <c r="BV43" i="2" s="1"/>
  <c r="BV22" i="2"/>
  <c r="BV14" i="2"/>
  <c r="BV12" i="2"/>
  <c r="BV16" i="2" s="1"/>
  <c r="BV11" i="2"/>
  <c r="BS22" i="2"/>
  <c r="BS14" i="2"/>
  <c r="BS12" i="2"/>
  <c r="BS16" i="2" s="1"/>
  <c r="BS11" i="2"/>
  <c r="BS31" i="2"/>
  <c r="BS32" i="2" s="1"/>
  <c r="BS27" i="2"/>
  <c r="BS43" i="2" s="1"/>
  <c r="BR31" i="2"/>
  <c r="BR32" i="2" s="1"/>
  <c r="BR27" i="2"/>
  <c r="BR43" i="2" s="1"/>
  <c r="BR22" i="2"/>
  <c r="BR14" i="2"/>
  <c r="BR12" i="2"/>
  <c r="BR16" i="2" s="1"/>
  <c r="BR11" i="2"/>
  <c r="BQ31" i="2"/>
  <c r="BQ32" i="2" s="1"/>
  <c r="BQ27" i="2"/>
  <c r="BQ43" i="2" s="1"/>
  <c r="BQ22" i="2"/>
  <c r="BQ14" i="2"/>
  <c r="BQ12" i="2"/>
  <c r="BQ16" i="2" s="1"/>
  <c r="BQ11" i="2"/>
  <c r="BP31" i="2"/>
  <c r="BP32" i="2" s="1"/>
  <c r="BP27" i="2"/>
  <c r="BP43" i="2" s="1"/>
  <c r="BP22" i="2"/>
  <c r="BP14" i="2"/>
  <c r="BP12" i="2"/>
  <c r="BP16" i="2" s="1"/>
  <c r="BP11" i="2"/>
  <c r="BO31" i="2"/>
  <c r="BO32" i="2" s="1"/>
  <c r="BO27" i="2"/>
  <c r="BO43" i="2" s="1"/>
  <c r="BO22" i="2"/>
  <c r="BO14" i="2"/>
  <c r="BO12" i="2"/>
  <c r="BO16" i="2" s="1"/>
  <c r="BO11" i="2"/>
  <c r="BN22" i="2"/>
  <c r="BN31" i="2"/>
  <c r="BN32" i="2" s="1"/>
  <c r="BN14" i="2"/>
  <c r="BN12" i="2"/>
  <c r="BN16" i="2" s="1"/>
  <c r="BN11" i="2"/>
  <c r="BN27" i="2"/>
  <c r="BN43" i="2" s="1"/>
  <c r="BM31" i="2"/>
  <c r="BM32" i="2" s="1"/>
  <c r="BM27" i="2"/>
  <c r="BM43" i="2" s="1"/>
  <c r="BM22" i="2"/>
  <c r="BM14" i="2"/>
  <c r="BM12" i="2"/>
  <c r="BM16" i="2" s="1"/>
  <c r="BM11" i="2"/>
  <c r="BL22" i="2"/>
  <c r="BK22" i="2"/>
  <c r="CW11" i="1"/>
  <c r="CW10" i="1"/>
  <c r="CW15" i="1" s="1"/>
  <c r="CW23" i="1" s="1"/>
  <c r="CW14" i="1"/>
  <c r="CW31" i="1"/>
  <c r="CW32" i="1" s="1"/>
  <c r="CZ14" i="1"/>
  <c r="CZ23" i="1"/>
  <c r="CZ31" i="1" s="1"/>
  <c r="CZ11" i="1"/>
  <c r="CZ10" i="1"/>
  <c r="CZ15" i="1" s="1"/>
  <c r="BL31" i="2"/>
  <c r="BL32" i="2" s="1"/>
  <c r="BL27" i="2"/>
  <c r="BL43" i="2" s="1"/>
  <c r="BK31" i="2"/>
  <c r="BK32" i="2" s="1"/>
  <c r="BK27" i="2"/>
  <c r="BK43" i="2" s="1"/>
  <c r="BL14" i="2"/>
  <c r="BL12" i="2"/>
  <c r="BL16" i="2" s="1"/>
  <c r="BL11" i="2"/>
  <c r="BK14" i="2"/>
  <c r="BK12" i="2"/>
  <c r="BK16" i="2" s="1"/>
  <c r="BK11" i="2"/>
  <c r="AP10" i="1"/>
  <c r="AP11" i="1"/>
  <c r="AP27" i="1" s="1"/>
  <c r="AP42" i="1" s="1"/>
  <c r="AP14" i="1"/>
  <c r="AP28" i="1" s="1"/>
  <c r="AP15" i="1"/>
  <c r="AP23" i="1"/>
  <c r="AP31" i="1" s="1"/>
  <c r="AP32" i="1" s="1"/>
  <c r="K14" i="1"/>
  <c r="K10" i="1"/>
  <c r="K15" i="1" s="1"/>
  <c r="K23" i="1" s="1"/>
  <c r="K31" i="1" s="1"/>
  <c r="K11" i="1"/>
  <c r="L14" i="1"/>
  <c r="L10" i="1"/>
  <c r="L15" i="1" s="1"/>
  <c r="L23" i="1" s="1"/>
  <c r="L31" i="1" s="1"/>
  <c r="L11" i="1"/>
  <c r="L27" i="1" s="1"/>
  <c r="L42" i="1" s="1"/>
  <c r="I10" i="1"/>
  <c r="I15" i="1" s="1"/>
  <c r="I23" i="1" s="1"/>
  <c r="I31" i="1" s="1"/>
  <c r="I32" i="1" s="1"/>
  <c r="I11" i="1"/>
  <c r="I27" i="1" s="1"/>
  <c r="I42" i="1" s="1"/>
  <c r="I14" i="1"/>
  <c r="AI10" i="1"/>
  <c r="AI15" i="1" s="1"/>
  <c r="AI11" i="1"/>
  <c r="AI27" i="1" s="1"/>
  <c r="AI42" i="1" s="1"/>
  <c r="AI14" i="1"/>
  <c r="AI23" i="1"/>
  <c r="AI31" i="1"/>
  <c r="AI32" i="1"/>
  <c r="BG14" i="1"/>
  <c r="BF14" i="1"/>
  <c r="BF10" i="1"/>
  <c r="BF15" i="1" s="1"/>
  <c r="BF11" i="1"/>
  <c r="BF23" i="1"/>
  <c r="AM10" i="1"/>
  <c r="AM11" i="1"/>
  <c r="AM27" i="1" s="1"/>
  <c r="AM42" i="1" s="1"/>
  <c r="AM15" i="1"/>
  <c r="AM23" i="1" s="1"/>
  <c r="AM31" i="1" s="1"/>
  <c r="AM32" i="1" s="1"/>
  <c r="AM14" i="1"/>
  <c r="BJ31" i="2"/>
  <c r="BJ32" i="2" s="1"/>
  <c r="BJ27" i="2"/>
  <c r="BJ43" i="2" s="1"/>
  <c r="BJ22" i="2"/>
  <c r="BI31" i="2"/>
  <c r="BI32" i="2" s="1"/>
  <c r="BI27" i="2"/>
  <c r="BI43" i="2" s="1"/>
  <c r="BI12" i="2"/>
  <c r="BI16" i="2" s="1"/>
  <c r="BI11" i="2"/>
  <c r="BH31" i="2"/>
  <c r="BH32" i="2" s="1"/>
  <c r="BH27" i="2"/>
  <c r="BH43" i="2" s="1"/>
  <c r="BH12" i="2"/>
  <c r="BH16" i="2" s="1"/>
  <c r="BH11" i="2"/>
  <c r="BG31" i="2"/>
  <c r="BG32" i="2" s="1"/>
  <c r="BG27" i="2"/>
  <c r="BG43" i="2" s="1"/>
  <c r="BG12" i="2"/>
  <c r="BG16" i="2" s="1"/>
  <c r="BG11" i="2"/>
  <c r="BF31" i="2"/>
  <c r="BF32" i="2" s="1"/>
  <c r="BF27" i="2"/>
  <c r="BF43" i="2" s="1"/>
  <c r="BI14" i="2"/>
  <c r="BH14" i="2"/>
  <c r="BG14" i="2"/>
  <c r="BF14" i="2"/>
  <c r="BF12" i="2"/>
  <c r="BF16" i="2" s="1"/>
  <c r="BF11" i="2"/>
  <c r="BE31" i="2"/>
  <c r="BE32" i="2" s="1"/>
  <c r="BE27" i="2"/>
  <c r="BE43" i="2" s="1"/>
  <c r="BD31" i="2"/>
  <c r="BD32" i="2" s="1"/>
  <c r="BD27" i="2"/>
  <c r="BD43" i="2" s="1"/>
  <c r="BC31" i="2"/>
  <c r="BC32" i="2" s="1"/>
  <c r="BC27" i="2"/>
  <c r="BC43" i="2" s="1"/>
  <c r="BC22" i="2"/>
  <c r="BC14" i="2"/>
  <c r="BC12" i="2"/>
  <c r="BC16" i="2" s="1"/>
  <c r="BC11" i="2"/>
  <c r="BA31" i="2"/>
  <c r="BA32" i="2" s="1"/>
  <c r="CP11" i="1"/>
  <c r="BA27" i="2"/>
  <c r="CP10" i="1"/>
  <c r="CP15" i="1" s="1"/>
  <c r="BA22" i="2"/>
  <c r="AZ22" i="2"/>
  <c r="AY22" i="2"/>
  <c r="BA14" i="2"/>
  <c r="BA12" i="2"/>
  <c r="BA16" i="2" s="1"/>
  <c r="BA11" i="2"/>
  <c r="BB31" i="2"/>
  <c r="BB32" i="2" s="1"/>
  <c r="BB27" i="2"/>
  <c r="CP14" i="1"/>
  <c r="CP23" i="1"/>
  <c r="CP31" i="1" s="1"/>
  <c r="CP32" i="1" s="1"/>
  <c r="AZ31" i="2"/>
  <c r="AZ32" i="2"/>
  <c r="AZ27" i="2"/>
  <c r="AZ11" i="2"/>
  <c r="AZ12" i="2"/>
  <c r="AZ14" i="2"/>
  <c r="AZ16" i="2"/>
  <c r="AY11" i="2"/>
  <c r="AY12" i="2"/>
  <c r="AY14" i="2"/>
  <c r="AY16" i="2"/>
  <c r="AY31" i="2"/>
  <c r="AY32" i="2"/>
  <c r="AY27" i="2"/>
  <c r="AY43" i="2" s="1"/>
  <c r="BD14" i="1"/>
  <c r="BD10" i="1"/>
  <c r="BD15" i="1" s="1"/>
  <c r="BD11" i="1"/>
  <c r="BD23" i="1"/>
  <c r="BD21" i="1"/>
  <c r="BD31" i="1"/>
  <c r="BD32" i="1"/>
  <c r="BD29" i="1"/>
  <c r="AX27" i="2"/>
  <c r="AX22" i="2"/>
  <c r="AW22" i="2"/>
  <c r="AV22" i="2"/>
  <c r="AU22" i="2"/>
  <c r="AT22" i="2"/>
  <c r="AS22" i="2"/>
  <c r="AU31" i="2"/>
  <c r="AU32" i="2" s="1"/>
  <c r="AU27" i="2"/>
  <c r="AU14" i="2"/>
  <c r="AU12" i="2"/>
  <c r="AU16" i="2" s="1"/>
  <c r="AU11" i="2"/>
  <c r="AV11" i="2"/>
  <c r="AV12" i="2"/>
  <c r="AV14" i="2"/>
  <c r="AV16" i="2"/>
  <c r="AV31" i="2"/>
  <c r="AV32" i="2"/>
  <c r="AV27" i="2"/>
  <c r="AV43" i="2" s="1"/>
  <c r="CL27" i="1"/>
  <c r="BE9" i="1"/>
  <c r="BE10" i="1"/>
  <c r="BE15" i="1" s="1"/>
  <c r="BE11" i="1"/>
  <c r="AN14" i="1"/>
  <c r="AN10" i="1"/>
  <c r="AN15" i="1" s="1"/>
  <c r="AN11" i="1"/>
  <c r="AN27" i="1" s="1"/>
  <c r="AN42" i="1" s="1"/>
  <c r="AN23" i="1"/>
  <c r="AN31" i="1" s="1"/>
  <c r="AN32" i="1" s="1"/>
  <c r="AT31" i="2"/>
  <c r="AT32" i="2" s="1"/>
  <c r="AS31" i="2"/>
  <c r="AS32" i="2" s="1"/>
  <c r="AT27" i="2"/>
  <c r="AT43" i="2" s="1"/>
  <c r="AS27" i="2"/>
  <c r="AS43" i="2" s="1"/>
  <c r="AT16" i="2"/>
  <c r="AS16" i="2"/>
  <c r="AT14" i="2"/>
  <c r="AS14" i="2"/>
  <c r="AZ14" i="1"/>
  <c r="AZ28" i="1" s="1"/>
  <c r="AZ10" i="1"/>
  <c r="AZ15" i="1" s="1"/>
  <c r="AZ23" i="1" s="1"/>
  <c r="AZ31" i="1" s="1"/>
  <c r="AZ11" i="1"/>
  <c r="AZ27" i="1" s="1"/>
  <c r="AZ42" i="1" s="1"/>
  <c r="AW27" i="2"/>
  <c r="AR27" i="2"/>
  <c r="AR43" i="2" s="1"/>
  <c r="AX31" i="2"/>
  <c r="AX32" i="2" s="1"/>
  <c r="AW31" i="2"/>
  <c r="AW32" i="2" s="1"/>
  <c r="AR31" i="2"/>
  <c r="AR32" i="2" s="1"/>
  <c r="AR14" i="2"/>
  <c r="AW14" i="2"/>
  <c r="AW12" i="2"/>
  <c r="AW16" i="2" s="1"/>
  <c r="AW11" i="2"/>
  <c r="BI22" i="2"/>
  <c r="BH22" i="2"/>
  <c r="BG22" i="2"/>
  <c r="BF22" i="2"/>
  <c r="BE22" i="2"/>
  <c r="BD22" i="2"/>
  <c r="BB22" i="2"/>
  <c r="BE14" i="2"/>
  <c r="BD14" i="2"/>
  <c r="BB14" i="2"/>
  <c r="AX14" i="2"/>
  <c r="BE12" i="2"/>
  <c r="BE16" i="2" s="1"/>
  <c r="BD12" i="2"/>
  <c r="BD16" i="2" s="1"/>
  <c r="BB12" i="2"/>
  <c r="BB16" i="2" s="1"/>
  <c r="AX12" i="2"/>
  <c r="BE11" i="2"/>
  <c r="BD11" i="2"/>
  <c r="BB11" i="2"/>
  <c r="AX11" i="2"/>
  <c r="AR22" i="2"/>
  <c r="AR16" i="2"/>
  <c r="BE23" i="1"/>
  <c r="BE14" i="1"/>
  <c r="E10" i="1"/>
  <c r="E15" i="1" s="1"/>
  <c r="E23" i="1" s="1"/>
  <c r="E31" i="1" s="1"/>
  <c r="E32" i="1" s="1"/>
  <c r="E11" i="1"/>
  <c r="E27" i="1" s="1"/>
  <c r="E42" i="1" s="1"/>
  <c r="E14" i="1"/>
  <c r="CM27" i="1"/>
  <c r="CL10" i="1"/>
  <c r="CL15" i="1" s="1"/>
  <c r="CL23" i="1" s="1"/>
  <c r="CM10" i="1"/>
  <c r="CO10" i="1"/>
  <c r="CL11" i="1"/>
  <c r="CM11" i="1"/>
  <c r="CO11" i="1"/>
  <c r="BQ11" i="1"/>
  <c r="BQ10" i="1"/>
  <c r="BQ15" i="1" s="1"/>
  <c r="BQ23" i="1" s="1"/>
  <c r="BQ29" i="1" s="1"/>
  <c r="BQ30" i="1" s="1"/>
  <c r="BQ51" i="1" s="1"/>
  <c r="CM15" i="1"/>
  <c r="CM23" i="1" s="1"/>
  <c r="CO15" i="1"/>
  <c r="CO23" i="1" s="1"/>
  <c r="CL14" i="1"/>
  <c r="CM14" i="1"/>
  <c r="CO14" i="1"/>
  <c r="BQ14" i="1"/>
  <c r="BQ31" i="1"/>
  <c r="BQ32" i="1" s="1"/>
  <c r="CL31" i="1"/>
  <c r="CL32" i="1" s="1"/>
  <c r="CM31" i="1"/>
  <c r="CM32" i="1" s="1"/>
  <c r="CO31" i="1"/>
  <c r="CO32" i="1" s="1"/>
  <c r="HC73" i="14" l="1"/>
  <c r="GY73" i="14"/>
  <c r="GZ73" i="14"/>
  <c r="HA73" i="14"/>
  <c r="EE73" i="14"/>
  <c r="FB73" i="14"/>
  <c r="FW73" i="14"/>
  <c r="GU73" i="14"/>
  <c r="DK73" i="14"/>
  <c r="CQ73" i="14"/>
  <c r="EF73" i="14"/>
  <c r="FC73" i="14"/>
  <c r="FX73" i="14"/>
  <c r="GV73" i="14"/>
  <c r="DL73" i="14"/>
  <c r="BY73" i="14"/>
  <c r="EG73" i="14"/>
  <c r="FD73" i="14"/>
  <c r="FY73" i="14"/>
  <c r="GW73" i="14"/>
  <c r="DM73" i="14"/>
  <c r="BZ73" i="14"/>
  <c r="EH73" i="14"/>
  <c r="FE73" i="14"/>
  <c r="FZ73" i="14"/>
  <c r="GX73" i="14"/>
  <c r="DN73" i="14"/>
  <c r="CA73" i="14"/>
  <c r="EI73" i="14"/>
  <c r="GA73" i="14"/>
  <c r="DO73" i="14"/>
  <c r="CB73" i="14"/>
  <c r="GB73" i="14"/>
  <c r="CR73" i="14"/>
  <c r="DP73" i="14"/>
  <c r="CC73" i="14"/>
  <c r="GC73" i="14"/>
  <c r="CS73" i="14"/>
  <c r="CD73" i="14"/>
  <c r="FF73" i="14"/>
  <c r="GD73" i="14"/>
  <c r="CT73" i="14"/>
  <c r="DR73" i="14"/>
  <c r="CE73" i="14"/>
  <c r="EM73" i="14"/>
  <c r="FG73" i="14"/>
  <c r="GE73" i="14"/>
  <c r="CU73" i="14"/>
  <c r="CF73" i="14"/>
  <c r="FH73" i="14"/>
  <c r="GF73" i="14"/>
  <c r="CV73" i="14"/>
  <c r="DT73" i="14"/>
  <c r="CG73" i="14"/>
  <c r="EN73" i="14"/>
  <c r="FI73" i="14"/>
  <c r="CW73" i="14"/>
  <c r="EO73" i="14"/>
  <c r="FJ73" i="14"/>
  <c r="GH73" i="14"/>
  <c r="DU73" i="14"/>
  <c r="CI73" i="14"/>
  <c r="FK73" i="14"/>
  <c r="GI73" i="14"/>
  <c r="CY73" i="14"/>
  <c r="DV73" i="14"/>
  <c r="CJ73" i="14"/>
  <c r="FL73" i="14"/>
  <c r="GJ73" i="14"/>
  <c r="CZ73" i="14"/>
  <c r="CK73" i="14"/>
  <c r="ER73" i="14"/>
  <c r="FM73" i="14"/>
  <c r="GK73" i="14"/>
  <c r="DW73" i="14"/>
  <c r="ES73" i="14"/>
  <c r="GL73" i="14"/>
  <c r="DB73" i="14"/>
  <c r="DX73" i="14"/>
  <c r="ET73" i="14"/>
  <c r="GM73" i="14"/>
  <c r="DC73" i="14"/>
  <c r="CN73" i="14"/>
  <c r="EU73" i="14"/>
  <c r="DS73" i="14"/>
  <c r="GG73" i="14"/>
  <c r="CH73" i="14"/>
  <c r="CX73" i="14"/>
  <c r="EQ73" i="14"/>
  <c r="DA73" i="14"/>
  <c r="CL73" i="14"/>
  <c r="FN73" i="14"/>
  <c r="CM73" i="14"/>
  <c r="FO73" i="14"/>
  <c r="DY73" i="14"/>
  <c r="FP73" i="14"/>
  <c r="EL73" i="14"/>
  <c r="DQ73" i="14"/>
  <c r="EJ73" i="14"/>
  <c r="EK73" i="14"/>
  <c r="EP73" i="14"/>
  <c r="EV73" i="14"/>
  <c r="DH73" i="14"/>
  <c r="EW73" i="14"/>
  <c r="DI73" i="14"/>
  <c r="DJ73" i="14"/>
  <c r="EY73" i="14"/>
  <c r="DZ73" i="14"/>
  <c r="EZ73" i="14"/>
  <c r="EA73" i="14"/>
  <c r="FA73" i="14"/>
  <c r="EB73" i="14"/>
  <c r="FQ73" i="14"/>
  <c r="FR73" i="14"/>
  <c r="ED73" i="14"/>
  <c r="CO73" i="14"/>
  <c r="CP73" i="14"/>
  <c r="FU73" i="14"/>
  <c r="GQ73" i="14"/>
  <c r="DE73" i="14"/>
  <c r="EX73" i="14"/>
  <c r="FT73" i="14"/>
  <c r="GN73" i="14"/>
  <c r="GO73" i="14"/>
  <c r="GR73" i="14"/>
  <c r="DG73" i="14"/>
  <c r="EC73" i="14"/>
  <c r="FS73" i="14"/>
  <c r="BT73" i="14"/>
  <c r="DD73" i="14"/>
  <c r="FV73" i="14"/>
  <c r="GS73" i="14"/>
  <c r="DF73" i="14"/>
  <c r="GP73" i="14"/>
  <c r="GT73" i="14"/>
  <c r="BP73" i="14"/>
  <c r="BA73" i="14"/>
  <c r="BB73" i="14"/>
  <c r="BC73" i="14"/>
  <c r="BE73" i="14"/>
  <c r="BF73" i="14"/>
  <c r="AU73" i="14"/>
  <c r="BO73" i="14"/>
  <c r="BL73" i="14"/>
  <c r="BJ73" i="14"/>
  <c r="BM73" i="14"/>
  <c r="BK73" i="14"/>
  <c r="AV73" i="14"/>
  <c r="BG73" i="14"/>
  <c r="BD73" i="14"/>
  <c r="BW73" i="14"/>
  <c r="BV73" i="14"/>
  <c r="BU73" i="14"/>
  <c r="AY73" i="14"/>
  <c r="BR73" i="14"/>
  <c r="AX73" i="14"/>
  <c r="BN73" i="14"/>
  <c r="BI73" i="14"/>
  <c r="BH73" i="14"/>
  <c r="BX73" i="14"/>
  <c r="AZ73" i="14"/>
  <c r="BS73" i="14"/>
  <c r="BQ73" i="14"/>
  <c r="AW73" i="14"/>
  <c r="E73" i="14"/>
  <c r="AB73" i="14"/>
  <c r="AA73" i="14"/>
  <c r="Z73" i="14"/>
  <c r="Y73" i="14"/>
  <c r="X73" i="14"/>
  <c r="W73" i="14"/>
  <c r="AN73" i="14"/>
  <c r="AT73" i="14"/>
  <c r="V73" i="14"/>
  <c r="AS73" i="14"/>
  <c r="U73" i="14"/>
  <c r="AR73" i="14"/>
  <c r="T73" i="14"/>
  <c r="AQ73" i="14"/>
  <c r="S73" i="14"/>
  <c r="AP73" i="14"/>
  <c r="R73" i="14"/>
  <c r="AO73" i="14"/>
  <c r="Q73" i="14"/>
  <c r="AL73" i="14"/>
  <c r="M73" i="14"/>
  <c r="O73" i="14"/>
  <c r="L73" i="14"/>
  <c r="K73" i="14"/>
  <c r="J73" i="14"/>
  <c r="AG73" i="14"/>
  <c r="AF73" i="14"/>
  <c r="G73" i="14"/>
  <c r="F73" i="14"/>
  <c r="AD73" i="14"/>
  <c r="AC73" i="14"/>
  <c r="P73" i="14"/>
  <c r="AM73" i="14"/>
  <c r="N73" i="14"/>
  <c r="AK73" i="14"/>
  <c r="AJ73" i="14"/>
  <c r="AI73" i="14"/>
  <c r="AH73" i="14"/>
  <c r="I73" i="14"/>
  <c r="H73" i="14"/>
  <c r="AE73" i="14"/>
  <c r="DR55" i="7"/>
  <c r="DR56" i="7" s="1"/>
  <c r="DR15" i="7"/>
  <c r="DS55" i="7"/>
  <c r="DS56" i="7" s="1"/>
  <c r="DS15" i="7"/>
  <c r="DT55" i="7"/>
  <c r="DT56" i="7" s="1"/>
  <c r="DT15" i="7"/>
  <c r="DU55" i="7"/>
  <c r="DU56" i="7" s="1"/>
  <c r="DU15" i="7"/>
  <c r="DV55" i="7"/>
  <c r="DV56" i="7" s="1"/>
  <c r="DV15" i="7"/>
  <c r="DW55" i="7"/>
  <c r="DW56" i="7" s="1"/>
  <c r="DW15" i="7"/>
  <c r="DX55" i="7"/>
  <c r="DX56" i="7" s="1"/>
  <c r="DX15" i="7"/>
  <c r="DY55" i="7"/>
  <c r="DY56" i="7" s="1"/>
  <c r="DY15" i="7"/>
  <c r="DZ55" i="7"/>
  <c r="DZ56" i="7" s="1"/>
  <c r="DZ15" i="7"/>
  <c r="EA55" i="7"/>
  <c r="EA56" i="7" s="1"/>
  <c r="EA15" i="7"/>
  <c r="EB55" i="7"/>
  <c r="EB56" i="7" s="1"/>
  <c r="EB15" i="7"/>
  <c r="EC55" i="7"/>
  <c r="EC56" i="7" s="1"/>
  <c r="EC15" i="7"/>
  <c r="ED55" i="7"/>
  <c r="ED56" i="7" s="1"/>
  <c r="ED15" i="7"/>
  <c r="EE55" i="7"/>
  <c r="EE56" i="7" s="1"/>
  <c r="EE15" i="7"/>
  <c r="EF55" i="7"/>
  <c r="EF56" i="7" s="1"/>
  <c r="EF15" i="7"/>
  <c r="EG55" i="7"/>
  <c r="EG56" i="7" s="1"/>
  <c r="EG15" i="7"/>
  <c r="EH55" i="7"/>
  <c r="EH56" i="7" s="1"/>
  <c r="EH15" i="7"/>
  <c r="EI55" i="7"/>
  <c r="EI56" i="7" s="1"/>
  <c r="EI15" i="7"/>
  <c r="EJ55" i="7"/>
  <c r="EJ56" i="7" s="1"/>
  <c r="EJ15" i="7"/>
  <c r="EK55" i="7"/>
  <c r="EK56" i="7" s="1"/>
  <c r="EK15" i="7"/>
  <c r="EL55" i="7"/>
  <c r="EL56" i="7" s="1"/>
  <c r="EL15" i="7"/>
  <c r="EM55" i="7"/>
  <c r="EM56" i="7" s="1"/>
  <c r="EM15" i="7"/>
  <c r="EN55" i="7"/>
  <c r="EN56" i="7" s="1"/>
  <c r="EN15" i="7"/>
  <c r="EO55" i="7"/>
  <c r="EO56" i="7" s="1"/>
  <c r="EO15" i="7"/>
  <c r="EP55" i="7"/>
  <c r="EP56" i="7" s="1"/>
  <c r="EP15" i="7"/>
  <c r="EQ55" i="7"/>
  <c r="EQ56" i="7" s="1"/>
  <c r="EQ15" i="7"/>
  <c r="ER55" i="7"/>
  <c r="ER56" i="7" s="1"/>
  <c r="ER15" i="7"/>
  <c r="ES55" i="7"/>
  <c r="ES56" i="7" s="1"/>
  <c r="ES15" i="7"/>
  <c r="EW55" i="7"/>
  <c r="EW56" i="7" s="1"/>
  <c r="EW15" i="7"/>
  <c r="EX55" i="7"/>
  <c r="EX56" i="7" s="1"/>
  <c r="EX15" i="7"/>
  <c r="EY55" i="7"/>
  <c r="EY56" i="7" s="1"/>
  <c r="EY15" i="7"/>
  <c r="EZ55" i="7"/>
  <c r="EZ56" i="7" s="1"/>
  <c r="EZ15" i="7"/>
  <c r="FA55" i="7"/>
  <c r="FA56" i="7" s="1"/>
  <c r="FA15" i="7"/>
  <c r="FB55" i="7"/>
  <c r="FB56" i="7" s="1"/>
  <c r="FB15" i="7"/>
  <c r="FC55" i="7"/>
  <c r="FC56" i="7" s="1"/>
  <c r="FC15" i="7"/>
  <c r="FD55" i="7"/>
  <c r="FD56" i="7" s="1"/>
  <c r="FD15" i="7"/>
  <c r="FE55" i="7"/>
  <c r="FE56" i="7" s="1"/>
  <c r="FE15" i="7"/>
  <c r="FF55" i="7"/>
  <c r="FF56" i="7" s="1"/>
  <c r="FF15" i="7"/>
  <c r="FG55" i="7"/>
  <c r="FG56" i="7" s="1"/>
  <c r="FG15" i="7"/>
  <c r="FH55" i="7"/>
  <c r="FH56" i="7" s="1"/>
  <c r="FH15" i="7"/>
  <c r="FI55" i="7"/>
  <c r="FI56" i="7" s="1"/>
  <c r="FI15" i="7"/>
  <c r="FJ55" i="7"/>
  <c r="FJ56" i="7" s="1"/>
  <c r="FJ15" i="7"/>
  <c r="FK55" i="7"/>
  <c r="FK56" i="7" s="1"/>
  <c r="FK15" i="7"/>
  <c r="FM55" i="7"/>
  <c r="FM56" i="7" s="1"/>
  <c r="FM15" i="7"/>
  <c r="FN55" i="7"/>
  <c r="FN56" i="7" s="1"/>
  <c r="FN15" i="7"/>
  <c r="FO55" i="7"/>
  <c r="FO56" i="7" s="1"/>
  <c r="FO15" i="7"/>
  <c r="FP55" i="7"/>
  <c r="FP56" i="7" s="1"/>
  <c r="FP15" i="7"/>
  <c r="FQ55" i="7"/>
  <c r="FQ56" i="7" s="1"/>
  <c r="FQ15" i="7"/>
  <c r="FR55" i="7"/>
  <c r="FR56" i="7" s="1"/>
  <c r="FR15" i="7"/>
  <c r="FS55" i="7"/>
  <c r="FS56" i="7" s="1"/>
  <c r="FS15" i="7"/>
  <c r="FT55" i="7"/>
  <c r="FT56" i="7" s="1"/>
  <c r="FT15" i="7"/>
  <c r="FU55" i="7"/>
  <c r="FU56" i="7" s="1"/>
  <c r="FU15" i="7"/>
  <c r="FV55" i="7"/>
  <c r="FV56" i="7" s="1"/>
  <c r="FV15" i="7"/>
  <c r="FW55" i="7"/>
  <c r="FW56" i="7" s="1"/>
  <c r="FW15" i="7"/>
  <c r="FX55" i="7"/>
  <c r="FX56" i="7" s="1"/>
  <c r="FX15" i="7"/>
  <c r="FY55" i="7"/>
  <c r="FY56" i="7" s="1"/>
  <c r="FY15" i="7"/>
  <c r="FZ55" i="7"/>
  <c r="FZ56" i="7" s="1"/>
  <c r="FZ15" i="7"/>
  <c r="GA55" i="7"/>
  <c r="GA56" i="7" s="1"/>
  <c r="GA15" i="7"/>
  <c r="GB55" i="7"/>
  <c r="GB56" i="7" s="1"/>
  <c r="GB15" i="7"/>
  <c r="GC55" i="7"/>
  <c r="GC56" i="7" s="1"/>
  <c r="GC15" i="7"/>
  <c r="GD55" i="7"/>
  <c r="GD56" i="7" s="1"/>
  <c r="GD15" i="7"/>
  <c r="GE55" i="7"/>
  <c r="GE56" i="7" s="1"/>
  <c r="GE15" i="7"/>
  <c r="GF55" i="7"/>
  <c r="GF56" i="7" s="1"/>
  <c r="GF15" i="7"/>
  <c r="GG55" i="7"/>
  <c r="GG56" i="7" s="1"/>
  <c r="GG15" i="7"/>
  <c r="GH55" i="7"/>
  <c r="GH56" i="7" s="1"/>
  <c r="GH15" i="7"/>
  <c r="GI55" i="7"/>
  <c r="GI56" i="7" s="1"/>
  <c r="GI15" i="7"/>
  <c r="GJ55" i="7"/>
  <c r="GJ56" i="7" s="1"/>
  <c r="GJ15" i="7"/>
  <c r="GK55" i="7"/>
  <c r="GK56" i="7" s="1"/>
  <c r="GK15" i="7"/>
  <c r="GL55" i="7"/>
  <c r="GL56" i="7" s="1"/>
  <c r="GL15" i="7"/>
  <c r="GM55" i="7"/>
  <c r="GM56" i="7" s="1"/>
  <c r="GM15" i="7"/>
  <c r="GN55" i="7"/>
  <c r="GN56" i="7" s="1"/>
  <c r="GN15" i="7"/>
  <c r="GO55" i="7"/>
  <c r="GO56" i="7" s="1"/>
  <c r="GO15" i="7"/>
  <c r="GP55" i="7"/>
  <c r="GP56" i="7" s="1"/>
  <c r="GP15" i="7"/>
  <c r="GQ55" i="7"/>
  <c r="GQ56" i="7" s="1"/>
  <c r="GQ15" i="7"/>
  <c r="GR55" i="7"/>
  <c r="GR56" i="7" s="1"/>
  <c r="GR15" i="7"/>
  <c r="GS55" i="7"/>
  <c r="GS56" i="7" s="1"/>
  <c r="GS15" i="7"/>
  <c r="GT55" i="7"/>
  <c r="GT56" i="7" s="1"/>
  <c r="GT15" i="7"/>
  <c r="GU55" i="7"/>
  <c r="GU56" i="7" s="1"/>
  <c r="GU15" i="7"/>
  <c r="GV55" i="7"/>
  <c r="GV56" i="7" s="1"/>
  <c r="GV15" i="7"/>
  <c r="GW55" i="7"/>
  <c r="GW56" i="7" s="1"/>
  <c r="GW15" i="7"/>
  <c r="GX55" i="7"/>
  <c r="GX56" i="7" s="1"/>
  <c r="GX15" i="7"/>
  <c r="GY55" i="7"/>
  <c r="GY56" i="7" s="1"/>
  <c r="GY15" i="7"/>
  <c r="GZ55" i="7"/>
  <c r="GZ56" i="7" s="1"/>
  <c r="GZ15" i="7"/>
  <c r="HA55" i="7"/>
  <c r="HA56" i="7" s="1"/>
  <c r="HA15" i="7"/>
  <c r="HB55" i="7"/>
  <c r="HB56" i="7" s="1"/>
  <c r="HB15" i="7"/>
  <c r="HC55" i="7"/>
  <c r="HC56" i="7" s="1"/>
  <c r="HC15" i="7"/>
  <c r="HD55" i="7"/>
  <c r="HD56" i="7" s="1"/>
  <c r="HD15" i="7"/>
  <c r="HE55" i="7"/>
  <c r="HE56" i="7" s="1"/>
  <c r="HE15" i="7"/>
  <c r="HF55" i="7"/>
  <c r="HF56" i="7" s="1"/>
  <c r="HF15" i="7"/>
  <c r="HG55" i="7"/>
  <c r="HG56" i="7" s="1"/>
  <c r="HG15" i="7"/>
  <c r="HH55" i="7"/>
  <c r="HH56" i="7" s="1"/>
  <c r="HH15" i="7"/>
  <c r="HI55" i="7"/>
  <c r="HI56" i="7" s="1"/>
  <c r="HI15" i="7"/>
  <c r="HJ55" i="7"/>
  <c r="HJ56" i="7" s="1"/>
  <c r="HJ15" i="7"/>
  <c r="HK55" i="7"/>
  <c r="HK56" i="7" s="1"/>
  <c r="HK15" i="7"/>
  <c r="HL55" i="7"/>
  <c r="HL56" i="7" s="1"/>
  <c r="HL15" i="7"/>
  <c r="HM55" i="7"/>
  <c r="HM56" i="7" s="1"/>
  <c r="HM15" i="7"/>
  <c r="HN55" i="7"/>
  <c r="HN56" i="7" s="1"/>
  <c r="HN15" i="7"/>
  <c r="HO55" i="7"/>
  <c r="HO56" i="7" s="1"/>
  <c r="HO15" i="7"/>
  <c r="HP55" i="7"/>
  <c r="HP56" i="7" s="1"/>
  <c r="HP15" i="7"/>
  <c r="HQ55" i="7"/>
  <c r="HQ56" i="7" s="1"/>
  <c r="HQ15" i="7"/>
  <c r="HR55" i="7"/>
  <c r="HR56" i="7" s="1"/>
  <c r="HR15" i="7"/>
  <c r="HS55" i="7"/>
  <c r="HS56" i="7" s="1"/>
  <c r="HS15" i="7"/>
  <c r="HT55" i="7"/>
  <c r="HT56" i="7" s="1"/>
  <c r="HT15" i="7"/>
  <c r="HU55" i="7"/>
  <c r="HU56" i="7" s="1"/>
  <c r="HU15" i="7"/>
  <c r="HV55" i="7"/>
  <c r="HV56" i="7" s="1"/>
  <c r="HV15" i="7"/>
  <c r="HW55" i="7"/>
  <c r="HW56" i="7" s="1"/>
  <c r="HW15" i="7"/>
  <c r="HX55" i="7"/>
  <c r="HX56" i="7" s="1"/>
  <c r="HX15" i="7"/>
  <c r="HY55" i="7"/>
  <c r="HY56" i="7" s="1"/>
  <c r="HY15" i="7"/>
  <c r="HZ55" i="7"/>
  <c r="HZ56" i="7" s="1"/>
  <c r="HZ15" i="7"/>
  <c r="IA55" i="7"/>
  <c r="IA56" i="7" s="1"/>
  <c r="IA15" i="7"/>
  <c r="IB55" i="7"/>
  <c r="IB56" i="7" s="1"/>
  <c r="IB15" i="7"/>
  <c r="IC55" i="7"/>
  <c r="IC56" i="7" s="1"/>
  <c r="IC15" i="7"/>
  <c r="ID55" i="7"/>
  <c r="ID56" i="7" s="1"/>
  <c r="ID15" i="7"/>
  <c r="IE55" i="7"/>
  <c r="IE56" i="7" s="1"/>
  <c r="IE15" i="7"/>
  <c r="IF55" i="7"/>
  <c r="IF56" i="7" s="1"/>
  <c r="IF15" i="7"/>
  <c r="IG55" i="7"/>
  <c r="IG56" i="7" s="1"/>
  <c r="IG15" i="7"/>
  <c r="IH55" i="7"/>
  <c r="IH56" i="7" s="1"/>
  <c r="IH15" i="7"/>
  <c r="II55" i="7"/>
  <c r="II56" i="7" s="1"/>
  <c r="II15" i="7"/>
  <c r="IJ55" i="7"/>
  <c r="IJ56" i="7" s="1"/>
  <c r="IJ15" i="7"/>
  <c r="IK55" i="7"/>
  <c r="IK56" i="7" s="1"/>
  <c r="IK15" i="7"/>
  <c r="IL55" i="7"/>
  <c r="IL56" i="7" s="1"/>
  <c r="IL15" i="7"/>
  <c r="IM55" i="7"/>
  <c r="IM56" i="7" s="1"/>
  <c r="IM15" i="7"/>
  <c r="IN55" i="7"/>
  <c r="IN56" i="7" s="1"/>
  <c r="IN15" i="7"/>
  <c r="IO55" i="7"/>
  <c r="IO56" i="7" s="1"/>
  <c r="IO15" i="7"/>
  <c r="IP55" i="7"/>
  <c r="IP56" i="7" s="1"/>
  <c r="IP15" i="7"/>
  <c r="IQ55" i="7"/>
  <c r="IQ56" i="7" s="1"/>
  <c r="IQ15" i="7"/>
  <c r="IR55" i="7"/>
  <c r="IR56" i="7" s="1"/>
  <c r="IR15" i="7"/>
  <c r="IS55" i="7"/>
  <c r="IS56" i="7" s="1"/>
  <c r="IS15" i="7"/>
  <c r="IT55" i="7"/>
  <c r="IT56" i="7" s="1"/>
  <c r="IT15" i="7"/>
  <c r="IU55" i="7"/>
  <c r="IU56" i="7" s="1"/>
  <c r="IU15" i="7"/>
  <c r="IV55" i="7"/>
  <c r="IV56" i="7" s="1"/>
  <c r="IV15" i="7"/>
  <c r="IW55" i="7"/>
  <c r="IW56" i="7" s="1"/>
  <c r="IW15" i="7"/>
  <c r="IX55" i="7"/>
  <c r="IX56" i="7" s="1"/>
  <c r="IX15" i="7"/>
  <c r="IY55" i="7"/>
  <c r="IY56" i="7" s="1"/>
  <c r="IY15" i="7"/>
  <c r="IZ55" i="7"/>
  <c r="IZ56" i="7" s="1"/>
  <c r="IZ15" i="7"/>
  <c r="JA55" i="7"/>
  <c r="JA56" i="7" s="1"/>
  <c r="JA15" i="7"/>
  <c r="JB55" i="7"/>
  <c r="JB56" i="7" s="1"/>
  <c r="JB15" i="7"/>
  <c r="JC55" i="7"/>
  <c r="JC56" i="7" s="1"/>
  <c r="JC15" i="7"/>
  <c r="JD55" i="7"/>
  <c r="JD56" i="7" s="1"/>
  <c r="JD15" i="7"/>
  <c r="JE55" i="7"/>
  <c r="JE56" i="7" s="1"/>
  <c r="JE15" i="7"/>
  <c r="JF55" i="7"/>
  <c r="JF56" i="7" s="1"/>
  <c r="JF15" i="7"/>
  <c r="JG55" i="7"/>
  <c r="JG56" i="7" s="1"/>
  <c r="JG15" i="7"/>
  <c r="JH55" i="7"/>
  <c r="JH56" i="7" s="1"/>
  <c r="JH15" i="7"/>
  <c r="JI55" i="7"/>
  <c r="JI56" i="7" s="1"/>
  <c r="JI15" i="7"/>
  <c r="JJ55" i="7"/>
  <c r="JJ56" i="7" s="1"/>
  <c r="JJ15" i="7"/>
  <c r="JK55" i="7"/>
  <c r="JK56" i="7" s="1"/>
  <c r="JK15" i="7"/>
  <c r="IY51" i="7"/>
  <c r="IY52" i="7" s="1"/>
  <c r="IZ51" i="7"/>
  <c r="IZ52" i="7" s="1"/>
  <c r="JA51" i="7"/>
  <c r="JA52" i="7" s="1"/>
  <c r="JB51" i="7"/>
  <c r="JB52" i="7" s="1"/>
  <c r="AF11" i="7"/>
  <c r="AF27" i="7" s="1"/>
  <c r="AF42" i="7" s="1"/>
  <c r="AF10" i="7"/>
  <c r="AF15" i="7" s="1"/>
  <c r="AK11" i="7"/>
  <c r="AK27" i="7" s="1"/>
  <c r="AK42" i="7" s="1"/>
  <c r="AK10" i="7"/>
  <c r="AK15" i="7" s="1"/>
  <c r="AL11" i="7"/>
  <c r="AL27" i="7" s="1"/>
  <c r="AL42" i="7" s="1"/>
  <c r="AL10" i="7"/>
  <c r="AL15" i="7" s="1"/>
  <c r="BE11" i="7"/>
  <c r="BE27" i="7" s="1"/>
  <c r="BE42" i="7" s="1"/>
  <c r="BE10" i="7"/>
  <c r="BE15" i="7" s="1"/>
  <c r="BO11" i="7"/>
  <c r="BO27" i="7" s="1"/>
  <c r="BO42" i="7" s="1"/>
  <c r="BO10" i="7"/>
  <c r="BO15" i="7" s="1"/>
  <c r="BP11" i="7"/>
  <c r="BP27" i="7" s="1"/>
  <c r="BP42" i="7" s="1"/>
  <c r="BP10" i="7"/>
  <c r="BP15" i="7" s="1"/>
  <c r="BX11" i="7"/>
  <c r="BX27" i="7" s="1"/>
  <c r="BX42" i="7" s="1"/>
  <c r="BX10" i="7"/>
  <c r="BX15" i="7" s="1"/>
  <c r="BR42" i="7"/>
  <c r="BR28" i="7"/>
  <c r="BR30" i="7" s="1"/>
  <c r="BR51" i="7" s="1"/>
  <c r="B52" i="7"/>
  <c r="B28" i="7"/>
  <c r="C52" i="7"/>
  <c r="C28" i="7"/>
  <c r="D52" i="7"/>
  <c r="D28" i="7"/>
  <c r="E52" i="7"/>
  <c r="E28" i="7"/>
  <c r="F52" i="7"/>
  <c r="F28" i="7"/>
  <c r="G52" i="7"/>
  <c r="G28" i="7"/>
  <c r="H52" i="7"/>
  <c r="H28" i="7"/>
  <c r="I52" i="7"/>
  <c r="I28" i="7"/>
  <c r="J52" i="7"/>
  <c r="J28" i="7"/>
  <c r="K52" i="7"/>
  <c r="K28" i="7"/>
  <c r="L52" i="7"/>
  <c r="L28" i="7"/>
  <c r="M52" i="7"/>
  <c r="M28" i="7"/>
  <c r="N52" i="7"/>
  <c r="N28" i="7"/>
  <c r="O52" i="7"/>
  <c r="O28" i="7"/>
  <c r="P52" i="7"/>
  <c r="P28" i="7"/>
  <c r="Q52" i="7"/>
  <c r="Q28" i="7"/>
  <c r="R52" i="7"/>
  <c r="R28" i="7"/>
  <c r="S52" i="7"/>
  <c r="S28" i="7"/>
  <c r="T52" i="7"/>
  <c r="T28" i="7"/>
  <c r="U52" i="7"/>
  <c r="U28" i="7"/>
  <c r="V52" i="7"/>
  <c r="V28" i="7"/>
  <c r="W52" i="7"/>
  <c r="W28" i="7"/>
  <c r="X52" i="7"/>
  <c r="X28" i="7"/>
  <c r="Y52" i="7"/>
  <c r="Y28" i="7"/>
  <c r="Z52" i="7"/>
  <c r="Z28" i="7"/>
  <c r="AA52" i="7"/>
  <c r="AA28" i="7"/>
  <c r="AB52" i="7"/>
  <c r="AB28" i="7"/>
  <c r="AC52" i="7"/>
  <c r="AC28" i="7"/>
  <c r="AD52" i="7"/>
  <c r="AD28" i="7"/>
  <c r="AE52" i="7"/>
  <c r="AE28" i="7"/>
  <c r="AF52" i="7"/>
  <c r="AF28" i="7"/>
  <c r="AG52" i="7"/>
  <c r="AG28" i="7"/>
  <c r="AH52" i="7"/>
  <c r="AH28" i="7"/>
  <c r="AI52" i="7"/>
  <c r="AI28" i="7"/>
  <c r="AJ52" i="7"/>
  <c r="AJ28" i="7"/>
  <c r="AK52" i="7"/>
  <c r="AK28" i="7"/>
  <c r="AL52" i="7"/>
  <c r="AL28" i="7"/>
  <c r="AM52" i="7"/>
  <c r="AM28" i="7"/>
  <c r="AN52" i="7"/>
  <c r="AN28" i="7"/>
  <c r="AO52" i="7"/>
  <c r="AO28" i="7"/>
  <c r="AP52" i="7"/>
  <c r="AP28" i="7"/>
  <c r="AQ52" i="7"/>
  <c r="AQ28" i="7"/>
  <c r="AR52" i="7"/>
  <c r="AR28" i="7"/>
  <c r="AS52" i="7"/>
  <c r="AS28" i="7"/>
  <c r="AT52" i="7"/>
  <c r="AT28" i="7"/>
  <c r="AU30" i="7"/>
  <c r="AU51" i="7" s="1"/>
  <c r="AU52" i="7" s="1"/>
  <c r="AV30" i="7"/>
  <c r="AV51" i="7" s="1"/>
  <c r="AV52" i="7" s="1"/>
  <c r="AW52" i="7"/>
  <c r="AW28" i="7"/>
  <c r="AX52" i="7"/>
  <c r="AX28" i="7"/>
  <c r="AY52" i="7"/>
  <c r="AY28" i="7"/>
  <c r="AZ52" i="7"/>
  <c r="AZ28" i="7"/>
  <c r="BA52" i="7"/>
  <c r="BA28" i="7"/>
  <c r="BB52" i="7"/>
  <c r="BB28" i="7"/>
  <c r="BC52" i="7"/>
  <c r="BC28" i="7"/>
  <c r="BD52" i="7"/>
  <c r="BD28" i="7"/>
  <c r="BE52" i="7"/>
  <c r="BE28" i="7"/>
  <c r="BF52" i="7"/>
  <c r="BF28" i="7"/>
  <c r="BG52" i="7"/>
  <c r="BG28" i="7"/>
  <c r="BH52" i="7"/>
  <c r="BH28" i="7"/>
  <c r="BI52" i="7"/>
  <c r="BI28" i="7"/>
  <c r="BJ52" i="7"/>
  <c r="BJ28" i="7"/>
  <c r="BK52" i="7"/>
  <c r="BK28" i="7"/>
  <c r="BL52" i="7"/>
  <c r="BL28" i="7"/>
  <c r="BM52" i="7"/>
  <c r="BM28" i="7"/>
  <c r="BN52" i="7"/>
  <c r="BN28" i="7"/>
  <c r="BO52" i="7"/>
  <c r="BO28" i="7"/>
  <c r="BP52" i="7"/>
  <c r="BP28" i="7"/>
  <c r="BQ52" i="7"/>
  <c r="BQ28" i="7"/>
  <c r="BR52" i="7"/>
  <c r="CC52" i="7"/>
  <c r="CC28" i="7"/>
  <c r="CD52" i="7"/>
  <c r="CD28" i="7"/>
  <c r="CE52" i="7"/>
  <c r="CE28" i="7"/>
  <c r="CF52" i="7"/>
  <c r="CF28" i="7"/>
  <c r="CG52" i="7"/>
  <c r="CG28" i="7"/>
  <c r="CH52" i="7"/>
  <c r="CH28" i="7"/>
  <c r="CI52" i="7"/>
  <c r="CI28" i="7"/>
  <c r="CJ52" i="7"/>
  <c r="CJ28" i="7"/>
  <c r="CK52" i="7"/>
  <c r="CK28" i="7"/>
  <c r="CL50" i="7"/>
  <c r="CL51" i="7" s="1"/>
  <c r="CL52" i="7" s="1"/>
  <c r="CL29" i="7"/>
  <c r="CM50" i="7"/>
  <c r="CM51" i="7" s="1"/>
  <c r="CM52" i="7" s="1"/>
  <c r="CM29" i="7"/>
  <c r="CN50" i="7"/>
  <c r="CN51" i="7" s="1"/>
  <c r="CN52" i="7" s="1"/>
  <c r="CN29" i="7"/>
  <c r="CO50" i="7"/>
  <c r="CO51" i="7" s="1"/>
  <c r="CO52" i="7" s="1"/>
  <c r="CO42" i="7"/>
  <c r="CO29" i="7"/>
  <c r="CP50" i="7"/>
  <c r="CP51" i="7" s="1"/>
  <c r="CP52" i="7" s="1"/>
  <c r="CP42" i="7"/>
  <c r="CP29" i="7"/>
  <c r="CQ50" i="7"/>
  <c r="CQ51" i="7" s="1"/>
  <c r="CQ52" i="7" s="1"/>
  <c r="CQ42" i="7"/>
  <c r="CQ29" i="7"/>
  <c r="CR50" i="7"/>
  <c r="CR51" i="7" s="1"/>
  <c r="CR52" i="7" s="1"/>
  <c r="CR42" i="7"/>
  <c r="CR29" i="7"/>
  <c r="CS50" i="7"/>
  <c r="CS51" i="7" s="1"/>
  <c r="CS52" i="7" s="1"/>
  <c r="CS42" i="7"/>
  <c r="CS29" i="7"/>
  <c r="CT50" i="7"/>
  <c r="CT51" i="7" s="1"/>
  <c r="CT52" i="7" s="1"/>
  <c r="CT42" i="7"/>
  <c r="CT29" i="7"/>
  <c r="CU50" i="7"/>
  <c r="CU51" i="7" s="1"/>
  <c r="CU52" i="7" s="1"/>
  <c r="CU42" i="7"/>
  <c r="CU29" i="7"/>
  <c r="CV50" i="7"/>
  <c r="CV51" i="7" s="1"/>
  <c r="CV52" i="7" s="1"/>
  <c r="CV42" i="7"/>
  <c r="CV29" i="7"/>
  <c r="CW50" i="7"/>
  <c r="CW51" i="7" s="1"/>
  <c r="CW52" i="7" s="1"/>
  <c r="CW29" i="7"/>
  <c r="CX50" i="7"/>
  <c r="CX51" i="7" s="1"/>
  <c r="CX52" i="7" s="1"/>
  <c r="CX29" i="7"/>
  <c r="CY50" i="7"/>
  <c r="CY51" i="7" s="1"/>
  <c r="CY52" i="7" s="1"/>
  <c r="CY29" i="7"/>
  <c r="CZ50" i="7"/>
  <c r="CZ51" i="7" s="1"/>
  <c r="CZ52" i="7" s="1"/>
  <c r="CZ42" i="7"/>
  <c r="CZ29" i="7"/>
  <c r="DA50" i="7"/>
  <c r="DA51" i="7" s="1"/>
  <c r="DA52" i="7" s="1"/>
  <c r="DA42" i="7"/>
  <c r="DA29" i="7"/>
  <c r="DB50" i="7"/>
  <c r="DB51" i="7" s="1"/>
  <c r="DB52" i="7" s="1"/>
  <c r="DB29" i="7"/>
  <c r="DC50" i="7"/>
  <c r="DC51" i="7" s="1"/>
  <c r="DC52" i="7" s="1"/>
  <c r="DC29" i="7"/>
  <c r="DD50" i="7"/>
  <c r="DD51" i="7" s="1"/>
  <c r="DD52" i="7" s="1"/>
  <c r="DD29" i="7"/>
  <c r="DE50" i="7"/>
  <c r="DE51" i="7" s="1"/>
  <c r="DE52" i="7" s="1"/>
  <c r="DE29" i="7"/>
  <c r="DF50" i="7"/>
  <c r="DF51" i="7" s="1"/>
  <c r="DF52" i="7" s="1"/>
  <c r="DF29" i="7"/>
  <c r="DG50" i="7"/>
  <c r="DG51" i="7" s="1"/>
  <c r="DG52" i="7" s="1"/>
  <c r="DG29" i="7"/>
  <c r="DH50" i="7"/>
  <c r="DH51" i="7" s="1"/>
  <c r="DH52" i="7" s="1"/>
  <c r="DH42" i="7"/>
  <c r="DH29" i="7"/>
  <c r="DI50" i="7"/>
  <c r="DI51" i="7" s="1"/>
  <c r="DI52" i="7" s="1"/>
  <c r="DI42" i="7"/>
  <c r="DI29" i="7"/>
  <c r="DJ50" i="7"/>
  <c r="DJ51" i="7" s="1"/>
  <c r="DJ52" i="7" s="1"/>
  <c r="DJ42" i="7"/>
  <c r="DJ29" i="7"/>
  <c r="DK50" i="7"/>
  <c r="DK51" i="7" s="1"/>
  <c r="DK52" i="7" s="1"/>
  <c r="DK42" i="7"/>
  <c r="DK29" i="7"/>
  <c r="DL50" i="7"/>
  <c r="DL51" i="7" s="1"/>
  <c r="DL52" i="7" s="1"/>
  <c r="DL42" i="7"/>
  <c r="DL29" i="7"/>
  <c r="DM50" i="7"/>
  <c r="DM51" i="7" s="1"/>
  <c r="DM52" i="7" s="1"/>
  <c r="DM42" i="7"/>
  <c r="DM29" i="7"/>
  <c r="DN50" i="7"/>
  <c r="DN51" i="7" s="1"/>
  <c r="DN52" i="7" s="1"/>
  <c r="DN29" i="7"/>
  <c r="DO50" i="7"/>
  <c r="DO51" i="7" s="1"/>
  <c r="DO52" i="7" s="1"/>
  <c r="DO42" i="7"/>
  <c r="DO29" i="7"/>
  <c r="DP50" i="7"/>
  <c r="DP51" i="7" s="1"/>
  <c r="DP52" i="7" s="1"/>
  <c r="DP42" i="7"/>
  <c r="DP29" i="7"/>
  <c r="DQ50" i="7"/>
  <c r="DQ51" i="7" s="1"/>
  <c r="DQ52" i="7" s="1"/>
  <c r="DQ42" i="7"/>
  <c r="DQ29" i="7"/>
  <c r="CO30" i="7"/>
  <c r="CP30" i="7"/>
  <c r="CQ30" i="7"/>
  <c r="CR30" i="7"/>
  <c r="CS30" i="7"/>
  <c r="CT30" i="7"/>
  <c r="CU30" i="7"/>
  <c r="CV30" i="7"/>
  <c r="CW30" i="7"/>
  <c r="CY30" i="7"/>
  <c r="DC30" i="7"/>
  <c r="DH30" i="7"/>
  <c r="DI30" i="7"/>
  <c r="DJ30" i="7"/>
  <c r="DK30" i="7"/>
  <c r="DL30" i="7"/>
  <c r="DM30" i="7"/>
  <c r="DN30" i="7"/>
  <c r="DP30" i="7"/>
  <c r="EY51" i="5"/>
  <c r="EY52" i="5" s="1"/>
  <c r="EX51" i="5"/>
  <c r="EX52" i="5" s="1"/>
  <c r="EW51" i="5"/>
  <c r="EW52" i="5" s="1"/>
  <c r="EV51" i="5"/>
  <c r="EV52" i="5" s="1"/>
  <c r="Z28" i="1"/>
  <c r="Z51" i="1"/>
  <c r="B28" i="1"/>
  <c r="B51" i="1"/>
  <c r="BR42" i="1"/>
  <c r="BR28" i="1"/>
  <c r="BR30" i="1" s="1"/>
  <c r="BR51" i="1" s="1"/>
  <c r="BX27" i="1"/>
  <c r="BX42" i="1" s="1"/>
  <c r="BY11" i="1"/>
  <c r="BY10" i="1"/>
  <c r="CQ30" i="1"/>
  <c r="CR30" i="1"/>
  <c r="CS30" i="1"/>
  <c r="CT30" i="1"/>
  <c r="CU30" i="1"/>
  <c r="CV30" i="1"/>
  <c r="CW30" i="1"/>
  <c r="BQ28" i="1"/>
  <c r="BN28" i="1"/>
  <c r="BO28" i="1"/>
  <c r="BK28" i="1"/>
  <c r="BL28" i="1"/>
  <c r="BM28" i="1"/>
  <c r="BP28" i="1"/>
  <c r="EW16" i="2"/>
  <c r="EX16" i="2"/>
  <c r="EY16" i="2"/>
  <c r="EZ16" i="2"/>
  <c r="EW29" i="2"/>
  <c r="EW28" i="2"/>
  <c r="EW30" i="2" s="1"/>
  <c r="EX29" i="2"/>
  <c r="EX28" i="2"/>
  <c r="EX30" i="2" s="1"/>
  <c r="EY29" i="2"/>
  <c r="EY28" i="2"/>
  <c r="EY30" i="2" s="1"/>
  <c r="EZ29" i="2"/>
  <c r="EZ28" i="2"/>
  <c r="EZ30" i="2" s="1"/>
  <c r="EQ29" i="2"/>
  <c r="EQ28" i="2"/>
  <c r="EQ30" i="2" s="1"/>
  <c r="ER29" i="2"/>
  <c r="ER28" i="2"/>
  <c r="ER30" i="2" s="1"/>
  <c r="ES29" i="2"/>
  <c r="ES28" i="2"/>
  <c r="ES30" i="2" s="1"/>
  <c r="ET29" i="2"/>
  <c r="ET28" i="2"/>
  <c r="ET30" i="2" s="1"/>
  <c r="EU29" i="2"/>
  <c r="EU28" i="2"/>
  <c r="EU30" i="2" s="1"/>
  <c r="EV29" i="2"/>
  <c r="EV28" i="2"/>
  <c r="EV30" i="2" s="1"/>
  <c r="EK43" i="2"/>
  <c r="EK29" i="2"/>
  <c r="EL43" i="2"/>
  <c r="EL29" i="2"/>
  <c r="EM43" i="2"/>
  <c r="EM29" i="2"/>
  <c r="BD27" i="1"/>
  <c r="BD42" i="1" s="1"/>
  <c r="BD30" i="1"/>
  <c r="BH28" i="1"/>
  <c r="BF28" i="1"/>
  <c r="BG28" i="1"/>
  <c r="BJ28" i="1"/>
  <c r="BB28" i="1"/>
  <c r="BC27" i="1"/>
  <c r="BC42" i="1" s="1"/>
  <c r="BC28" i="1"/>
  <c r="BA28" i="1"/>
  <c r="AW27" i="1"/>
  <c r="AW42" i="1" s="1"/>
  <c r="AW30" i="1"/>
  <c r="AX28" i="1"/>
  <c r="AT28" i="1"/>
  <c r="AS28" i="1"/>
  <c r="EH29" i="2"/>
  <c r="EH28" i="2"/>
  <c r="EH30" i="2" s="1"/>
  <c r="EI29" i="2"/>
  <c r="EI28" i="2"/>
  <c r="EI30" i="2" s="1"/>
  <c r="EJ29" i="2"/>
  <c r="EJ28" i="2"/>
  <c r="EJ30" i="2" s="1"/>
  <c r="EF29" i="2"/>
  <c r="EF28" i="2"/>
  <c r="EF30" i="2" s="1"/>
  <c r="EG29" i="2"/>
  <c r="EG28" i="2"/>
  <c r="EG30" i="2" s="1"/>
  <c r="EE29" i="2"/>
  <c r="EE28" i="2"/>
  <c r="EE30" i="2" s="1"/>
  <c r="EN29" i="2"/>
  <c r="EN28" i="2"/>
  <c r="EN30" i="2" s="1"/>
  <c r="EO29" i="2"/>
  <c r="EO28" i="2"/>
  <c r="EO30" i="2" s="1"/>
  <c r="EP29" i="2"/>
  <c r="EP28" i="2"/>
  <c r="EP30" i="2" s="1"/>
  <c r="AW28" i="2"/>
  <c r="AW30" i="2" s="1"/>
  <c r="AW43" i="2"/>
  <c r="AU28" i="2"/>
  <c r="AU30" i="2" s="1"/>
  <c r="AU43" i="2"/>
  <c r="AX28" i="2"/>
  <c r="AX30" i="2" s="1"/>
  <c r="AX43" i="2"/>
  <c r="AZ28" i="2"/>
  <c r="AZ30" i="2" s="1"/>
  <c r="AZ43" i="2"/>
  <c r="BB28" i="2"/>
  <c r="BB30" i="2" s="1"/>
  <c r="BB43" i="2"/>
  <c r="BA28" i="2"/>
  <c r="BA30" i="2" s="1"/>
  <c r="BA43" i="2"/>
  <c r="AQ27" i="1"/>
  <c r="AQ42" i="1" s="1"/>
  <c r="AQ30" i="1"/>
  <c r="AM28" i="1"/>
  <c r="AN28" i="1"/>
  <c r="Q28" i="1"/>
  <c r="P28" i="1"/>
  <c r="H28" i="1"/>
  <c r="R28" i="1"/>
  <c r="S28" i="1"/>
  <c r="AL28" i="1"/>
  <c r="AK28" i="1"/>
  <c r="AJ28" i="1"/>
  <c r="AI28" i="1"/>
  <c r="AH28" i="1"/>
  <c r="AG28" i="1"/>
  <c r="AF28" i="1"/>
  <c r="AE28" i="1"/>
  <c r="AD28" i="1"/>
  <c r="AC28" i="1"/>
  <c r="AB28" i="1"/>
  <c r="AA28" i="1"/>
  <c r="Y28" i="1"/>
  <c r="X28" i="1"/>
  <c r="W28" i="1"/>
  <c r="V28" i="1"/>
  <c r="U28" i="1"/>
  <c r="T28" i="1"/>
  <c r="O28" i="1"/>
  <c r="N28" i="1"/>
  <c r="M28" i="1"/>
  <c r="L28" i="1"/>
  <c r="K28" i="1"/>
  <c r="J28" i="1"/>
  <c r="I28" i="1"/>
  <c r="G28" i="1"/>
  <c r="F28" i="1"/>
  <c r="E28" i="1"/>
  <c r="D28" i="1"/>
  <c r="C28" i="1"/>
  <c r="CA11" i="1"/>
  <c r="CA27" i="1" s="1"/>
  <c r="CA42" i="1" s="1"/>
  <c r="CA10" i="1"/>
  <c r="CA15" i="1" s="1"/>
  <c r="CB11" i="1"/>
  <c r="CB27" i="1" s="1"/>
  <c r="CB42" i="1" s="1"/>
  <c r="CB10" i="1"/>
  <c r="CB15" i="1" s="1"/>
  <c r="BY27" i="1"/>
  <c r="BY42" i="1" s="1"/>
  <c r="CE27" i="1"/>
  <c r="CE42" i="1" s="1"/>
  <c r="CF27" i="1"/>
  <c r="CF42" i="1" s="1"/>
  <c r="CG27" i="1"/>
  <c r="CG42" i="1" s="1"/>
  <c r="BZ27" i="1"/>
  <c r="BZ42" i="1" s="1"/>
  <c r="BX10" i="1"/>
  <c r="BX15" i="1" s="1"/>
  <c r="BY15" i="1"/>
  <c r="BZ10" i="1"/>
  <c r="BZ15" i="1" s="1"/>
  <c r="P27" i="1"/>
  <c r="P42" i="1" s="1"/>
  <c r="Z27" i="1"/>
  <c r="Z42" i="1" s="1"/>
  <c r="Q27" i="1"/>
  <c r="Q42" i="1" s="1"/>
  <c r="S27" i="1"/>
  <c r="S42" i="1" s="1"/>
  <c r="AX27" i="1"/>
  <c r="AX42" i="1" s="1"/>
  <c r="K27" i="1"/>
  <c r="K42" i="1" s="1"/>
  <c r="H27" i="1"/>
  <c r="H42" i="1" s="1"/>
  <c r="BP10" i="1"/>
  <c r="BP15" i="1" s="1"/>
  <c r="BP11" i="1"/>
  <c r="BP27" i="1" s="1"/>
  <c r="BP42" i="1" s="1"/>
  <c r="DT29" i="2"/>
  <c r="DT28" i="2"/>
  <c r="DT30" i="2" s="1"/>
  <c r="DU29" i="2"/>
  <c r="DU28" i="2"/>
  <c r="DU30" i="2" s="1"/>
  <c r="DV29" i="2"/>
  <c r="DV28" i="2"/>
  <c r="DV30" i="2" s="1"/>
  <c r="DW29" i="2"/>
  <c r="DW28" i="2"/>
  <c r="DW30" i="2" s="1"/>
  <c r="DX29" i="2"/>
  <c r="DX28" i="2"/>
  <c r="DX30" i="2" s="1"/>
  <c r="DY29" i="2"/>
  <c r="DY28" i="2"/>
  <c r="DY30" i="2" s="1"/>
  <c r="DZ29" i="2"/>
  <c r="DZ28" i="2"/>
  <c r="DZ30" i="2" s="1"/>
  <c r="EA29" i="2"/>
  <c r="EA28" i="2"/>
  <c r="EA30" i="2" s="1"/>
  <c r="EB29" i="2"/>
  <c r="EB28" i="2"/>
  <c r="EB30" i="2" s="1"/>
  <c r="EC29" i="2"/>
  <c r="EC28" i="2"/>
  <c r="EC30" i="2" s="1"/>
  <c r="ED29" i="2"/>
  <c r="ED28" i="2"/>
  <c r="ED30" i="2" s="1"/>
  <c r="DI29" i="2"/>
  <c r="DI28" i="2"/>
  <c r="DI30" i="2" s="1"/>
  <c r="DJ29" i="2"/>
  <c r="DJ28" i="2"/>
  <c r="DJ30" i="2" s="1"/>
  <c r="DK29" i="2"/>
  <c r="DK28" i="2"/>
  <c r="DK30" i="2" s="1"/>
  <c r="DL29" i="2"/>
  <c r="DL28" i="2"/>
  <c r="DL30" i="2" s="1"/>
  <c r="DM29" i="2"/>
  <c r="DM28" i="2"/>
  <c r="DM30" i="2" s="1"/>
  <c r="DN29" i="2"/>
  <c r="DN28" i="2"/>
  <c r="DN30" i="2" s="1"/>
  <c r="DO29" i="2"/>
  <c r="DO28" i="2"/>
  <c r="DO30" i="2" s="1"/>
  <c r="DP29" i="2"/>
  <c r="DP28" i="2"/>
  <c r="DP30" i="2" s="1"/>
  <c r="DQ29" i="2"/>
  <c r="DQ28" i="2"/>
  <c r="DQ30" i="2" s="1"/>
  <c r="DR29" i="2"/>
  <c r="DR28" i="2"/>
  <c r="DR30" i="2" s="1"/>
  <c r="DS29" i="2"/>
  <c r="DS28" i="2"/>
  <c r="DS30" i="2" s="1"/>
  <c r="BB27" i="1"/>
  <c r="BB42" i="1" s="1"/>
  <c r="AY27" i="1"/>
  <c r="AY42" i="1" s="1"/>
  <c r="R27" i="1"/>
  <c r="R42" i="1" s="1"/>
  <c r="DA29" i="2"/>
  <c r="DA28" i="2"/>
  <c r="DA30" i="2" s="1"/>
  <c r="DB29" i="2"/>
  <c r="DB28" i="2"/>
  <c r="DB30" i="2" s="1"/>
  <c r="DC29" i="2"/>
  <c r="DC28" i="2"/>
  <c r="DC30" i="2" s="1"/>
  <c r="DD29" i="2"/>
  <c r="DD28" i="2"/>
  <c r="DD30" i="2" s="1"/>
  <c r="DE29" i="2"/>
  <c r="DE28" i="2"/>
  <c r="DE30" i="2" s="1"/>
  <c r="DF29" i="2"/>
  <c r="DF28" i="2"/>
  <c r="DF30" i="2" s="1"/>
  <c r="DG29" i="2"/>
  <c r="DG28" i="2"/>
  <c r="DG30" i="2" s="1"/>
  <c r="DH29" i="2"/>
  <c r="DH28" i="2"/>
  <c r="DH30" i="2" s="1"/>
  <c r="CW29" i="2"/>
  <c r="CW28" i="2"/>
  <c r="CW30" i="2" s="1"/>
  <c r="CX29" i="2"/>
  <c r="CX28" i="2"/>
  <c r="CX30" i="2" s="1"/>
  <c r="CY29" i="2"/>
  <c r="CY28" i="2"/>
  <c r="CY30" i="2" s="1"/>
  <c r="CZ29" i="2"/>
  <c r="CZ28" i="2"/>
  <c r="CZ30" i="2" s="1"/>
  <c r="AV30" i="1"/>
  <c r="AV51" i="1" s="1"/>
  <c r="AU30" i="1"/>
  <c r="AU51" i="1" s="1"/>
  <c r="CN29" i="2"/>
  <c r="CN28" i="2"/>
  <c r="CN30" i="2" s="1"/>
  <c r="CO29" i="2"/>
  <c r="CO28" i="2"/>
  <c r="CO30" i="2" s="1"/>
  <c r="CP29" i="2"/>
  <c r="CP28" i="2"/>
  <c r="CP30" i="2" s="1"/>
  <c r="CQ29" i="2"/>
  <c r="CQ28" i="2"/>
  <c r="CQ30" i="2" s="1"/>
  <c r="CR29" i="2"/>
  <c r="CR28" i="2"/>
  <c r="CR30" i="2" s="1"/>
  <c r="CS29" i="2"/>
  <c r="CS28" i="2"/>
  <c r="CS30" i="2" s="1"/>
  <c r="CT29" i="2"/>
  <c r="CT28" i="2"/>
  <c r="CT30" i="2" s="1"/>
  <c r="CU29" i="2"/>
  <c r="CU28" i="2"/>
  <c r="CU30" i="2" s="1"/>
  <c r="CV29" i="2"/>
  <c r="CV28" i="2"/>
  <c r="CV30" i="2" s="1"/>
  <c r="D29" i="2"/>
  <c r="D28" i="2"/>
  <c r="D30" i="2" s="1"/>
  <c r="E29" i="2"/>
  <c r="E28" i="2"/>
  <c r="E30" i="2" s="1"/>
  <c r="F29" i="2"/>
  <c r="F28" i="2"/>
  <c r="F30" i="2" s="1"/>
  <c r="G29" i="2"/>
  <c r="G28" i="2"/>
  <c r="G30" i="2" s="1"/>
  <c r="H29" i="2"/>
  <c r="H28" i="2"/>
  <c r="H30" i="2" s="1"/>
  <c r="I29" i="2"/>
  <c r="I28" i="2"/>
  <c r="I30" i="2" s="1"/>
  <c r="J29" i="2"/>
  <c r="J28" i="2"/>
  <c r="J30" i="2" s="1"/>
  <c r="AF11" i="1"/>
  <c r="AF27" i="1" s="1"/>
  <c r="AF42" i="1" s="1"/>
  <c r="AF10" i="1"/>
  <c r="AF15" i="1" s="1"/>
  <c r="L29" i="2"/>
  <c r="L28" i="2"/>
  <c r="L30" i="2" s="1"/>
  <c r="M29" i="2"/>
  <c r="M28" i="2"/>
  <c r="M30" i="2" s="1"/>
  <c r="N29" i="2"/>
  <c r="N28" i="2"/>
  <c r="N30" i="2" s="1"/>
  <c r="O29" i="2"/>
  <c r="O28" i="2"/>
  <c r="O30" i="2" s="1"/>
  <c r="K29" i="2"/>
  <c r="K28" i="2"/>
  <c r="K30" i="2" s="1"/>
  <c r="R29" i="2"/>
  <c r="R28" i="2"/>
  <c r="R30" i="2" s="1"/>
  <c r="Q29" i="2"/>
  <c r="Q28" i="2"/>
  <c r="Q30" i="2" s="1"/>
  <c r="P29" i="2"/>
  <c r="P28" i="2"/>
  <c r="P30" i="2" s="1"/>
  <c r="Z29" i="2"/>
  <c r="Z28" i="2"/>
  <c r="Z30" i="2" s="1"/>
  <c r="Y29" i="2"/>
  <c r="Y28" i="2"/>
  <c r="Y30" i="2" s="1"/>
  <c r="X29" i="2"/>
  <c r="X28" i="2"/>
  <c r="X30" i="2" s="1"/>
  <c r="W29" i="2"/>
  <c r="W28" i="2"/>
  <c r="W30" i="2" s="1"/>
  <c r="V29" i="2"/>
  <c r="V28" i="2"/>
  <c r="V30" i="2" s="1"/>
  <c r="U29" i="2"/>
  <c r="U28" i="2"/>
  <c r="U30" i="2" s="1"/>
  <c r="T29" i="2"/>
  <c r="T28" i="2"/>
  <c r="T30" i="2" s="1"/>
  <c r="S29" i="2"/>
  <c r="S28" i="2"/>
  <c r="S30" i="2" s="1"/>
  <c r="AA29" i="2"/>
  <c r="AA28" i="2"/>
  <c r="AA30" i="2" s="1"/>
  <c r="AB29" i="2"/>
  <c r="AB28" i="2"/>
  <c r="AB30" i="2" s="1"/>
  <c r="AL10" i="1"/>
  <c r="AL15" i="1" s="1"/>
  <c r="AL11" i="1"/>
  <c r="AL27" i="1" s="1"/>
  <c r="AL42" i="1" s="1"/>
  <c r="AK10" i="1"/>
  <c r="AK15" i="1" s="1"/>
  <c r="AK11" i="1"/>
  <c r="AK27" i="1" s="1"/>
  <c r="AK42" i="1" s="1"/>
  <c r="DI30" i="1"/>
  <c r="DI29" i="1"/>
  <c r="DJ30" i="1"/>
  <c r="DJ29" i="1"/>
  <c r="DK30" i="1"/>
  <c r="DK29" i="1"/>
  <c r="DL30" i="1"/>
  <c r="DL29" i="1"/>
  <c r="DM29" i="1"/>
  <c r="DM30" i="1"/>
  <c r="CS29" i="1"/>
  <c r="CQ29" i="1"/>
  <c r="CR29" i="1"/>
  <c r="CT29" i="1"/>
  <c r="CU29" i="1"/>
  <c r="CV29" i="1"/>
  <c r="DF29" i="1"/>
  <c r="DG29" i="1"/>
  <c r="AH29" i="2"/>
  <c r="AH28" i="2"/>
  <c r="AH30" i="2" s="1"/>
  <c r="AI29" i="2"/>
  <c r="AI28" i="2"/>
  <c r="AI30" i="2" s="1"/>
  <c r="BH10" i="1"/>
  <c r="BH15" i="1" s="1"/>
  <c r="BH11" i="1"/>
  <c r="BH27" i="1" s="1"/>
  <c r="BH42" i="1" s="1"/>
  <c r="BL10" i="1"/>
  <c r="BL15" i="1" s="1"/>
  <c r="BL11" i="1"/>
  <c r="BL27" i="1" s="1"/>
  <c r="BL42" i="1" s="1"/>
  <c r="BM10" i="1"/>
  <c r="BM15" i="1" s="1"/>
  <c r="BM11" i="1"/>
  <c r="BM27" i="1" s="1"/>
  <c r="BM42" i="1" s="1"/>
  <c r="BK10" i="1"/>
  <c r="BK15" i="1" s="1"/>
  <c r="BK11" i="1"/>
  <c r="BK27" i="1" s="1"/>
  <c r="BK42" i="1" s="1"/>
  <c r="BO10" i="1"/>
  <c r="BO15" i="1" s="1"/>
  <c r="BO11" i="1"/>
  <c r="BO27" i="1" s="1"/>
  <c r="BO42" i="1" s="1"/>
  <c r="BN10" i="1"/>
  <c r="BN15" i="1" s="1"/>
  <c r="BN11" i="1"/>
  <c r="BN27" i="1"/>
  <c r="BN42" i="1" s="1"/>
  <c r="AQ29" i="2"/>
  <c r="AQ28" i="2"/>
  <c r="AQ30" i="2" s="1"/>
  <c r="AP29" i="2"/>
  <c r="AP28" i="2"/>
  <c r="AP30" i="2" s="1"/>
  <c r="AO29" i="2"/>
  <c r="AO28" i="2"/>
  <c r="AO30" i="2" s="1"/>
  <c r="AN29" i="2"/>
  <c r="AN28" i="2"/>
  <c r="AN30" i="2" s="1"/>
  <c r="AM29" i="2"/>
  <c r="AM28" i="2"/>
  <c r="AM30" i="2" s="1"/>
  <c r="AK29" i="2"/>
  <c r="AK28" i="2"/>
  <c r="AK30" i="2" s="1"/>
  <c r="AL29" i="2"/>
  <c r="AL28" i="2"/>
  <c r="AL30" i="2" s="1"/>
  <c r="AJ29" i="2"/>
  <c r="AJ28" i="2"/>
  <c r="AJ30" i="2" s="1"/>
  <c r="CN29" i="1"/>
  <c r="DO29" i="1"/>
  <c r="DP30" i="1"/>
  <c r="DP29" i="1"/>
  <c r="DQ29" i="1"/>
  <c r="CY30" i="1"/>
  <c r="CY29" i="1"/>
  <c r="CX29" i="1"/>
  <c r="DE29" i="1"/>
  <c r="DC30" i="1"/>
  <c r="DC29" i="1"/>
  <c r="DA29" i="1"/>
  <c r="DB29" i="1"/>
  <c r="DD29" i="1"/>
  <c r="CM29" i="2"/>
  <c r="CM28" i="2"/>
  <c r="CM30" i="2" s="1"/>
  <c r="CL29" i="2"/>
  <c r="CL28" i="2"/>
  <c r="CL30" i="2" s="1"/>
  <c r="CK29" i="2"/>
  <c r="CK28" i="2"/>
  <c r="CK30" i="2" s="1"/>
  <c r="CJ29" i="2"/>
  <c r="CJ28" i="2"/>
  <c r="CJ30" i="2" s="1"/>
  <c r="DN30" i="1"/>
  <c r="DN29" i="1"/>
  <c r="BV29" i="2"/>
  <c r="BV28" i="2"/>
  <c r="BV30" i="2" s="1"/>
  <c r="CH29" i="2"/>
  <c r="CH28" i="2"/>
  <c r="CH30" i="2" s="1"/>
  <c r="CI29" i="2"/>
  <c r="CI28" i="2"/>
  <c r="CI30" i="2" s="1"/>
  <c r="CG29" i="2"/>
  <c r="CG28" i="2"/>
  <c r="CG30" i="2" s="1"/>
  <c r="CE29" i="2"/>
  <c r="CE28" i="2"/>
  <c r="CE30" i="2" s="1"/>
  <c r="CF29" i="2"/>
  <c r="CF28" i="2"/>
  <c r="CF30" i="2" s="1"/>
  <c r="CD29" i="2"/>
  <c r="CD28" i="2"/>
  <c r="CD30" i="2" s="1"/>
  <c r="CA29" i="2"/>
  <c r="CA28" i="2"/>
  <c r="CA30" i="2" s="1"/>
  <c r="CC29" i="2"/>
  <c r="CC28" i="2"/>
  <c r="CC30" i="2" s="1"/>
  <c r="CB29" i="2"/>
  <c r="CB28" i="2"/>
  <c r="CB30" i="2" s="1"/>
  <c r="BZ29" i="2"/>
  <c r="BZ28" i="2"/>
  <c r="BZ30" i="2" s="1"/>
  <c r="BY29" i="2"/>
  <c r="BY28" i="2"/>
  <c r="BY30" i="2" s="1"/>
  <c r="BX29" i="2"/>
  <c r="BX28" i="2"/>
  <c r="BX30" i="2" s="1"/>
  <c r="BU29" i="2"/>
  <c r="BU28" i="2"/>
  <c r="BU30" i="2" s="1"/>
  <c r="BT29" i="2"/>
  <c r="BT28" i="2"/>
  <c r="BT30" i="2" s="1"/>
  <c r="BW29" i="2"/>
  <c r="BW28" i="2"/>
  <c r="BW30" i="2" s="1"/>
  <c r="BS29" i="2"/>
  <c r="BS28" i="2"/>
  <c r="BS30" i="2" s="1"/>
  <c r="BR29" i="2"/>
  <c r="BR28" i="2"/>
  <c r="BR30" i="2" s="1"/>
  <c r="BQ29" i="2"/>
  <c r="BQ28" i="2"/>
  <c r="BQ30" i="2" s="1"/>
  <c r="BP29" i="2"/>
  <c r="BP28" i="2"/>
  <c r="BP30" i="2" s="1"/>
  <c r="BO29" i="2"/>
  <c r="BO28" i="2"/>
  <c r="BO30" i="2" s="1"/>
  <c r="BM29" i="2"/>
  <c r="BM28" i="2"/>
  <c r="BM30" i="2" s="1"/>
  <c r="BN29" i="2"/>
  <c r="BN28" i="2"/>
  <c r="BN30" i="2" s="1"/>
  <c r="CZ29" i="1"/>
  <c r="CW29" i="1"/>
  <c r="BE29" i="1"/>
  <c r="BE31" i="1"/>
  <c r="BE32" i="1" s="1"/>
  <c r="AZ32" i="1"/>
  <c r="BF31" i="1"/>
  <c r="BF32" i="1" s="1"/>
  <c r="BF27" i="1"/>
  <c r="BF42" i="1" s="1"/>
  <c r="L32" i="1"/>
  <c r="K32" i="1"/>
  <c r="CZ32" i="1"/>
  <c r="AR29" i="2"/>
  <c r="AR28" i="2"/>
  <c r="AR30" i="2" s="1"/>
  <c r="AS29" i="2"/>
  <c r="AS28" i="2"/>
  <c r="AS30" i="2" s="1"/>
  <c r="AT29" i="2"/>
  <c r="AT28" i="2"/>
  <c r="AT30" i="2" s="1"/>
  <c r="AV29" i="2"/>
  <c r="AV28" i="2"/>
  <c r="AV30" i="2" s="1"/>
  <c r="AY29" i="2"/>
  <c r="AY28" i="2"/>
  <c r="AY30" i="2" s="1"/>
  <c r="BC28" i="2"/>
  <c r="BC30" i="2" s="1"/>
  <c r="BC29" i="2"/>
  <c r="BD28" i="2"/>
  <c r="BD30" i="2" s="1"/>
  <c r="BD29" i="2"/>
  <c r="BE28" i="2"/>
  <c r="BE30" i="2" s="1"/>
  <c r="BE29" i="2"/>
  <c r="BF28" i="2"/>
  <c r="BF30" i="2" s="1"/>
  <c r="BF29" i="2"/>
  <c r="BG28" i="2"/>
  <c r="BG30" i="2" s="1"/>
  <c r="BG29" i="2"/>
  <c r="BH28" i="2"/>
  <c r="BH30" i="2" s="1"/>
  <c r="BH29" i="2"/>
  <c r="BI28" i="2"/>
  <c r="BI30" i="2" s="1"/>
  <c r="BI29" i="2"/>
  <c r="BJ29" i="2"/>
  <c r="BJ28" i="2"/>
  <c r="BJ30" i="2" s="1"/>
  <c r="BK29" i="2"/>
  <c r="BK28" i="2"/>
  <c r="BK30" i="2" s="1"/>
  <c r="BL29" i="2"/>
  <c r="BL28" i="2"/>
  <c r="BL30" i="2" s="1"/>
  <c r="BG10" i="1"/>
  <c r="BG15" i="1" s="1"/>
  <c r="BG23" i="1" s="1"/>
  <c r="BG31" i="1" s="1"/>
  <c r="BG11" i="1"/>
  <c r="BG27" i="1" s="1"/>
  <c r="BG42" i="1" s="1"/>
  <c r="CP30" i="1"/>
  <c r="CP29" i="1"/>
  <c r="BA29" i="2"/>
  <c r="AZ29" i="2"/>
  <c r="BB29" i="2"/>
  <c r="CO30" i="1"/>
  <c r="CO29" i="1"/>
  <c r="CM29" i="1"/>
  <c r="BQ27" i="1"/>
  <c r="BQ42" i="1" s="1"/>
  <c r="CL29" i="1"/>
  <c r="AU29" i="2"/>
  <c r="AX16" i="2"/>
  <c r="AX29" i="2"/>
  <c r="AW29" i="2"/>
  <c r="E76" i="14" l="1" a="1"/>
  <c r="E76" i="14" s="1"/>
  <c r="AQ28" i="1"/>
  <c r="AQ51" i="1"/>
  <c r="AW28" i="1"/>
  <c r="AW51" i="1"/>
  <c r="BD28" i="1"/>
  <c r="BD51" i="1"/>
  <c r="BE27" i="1"/>
  <c r="BE42" i="1" s="1"/>
  <c r="BE30" i="1"/>
  <c r="BG32" i="1"/>
  <c r="BE28" i="1" l="1"/>
  <c r="BE51" i="1"/>
  <c r="K70"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Khailany, Nawa</author>
    <author>tc={0D3A3727-6DB3-4E75-BFBE-FE4CD86B4A5F}</author>
    <author>Aljaber, Rawan</author>
    <author>tc={5F612CE8-CF15-4EBD-BB37-338F4C0E2DC9}</author>
    <author>tc={D883E059-75C4-4C3F-B671-CC2E96423534}</author>
    <author>tc={39ADE219-35FE-4EDC-9595-DCD664871DF8}</author>
    <author>tc={60AD967F-FBC2-4E49-BF6F-5F6A11F0A815}</author>
    <author>tc={E3D5EED4-AB35-47D6-9F05-F300A4112376}</author>
    <author>tc={01EB184F-B08B-4029-81DD-67E2E43438B1}</author>
    <author>Shine, Jayda</author>
    <author>Max Arnson</author>
    <author>tc={2D46747C-2528-4734-9E39-B633AB35C493}</author>
    <author>tc={0F859D76-CC12-4E5B-BF07-C6E6B15441BF}</author>
    <author>tc={4FE8F482-37C9-4D8D-9BCC-55583A3C03C6}</author>
    <author>tc={3BA07E97-AB45-44D2-8A16-96C321B346B7}</author>
    <author>tc={AFB86E00-4EC0-45EE-9F72-D266BCBC509F}</author>
    <author>tc={4B2B990B-6249-474B-9FBD-AAF82BDFFB51}</author>
    <author>tc={19EB6FEB-692F-4475-B9D6-5DA205318A98}</author>
    <author>tc={2B32A4FC-3BDC-455C-9B28-4709A7E6769D}</author>
    <author>tc={703F4EBC-D37E-4B89-88C6-5570B144A4F4}</author>
    <author>tc={85FB22B9-8623-4FFB-8FDD-468238037A42}</author>
    <author>tc={908A266F-0A84-45FA-804B-7FDC481EAD5C}</author>
    <author>Dwibhashyam, Neha</author>
    <author>tc={88368C25-D0AA-44B1-8AB4-1B951700C610}</author>
    <author>tc={3E1C6E98-F497-4590-8747-E0342C34C8BB}</author>
    <author>tc={4F5585EB-A725-4DFE-912F-1F403D697A29}</author>
    <author>tc={9F9EFC7C-CB10-4197-8081-9BE54BA75151}</author>
    <author>tc={D60AE34E-F6B2-4113-80D4-03967678AEEE}</author>
    <author>tc={42CF4DCC-537B-4C94-A7E0-0B609EC34A49}</author>
    <author>tc={AE80AB98-9288-4D8D-A07D-BF42642380F4}</author>
    <author>tc={C732DEBA-8099-4E6D-A000-276559B9542F}</author>
    <author>tc={FAFD1250-DF5A-4EFB-A09D-09673AC24CE0}</author>
    <author>tc={C0769431-BB88-4218-BBA3-C86A0F1315F0}</author>
    <author>tc={A62F47B8-1156-4ECA-86E8-F19475C93761}</author>
    <author>tc={D5564127-0D5A-4634-BC38-D7E8CF02EA16}</author>
    <author>tc={365E9081-95F8-4BBB-B35E-459F5DEA9499}</author>
    <author>tc={FEC9D7C9-8BFD-4A35-90F6-E977444CC803}</author>
    <author>tc={4EF3AD3C-3913-40C5-A251-495448D27088}</author>
    <author>tc={22E31AC4-E7BB-4115-B757-C9A9C0F08C70}</author>
    <author>Joaquin Rey</author>
    <author>Paul Mokotoff</author>
    <author>Jayda Shine</author>
    <author>Arnson, Maxfield</author>
    <author>tc={B0BBB6E1-83EA-4B1E-96B7-6518274894A2}</author>
    <author>Michael Tsai</author>
    <author>tc={CCFCA2CC-A605-47E2-AAE4-9A1F550BA8C5}</author>
    <author>tc={67C74FE7-660B-4710-9C61-1C0C12680769}</author>
    <author>tc={F0BBB7B1-30B4-4B60-9D98-1822837291E5}</author>
    <author>tc={51C97362-0139-4CAC-B256-9F8924993A00}</author>
    <author>tc={E590A71D-CE6A-4642-A3F4-E1D65F5586B1}</author>
    <author>tc={C995430B-DC76-4081-8DC1-749A9DC73EB3}</author>
    <author>tc={72972C0E-BA08-44D1-870E-D6A9C525A6FA}</author>
    <author>tc={8F425700-9856-4F84-96F6-333FC7A9210D}</author>
    <author>tc={09EEF752-B412-42AC-BBBF-2468EA6974B2}</author>
    <author>tc={C2518E0F-0B40-48D5-B1A1-676EC165B309}</author>
    <author>tc={0E280ED1-814A-4392-8AB8-D574A37A8EFD}</author>
    <author>tc={22D28C2F-3562-4721-B7C0-61E424026132}</author>
    <author>tc={60DEBABA-FE2B-44F9-BC51-4D5BD7B10181}</author>
    <author>tc={7BB6AB4A-F044-42AC-B5CB-F8430535C57C}</author>
    <author>tc={3BF2B281-27BB-4EA1-9247-E309D2AE4B60}</author>
    <author>tc={E1CA631A-2394-44CE-9C93-8A96F82723C1}</author>
    <author>tc={0A4B6403-FFC0-4637-AD25-7250914A0637}</author>
    <author>tc={94D644FA-FF16-45E8-BF5D-02F6BA85FAFD}</author>
    <author>tc={BA9BBC69-D499-4581-A402-4393761A0A90}</author>
    <author>tc={EE7E7EEA-3051-43A3-9D2A-752CB3035F5A}</author>
    <author>tc={B9C45081-A668-4BEC-B605-B4347A89DC5D}</author>
    <author>tc={BBC94494-D436-4FAE-BDA0-8CD3FD6846D2}</author>
    <author>tc={AFDF0E40-5B51-4DDF-81F6-55ABCAF3A8F7}</author>
    <author>tc={DD46AB91-C720-4967-ADE5-47D5C6141103}</author>
    <author>tc={A3403A9E-B736-4D58-8448-ABDAFFFD1CAD}</author>
    <author>Microsoft Office User</author>
  </authors>
  <commentList>
    <comment ref="S2" authorId="0" shapeId="0" xr:uid="{0CEE9439-2417-4851-9997-D0B482450FA8}">
      <text>
        <r>
          <rPr>
            <sz val="11"/>
            <color theme="1"/>
            <rFont val="Calibri"/>
            <family val="2"/>
            <scheme val="minor"/>
          </rPr>
          <t>Khailany, Nawa:
Technically just the A350_941, but since it has a different engine, as well as different MTOW, calling it the A350_942</t>
        </r>
      </text>
    </comment>
    <comment ref="DQ2" authorId="1" shapeId="0" xr:uid="{0D3A3727-6DB3-4E75-BFBE-FE4CD86B4A5F}">
      <text>
        <t>[Threaded comment]
Your version of Excel allows you to read this threaded comment; however, any edits to it will get removed if the file is opened in a newer version of Excel. Learn more: https://go.microsoft.com/fwlink/?linkid=870924
Comment:
    Are these Neos? RR claims that these engines are only used on Neos</t>
      </text>
    </comment>
    <comment ref="DW2" authorId="2" shapeId="0" xr:uid="{836579C8-DABE-4B72-AB29-6E180579E797}">
      <text>
        <r>
          <rPr>
            <sz val="11"/>
            <color theme="1"/>
            <rFont val="Calibri"/>
            <family val="2"/>
            <scheme val="minor"/>
          </rPr>
          <t>Aljaber, Rawan:
P-passenger version, only aircraft in the Boeing Database that has no other way to differentiate other than adding another underscore to describe that it is a passenger version</t>
        </r>
      </text>
    </comment>
    <comment ref="EO2" authorId="2" shapeId="0" xr:uid="{80506615-E9AE-4069-A933-7F125B9597F5}">
      <text>
        <r>
          <rPr>
            <sz val="11"/>
            <color theme="1"/>
            <rFont val="Calibri"/>
            <family val="2"/>
            <scheme val="minor"/>
          </rPr>
          <t>Aljaber, Rawan:
"C" for Convertible. Ability to convert from passenger to cargo. 
BG_737_200QC,(Quick Change), facilitated a more rapid conversion between roles</t>
        </r>
      </text>
    </comment>
    <comment ref="FA2" authorId="2" shapeId="0" xr:uid="{04E1419A-3317-4290-8FB2-86FBAB62938F}">
      <text>
        <r>
          <rPr>
            <sz val="11"/>
            <color theme="1"/>
            <rFont val="Calibri"/>
            <family val="2"/>
            <scheme val="minor"/>
          </rPr>
          <t xml:space="preserve">Aljaber, Rawan:
ER: Extended Range
</t>
        </r>
      </text>
    </comment>
    <comment ref="FB2" authorId="2" shapeId="0" xr:uid="{FDBA1615-2929-46AA-AB95-199AAFCE6A82}">
      <text>
        <r>
          <rPr>
            <sz val="11"/>
            <color theme="1"/>
            <rFont val="Calibri"/>
            <family val="2"/>
            <scheme val="minor"/>
          </rPr>
          <t xml:space="preserve">Aljaber, Rawan:
BBJ: Boeing Business Jet Engine currently unknown </t>
        </r>
      </text>
    </comment>
    <comment ref="FG2" authorId="3" shapeId="0" xr:uid="{5F612CE8-CF15-4EBD-BB37-338F4C0E2DC9}">
      <text>
        <t>[Threaded comment]
Your version of Excel allows you to read this threaded comment; however, any edits to it will get removed if the file is opened in a newer version of Excel. Learn more: https://go.microsoft.com/fwlink/?linkid=870924
Comment:
    @Tsai, Michael "FAA TCDS did not include RB engine"  not all engine information if from the TCDS, a good amount (especially the newer ones) are from airport planning manuals and sometimes brochures 
Reply:
    Just checked this one, it's on page 15 of the airport manual</t>
      </text>
    </comment>
    <comment ref="FI2" authorId="2" shapeId="0" xr:uid="{A1A91CCA-0E7D-4B63-BFB4-643584B03A33}">
      <text>
        <r>
          <rPr>
            <sz val="11"/>
            <color theme="1"/>
            <rFont val="Calibri"/>
            <family val="2"/>
            <scheme val="minor"/>
          </rPr>
          <t>Aljaber, Rawan:
SR-Short Range</t>
        </r>
      </text>
    </comment>
    <comment ref="FO2" authorId="2" shapeId="0" xr:uid="{3B628DBD-569B-4392-85DF-82653E190A7C}">
      <text>
        <r>
          <rPr>
            <sz val="11"/>
            <color theme="1"/>
            <rFont val="Calibri"/>
            <family val="2"/>
            <scheme val="minor"/>
          </rPr>
          <t>Aljaber, Rawan:
M-Combi</t>
        </r>
      </text>
    </comment>
    <comment ref="FP2" authorId="2" shapeId="0" xr:uid="{0F0DB266-82FC-444B-BF82-0B9E104025FB}">
      <text>
        <r>
          <rPr>
            <sz val="11"/>
            <color theme="1"/>
            <rFont val="Calibri"/>
            <family val="2"/>
            <scheme val="minor"/>
          </rPr>
          <t>Aljaber, Rawan:
M-Combi</t>
        </r>
      </text>
    </comment>
    <comment ref="FQ2" authorId="2" shapeId="0" xr:uid="{EB2EBB6A-5382-47CE-8531-BB4FFF4A4992}">
      <text>
        <r>
          <rPr>
            <sz val="11"/>
            <color theme="1"/>
            <rFont val="Calibri"/>
            <family val="2"/>
            <scheme val="minor"/>
          </rPr>
          <t>Aljaber, Rawan:
M-Combi</t>
        </r>
      </text>
    </comment>
    <comment ref="FR2" authorId="2" shapeId="0" xr:uid="{38C1103B-5EE2-413C-A209-B9C79F3BD213}">
      <text>
        <r>
          <rPr>
            <sz val="11"/>
            <color theme="1"/>
            <rFont val="Calibri"/>
            <family val="2"/>
            <scheme val="minor"/>
          </rPr>
          <t>Aljaber, Rawan:
M-Combi</t>
        </r>
      </text>
    </comment>
    <comment ref="FS2" authorId="2" shapeId="0" xr:uid="{70320F91-B40F-4EDC-AA31-768680C7F2EA}">
      <text>
        <r>
          <rPr>
            <sz val="11"/>
            <color theme="1"/>
            <rFont val="Calibri"/>
            <family val="2"/>
            <scheme val="minor"/>
          </rPr>
          <t>Aljaber, Rawan:
M-Combi</t>
        </r>
      </text>
    </comment>
    <comment ref="FT2" authorId="2" shapeId="0" xr:uid="{A771248C-4990-41D1-BD5D-D07B8F69FAAD}">
      <text>
        <r>
          <rPr>
            <sz val="11"/>
            <color theme="1"/>
            <rFont val="Calibri"/>
            <family val="2"/>
            <scheme val="minor"/>
          </rPr>
          <t>Aljaber, Rawan:
C-Convertible</t>
        </r>
      </text>
    </comment>
    <comment ref="GJ2" authorId="4" shapeId="0" xr:uid="{D883E059-75C4-4C3F-B671-CC2E96423534}">
      <text>
        <t xml:space="preserve">[Threaded comment]
Your version of Excel allows you to read this threaded comment; however, any edits to it will get removed if the file is opened in a newer version of Excel. Learn more: https://go.microsoft.com/fwlink/?linkid=870924
Comment:
    Boeing APM don’t have payload range diagram for this SP and engine config
</t>
      </text>
    </comment>
    <comment ref="GS2" authorId="5" shapeId="0" xr:uid="{39ADE219-35FE-4EDC-9595-DCD664871DF8}">
      <text>
        <t>[Threaded comment]
Your version of Excel allows you to read this threaded comment; however, any edits to it will get removed if the file is opened in a newer version of Excel. Learn more: https://go.microsoft.com/fwlink/?linkid=870924
Comment:
    No APM Payload range diagram</t>
      </text>
    </comment>
    <comment ref="GT2" authorId="6" shapeId="0" xr:uid="{60AD967F-FBC2-4E49-BF6F-5F6A11F0A815}">
      <text>
        <t>[Threaded comment]
Your version of Excel allows you to read this threaded comment; however, any edits to it will get removed if the file is opened in a newer version of Excel. Learn more: https://go.microsoft.com/fwlink/?linkid=870924
Comment:
    No APM payload Range Diagram</t>
      </text>
    </comment>
    <comment ref="HB2" authorId="2" shapeId="0" xr:uid="{65CB8544-6950-41E9-877F-C4CDC095427F}">
      <text>
        <r>
          <rPr>
            <sz val="11"/>
            <color theme="1"/>
            <rFont val="Calibri"/>
            <family val="2"/>
            <scheme val="minor"/>
          </rPr>
          <t xml:space="preserve">Aljaber, Rawan:
NOT 800 family, only 8: Boeing 747-8 </t>
        </r>
      </text>
    </comment>
    <comment ref="HC2" authorId="2" shapeId="0" xr:uid="{ED06B550-275C-4A01-820A-DC96463BE004}">
      <text>
        <r>
          <rPr>
            <sz val="11"/>
            <color theme="1"/>
            <rFont val="Calibri"/>
            <family val="2"/>
            <scheme val="minor"/>
          </rPr>
          <t>Aljaber, Rawan:
NOT 800 family , only 8
Boeing 747-8F</t>
        </r>
      </text>
    </comment>
    <comment ref="HG2" authorId="2" shapeId="0" xr:uid="{C1DDB753-62E0-47DD-A0C2-A9AC6727B433}">
      <text>
        <r>
          <rPr>
            <sz val="11"/>
            <color theme="1"/>
            <rFont val="Calibri"/>
            <family val="2"/>
            <scheme val="minor"/>
          </rPr>
          <t>Aljaber, Rawan:
PF-Package Freighter</t>
        </r>
      </text>
    </comment>
    <comment ref="JI2" authorId="7" shapeId="0" xr:uid="{E3D5EED4-AB35-47D6-9F05-F300A4112376}">
      <text>
        <t xml:space="preserve">[Threaded comment]
Your version of Excel allows you to read this threaded comment; however, any edits to it will get removed if the file is opened in a newer version of Excel. Learn more: https://go.microsoft.com/fwlink/?linkid=870924
Comment:
    deleted one column to the right of this one. </t>
      </text>
    </comment>
    <comment ref="KB2" authorId="8" shapeId="0" xr:uid="{01EB184F-B08B-4029-81DD-67E2E43438B1}">
      <text>
        <t xml:space="preserve">[Threaded comment]
Your version of Excel allows you to read this threaded comment; however, any edits to it will get removed if the file is opened in a newer version of Excel. Learn more: https://go.microsoft.com/fwlink/?linkid=870924
Comment:
    Might be the same thing as 145ER. but is listed separately in the TCDS file @Arnson, Maxfield </t>
      </text>
    </comment>
    <comment ref="KR2" authorId="9" shapeId="0" xr:uid="{81C6C3B8-21A6-4DDB-8835-01465DC51032}">
      <text>
        <r>
          <rPr>
            <sz val="11"/>
            <color theme="1"/>
            <rFont val="Calibri"/>
            <family val="2"/>
            <scheme val="minor"/>
          </rPr>
          <t xml:space="preserve">Shine, Jayda:
Cannot come across data for Learjet 23
</t>
        </r>
      </text>
    </comment>
    <comment ref="OB2" authorId="10" shapeId="0" xr:uid="{6AB39D68-20DE-4F7B-8C42-3EF762D98640}">
      <text>
        <r>
          <rPr>
            <b/>
            <sz val="9"/>
            <color indexed="81"/>
            <rFont val="Tahoma"/>
            <family val="2"/>
          </rPr>
          <t>Max Arnson:</t>
        </r>
        <r>
          <rPr>
            <sz val="9"/>
            <color indexed="81"/>
            <rFont val="Tahoma"/>
            <family val="2"/>
          </rPr>
          <t xml:space="preserve">
given the lack of data on the -50,-150, and -250 variants, these are not present in the database</t>
        </r>
      </text>
    </comment>
    <comment ref="A5" authorId="10" shapeId="0" xr:uid="{044F9E7C-9EB6-49E6-B0D4-03F473F72EE1}">
      <text>
        <r>
          <rPr>
            <b/>
            <sz val="9"/>
            <color indexed="81"/>
            <rFont val="Tahoma"/>
            <family val="2"/>
          </rPr>
          <t>Max Arnson:</t>
        </r>
        <r>
          <rPr>
            <sz val="9"/>
            <color indexed="81"/>
            <rFont val="Tahoma"/>
            <family val="2"/>
          </rPr>
          <t xml:space="preserve">
Date when the aircraft received its certification to fly from either the EASA or the FAA</t>
        </r>
      </text>
    </comment>
    <comment ref="DP5" authorId="11" shapeId="0" xr:uid="{2D46747C-2528-4734-9E39-B633AB35C493}">
      <text>
        <t xml:space="preserve">[Threaded comment]
Your version of Excel allows you to read this threaded comment; however, any edits to it will get removed if the file is opened in a newer version of Excel. Learn more: https://go.microsoft.com/fwlink/?linkid=870924
Comment:
    These aircraft need certification dates. Are they future aircraft/uncertified?
</t>
      </text>
    </comment>
    <comment ref="EU5" authorId="12" shapeId="0" xr:uid="{0F859D76-CC12-4E5B-BF07-C6E6B15441BF}">
      <text>
        <t>[Threaded comment]
Your version of Excel allows you to read this threaded comment; however, any edits to it will get removed if the file is opened in a newer version of Excel. Learn more: https://go.microsoft.com/fwlink/?linkid=870924
Comment:
    retrofit with winglets</t>
      </text>
    </comment>
    <comment ref="FH5" authorId="13" shapeId="0" xr:uid="{4FE8F482-37C9-4D8D-9BCC-55583A3C03C6}">
      <text>
        <t>[Threaded comment]
Your version of Excel allows you to read this threaded comment; however, any edits to it will get removed if the file is opened in a newer version of Excel. Learn more: https://go.microsoft.com/fwlink/?linkid=870924
Comment:
    A20WE: 747SR (Approved September 26, 1973) includes these configuration. Should we change the certi year to 1973?
Reply:
    Yes, I changed it, make sure to @ me to make sure I don't miss any comments!</t>
      </text>
    </comment>
    <comment ref="FO5" authorId="14" shapeId="0" xr:uid="{3BA07E97-AB45-44D2-8A16-96C321B346B7}">
      <text>
        <t>[Threaded comment]
Your version of Excel allows you to read this threaded comment; however, any edits to it will get removed if the file is opened in a newer version of Excel. Learn more: https://go.microsoft.com/fwlink/?linkid=870924
Comment:
    FAA TCDS cant find combi</t>
      </text>
    </comment>
    <comment ref="GF5" authorId="15" shapeId="0" xr:uid="{AFB86E00-4EC0-45EE-9F72-D266BCBC509F}">
      <text>
        <t>[Threaded comment]
Your version of Excel allows you to read this threaded comment; however, any edits to it will get removed if the file is opened in a newer version of Excel. Learn more: https://go.microsoft.com/fwlink/?linkid=870924
Comment:
    Not on FAA TCDS</t>
      </text>
    </comment>
    <comment ref="GU5" authorId="16" shapeId="0" xr:uid="{4B2B990B-6249-474B-9FBD-AAF82BDFFB51}">
      <text>
        <t>[Threaded comment]
Your version of Excel allows you to read this threaded comment; however, any edits to it will get removed if the file is opened in a newer version of Excel. Learn more: https://go.microsoft.com/fwlink/?linkid=870924
Comment:
    -400 ER year was "first delivery" from boeing.com. Couldn’t find FAA TCDS</t>
      </text>
    </comment>
    <comment ref="GV5" authorId="17" shapeId="0" xr:uid="{19EB6FEB-692F-4475-B9D6-5DA205318A98}">
      <text>
        <t>[Threaded comment]
Your version of Excel allows you to read this threaded comment; however, any edits to it will get removed if the file is opened in a newer version of Excel. Learn more: https://go.microsoft.com/fwlink/?linkid=870924
Comment:
    -400 ER year was "first delivery" from boeing.com. Couldn’t find FAA TCDS</t>
      </text>
    </comment>
    <comment ref="GW5" authorId="18" shapeId="0" xr:uid="{2B32A4FC-3BDC-455C-9B28-4709A7E6769D}">
      <text>
        <t>[Threaded comment]
Your version of Excel allows you to read this threaded comment; however, any edits to it will get removed if the file is opened in a newer version of Excel. Learn more: https://go.microsoft.com/fwlink/?linkid=870924
Comment:
    -400 ER year was "first delivery" from boeing.com. Couldn’t find FAA TCDS</t>
      </text>
    </comment>
    <comment ref="GX5" authorId="19" shapeId="0" xr:uid="{703F4EBC-D37E-4B89-88C6-5570B144A4F4}">
      <text>
        <t>[Threaded comment]
Your version of Excel allows you to read this threaded comment; however, any edits to it will get removed if the file is opened in a newer version of Excel. Learn more: https://go.microsoft.com/fwlink/?linkid=870924
Comment:
    -400 ER year was "first delivery" from boeing.com. Couldn’t find FAA TCDS</t>
      </text>
    </comment>
    <comment ref="GY5" authorId="20" shapeId="0" xr:uid="{85FB22B9-8623-4FFB-8FDD-468238037A42}">
      <text>
        <t>[Threaded comment]
Your version of Excel allows you to read this threaded comment; however, any edits to it will get removed if the file is opened in a newer version of Excel. Learn more: https://go.microsoft.com/fwlink/?linkid=870924
Comment:
    -400 ER year was "first delivery" from boeing.com. Couldn’t find FAA TCDS</t>
      </text>
    </comment>
    <comment ref="GZ5" authorId="21" shapeId="0" xr:uid="{908A266F-0A84-45FA-804B-7FDC481EAD5C}">
      <text>
        <t>[Threaded comment]
Your version of Excel allows you to read this threaded comment; however, any edits to it will get removed if the file is opened in a newer version of Excel. Learn more: https://go.microsoft.com/fwlink/?linkid=870924
Comment:
    -400 ER year was "first delivery" from boeing.com. Couldn’t find FAA TCDS</t>
      </text>
    </comment>
    <comment ref="IT5" authorId="22" shapeId="0" xr:uid="{04FDB68F-A409-4034-8085-E835120E06C6}">
      <text>
        <r>
          <rPr>
            <sz val="11"/>
            <color theme="1"/>
            <rFont val="Calibri"/>
            <family val="2"/>
            <scheme val="minor"/>
          </rPr>
          <t>Dwibhashyam, Neha:
Could not find certification date for these</t>
        </r>
      </text>
    </comment>
    <comment ref="JO5" authorId="22" shapeId="0" xr:uid="{02F8CE66-1C92-4AE2-9994-FAFB5A44C98D}">
      <text>
        <r>
          <rPr>
            <sz val="11"/>
            <color theme="1"/>
            <rFont val="Calibri"/>
            <family val="2"/>
            <scheme val="minor"/>
          </rPr>
          <t>Dwibhashyam, Neha:
EASA Type Validation Date</t>
        </r>
      </text>
    </comment>
    <comment ref="A6" authorId="10" shapeId="0" xr:uid="{6EBCB752-133A-4453-A759-C1B788EABD44}">
      <text>
        <r>
          <rPr>
            <b/>
            <sz val="9"/>
            <color indexed="81"/>
            <rFont val="Tahoma"/>
            <family val="2"/>
          </rPr>
          <t>Max Arnson:</t>
        </r>
        <r>
          <rPr>
            <sz val="9"/>
            <color indexed="81"/>
            <rFont val="Tahoma"/>
            <family val="2"/>
          </rPr>
          <t xml:space="preserve">
Some aircraft may have been called by other names in the past depending on which company originally owned the rights to produce them. For example, the A220-100 used to be called the Bombardier CS100 before it was acquired by Airbus</t>
        </r>
      </text>
    </comment>
    <comment ref="KM6" authorId="10" shapeId="0" xr:uid="{FE790C9D-E2ED-431C-BF0D-CE2DBBEA6ADC}">
      <text>
        <r>
          <rPr>
            <b/>
            <sz val="9"/>
            <color indexed="81"/>
            <rFont val="Tahoma"/>
            <family val="2"/>
          </rPr>
          <t>Max Arnson:</t>
        </r>
        <r>
          <rPr>
            <sz val="9"/>
            <color indexed="81"/>
            <rFont val="Tahoma"/>
            <family val="2"/>
          </rPr>
          <t xml:space="preserve">
Identical, just renamed when Gulfstream bought it</t>
        </r>
      </text>
    </comment>
    <comment ref="A7" authorId="10" shapeId="0" xr:uid="{9A067CAC-7B16-4122-A321-202948116B3A}">
      <text>
        <r>
          <rPr>
            <b/>
            <sz val="9"/>
            <color indexed="81"/>
            <rFont val="Tahoma"/>
            <family val="2"/>
          </rPr>
          <t>Max Arnson:</t>
        </r>
        <r>
          <rPr>
            <sz val="9"/>
            <color indexed="81"/>
            <rFont val="Tahoma"/>
            <family val="2"/>
          </rPr>
          <t xml:space="preserve">
Nicknames such as "Dreamliner" or "Beluga"
</t>
        </r>
      </text>
    </comment>
    <comment ref="N8" authorId="0" shapeId="0" xr:uid="{464F22E5-E169-41AA-9B41-808514B6821B}">
      <text>
        <r>
          <rPr>
            <sz val="11"/>
            <color theme="1"/>
            <rFont val="Calibri"/>
            <family val="2"/>
            <scheme val="minor"/>
          </rPr>
          <t>Khailany, Nawa:
RB211 Trent 553A2-61</t>
        </r>
      </text>
    </comment>
    <comment ref="P8" authorId="0" shapeId="0" xr:uid="{E107996D-FB50-42DE-BF1A-B55A9EF9A67C}">
      <text>
        <r>
          <rPr>
            <sz val="11"/>
            <color theme="1"/>
            <rFont val="Calibri"/>
            <family val="2"/>
            <scheme val="minor"/>
          </rPr>
          <t>Khailany, Nawa:
RB211 Trent 556A2-61</t>
        </r>
      </text>
    </comment>
    <comment ref="R8" authorId="0" shapeId="0" xr:uid="{E4EE8D6F-46C4-4A88-9253-8B0DF15CA351}">
      <text>
        <r>
          <rPr>
            <sz val="11"/>
            <color theme="1"/>
            <rFont val="Calibri"/>
            <family val="2"/>
            <scheme val="minor"/>
          </rPr>
          <t xml:space="preserve">Khailany, Nawa:
Rolls Royce Trent XWB-75
</t>
        </r>
      </text>
    </comment>
    <comment ref="BR8" authorId="23" shapeId="0" xr:uid="{88368C25-D0AA-44B1-8AB4-1B951700C61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@Khailany, Nawa @Shine, Jayda I cannot find this engine. I believe it is a typo and should be 1124G not 1126. I cannot find the TCDS for the 1126 and when I looked in the 319-171N tcds it references the 1124G</t>
      </text>
    </comment>
    <comment ref="BS8" authorId="24" shapeId="0" xr:uid="{3E1C6E98-F497-4590-8747-E0342C34C8BB}">
      <text>
        <t xml:space="preserve">[Threaded comment]
Your version of Excel allows you to read this threaded comment; however, any edits to it will get removed if the file is opened in a newer version of Excel. Learn more: https://go.microsoft.com/fwlink/?linkid=870924
Comment:
    Not sure which exact leap 1a, just says 1a on airbus website
</t>
      </text>
    </comment>
    <comment ref="EM8" authorId="2" shapeId="0" xr:uid="{D1A5CB46-1D73-4295-938C-9633AAD940C7}">
      <text>
        <r>
          <rPr>
            <sz val="11"/>
            <color theme="1"/>
            <rFont val="Calibri"/>
            <family val="2"/>
            <scheme val="minor"/>
          </rPr>
          <t>Aljaber, Rawan:
JT8D_7,  -7A, -7B SAME THRUST VALUES</t>
        </r>
      </text>
    </comment>
    <comment ref="EN8" authorId="2" shapeId="0" xr:uid="{908D02B0-F08C-4B57-9FB6-76BF3D36A16A}">
      <text>
        <r>
          <rPr>
            <sz val="11"/>
            <color theme="1"/>
            <rFont val="Calibri"/>
            <family val="2"/>
            <scheme val="minor"/>
          </rPr>
          <t>Aljaber, Rawan:
JT8D_7,  -7A, -7B SAME THRUST VALUES</t>
        </r>
      </text>
    </comment>
    <comment ref="EO8" authorId="2" shapeId="0" xr:uid="{8F152D64-F026-4429-8F9C-9404E05AE84F}">
      <text>
        <r>
          <rPr>
            <sz val="11"/>
            <color theme="1"/>
            <rFont val="Calibri"/>
            <family val="2"/>
            <scheme val="minor"/>
          </rPr>
          <t>Aljaber, Rawan:
JT8D_7,  -7A, -7B SAME THRUST VALUES</t>
        </r>
      </text>
    </comment>
    <comment ref="EP8" authorId="2" shapeId="0" xr:uid="{A427B881-AA78-4CA8-84F6-A0149ABC3C0F}">
      <text>
        <r>
          <rPr>
            <sz val="11"/>
            <color theme="1"/>
            <rFont val="Calibri"/>
            <family val="2"/>
            <scheme val="minor"/>
          </rPr>
          <t xml:space="preserve">Aljaber, Rawan:
CFM 56-3C-1 
CFM56-3B2 </t>
        </r>
      </text>
    </comment>
    <comment ref="EQ8" authorId="2" shapeId="0" xr:uid="{81F49E0B-7B46-43BE-949F-E415A9D52E84}">
      <text>
        <r>
          <rPr>
            <sz val="11"/>
            <color theme="1"/>
            <rFont val="Calibri"/>
            <family val="2"/>
            <scheme val="minor"/>
          </rPr>
          <t xml:space="preserve">Aljaber, Rawan:
CFM56-3C </t>
        </r>
      </text>
    </comment>
    <comment ref="ER8" authorId="2" shapeId="0" xr:uid="{CE383AE5-9871-498A-ADD9-F60A98457119}">
      <text>
        <r>
          <rPr>
            <sz val="11"/>
            <color theme="1"/>
            <rFont val="Calibri"/>
            <family val="2"/>
            <scheme val="minor"/>
          </rPr>
          <t>Aljaber, Rawan:
CFM56-3B1</t>
        </r>
      </text>
    </comment>
    <comment ref="ES8" authorId="2" shapeId="0" xr:uid="{287D377B-2F1B-4DCF-BCB8-75B6ADF4C6A7}">
      <text>
        <r>
          <rPr>
            <sz val="11"/>
            <color theme="1"/>
            <rFont val="Calibri"/>
            <family val="2"/>
            <scheme val="minor"/>
          </rPr>
          <t>Aljaber, Rawan:
CFM56-7B20/2*
CFM56-7B20/3
CFM56-7B20E 
CFM56-7B22 
CFM56-7B22/2*
CFM56-7B22/3
CFM56-7B22E</t>
        </r>
      </text>
    </comment>
    <comment ref="ET8" authorId="2" shapeId="0" xr:uid="{D96EFDF8-C93F-4E20-9186-5E0A39595621}">
      <text>
        <r>
          <rPr>
            <sz val="11"/>
            <color theme="1"/>
            <rFont val="Calibri"/>
            <family val="2"/>
            <scheme val="minor"/>
          </rPr>
          <t>Aljaber, Rawan:
CFM56-7B24/2* 
CFM56-7B24/3 
CFM56-7B24E 
CFM56-7B24/B1** 
CFM56-7B24/3B1** 
CFM56-7B24E/B1** 
CFM56-7B22 
and many more, check out
https://web.archive.org/web/20180418031822/http://rgl.faa.gov/Regulatory_and_Guidance_Library/rgMakeModel.nsf/0/8fcf1d1d82007a9e8625823d00778f99/$FILE/A16WE_Rev_61.pdf</t>
        </r>
      </text>
    </comment>
    <comment ref="EU8" authorId="2" shapeId="0" xr:uid="{24BF4A50-ED9B-4D79-9658-774243830E34}">
      <text>
        <r>
          <rPr>
            <sz val="11"/>
            <color theme="1"/>
            <rFont val="Calibri"/>
            <family val="2"/>
            <scheme val="minor"/>
          </rPr>
          <t>Aljaber, Rawan:
Only certain that CFM56_7B was used, could not find exact version</t>
        </r>
      </text>
    </comment>
    <comment ref="EV8" authorId="2" shapeId="0" xr:uid="{E207D778-256D-43C6-9171-C79D1D11620D}">
      <text>
        <r>
          <rPr>
            <sz val="11"/>
            <color theme="1"/>
            <rFont val="Calibri"/>
            <family val="2"/>
            <scheme val="minor"/>
          </rPr>
          <t>Aljaber, Rawan:
Only certain that CFM56_7B was used, could not find exact version</t>
        </r>
      </text>
    </comment>
    <comment ref="EW8" authorId="2" shapeId="0" xr:uid="{70413AFE-EBCC-44A8-8227-7CD86CC61191}">
      <text>
        <r>
          <rPr>
            <sz val="11"/>
            <color theme="1"/>
            <rFont val="Calibri"/>
            <family val="2"/>
            <scheme val="minor"/>
          </rPr>
          <t>Aljaber, Rawan:
CFM56-7B24/2* 
CFM56-7B24/3 
CFM56-7B24E
CFM56-7B24/3B1** 
CFM56-7B24E/B1** 
CFM56-7B22
and many more, check out
https://web.archive.org/web/20180418031822/http://rgl.faa.gov/Regulatory_and_Guidance_Library/rgMakeModel.nsf/0/8fcf1d1d82007a9e8625823d00778f99/$FILE/A16WE_Rev_61.pdf</t>
        </r>
      </text>
    </comment>
    <comment ref="EX8" authorId="2" shapeId="0" xr:uid="{858C6DF1-4A4B-4873-8F7D-3FD02FDAD675}">
      <text>
        <r>
          <rPr>
            <sz val="11"/>
            <color theme="1"/>
            <rFont val="Calibri"/>
            <family val="2"/>
            <scheme val="minor"/>
          </rPr>
          <t>Aljaber, Rawan:
CFM56-7B24/2* 
CFM56-7B24/3 
CFM56-7B24E
CFM56-7B24/3B1** 
CFM56-7B24E/B1** 
CFM56-7B22
and many more, check out
https://web.archive.org/web/20180418031822/http://rgl.faa.gov/Regulatory_and_Guidance_Library/rgMakeModel.nsf/0/8fcf1d1d82007a9e8625823d00778f99/$FILE/A16WE_Rev_61.pdf</t>
        </r>
      </text>
    </comment>
    <comment ref="EY8" authorId="2" shapeId="0" xr:uid="{048C3B38-902E-469B-A657-DF76EE0826E2}">
      <text>
        <r>
          <rPr>
            <sz val="11"/>
            <color theme="1"/>
            <rFont val="Calibri"/>
            <family val="2"/>
            <scheme val="minor"/>
          </rPr>
          <t>Aljaber, Rawan:
CFM56-7B24/3 
CFM56-7B24E
CFM56-7B24/3B1** 
CFM56-7B24E/B1** 
CFM56-7B26
CFM56-7B26/3
and many more, check out
https://web.archive.org/web/20180418031822/http://rgl.faa.gov/Regulatory_and_Guidance_Library/rgMakeModel.nsf/0/8fcf1d1d82007a9e8625823d00778f99/$FILE/A16WE_Rev_61.pdf</t>
        </r>
      </text>
    </comment>
    <comment ref="EZ8" authorId="2" shapeId="0" xr:uid="{6780BD99-721A-4651-956C-68A8D8CB60F9}">
      <text>
        <r>
          <rPr>
            <sz val="11"/>
            <color theme="1"/>
            <rFont val="Calibri"/>
            <family val="2"/>
            <scheme val="minor"/>
          </rPr>
          <t>Aljaber, Rawan:
CFM56-7B24/3 
CFM56-7B24E
CFM56-7B24/3B1** 
CFM56-7B24E/B1** 
CFM56-7B26
CFM56-7B26/3
and many more, check out
https://web.archive.org/web/20180418031822/http://rgl.faa.gov/Regulatory_and_Guidance_Library/rgMakeModel.nsf/0/8fcf1d1d82007a9e8625823d00778f99/$FILE/A16WE_Rev_61.pdf</t>
        </r>
      </text>
    </comment>
    <comment ref="FA8" authorId="2" shapeId="0" xr:uid="{09773DE7-FA21-45E3-99A0-3919CBA01750}">
      <text>
        <r>
          <rPr>
            <sz val="11"/>
            <color theme="1"/>
            <rFont val="Calibri"/>
            <family val="2"/>
            <scheme val="minor"/>
          </rPr>
          <t>Aljaber, Rawan:
CFM56-7B24/3 
CFM56-7B24E
CFM56-7B24/3B1** 
CFM56-7B24E/B1** 
CFM56-7B26
CFM56-7B26/B1</t>
        </r>
      </text>
    </comment>
    <comment ref="FP8" authorId="25" shapeId="0" xr:uid="{4F5585EB-A725-4DFE-912F-1F403D697A29}">
      <text>
        <t>[Threaded comment]
Your version of Excel allows you to read this threaded comment; however, any edits to it will get removed if the file is opened in a newer version of Excel. Learn more: https://go.microsoft.com/fwlink/?linkid=870924
Comment:
    No AW in TCDS, maybe JT9D_7A with water injection?</t>
      </text>
    </comment>
    <comment ref="FT8" authorId="26" shapeId="0" xr:uid="{9F9EFC7C-CB10-4197-8081-9BE54BA75151}">
      <text>
        <t>[Threaded comment]
Your version of Excel allows you to read this threaded comment; however, any edits to it will get removed if the file is opened in a newer version of Excel. Learn more: https://go.microsoft.com/fwlink/?linkid=870924
Comment:
    No AW in TCDS, maybe JT9D_7A with water injection?</t>
      </text>
    </comment>
    <comment ref="FU8" authorId="27" shapeId="0" xr:uid="{D60AE34E-F6B2-4113-80D4-03967678AEEE}">
      <text>
        <t>[Threaded comment]
Your version of Excel allows you to read this threaded comment; however, any edits to it will get removed if the file is opened in a newer version of Excel. Learn more: https://go.microsoft.com/fwlink/?linkid=870924
Comment:
    No AW in TCDS</t>
      </text>
    </comment>
    <comment ref="GW8" authorId="28" shapeId="0" xr:uid="{42CF4DCC-537B-4C94-A7E0-0B609EC34A49}">
      <text>
        <t>[Threaded comment]
Your version of Excel allows you to read this threaded comment; however, any edits to it will get removed if the file is opened in a newer version of Excel. Learn more: https://go.microsoft.com/fwlink/?linkid=870924
Comment:
    Couldn’t find FAA TCDS for this model used the 524H
Reply:
    The H8 doesnt exist. The correct engine name is updated</t>
      </text>
    </comment>
    <comment ref="GZ8" authorId="29" shapeId="0" xr:uid="{AE80AB98-9288-4D8D-A07D-BF42642380F4}">
      <text>
        <t>[Threaded comment]
Your version of Excel allows you to read this threaded comment; however, any edits to it will get removed if the file is opened in a newer version of Excel. Learn more: https://go.microsoft.com/fwlink/?linkid=870924
Comment:
    Couldn’t find FAA TCDS for this model used the 524H
Reply:
    See cell GX8</t>
      </text>
    </comment>
    <comment ref="HX8" authorId="10" shapeId="0" xr:uid="{BCAFC6B9-796B-49BA-B444-1E13BCB4A7E0}">
      <text>
        <r>
          <rPr>
            <b/>
            <sz val="9"/>
            <color indexed="81"/>
            <rFont val="Tahoma"/>
            <family val="2"/>
          </rPr>
          <t>Max Arnson:</t>
        </r>
        <r>
          <rPr>
            <sz val="9"/>
            <color indexed="81"/>
            <rFont val="Tahoma"/>
            <family val="2"/>
          </rPr>
          <t xml:space="preserve">
Assuming these use the 76B. Is unclear in the planning manual. Reference to engine that does not exist</t>
        </r>
      </text>
    </comment>
    <comment ref="HY8" authorId="10" shapeId="0" xr:uid="{B77F4B6F-4827-4AD9-A515-4FEDE59B9171}">
      <text>
        <r>
          <rPr>
            <b/>
            <sz val="9"/>
            <color indexed="81"/>
            <rFont val="Tahoma"/>
            <family val="2"/>
          </rPr>
          <t>Max Arnson:</t>
        </r>
        <r>
          <rPr>
            <sz val="9"/>
            <color indexed="81"/>
            <rFont val="Tahoma"/>
            <family val="2"/>
          </rPr>
          <t xml:space="preserve">
Assuming these use the 76B. Is unclear in the planning manual. Reference to engine that does not exist</t>
        </r>
      </text>
    </comment>
    <comment ref="IF8" authorId="30" shapeId="0" xr:uid="{C732DEBA-8099-4E6D-A000-276559B9542F}">
      <text>
        <t>[Threaded comment]
Your version of Excel allows you to read this threaded comment; however, any edits to it will get removed if the file is opened in a newer version of Excel. Learn more: https://go.microsoft.com/fwlink/?linkid=870924
Comment:
    @Aljaber, Rawan the 890 does not exist. In the 777 tcds it says 892. I will change this. No action required. 
Reply:
    Hm. I do see the 890 in the handbook actually. I may have been mistaken that it exists, although I do not see it in the TCDS or on wikipedia as a variant. Maybe it goes by a different name.
Reply:
    Yeah, the 890 is in the airport manual, the performance summary brochure does highlight the 892 though so I agree its better to change it to 892.</t>
      </text>
    </comment>
    <comment ref="KU8" authorId="9" shapeId="0" xr:uid="{2AFDC24B-BEC9-4AF8-93A0-E7C30B7ECD3A}">
      <text>
        <r>
          <rPr>
            <sz val="11"/>
            <color theme="1"/>
            <rFont val="Calibri"/>
            <family val="2"/>
            <scheme val="minor"/>
          </rPr>
          <t>Shine, Jayda:
OR 
Two Turbojet CJ-610-8A</t>
        </r>
      </text>
    </comment>
    <comment ref="KV8" authorId="9" shapeId="0" xr:uid="{FD7094AA-B05B-436C-9937-64B0B580EC4B}">
      <text>
        <r>
          <rPr>
            <sz val="11"/>
            <color theme="1"/>
            <rFont val="Calibri"/>
            <family val="2"/>
            <scheme val="minor"/>
          </rPr>
          <t xml:space="preserve">Shine, Jayda:
</t>
        </r>
      </text>
    </comment>
    <comment ref="LC8" authorId="9" shapeId="0" xr:uid="{E7B7ACC3-AB27-4886-8192-D9DF287F3102}">
      <text>
        <r>
          <rPr>
            <sz val="11"/>
            <color theme="1"/>
            <rFont val="Calibri"/>
            <family val="2"/>
            <scheme val="minor"/>
          </rPr>
          <t xml:space="preserve">Shine, Jayda:
OR
CJ-610-8A
</t>
        </r>
      </text>
    </comment>
    <comment ref="LD8" authorId="9" shapeId="0" xr:uid="{703E90AC-6BF6-40FF-8453-CC08C7848EAD}">
      <text>
        <r>
          <rPr>
            <sz val="11"/>
            <color theme="1"/>
            <rFont val="Calibri"/>
            <family val="2"/>
            <scheme val="minor"/>
          </rPr>
          <t>Shine, Jayda:
OR
CJ-610-8A</t>
        </r>
      </text>
    </comment>
    <comment ref="LE8" authorId="9" shapeId="0" xr:uid="{6BD0F582-55E6-4587-AFBC-81ED84BD138F}">
      <text>
        <r>
          <rPr>
            <sz val="11"/>
            <color theme="1"/>
            <rFont val="Calibri"/>
            <family val="2"/>
            <scheme val="minor"/>
          </rPr>
          <t>Shine, Jayda:
OR
CJ-610-8A</t>
        </r>
      </text>
    </comment>
    <comment ref="LF8" authorId="9" shapeId="0" xr:uid="{E55D019F-0593-4316-98F2-C167EFB83CD3}">
      <text>
        <r>
          <rPr>
            <sz val="11"/>
            <color theme="1"/>
            <rFont val="Calibri"/>
            <family val="2"/>
            <scheme val="minor"/>
          </rPr>
          <t>Shine, Jayda:
OR
CJ-610-8A</t>
        </r>
      </text>
    </comment>
    <comment ref="LJ8" authorId="9" shapeId="0" xr:uid="{7D1D61BA-37D7-4B03-A30F-B87A9BBC616A}">
      <text>
        <r>
          <rPr>
            <sz val="11"/>
            <color theme="1"/>
            <rFont val="Calibri"/>
            <family val="2"/>
            <scheme val="minor"/>
          </rPr>
          <t>Shine, Jayda:
P/N 3073610-1 (w/o fuel heaters)</t>
        </r>
      </text>
    </comment>
    <comment ref="LK8" authorId="9" shapeId="0" xr:uid="{5562AB73-09F5-4395-A8F0-9D737D723B03}">
      <text>
        <r>
          <rPr>
            <sz val="11"/>
            <color theme="1"/>
            <rFont val="Calibri"/>
            <family val="2"/>
            <scheme val="minor"/>
          </rPr>
          <t>Shine, Jayda:
P/N 3073610-1 (w/o fuel heaters)</t>
        </r>
      </text>
    </comment>
    <comment ref="LN8" authorId="31" shapeId="0" xr:uid="{FAFD1250-DF5A-4EFB-A09D-09673AC24CE0}">
      <text>
        <t>[Threaded comment]
Your version of Excel allows you to read this threaded comment; however, any edits to it will get removed if the file is opened in a newer version of Excel. Learn more: https://go.microsoft.com/fwlink/?linkid=870924
Comment:
    Couldn’t find 1B modifier. Dropping it</t>
      </text>
    </comment>
    <comment ref="MA8" authorId="32" shapeId="0" xr:uid="{C0769431-BB88-4218-BBA3-C86A0F1315F0}">
      <text>
        <t>[Threaded comment]
Your version of Excel allows you to read this threaded comment; however, any edits to it will get removed if the file is opened in a newer version of Excel. Learn more: https://go.microsoft.com/fwlink/?linkid=870924
Comment:
    @Arnson, Maxfield  Check these aircrafts engines</t>
      </text>
    </comment>
    <comment ref="MB8" authorId="33" shapeId="0" xr:uid="{A62F47B8-1156-4ECA-86E8-F19475C93761}">
      <text>
        <t>[Threaded comment]
Your version of Excel allows you to read this threaded comment; however, any edits to it will get removed if the file is opened in a newer version of Excel. Learn more: https://go.microsoft.com/fwlink/?linkid=870924
Comment:
    @Arnson, Maxfield  Check these aircrafts engines</t>
      </text>
    </comment>
    <comment ref="MC8" authorId="34" shapeId="0" xr:uid="{D5564127-0D5A-4634-BC38-D7E8CF02EA16}">
      <text>
        <t>[Threaded comment]
Your version of Excel allows you to read this threaded comment; however, any edits to it will get removed if the file is opened in a newer version of Excel. Learn more: https://go.microsoft.com/fwlink/?linkid=870924
Comment:
    @Arnson, Maxfield  Check these aircrafts engines</t>
      </text>
    </comment>
    <comment ref="PK8" authorId="2" shapeId="0" xr:uid="{400486CE-95BD-4D8E-A7BD-1773E52FF917}">
      <text>
        <r>
          <rPr>
            <sz val="11"/>
            <color theme="1"/>
            <rFont val="Calibri"/>
            <family val="2"/>
            <scheme val="minor"/>
          </rPr>
          <t>Aljaber, Rawan:
134-inch fan diameter and 105,000 lb Boeing equivalent
thrust (BET)</t>
        </r>
      </text>
    </comment>
    <comment ref="N9" authorId="0" shapeId="0" xr:uid="{7DC04879-4602-416D-988D-7A699317848D}">
      <text>
        <r>
          <rPr>
            <sz val="11"/>
            <color theme="1"/>
            <rFont val="Calibri"/>
            <family val="2"/>
            <scheme val="minor"/>
          </rPr>
          <t>Khailany, Nawa:
RB211 Trent 553A2-61</t>
        </r>
      </text>
    </comment>
    <comment ref="P9" authorId="0" shapeId="0" xr:uid="{25E6691F-5B65-4CE9-90EC-53F7D6331A67}">
      <text>
        <r>
          <rPr>
            <sz val="11"/>
            <color theme="1"/>
            <rFont val="Calibri"/>
            <family val="2"/>
            <scheme val="minor"/>
          </rPr>
          <t>Khailany, Nawa:
RB211 Trent 556A2-61</t>
        </r>
      </text>
    </comment>
    <comment ref="R9" authorId="0" shapeId="0" xr:uid="{A0C46E0F-EF18-4231-9FE3-303A35E229A6}">
      <text>
        <r>
          <rPr>
            <sz val="11"/>
            <color theme="1"/>
            <rFont val="Calibri"/>
            <family val="2"/>
            <scheme val="minor"/>
          </rPr>
          <t xml:space="preserve">Khailany, Nawa:
Rolls Royce Trent XWB-75
</t>
        </r>
      </text>
    </comment>
    <comment ref="EP9" authorId="2" shapeId="0" xr:uid="{E999B449-39C4-4303-8D1B-B1A2412E14F5}">
      <text>
        <r>
          <rPr>
            <sz val="11"/>
            <color theme="1"/>
            <rFont val="Calibri"/>
            <family val="2"/>
            <scheme val="minor"/>
          </rPr>
          <t xml:space="preserve">Aljaber, Rawan:
CFM 56-3C-1 
CFM56-3B2 </t>
        </r>
      </text>
    </comment>
    <comment ref="EQ9" authorId="2" shapeId="0" xr:uid="{323992EB-AD95-4D51-BF57-C6207A91B549}">
      <text>
        <r>
          <rPr>
            <sz val="11"/>
            <color theme="1"/>
            <rFont val="Calibri"/>
            <family val="2"/>
            <scheme val="minor"/>
          </rPr>
          <t xml:space="preserve">Aljaber, Rawan:
CFM56-3C </t>
        </r>
      </text>
    </comment>
    <comment ref="ER9" authorId="2" shapeId="0" xr:uid="{83CA3060-9CB4-48BE-BED9-A7535FF14331}">
      <text>
        <r>
          <rPr>
            <sz val="11"/>
            <color theme="1"/>
            <rFont val="Calibri"/>
            <family val="2"/>
            <scheme val="minor"/>
          </rPr>
          <t>Aljaber, Rawan:
CFM56-3B1</t>
        </r>
      </text>
    </comment>
    <comment ref="ES9" authorId="2" shapeId="0" xr:uid="{4D748D9A-D510-4266-85E2-18DD9FD122FA}">
      <text>
        <r>
          <rPr>
            <sz val="11"/>
            <color theme="1"/>
            <rFont val="Calibri"/>
            <family val="2"/>
            <scheme val="minor"/>
          </rPr>
          <t>Aljaber, Rawan:
CFM56-7B20/2*
CFM56-7B20/3
CFM56-7B20E 
CFM56-7B22 
CFM56-7B22/2*
CFM56-7B22/3
CFM56-7B22E</t>
        </r>
      </text>
    </comment>
    <comment ref="ET9" authorId="2" shapeId="0" xr:uid="{6CF07211-9CD7-47AE-BAEF-3EEFF2921527}">
      <text>
        <r>
          <rPr>
            <sz val="11"/>
            <color theme="1"/>
            <rFont val="Calibri"/>
            <family val="2"/>
            <scheme val="minor"/>
          </rPr>
          <t>Aljaber, Rawan:
CFM56-7B24/2* 
CFM56-7B24/3 
CFM56-7B24E 
CFM56-7B24/B1** 
CFM56-7B24/3B1** 
CFM56-7B24E/B1** 
CFM56-7B22 
and many more, check out
https://web.archive.org/web/20180418031822/http://rgl.faa.gov/Regulatory_and_Guidance_Library/rgMakeModel.nsf/0/8fcf1d1d82007a9e8625823d00778f99/$FILE/A16WE_Rev_61.pdf</t>
        </r>
      </text>
    </comment>
    <comment ref="EW9" authorId="2" shapeId="0" xr:uid="{CBD54E9B-0C23-4854-B6F5-C69A25E7F35F}">
      <text>
        <r>
          <rPr>
            <sz val="11"/>
            <color theme="1"/>
            <rFont val="Calibri"/>
            <family val="2"/>
            <scheme val="minor"/>
          </rPr>
          <t>Aljaber, Rawan:
CFM56-7B24/2* 
CFM56-7B24/3 
CFM56-7B24E
CFM56-7B24/3B1** 
CFM56-7B24E/B1** 
CFM56-7B22
and many more, check out
https://web.archive.org/web/20180418031822/http://rgl.faa.gov/Regulatory_and_Guidance_Library/rgMakeModel.nsf/0/8fcf1d1d82007a9e8625823d00778f99/$FILE/A16WE_Rev_61.pdf</t>
        </r>
      </text>
    </comment>
    <comment ref="EX9" authorId="2" shapeId="0" xr:uid="{A23FA12E-A31A-4A1C-BD95-241FB60CC37D}">
      <text>
        <r>
          <rPr>
            <sz val="11"/>
            <color theme="1"/>
            <rFont val="Calibri"/>
            <family val="2"/>
            <scheme val="minor"/>
          </rPr>
          <t>Aljaber, Rawan:
CFM56-7B24/2* 
CFM56-7B24/3 
CFM56-7B24E
CFM56-7B24/3B1** 
CFM56-7B24E/B1** 
CFM56-7B22
and many more, check out
https://web.archive.org/web/20180418031822/http://rgl.faa.gov/Regulatory_and_Guidance_Library/rgMakeModel.nsf/0/8fcf1d1d82007a9e8625823d00778f99/$FILE/A16WE_Rev_61.pdf</t>
        </r>
      </text>
    </comment>
    <comment ref="EY9" authorId="2" shapeId="0" xr:uid="{F811C1C5-891F-4C9A-8FF1-660319051479}">
      <text>
        <r>
          <rPr>
            <sz val="11"/>
            <color theme="1"/>
            <rFont val="Calibri"/>
            <family val="2"/>
            <scheme val="minor"/>
          </rPr>
          <t>Aljaber, Rawan:
CFM56-7B24/3 
CFM56-7B24E
CFM56-7B24/3B1** 
CFM56-7B24E/B1** 
CFM56-7B26
CFM56-7B26/3
and many more, check out
https://web.archive.org/web/20180418031822/http://rgl.faa.gov/Regulatory_and_Guidance_Library/rgMakeModel.nsf/0/8fcf1d1d82007a9e8625823d00778f99/$FILE/A16WE_Rev_61.pdf</t>
        </r>
      </text>
    </comment>
    <comment ref="EZ9" authorId="2" shapeId="0" xr:uid="{C8617C9D-D69B-4D01-9659-DBF75B50DF3D}">
      <text>
        <r>
          <rPr>
            <sz val="11"/>
            <color theme="1"/>
            <rFont val="Calibri"/>
            <family val="2"/>
            <scheme val="minor"/>
          </rPr>
          <t>Aljaber, Rawan:
CFM56-7B24/3 
CFM56-7B24E
CFM56-7B24/3B1** 
CFM56-7B24E/B1** 
CFM56-7B26
CFM56-7B26/3
and many more, check out
https://web.archive.org/web/20180418031822/http://rgl.faa.gov/Regulatory_and_Guidance_Library/rgMakeModel.nsf/0/8fcf1d1d82007a9e8625823d00778f99/$FILE/A16WE_Rev_61.pdf</t>
        </r>
      </text>
    </comment>
    <comment ref="FA9" authorId="2" shapeId="0" xr:uid="{4D3A2552-C152-4734-8FC4-ADE837760D6F}">
      <text>
        <r>
          <rPr>
            <sz val="11"/>
            <color theme="1"/>
            <rFont val="Calibri"/>
            <family val="2"/>
            <scheme val="minor"/>
          </rPr>
          <t>Aljaber, Rawan:
CFM56-7B24/3 
CFM56-7B24E
CFM56-7B24/3B1** 
CFM56-7B24E/B1** 
CFM56-7B26
CFM56-7B26/B1</t>
        </r>
      </text>
    </comment>
    <comment ref="HX9" authorId="35" shapeId="0" xr:uid="{365E9081-95F8-4BBB-B35E-459F5DEA9499}">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check GE_90_B3/B4 Specs
@Aljaber, Rawan </t>
      </text>
    </comment>
    <comment ref="JD9" authorId="22" shapeId="0" xr:uid="{BA3D0822-C241-47AE-B426-2A10A2387436}">
      <text>
        <r>
          <rPr>
            <sz val="11"/>
            <color theme="1"/>
            <rFont val="Calibri"/>
            <family val="2"/>
            <scheme val="minor"/>
          </rPr>
          <t>Dwibhashyam, Neha:
Two - General Electric CF34-1A or
One - General Electric CF34-1A and One CF34-3A or
One – General Electric CF34-1A and One CF34-3A2 or
Two - General Electric CF34-3A or
Two - General Electric CF34-3A2 or
One - General Electric CF34-3A and One CF34-3A2</t>
        </r>
      </text>
    </comment>
    <comment ref="JE9" authorId="22" shapeId="0" xr:uid="{501B9CF9-234D-4FDE-BFF7-85FB77F05846}">
      <text>
        <r>
          <rPr>
            <sz val="11"/>
            <color theme="1"/>
            <rFont val="Calibri"/>
            <family val="2"/>
            <scheme val="minor"/>
          </rPr>
          <t>Dwibhashyam, Neha:
Two - General Electric CF34-3A or CF34-3A2 or
One - General Electric CF34-3A and One CF34-3A2</t>
        </r>
      </text>
    </comment>
    <comment ref="KC9" authorId="22" shapeId="0" xr:uid="{782330B6-65D7-4A44-A564-5DE972FDE33F}">
      <text>
        <r>
          <rPr>
            <sz val="11"/>
            <color theme="1"/>
            <rFont val="Calibri"/>
            <family val="2"/>
            <scheme val="minor"/>
          </rPr>
          <t>Dwibhashyam, Neha:
AE3007A1/1
AE3007A1P
AE3007A1
or 
one AE3007A
or 
one AE3007A1/1</t>
        </r>
      </text>
    </comment>
    <comment ref="KD9" authorId="22" shapeId="0" xr:uid="{E9EDB9E0-402B-40B9-9C27-6525FCC444E9}">
      <text>
        <r>
          <rPr>
            <sz val="11"/>
            <color theme="1"/>
            <rFont val="Calibri"/>
            <family val="2"/>
            <scheme val="minor"/>
          </rPr>
          <t>Dwibhashyam, Neha:
AE3007A1/1
AE3007A1P
AE3007A1
or 
one AE3007A
or 
one AE3007A1/1</t>
        </r>
      </text>
    </comment>
    <comment ref="KE9" authorId="22" shapeId="0" xr:uid="{EACA0CB7-0877-407E-8B30-C2AA08164134}">
      <text>
        <r>
          <rPr>
            <sz val="11"/>
            <color theme="1"/>
            <rFont val="Calibri"/>
            <family val="2"/>
            <scheme val="minor"/>
          </rPr>
          <t>Dwibhashyam, Neha:
AE3007A1/1
AE3007A1P
AE3007A1
or 
one AE3007A
or 
one AE3007A1/1</t>
        </r>
      </text>
    </comment>
    <comment ref="KU9" authorId="9" shapeId="0" xr:uid="{8ACE796A-F048-4C3D-BA5B-3713F487006D}">
      <text>
        <r>
          <rPr>
            <sz val="11"/>
            <color theme="1"/>
            <rFont val="Calibri"/>
            <family val="2"/>
            <scheme val="minor"/>
          </rPr>
          <t>Shine, Jayda:
OR 
Two Turbojet CJ-610-8A</t>
        </r>
      </text>
    </comment>
    <comment ref="KV9" authorId="9" shapeId="0" xr:uid="{C207EA97-849A-4999-B739-FE06E14222BD}">
      <text>
        <r>
          <rPr>
            <sz val="11"/>
            <color theme="1"/>
            <rFont val="Calibri"/>
            <family val="2"/>
            <scheme val="minor"/>
          </rPr>
          <t xml:space="preserve">Shine, Jayda:
</t>
        </r>
      </text>
    </comment>
    <comment ref="LC9" authorId="9" shapeId="0" xr:uid="{0270CB52-17ED-4F74-9E2E-4EAE6D3EA349}">
      <text>
        <r>
          <rPr>
            <sz val="11"/>
            <color theme="1"/>
            <rFont val="Calibri"/>
            <family val="2"/>
            <scheme val="minor"/>
          </rPr>
          <t xml:space="preserve">Shine, Jayda:
OR
CJ-610-8A
</t>
        </r>
      </text>
    </comment>
    <comment ref="LD9" authorId="9" shapeId="0" xr:uid="{78723EAA-DD06-4F87-B9B1-70068F4669BB}">
      <text>
        <r>
          <rPr>
            <sz val="11"/>
            <color theme="1"/>
            <rFont val="Calibri"/>
            <family val="2"/>
            <scheme val="minor"/>
          </rPr>
          <t>Shine, Jayda:
OR
CJ-610-8A</t>
        </r>
      </text>
    </comment>
    <comment ref="LE9" authorId="9" shapeId="0" xr:uid="{E1DAABA4-D966-4579-A966-5B2C05168987}">
      <text>
        <r>
          <rPr>
            <sz val="11"/>
            <color theme="1"/>
            <rFont val="Calibri"/>
            <family val="2"/>
            <scheme val="minor"/>
          </rPr>
          <t>Shine, Jayda:
OR
CJ-610-8A</t>
        </r>
      </text>
    </comment>
    <comment ref="LF9" authorId="9" shapeId="0" xr:uid="{498BCA0F-267D-4E79-87C8-F6F568237456}">
      <text>
        <r>
          <rPr>
            <sz val="11"/>
            <color theme="1"/>
            <rFont val="Calibri"/>
            <family val="2"/>
            <scheme val="minor"/>
          </rPr>
          <t>Shine, Jayda:
OR
CJ-610-8A</t>
        </r>
      </text>
    </comment>
    <comment ref="LJ9" authorId="9" shapeId="0" xr:uid="{66F6A6EC-9681-4EFD-BD3D-913F933538B9}">
      <text>
        <r>
          <rPr>
            <sz val="11"/>
            <color theme="1"/>
            <rFont val="Calibri"/>
            <family val="2"/>
            <scheme val="minor"/>
          </rPr>
          <t>Shine, Jayda:
P/N 3073610-1 (w/o fuel heaters)</t>
        </r>
      </text>
    </comment>
    <comment ref="LK9" authorId="9" shapeId="0" xr:uid="{60EE6B29-AC8C-46F6-95AE-6924746F6BA5}">
      <text>
        <r>
          <rPr>
            <sz val="11"/>
            <color theme="1"/>
            <rFont val="Calibri"/>
            <family val="2"/>
            <scheme val="minor"/>
          </rPr>
          <t>Shine, Jayda:
P/N 3073610-1 (w/o fuel heaters)</t>
        </r>
      </text>
    </comment>
    <comment ref="OB9" authorId="10" shapeId="0" xr:uid="{CC6E4C2A-2996-4B7D-8A99-DCBB16A8A986}">
      <text>
        <r>
          <rPr>
            <b/>
            <sz val="9"/>
            <color indexed="81"/>
            <rFont val="Tahoma"/>
            <family val="2"/>
          </rPr>
          <t>Max Arnson:</t>
        </r>
        <r>
          <rPr>
            <sz val="9"/>
            <color indexed="81"/>
            <rFont val="Tahoma"/>
            <family val="2"/>
          </rPr>
          <t xml:space="preserve">
these engines were just a renamed version of the 22Bs, see note 25 in the TCDS
</t>
        </r>
      </text>
    </comment>
    <comment ref="PB9" authorId="36" shapeId="0" xr:uid="{FEC9D7C9-8BFD-4A35-90F6-E977444CC803}">
      <text>
        <t>[Threaded comment]
Your version of Excel allows you to read this threaded comment; however, any edits to it will get removed if the file is opened in a newer version of Excel. Learn more: https://go.microsoft.com/fwlink/?linkid=870924
Comment:
    This is the engine name on FAA</t>
      </text>
    </comment>
    <comment ref="A12" authorId="2" shapeId="0" xr:uid="{6204C459-ED2A-410B-B0D7-002D27303974}">
      <text>
        <r>
          <rPr>
            <sz val="11"/>
            <color theme="1"/>
            <rFont val="Calibri"/>
            <family val="2"/>
            <scheme val="minor"/>
          </rPr>
          <t>Aljaber, Rawan:
(#_aisle, short/long/extended range, low/high capacity)</t>
        </r>
      </text>
    </comment>
    <comment ref="U12" authorId="0" shapeId="0" xr:uid="{B47ADCD2-6E1B-443E-AD42-58F085EB3CA0}">
      <text>
        <r>
          <rPr>
            <sz val="11"/>
            <color theme="1"/>
            <rFont val="Calibri"/>
            <family val="2"/>
            <scheme val="minor"/>
          </rPr>
          <t xml:space="preserve">Khailany, Nawa:
what counts as low or high pax 
</t>
        </r>
      </text>
    </comment>
    <comment ref="IF12" authorId="37" shapeId="0" xr:uid="{4EF3AD3C-3913-40C5-A251-495448D27088}">
      <text>
        <t>[Threaded comment]
Your version of Excel allows you to read this threaded comment; however, any edits to it will get removed if the file is opened in a newer version of Excel. Learn more: https://go.microsoft.com/fwlink/?linkid=870924
Comment:
    unsure if short or long range</t>
      </text>
    </comment>
    <comment ref="IP14" authorId="38" shapeId="0" xr:uid="{22E31AC4-E7BB-4115-B757-C9A9C0F08C70}">
      <text>
        <t xml:space="preserve">[Threaded comment]
Your version of Excel allows you to read this threaded comment; however, any edits to it will get removed if the file is opened in a newer version of Excel. Learn more: https://go.microsoft.com/fwlink/?linkid=870924
Comment:
    Should this and the next be CRJ-100 instead of -200
</t>
      </text>
    </comment>
    <comment ref="IX14" authorId="39" shapeId="0" xr:uid="{5677BC90-DB6D-4999-8E75-1BE41FDC3412}">
      <text>
        <r>
          <rPr>
            <b/>
            <sz val="9"/>
            <color indexed="81"/>
            <rFont val="Tahoma"/>
            <family val="2"/>
          </rPr>
          <t>Joaquin Rey:</t>
        </r>
        <r>
          <rPr>
            <sz val="9"/>
            <color indexed="81"/>
            <rFont val="Tahoma"/>
            <family val="2"/>
          </rPr>
          <t xml:space="preserve">
The CRJ550 is a variant of the CRJ700
</t>
        </r>
      </text>
    </comment>
    <comment ref="A15" authorId="2" shapeId="0" xr:uid="{E09B5691-D6D7-4A22-87F3-0FA4BE85F8B5}">
      <text>
        <r>
          <rPr>
            <sz val="11"/>
            <color theme="1"/>
            <rFont val="Calibri"/>
            <family val="2"/>
            <scheme val="minor"/>
          </rPr>
          <t>Aljaber, Rawan:
P - Passenger
C - Cargo
M - Mix of Pax and Cargo</t>
        </r>
      </text>
    </comment>
    <comment ref="DX15" authorId="10" shapeId="0" xr:uid="{82746A79-104B-402A-87DC-6E12568C170A}">
      <text>
        <r>
          <rPr>
            <b/>
            <sz val="9"/>
            <color indexed="81"/>
            <rFont val="Tahoma"/>
            <family val="2"/>
          </rPr>
          <t>Max Arnson:</t>
        </r>
        <r>
          <rPr>
            <sz val="9"/>
            <color indexed="81"/>
            <rFont val="Tahoma"/>
            <family val="2"/>
          </rPr>
          <t xml:space="preserve">
13 pallets
</t>
        </r>
      </text>
    </comment>
    <comment ref="FQ15" authorId="10" shapeId="0" xr:uid="{DD8B0E2C-C7B9-4C25-A868-14C750A6CCDD}">
      <text>
        <r>
          <rPr>
            <b/>
            <sz val="9"/>
            <color indexed="81"/>
            <rFont val="Tahoma"/>
            <family val="2"/>
          </rPr>
          <t>Max Arnson:</t>
        </r>
        <r>
          <rPr>
            <sz val="9"/>
            <color indexed="81"/>
            <rFont val="Tahoma"/>
            <family val="2"/>
          </rPr>
          <t xml:space="preserve">
6 pallets</t>
        </r>
      </text>
    </comment>
    <comment ref="FR15" authorId="10" shapeId="0" xr:uid="{EB688639-CA9B-49BE-80BD-1DC199E13886}">
      <text>
        <r>
          <rPr>
            <b/>
            <sz val="9"/>
            <color indexed="81"/>
            <rFont val="Tahoma"/>
            <family val="2"/>
          </rPr>
          <t>Max Arnson:</t>
        </r>
        <r>
          <rPr>
            <sz val="9"/>
            <color indexed="81"/>
            <rFont val="Tahoma"/>
            <family val="2"/>
          </rPr>
          <t xml:space="preserve">
7 Pallets</t>
        </r>
      </text>
    </comment>
    <comment ref="FS15" authorId="10" shapeId="0" xr:uid="{63F9DC3A-2F77-49B4-966F-A8C73758305A}">
      <text>
        <r>
          <rPr>
            <b/>
            <sz val="9"/>
            <color indexed="81"/>
            <rFont val="Tahoma"/>
            <family val="2"/>
          </rPr>
          <t>Max Arnson:</t>
        </r>
        <r>
          <rPr>
            <sz val="9"/>
            <color indexed="81"/>
            <rFont val="Tahoma"/>
            <family val="2"/>
          </rPr>
          <t xml:space="preserve">
12 pallets</t>
        </r>
      </text>
    </comment>
    <comment ref="GO15" authorId="10" shapeId="0" xr:uid="{6C308708-1065-4BF3-8FD1-3A87E7568531}">
      <text>
        <r>
          <rPr>
            <b/>
            <sz val="9"/>
            <color indexed="81"/>
            <rFont val="Tahoma"/>
            <family val="2"/>
          </rPr>
          <t>Max Arnson:</t>
        </r>
        <r>
          <rPr>
            <sz val="9"/>
            <color indexed="81"/>
            <rFont val="Tahoma"/>
            <family val="2"/>
          </rPr>
          <t xml:space="preserve">
7 pallets</t>
        </r>
      </text>
    </comment>
    <comment ref="GP15" authorId="10" shapeId="0" xr:uid="{1B47CF64-295D-4095-A43A-D34F425029CF}">
      <text>
        <r>
          <rPr>
            <b/>
            <sz val="9"/>
            <color indexed="81"/>
            <rFont val="Tahoma"/>
            <family val="2"/>
          </rPr>
          <t>Max Arnson:</t>
        </r>
        <r>
          <rPr>
            <sz val="9"/>
            <color indexed="81"/>
            <rFont val="Tahoma"/>
            <family val="2"/>
          </rPr>
          <t xml:space="preserve">
7 pallets</t>
        </r>
      </text>
    </comment>
    <comment ref="GQ15" authorId="10" shapeId="0" xr:uid="{3CCCDC6D-4CA9-4B4C-AD39-497A4B3626BB}">
      <text>
        <r>
          <rPr>
            <b/>
            <sz val="9"/>
            <color indexed="81"/>
            <rFont val="Tahoma"/>
            <family val="2"/>
          </rPr>
          <t>Max Arnson:</t>
        </r>
        <r>
          <rPr>
            <sz val="9"/>
            <color indexed="81"/>
            <rFont val="Tahoma"/>
            <family val="2"/>
          </rPr>
          <t xml:space="preserve">
7 pallets</t>
        </r>
      </text>
    </comment>
    <comment ref="A16" authorId="10" shapeId="0" xr:uid="{E6230048-A284-4487-8B80-7490F29BB009}">
      <text>
        <r>
          <rPr>
            <b/>
            <sz val="9"/>
            <color indexed="81"/>
            <rFont val="Tahoma"/>
            <family val="2"/>
          </rPr>
          <t>Max Arnson:</t>
        </r>
        <r>
          <rPr>
            <sz val="9"/>
            <color indexed="81"/>
            <rFont val="Tahoma"/>
            <family val="2"/>
          </rPr>
          <t xml:space="preserve">
This does not need to be exact, but try to get  a rough number of how many of these planes were actually sold to airlines. This should give us a rough metric of how successful the aircraft were</t>
        </r>
      </text>
    </comment>
    <comment ref="H16" authorId="0" shapeId="0" xr:uid="{65F940F2-D972-4DDC-BB2E-D0DCFBAA28E4}">
      <text>
        <r>
          <rPr>
            <sz val="11"/>
            <color theme="1"/>
            <rFont val="Calibri"/>
            <family val="2"/>
            <scheme val="minor"/>
          </rPr>
          <t>Khailany, Nawa:
This is the total number of units across all variants of the A340-200 airframe tree, not just for the A340-211</t>
        </r>
      </text>
    </comment>
    <comment ref="I16" authorId="0" shapeId="0" xr:uid="{0C95942C-FDD3-4950-B2C7-828E6BE93FAF}">
      <text>
        <r>
          <rPr>
            <sz val="11"/>
            <color theme="1"/>
            <rFont val="Calibri"/>
            <family val="2"/>
            <scheme val="minor"/>
          </rPr>
          <t>Khailany, Nawa:
This is the total number of units across all variants of the A340-200 airframe tree, not just for the A340-211</t>
        </r>
      </text>
    </comment>
    <comment ref="J16" authorId="0" shapeId="0" xr:uid="{A87B7361-BA93-4C99-BBF6-671D79A27D22}">
      <text>
        <r>
          <rPr>
            <sz val="11"/>
            <color theme="1"/>
            <rFont val="Calibri"/>
            <family val="2"/>
            <scheme val="minor"/>
          </rPr>
          <t>Khailany, Nawa:
This is the total number of units across all variants of the A340-200 airframe tree, not just for the A340-211</t>
        </r>
      </text>
    </comment>
    <comment ref="K16" authorId="0" shapeId="0" xr:uid="{7ACA01E5-4F0E-4073-A203-555E2CF38263}">
      <text>
        <r>
          <rPr>
            <sz val="11"/>
            <color theme="1"/>
            <rFont val="Calibri"/>
            <family val="2"/>
            <scheme val="minor"/>
          </rPr>
          <t>Khailany, Nawa:
This is the total number of units across all variants of the A340-300 airframe tree, not just for the A340-311</t>
        </r>
      </text>
    </comment>
    <comment ref="L16" authorId="0" shapeId="0" xr:uid="{A7C76FD5-2F81-4547-A1CD-C373E9C41DA9}">
      <text>
        <r>
          <rPr>
            <sz val="11"/>
            <color theme="1"/>
            <rFont val="Calibri"/>
            <family val="2"/>
            <scheme val="minor"/>
          </rPr>
          <t>Khailany, Nawa:
This is the total number of units across all variants of the A340-300 airframe tree, not just for the A340-311</t>
        </r>
      </text>
    </comment>
    <comment ref="M16" authorId="0" shapeId="0" xr:uid="{6FED5441-D4CF-47B1-ACA2-EF89E0AABCE3}">
      <text>
        <r>
          <rPr>
            <sz val="11"/>
            <color theme="1"/>
            <rFont val="Calibri"/>
            <family val="2"/>
            <scheme val="minor"/>
          </rPr>
          <t>Khailany, Nawa:
This is the total number of units across all variants of the A340-300 airframe tree, not just for the A340-311</t>
        </r>
      </text>
    </comment>
    <comment ref="N16" authorId="0" shapeId="0" xr:uid="{765CEF49-44BD-40B7-94D6-BE2C8F65C2A4}">
      <text>
        <r>
          <rPr>
            <sz val="11"/>
            <color theme="1"/>
            <rFont val="Calibri"/>
            <family val="2"/>
            <scheme val="minor"/>
          </rPr>
          <t>Khailany, Nawa:
This is the total number of units across all variants of the A340-500 airframe tree, not just for the A340-541</t>
        </r>
      </text>
    </comment>
    <comment ref="O16" authorId="0" shapeId="0" xr:uid="{5C179C0C-1FA3-4ACB-9322-382BAB4007E3}">
      <text>
        <r>
          <rPr>
            <sz val="11"/>
            <color theme="1"/>
            <rFont val="Calibri"/>
            <family val="2"/>
            <scheme val="minor"/>
          </rPr>
          <t>Khailany, Nawa:
This is the total number of units across all variants of the A340-500 airframe tree, not just for the A340-541</t>
        </r>
      </text>
    </comment>
    <comment ref="P16" authorId="0" shapeId="0" xr:uid="{134A7931-3B20-492F-8907-5AC63EE791D6}">
      <text>
        <r>
          <rPr>
            <sz val="11"/>
            <color theme="1"/>
            <rFont val="Calibri"/>
            <family val="2"/>
            <scheme val="minor"/>
          </rPr>
          <t>Khailany, Nawa:
This is the total number of units across all variants of the A340-600 airframe tree, not just for the A340-642</t>
        </r>
      </text>
    </comment>
    <comment ref="Q16" authorId="0" shapeId="0" xr:uid="{907CAE01-0E56-401D-8896-E78B17993A99}">
      <text>
        <r>
          <rPr>
            <sz val="11"/>
            <color theme="1"/>
            <rFont val="Calibri"/>
            <family val="2"/>
            <scheme val="minor"/>
          </rPr>
          <t>Khailany, Nawa:
This is the total number of units across all variants of the A340-600 airframe tree, not just for the A340-642</t>
        </r>
      </text>
    </comment>
    <comment ref="R16" authorId="0" shapeId="0" xr:uid="{42022D8D-DF12-4C5F-8F5A-FE23C0D8E001}">
      <text>
        <r>
          <rPr>
            <sz val="11"/>
            <color theme="1"/>
            <rFont val="Calibri"/>
            <family val="2"/>
            <scheme val="minor"/>
          </rPr>
          <t>Khailany, Nawa:
This is the total number of units across all variants of the A350-900 airframe tree, not just for the A350-941</t>
        </r>
      </text>
    </comment>
    <comment ref="AT16" authorId="40" shapeId="0" xr:uid="{EAB4DAF8-182C-4BA8-811B-4483C2E224CA}">
      <text>
        <r>
          <rPr>
            <b/>
            <sz val="9"/>
            <color indexed="81"/>
            <rFont val="Tahoma"/>
            <family val="2"/>
          </rPr>
          <t>Paul Mokotoff:</t>
        </r>
        <r>
          <rPr>
            <sz val="9"/>
            <color indexed="81"/>
            <rFont val="Tahoma"/>
            <family val="2"/>
          </rPr>
          <t xml:space="preserve">
Total number of A310s sold.</t>
        </r>
      </text>
    </comment>
    <comment ref="AU16" authorId="40" shapeId="0" xr:uid="{FDB247A7-0030-4485-BE07-9788E5CC365B}">
      <text>
        <r>
          <rPr>
            <b/>
            <sz val="9"/>
            <color indexed="81"/>
            <rFont val="Tahoma"/>
            <family val="2"/>
          </rPr>
          <t>Paul Mokotoff:</t>
        </r>
        <r>
          <rPr>
            <sz val="9"/>
            <color indexed="81"/>
            <rFont val="Tahoma"/>
            <family val="2"/>
          </rPr>
          <t xml:space="preserve">
Total number of A310s sold.</t>
        </r>
      </text>
    </comment>
    <comment ref="AV16" authorId="40" shapeId="0" xr:uid="{BF90FEA4-26ED-4A86-8C9E-51D452D8E17D}">
      <text>
        <r>
          <rPr>
            <b/>
            <sz val="9"/>
            <color indexed="81"/>
            <rFont val="Tahoma"/>
            <family val="2"/>
          </rPr>
          <t>Paul Mokotoff:</t>
        </r>
        <r>
          <rPr>
            <sz val="9"/>
            <color indexed="81"/>
            <rFont val="Tahoma"/>
            <family val="2"/>
          </rPr>
          <t xml:space="preserve">
Total number of A310s sold.</t>
        </r>
      </text>
    </comment>
    <comment ref="AW16" authorId="40" shapeId="0" xr:uid="{E050712F-2122-4640-841A-8FB771618645}">
      <text>
        <r>
          <rPr>
            <b/>
            <sz val="9"/>
            <color indexed="81"/>
            <rFont val="Tahoma"/>
            <family val="2"/>
          </rPr>
          <t>Paul Mokotoff:</t>
        </r>
        <r>
          <rPr>
            <sz val="9"/>
            <color indexed="81"/>
            <rFont val="Tahoma"/>
            <family val="2"/>
          </rPr>
          <t xml:space="preserve">
Total number of A310s sold.</t>
        </r>
      </text>
    </comment>
    <comment ref="AX16" authorId="40" shapeId="0" xr:uid="{B377B065-1572-4E21-9692-3ACC0BF460C9}">
      <text>
        <r>
          <rPr>
            <b/>
            <sz val="9"/>
            <color indexed="81"/>
            <rFont val="Tahoma"/>
            <family val="2"/>
          </rPr>
          <t>Paul Mokotoff:</t>
        </r>
        <r>
          <rPr>
            <sz val="9"/>
            <color indexed="81"/>
            <rFont val="Tahoma"/>
            <family val="2"/>
          </rPr>
          <t xml:space="preserve">
Total number of A310s sold.</t>
        </r>
      </text>
    </comment>
    <comment ref="AY16" authorId="40" shapeId="0" xr:uid="{33556F48-2216-4263-9DC6-7D40A9E98ECF}">
      <text>
        <r>
          <rPr>
            <b/>
            <sz val="9"/>
            <color indexed="81"/>
            <rFont val="Tahoma"/>
            <family val="2"/>
          </rPr>
          <t>Paul Mokotoff:</t>
        </r>
        <r>
          <rPr>
            <sz val="9"/>
            <color indexed="81"/>
            <rFont val="Tahoma"/>
            <family val="2"/>
          </rPr>
          <t xml:space="preserve">
Total number of A310s sold.</t>
        </r>
      </text>
    </comment>
    <comment ref="AZ16" authorId="40" shapeId="0" xr:uid="{66C7BFC7-3FB0-4717-9F73-6A51256E8DE9}">
      <text>
        <r>
          <rPr>
            <b/>
            <sz val="9"/>
            <color indexed="81"/>
            <rFont val="Tahoma"/>
            <family val="2"/>
          </rPr>
          <t>Paul Mokotoff:</t>
        </r>
        <r>
          <rPr>
            <sz val="9"/>
            <color indexed="81"/>
            <rFont val="Tahoma"/>
            <family val="2"/>
          </rPr>
          <t xml:space="preserve">
Total number of A310s sold.</t>
        </r>
      </text>
    </comment>
    <comment ref="BA16" authorId="40" shapeId="0" xr:uid="{CE9A01CD-64F9-4993-9B87-4FE583DE5B0A}">
      <text>
        <r>
          <rPr>
            <b/>
            <sz val="9"/>
            <color indexed="81"/>
            <rFont val="Tahoma"/>
            <family val="2"/>
          </rPr>
          <t>Paul Mokotoff:</t>
        </r>
        <r>
          <rPr>
            <sz val="9"/>
            <color indexed="81"/>
            <rFont val="Tahoma"/>
            <family val="2"/>
          </rPr>
          <t xml:space="preserve">
Total number of A310s sold.</t>
        </r>
      </text>
    </comment>
    <comment ref="BB16" authorId="40" shapeId="0" xr:uid="{E546024A-19B5-4D41-AB83-D8ABDF2FCC63}">
      <text>
        <r>
          <rPr>
            <b/>
            <sz val="9"/>
            <color indexed="81"/>
            <rFont val="Tahoma"/>
            <family val="2"/>
          </rPr>
          <t>Paul Mokotoff:</t>
        </r>
        <r>
          <rPr>
            <sz val="9"/>
            <color indexed="81"/>
            <rFont val="Tahoma"/>
            <family val="2"/>
          </rPr>
          <t xml:space="preserve">
Total number of A310s sold.</t>
        </r>
      </text>
    </comment>
    <comment ref="BC16" authorId="40" shapeId="0" xr:uid="{A8C5F9FE-1706-4061-A2B7-F65A60021227}">
      <text>
        <r>
          <rPr>
            <b/>
            <sz val="9"/>
            <color indexed="81"/>
            <rFont val="Tahoma"/>
            <family val="2"/>
          </rPr>
          <t>Paul Mokotoff:</t>
        </r>
        <r>
          <rPr>
            <sz val="9"/>
            <color indexed="81"/>
            <rFont val="Tahoma"/>
            <family val="2"/>
          </rPr>
          <t xml:space="preserve">
Total number of A310s sold.</t>
        </r>
      </text>
    </comment>
    <comment ref="BD16" authorId="9" shapeId="0" xr:uid="{5888A22B-9BEF-4C67-8C57-C9E36AAB526A}">
      <text>
        <r>
          <rPr>
            <sz val="11"/>
            <color theme="1"/>
            <rFont val="Calibri"/>
            <family val="2"/>
            <scheme val="minor"/>
          </rPr>
          <t>Shine, Jayda:
The number of Airbus A318 built in total</t>
        </r>
      </text>
    </comment>
    <comment ref="BE16" authorId="9" shapeId="0" xr:uid="{319491D5-586A-49FE-8B9A-B6284F964E7E}">
      <text>
        <r>
          <rPr>
            <sz val="11"/>
            <color theme="1"/>
            <rFont val="Calibri"/>
            <family val="2"/>
            <scheme val="minor"/>
          </rPr>
          <t>Shine, Jayda:
The number of Airbus A318 built in total</t>
        </r>
      </text>
    </comment>
    <comment ref="BF16" authorId="9" shapeId="0" xr:uid="{D8147A5C-75F2-4BD0-B1C4-608478468620}">
      <text>
        <r>
          <rPr>
            <sz val="11"/>
            <color theme="1"/>
            <rFont val="Calibri"/>
            <family val="2"/>
            <scheme val="minor"/>
          </rPr>
          <t>Shine, Jayda:
The number of Airbus A318 built in total</t>
        </r>
      </text>
    </comment>
    <comment ref="BG16" authorId="9" shapeId="0" xr:uid="{ACA375C7-BBEE-436D-860F-36A55FA2CB7B}">
      <text>
        <r>
          <rPr>
            <sz val="11"/>
            <color theme="1"/>
            <rFont val="Calibri"/>
            <family val="2"/>
            <scheme val="minor"/>
          </rPr>
          <t>Shine, Jayda:
The number of Airbus A318 built in total</t>
        </r>
      </text>
    </comment>
    <comment ref="BH16" authorId="9" shapeId="0" xr:uid="{5EBEBA1B-C391-4467-AAD6-5C3D4C7AA121}">
      <text>
        <r>
          <rPr>
            <sz val="11"/>
            <color theme="1"/>
            <rFont val="Calibri"/>
            <family val="2"/>
            <scheme val="minor"/>
          </rPr>
          <t>Shine, Jayda:
The number of A319 built across the whole family as of 30 April 2023</t>
        </r>
      </text>
    </comment>
    <comment ref="BI16" authorId="9" shapeId="0" xr:uid="{CB2F0F1E-CC46-4994-ABB2-9D2ADB07C61D}">
      <text>
        <r>
          <rPr>
            <sz val="11"/>
            <color theme="1"/>
            <rFont val="Calibri"/>
            <family val="2"/>
            <scheme val="minor"/>
          </rPr>
          <t>Shine, Jayda:
The number of A319 built across the whole family as of 30 April 2023</t>
        </r>
      </text>
    </comment>
    <comment ref="BJ16" authorId="9" shapeId="0" xr:uid="{55BEE04E-1095-4346-8971-F785F010E292}">
      <text>
        <r>
          <rPr>
            <sz val="11"/>
            <color theme="1"/>
            <rFont val="Calibri"/>
            <family val="2"/>
            <scheme val="minor"/>
          </rPr>
          <t>Shine, Jayda:
The number of A319 built across the whole family as of 30 April 2023</t>
        </r>
      </text>
    </comment>
    <comment ref="BK16" authorId="9" shapeId="0" xr:uid="{C7B81C9A-DC5E-4475-A37A-B61E7F71959B}">
      <text>
        <r>
          <rPr>
            <sz val="11"/>
            <color theme="1"/>
            <rFont val="Calibri"/>
            <family val="2"/>
            <scheme val="minor"/>
          </rPr>
          <t>Shine, Jayda:
The number of A319 built across the whole family as of 30 April 2023</t>
        </r>
      </text>
    </comment>
    <comment ref="BL16" authorId="9" shapeId="0" xr:uid="{457FFF0B-AAF3-4A66-8785-4A2DA3C76D93}">
      <text>
        <r>
          <rPr>
            <sz val="11"/>
            <color theme="1"/>
            <rFont val="Calibri"/>
            <family val="2"/>
            <scheme val="minor"/>
          </rPr>
          <t>Shine, Jayda:
The number of A319 built across the whole family as of 30 April 2023</t>
        </r>
      </text>
    </comment>
    <comment ref="BM16" authorId="9" shapeId="0" xr:uid="{4CCCC6C6-4073-4797-B2DA-30A9D4C1DB81}">
      <text>
        <r>
          <rPr>
            <sz val="11"/>
            <color theme="1"/>
            <rFont val="Calibri"/>
            <family val="2"/>
            <scheme val="minor"/>
          </rPr>
          <t>Shine, Jayda:
The number of A319 built across the whole family as of 30 April 2023</t>
        </r>
      </text>
    </comment>
    <comment ref="BN16" authorId="9" shapeId="0" xr:uid="{6B338E44-2AAB-48F4-9729-F32ED7A38540}">
      <text>
        <r>
          <rPr>
            <sz val="11"/>
            <color theme="1"/>
            <rFont val="Calibri"/>
            <family val="2"/>
            <scheme val="minor"/>
          </rPr>
          <t>Shine, Jayda:
The number of A319 built across the whole family as of 30 April 2023</t>
        </r>
      </text>
    </comment>
    <comment ref="BO16" authorId="9" shapeId="0" xr:uid="{F3F079F7-D40E-4CBB-94C9-7941F19825E4}">
      <text>
        <r>
          <rPr>
            <sz val="11"/>
            <color theme="1"/>
            <rFont val="Calibri"/>
            <family val="2"/>
            <scheme val="minor"/>
          </rPr>
          <t>Shine, Jayda:
The number of A319 built across the whole family as of 30 April 2023</t>
        </r>
      </text>
    </comment>
    <comment ref="BP16" authorId="9" shapeId="0" xr:uid="{5F13EE63-1B9D-4E39-979A-F15A5BEED674}">
      <text>
        <r>
          <rPr>
            <sz val="11"/>
            <color theme="1"/>
            <rFont val="Calibri"/>
            <family val="2"/>
            <scheme val="minor"/>
          </rPr>
          <t>Shine, Jayda:
The number of A319 built across the whole family as of 30 April 2023</t>
        </r>
      </text>
    </comment>
    <comment ref="BQ16" authorId="9" shapeId="0" xr:uid="{E65E3D20-325D-4FAD-A0AB-3FBB0A3D8FA5}">
      <text>
        <r>
          <rPr>
            <sz val="11"/>
            <color theme="1"/>
            <rFont val="Calibri"/>
            <family val="2"/>
            <scheme val="minor"/>
          </rPr>
          <t>Shine, Jayda:
The number of A319 built across the whole family as of 30 April 2023</t>
        </r>
      </text>
    </comment>
    <comment ref="BR16" authorId="9" shapeId="0" xr:uid="{A38BA2A7-5FC4-4824-8438-7DE893DD4593}">
      <text>
        <r>
          <rPr>
            <sz val="11"/>
            <color theme="1"/>
            <rFont val="Calibri"/>
            <family val="2"/>
            <scheme val="minor"/>
          </rPr>
          <t>Shine, Jayda:
The number of A319 built across the whole family as of 30 April 2023</t>
        </r>
      </text>
    </comment>
    <comment ref="BT16" authorId="40" shapeId="0" xr:uid="{FB8EECFC-C4CA-42E7-AE5F-09D4A7E52184}">
      <text>
        <r>
          <rPr>
            <b/>
            <sz val="9"/>
            <color indexed="81"/>
            <rFont val="Tahoma"/>
            <family val="2"/>
          </rPr>
          <t>Paul Mokotoff:</t>
        </r>
        <r>
          <rPr>
            <sz val="9"/>
            <color indexed="81"/>
            <rFont val="Tahoma"/>
            <family val="2"/>
          </rPr>
          <t xml:space="preserve">
Total number of A320ceo sold.
</t>
        </r>
      </text>
    </comment>
    <comment ref="BU16" authorId="40" shapeId="0" xr:uid="{24D08158-D1CC-4CD7-88F0-51459B55922E}">
      <text>
        <r>
          <rPr>
            <b/>
            <sz val="9"/>
            <color indexed="81"/>
            <rFont val="Tahoma"/>
            <family val="2"/>
          </rPr>
          <t>Paul Mokotoff:</t>
        </r>
        <r>
          <rPr>
            <sz val="9"/>
            <color indexed="81"/>
            <rFont val="Tahoma"/>
            <family val="2"/>
          </rPr>
          <t xml:space="preserve">
Total number of A320ceo sold.
</t>
        </r>
      </text>
    </comment>
    <comment ref="BV16" authorId="40" shapeId="0" xr:uid="{856659DF-8D3E-43DF-B10D-F4F2C8E3A873}">
      <text>
        <r>
          <rPr>
            <b/>
            <sz val="9"/>
            <color indexed="81"/>
            <rFont val="Tahoma"/>
            <family val="2"/>
          </rPr>
          <t>Paul Mokotoff:</t>
        </r>
        <r>
          <rPr>
            <sz val="9"/>
            <color indexed="81"/>
            <rFont val="Tahoma"/>
            <family val="2"/>
          </rPr>
          <t xml:space="preserve">
Total number of A320ceo sold.
</t>
        </r>
      </text>
    </comment>
    <comment ref="BW16" authorId="40" shapeId="0" xr:uid="{3FDAEED4-C47F-444E-8813-586CDC4979E5}">
      <text>
        <r>
          <rPr>
            <b/>
            <sz val="9"/>
            <color indexed="81"/>
            <rFont val="Tahoma"/>
            <family val="2"/>
          </rPr>
          <t>Paul Mokotoff:</t>
        </r>
        <r>
          <rPr>
            <sz val="9"/>
            <color indexed="81"/>
            <rFont val="Tahoma"/>
            <family val="2"/>
          </rPr>
          <t xml:space="preserve">
Total number of A320ceo sold.
</t>
        </r>
      </text>
    </comment>
    <comment ref="BX16" authorId="40" shapeId="0" xr:uid="{7045B8D0-FF00-4BA1-9A61-C88E37655DDC}">
      <text>
        <r>
          <rPr>
            <b/>
            <sz val="9"/>
            <color indexed="81"/>
            <rFont val="Tahoma"/>
            <family val="2"/>
          </rPr>
          <t>Paul Mokotoff:</t>
        </r>
        <r>
          <rPr>
            <sz val="9"/>
            <color indexed="81"/>
            <rFont val="Tahoma"/>
            <family val="2"/>
          </rPr>
          <t xml:space="preserve">
Total number of A320ceo sold.
</t>
        </r>
      </text>
    </comment>
    <comment ref="BY16" authorId="40" shapeId="0" xr:uid="{444D575D-12AF-4607-8538-346EA312CE1F}">
      <text>
        <r>
          <rPr>
            <b/>
            <sz val="9"/>
            <color indexed="81"/>
            <rFont val="Tahoma"/>
            <family val="2"/>
          </rPr>
          <t>Paul Mokotoff:</t>
        </r>
        <r>
          <rPr>
            <sz val="9"/>
            <color indexed="81"/>
            <rFont val="Tahoma"/>
            <family val="2"/>
          </rPr>
          <t xml:space="preserve">
Total number of A320ceo sold.
</t>
        </r>
      </text>
    </comment>
    <comment ref="BZ16" authorId="40" shapeId="0" xr:uid="{99EEE7FE-7116-4834-90FD-C3AD0FE635E3}">
      <text>
        <r>
          <rPr>
            <b/>
            <sz val="9"/>
            <color indexed="81"/>
            <rFont val="Tahoma"/>
            <family val="2"/>
          </rPr>
          <t>Paul Mokotoff:</t>
        </r>
        <r>
          <rPr>
            <sz val="9"/>
            <color indexed="81"/>
            <rFont val="Tahoma"/>
            <family val="2"/>
          </rPr>
          <t xml:space="preserve">
Total number of A320ceo sold.
</t>
        </r>
      </text>
    </comment>
    <comment ref="CA16" authorId="40" shapeId="0" xr:uid="{75AE8E82-2338-4866-87C9-7A792FA51A84}">
      <text>
        <r>
          <rPr>
            <b/>
            <sz val="9"/>
            <color indexed="81"/>
            <rFont val="Tahoma"/>
            <family val="2"/>
          </rPr>
          <t>Paul Mokotoff:</t>
        </r>
        <r>
          <rPr>
            <sz val="9"/>
            <color indexed="81"/>
            <rFont val="Tahoma"/>
            <family val="2"/>
          </rPr>
          <t xml:space="preserve">
Total number of A320ceo sold.
</t>
        </r>
      </text>
    </comment>
    <comment ref="CB16" authorId="40" shapeId="0" xr:uid="{B01FACCE-29BF-4DF7-9E5A-88731AB6E9A3}">
      <text>
        <r>
          <rPr>
            <b/>
            <sz val="9"/>
            <color indexed="81"/>
            <rFont val="Tahoma"/>
            <family val="2"/>
          </rPr>
          <t>Paul Mokotoff:</t>
        </r>
        <r>
          <rPr>
            <sz val="9"/>
            <color indexed="81"/>
            <rFont val="Tahoma"/>
            <family val="2"/>
          </rPr>
          <t xml:space="preserve">
Total number of A320neo sold.</t>
        </r>
      </text>
    </comment>
    <comment ref="CC16" authorId="40" shapeId="0" xr:uid="{40B16962-78B7-4113-8D37-D58A8407FA03}">
      <text>
        <r>
          <rPr>
            <b/>
            <sz val="9"/>
            <color indexed="81"/>
            <rFont val="Tahoma"/>
            <family val="2"/>
          </rPr>
          <t>Paul Mokotoff:</t>
        </r>
        <r>
          <rPr>
            <sz val="9"/>
            <color indexed="81"/>
            <rFont val="Tahoma"/>
            <family val="2"/>
          </rPr>
          <t xml:space="preserve">
Total number of A320neo sold.</t>
        </r>
      </text>
    </comment>
    <comment ref="CD16" authorId="40" shapeId="0" xr:uid="{57549CE8-A9CA-419D-AD59-9FFE783D9BBF}">
      <text>
        <r>
          <rPr>
            <b/>
            <sz val="9"/>
            <color indexed="81"/>
            <rFont val="Tahoma"/>
            <family val="2"/>
          </rPr>
          <t>Paul Mokotoff:</t>
        </r>
        <r>
          <rPr>
            <sz val="9"/>
            <color indexed="81"/>
            <rFont val="Tahoma"/>
            <family val="2"/>
          </rPr>
          <t xml:space="preserve">
Total number of A320neo sold.</t>
        </r>
      </text>
    </comment>
    <comment ref="CE16" authorId="40" shapeId="0" xr:uid="{9AFDC1C6-C841-43E7-9A5C-6F0757397097}">
      <text>
        <r>
          <rPr>
            <b/>
            <sz val="9"/>
            <color indexed="81"/>
            <rFont val="Tahoma"/>
            <family val="2"/>
          </rPr>
          <t>Paul Mokotoff:</t>
        </r>
        <r>
          <rPr>
            <sz val="9"/>
            <color indexed="81"/>
            <rFont val="Tahoma"/>
            <family val="2"/>
          </rPr>
          <t xml:space="preserve">
Total number of A320neo sold.</t>
        </r>
      </text>
    </comment>
    <comment ref="CF16" authorId="40" shapeId="0" xr:uid="{978DE5CC-4A9F-4A92-9EB2-7DAEA88AC722}">
      <text>
        <r>
          <rPr>
            <b/>
            <sz val="9"/>
            <color indexed="81"/>
            <rFont val="Tahoma"/>
            <family val="2"/>
          </rPr>
          <t>Paul Mokotoff:</t>
        </r>
        <r>
          <rPr>
            <sz val="9"/>
            <color indexed="81"/>
            <rFont val="Tahoma"/>
            <family val="2"/>
          </rPr>
          <t xml:space="preserve">
Total number of A320neo sold.</t>
        </r>
      </text>
    </comment>
    <comment ref="CG16" authorId="40" shapeId="0" xr:uid="{DEE904E4-1FB1-482F-A38A-A1A1FC5C6B83}">
      <text>
        <r>
          <rPr>
            <b/>
            <sz val="9"/>
            <color indexed="81"/>
            <rFont val="Tahoma"/>
            <family val="2"/>
          </rPr>
          <t>Paul Mokotoff:</t>
        </r>
        <r>
          <rPr>
            <sz val="9"/>
            <color indexed="81"/>
            <rFont val="Tahoma"/>
            <family val="2"/>
          </rPr>
          <t xml:space="preserve">
Total number of A320neo sold.</t>
        </r>
      </text>
    </comment>
    <comment ref="CH16" authorId="40" shapeId="0" xr:uid="{A2996ADE-CFDF-4C05-872E-596B862F3271}">
      <text>
        <r>
          <rPr>
            <b/>
            <sz val="9"/>
            <color indexed="81"/>
            <rFont val="Tahoma"/>
            <family val="2"/>
          </rPr>
          <t>Paul Mokotoff:</t>
        </r>
        <r>
          <rPr>
            <sz val="9"/>
            <color indexed="81"/>
            <rFont val="Tahoma"/>
            <family val="2"/>
          </rPr>
          <t xml:space="preserve">
Total number of A321ceo sold.</t>
        </r>
      </text>
    </comment>
    <comment ref="CI16" authorId="40" shapeId="0" xr:uid="{7D15F6AB-0A87-4437-90ED-293D0947EF42}">
      <text>
        <r>
          <rPr>
            <b/>
            <sz val="9"/>
            <color indexed="81"/>
            <rFont val="Tahoma"/>
            <family val="2"/>
          </rPr>
          <t>Paul Mokotoff:</t>
        </r>
        <r>
          <rPr>
            <sz val="9"/>
            <color indexed="81"/>
            <rFont val="Tahoma"/>
            <family val="2"/>
          </rPr>
          <t xml:space="preserve">
Total number of A321ceo sold.</t>
        </r>
      </text>
    </comment>
    <comment ref="CJ16" authorId="40" shapeId="0" xr:uid="{4C57B130-D17A-4496-A069-A94CE6EC8572}">
      <text>
        <r>
          <rPr>
            <b/>
            <sz val="9"/>
            <color indexed="81"/>
            <rFont val="Tahoma"/>
            <family val="2"/>
          </rPr>
          <t>Paul Mokotoff:</t>
        </r>
        <r>
          <rPr>
            <sz val="9"/>
            <color indexed="81"/>
            <rFont val="Tahoma"/>
            <family val="2"/>
          </rPr>
          <t xml:space="preserve">
Total number of A321ceo sold.</t>
        </r>
      </text>
    </comment>
    <comment ref="CK16" authorId="40" shapeId="0" xr:uid="{97C06299-D908-4BD1-AD04-432C19082127}">
      <text>
        <r>
          <rPr>
            <b/>
            <sz val="9"/>
            <color indexed="81"/>
            <rFont val="Tahoma"/>
            <family val="2"/>
          </rPr>
          <t>Paul Mokotoff:</t>
        </r>
        <r>
          <rPr>
            <sz val="9"/>
            <color indexed="81"/>
            <rFont val="Tahoma"/>
            <family val="2"/>
          </rPr>
          <t xml:space="preserve">
Total number of A321ceo sold.</t>
        </r>
      </text>
    </comment>
    <comment ref="CL16" authorId="40" shapeId="0" xr:uid="{610BAD10-A9B0-4596-BDF3-44BA60E6D659}">
      <text>
        <r>
          <rPr>
            <b/>
            <sz val="9"/>
            <color indexed="81"/>
            <rFont val="Tahoma"/>
            <family val="2"/>
          </rPr>
          <t>Paul Mokotoff:</t>
        </r>
        <r>
          <rPr>
            <sz val="9"/>
            <color indexed="81"/>
            <rFont val="Tahoma"/>
            <family val="2"/>
          </rPr>
          <t xml:space="preserve">
Total number of A321ceo sold.</t>
        </r>
      </text>
    </comment>
    <comment ref="CM16" authorId="40" shapeId="0" xr:uid="{D6AA76A6-1572-4AE7-B626-FC52E5D61854}">
      <text>
        <r>
          <rPr>
            <b/>
            <sz val="9"/>
            <color indexed="81"/>
            <rFont val="Tahoma"/>
            <family val="2"/>
          </rPr>
          <t>Paul Mokotoff:</t>
        </r>
        <r>
          <rPr>
            <sz val="9"/>
            <color indexed="81"/>
            <rFont val="Tahoma"/>
            <family val="2"/>
          </rPr>
          <t xml:space="preserve">
Total number of A321ceo sold.</t>
        </r>
      </text>
    </comment>
    <comment ref="CN16" authorId="40" shapeId="0" xr:uid="{7AA24E6A-2632-4D4D-A497-EF9CCA983243}">
      <text>
        <r>
          <rPr>
            <b/>
            <sz val="9"/>
            <color indexed="81"/>
            <rFont val="Tahoma"/>
            <family val="2"/>
          </rPr>
          <t>Paul Mokotoff:</t>
        </r>
        <r>
          <rPr>
            <sz val="9"/>
            <color indexed="81"/>
            <rFont val="Tahoma"/>
            <family val="2"/>
          </rPr>
          <t xml:space="preserve">
Total number of A321ceo sold.</t>
        </r>
      </text>
    </comment>
    <comment ref="CO16" authorId="40" shapeId="0" xr:uid="{2C70CC39-82B2-49DF-A101-EB4DC04CB5F0}">
      <text>
        <r>
          <rPr>
            <b/>
            <sz val="9"/>
            <color indexed="81"/>
            <rFont val="Tahoma"/>
            <family val="2"/>
          </rPr>
          <t>Paul Mokotoff:</t>
        </r>
        <r>
          <rPr>
            <sz val="9"/>
            <color indexed="81"/>
            <rFont val="Tahoma"/>
            <family val="2"/>
          </rPr>
          <t xml:space="preserve">
Total number of A321ceo sold.</t>
        </r>
      </text>
    </comment>
    <comment ref="CP16" authorId="40" shapeId="0" xr:uid="{007E58A9-27AD-4F13-BF30-50ED4511CD0C}">
      <text>
        <r>
          <rPr>
            <b/>
            <sz val="9"/>
            <color indexed="81"/>
            <rFont val="Tahoma"/>
            <family val="2"/>
          </rPr>
          <t>Paul Mokotoff:</t>
        </r>
        <r>
          <rPr>
            <sz val="9"/>
            <color indexed="81"/>
            <rFont val="Tahoma"/>
            <family val="2"/>
          </rPr>
          <t xml:space="preserve">
Total number of A321neo sold.</t>
        </r>
      </text>
    </comment>
    <comment ref="CQ16" authorId="40" shapeId="0" xr:uid="{7A1DCF27-B909-449E-B9CF-6B9BF7AAA87D}">
      <text>
        <r>
          <rPr>
            <b/>
            <sz val="9"/>
            <color indexed="81"/>
            <rFont val="Tahoma"/>
            <family val="2"/>
          </rPr>
          <t>Paul Mokotoff:</t>
        </r>
        <r>
          <rPr>
            <sz val="9"/>
            <color indexed="81"/>
            <rFont val="Tahoma"/>
            <family val="2"/>
          </rPr>
          <t xml:space="preserve">
Total number of A321neo sold.</t>
        </r>
      </text>
    </comment>
    <comment ref="CR16" authorId="40" shapeId="0" xr:uid="{34A7A765-FBD4-4C86-B5BF-23C416E614DB}">
      <text>
        <r>
          <rPr>
            <b/>
            <sz val="9"/>
            <color indexed="81"/>
            <rFont val="Tahoma"/>
            <family val="2"/>
          </rPr>
          <t>Paul Mokotoff:</t>
        </r>
        <r>
          <rPr>
            <sz val="9"/>
            <color indexed="81"/>
            <rFont val="Tahoma"/>
            <family val="2"/>
          </rPr>
          <t xml:space="preserve">
Total number of A321neo sold.</t>
        </r>
      </text>
    </comment>
    <comment ref="CS16" authorId="40" shapeId="0" xr:uid="{ABE76BB0-70E8-44BC-9271-58CA01B95467}">
      <text>
        <r>
          <rPr>
            <b/>
            <sz val="9"/>
            <color indexed="81"/>
            <rFont val="Tahoma"/>
            <family val="2"/>
          </rPr>
          <t>Paul Mokotoff:</t>
        </r>
        <r>
          <rPr>
            <sz val="9"/>
            <color indexed="81"/>
            <rFont val="Tahoma"/>
            <family val="2"/>
          </rPr>
          <t xml:space="preserve">
Total number of A321neo sold.</t>
        </r>
      </text>
    </comment>
    <comment ref="CT16" authorId="40" shapeId="0" xr:uid="{C9954412-72F1-43C6-8DDD-E4379B717DEF}">
      <text>
        <r>
          <rPr>
            <b/>
            <sz val="9"/>
            <color indexed="81"/>
            <rFont val="Tahoma"/>
            <family val="2"/>
          </rPr>
          <t>Paul Mokotoff:</t>
        </r>
        <r>
          <rPr>
            <sz val="9"/>
            <color indexed="81"/>
            <rFont val="Tahoma"/>
            <family val="2"/>
          </rPr>
          <t xml:space="preserve">
Total number of A321neo sold.</t>
        </r>
      </text>
    </comment>
    <comment ref="CU16" authorId="40" shapeId="0" xr:uid="{797C7EC9-D7C8-482B-B9A1-8DE7323F494F}">
      <text>
        <r>
          <rPr>
            <b/>
            <sz val="9"/>
            <color indexed="81"/>
            <rFont val="Tahoma"/>
            <family val="2"/>
          </rPr>
          <t>Paul Mokotoff:</t>
        </r>
        <r>
          <rPr>
            <sz val="9"/>
            <color indexed="81"/>
            <rFont val="Tahoma"/>
            <family val="2"/>
          </rPr>
          <t xml:space="preserve">
Total number of A321neo sold.</t>
        </r>
      </text>
    </comment>
    <comment ref="CV16" authorId="40" shapeId="0" xr:uid="{83C97106-5893-4AFE-AE41-9B2CCAF0782C}">
      <text>
        <r>
          <rPr>
            <b/>
            <sz val="9"/>
            <color indexed="81"/>
            <rFont val="Tahoma"/>
            <family val="2"/>
          </rPr>
          <t>Paul Mokotoff:</t>
        </r>
        <r>
          <rPr>
            <sz val="9"/>
            <color indexed="81"/>
            <rFont val="Tahoma"/>
            <family val="2"/>
          </rPr>
          <t xml:space="preserve">
Total number of A321neo sold.</t>
        </r>
      </text>
    </comment>
    <comment ref="CW16" authorId="40" shapeId="0" xr:uid="{FC05A995-BB21-4D2C-84A3-D72DA8DE2DE9}">
      <text>
        <r>
          <rPr>
            <b/>
            <sz val="9"/>
            <color indexed="81"/>
            <rFont val="Tahoma"/>
            <family val="2"/>
          </rPr>
          <t>Paul Mokotoff:</t>
        </r>
        <r>
          <rPr>
            <sz val="9"/>
            <color indexed="81"/>
            <rFont val="Tahoma"/>
            <family val="2"/>
          </rPr>
          <t xml:space="preserve">
Total number of A321neo sold.</t>
        </r>
      </text>
    </comment>
    <comment ref="CX16" authorId="40" shapeId="0" xr:uid="{862F1999-E1AF-48D3-B293-DFC0BA353085}">
      <text>
        <r>
          <rPr>
            <b/>
            <sz val="9"/>
            <color indexed="81"/>
            <rFont val="Tahoma"/>
            <family val="2"/>
          </rPr>
          <t>Paul Mokotoff:</t>
        </r>
        <r>
          <rPr>
            <sz val="9"/>
            <color indexed="81"/>
            <rFont val="Tahoma"/>
            <family val="2"/>
          </rPr>
          <t xml:space="preserve">
Total number of A321neo sold.</t>
        </r>
      </text>
    </comment>
    <comment ref="CY16" authorId="40" shapeId="0" xr:uid="{CDD56BDF-62E6-4E38-A8B0-DB46F9E8708E}">
      <text>
        <r>
          <rPr>
            <b/>
            <sz val="9"/>
            <color indexed="81"/>
            <rFont val="Tahoma"/>
            <family val="2"/>
          </rPr>
          <t>Paul Mokotoff:</t>
        </r>
        <r>
          <rPr>
            <sz val="9"/>
            <color indexed="81"/>
            <rFont val="Tahoma"/>
            <family val="2"/>
          </rPr>
          <t xml:space="preserve">
Total number of A321neo sold.</t>
        </r>
      </text>
    </comment>
    <comment ref="JN16" authorId="22" shapeId="0" xr:uid="{4DAF95C7-5992-4CA1-ABB9-775A30ED250F}">
      <text>
        <r>
          <rPr>
            <sz val="11"/>
            <color theme="1"/>
            <rFont val="Calibri"/>
            <family val="2"/>
            <scheme val="minor"/>
          </rPr>
          <t>Dwibhashyam, Neha:
191 total for all ERJ 170-100 models combined</t>
        </r>
      </text>
    </comment>
    <comment ref="JP16" authorId="22" shapeId="0" xr:uid="{8EF31096-5431-4728-A0B9-38797163463D}">
      <text>
        <r>
          <rPr>
            <sz val="11"/>
            <color theme="1"/>
            <rFont val="Calibri"/>
            <family val="2"/>
            <scheme val="minor"/>
          </rPr>
          <t>Dwibhashyam, Neha:
Total for all ERJ_170_200 models combined</t>
        </r>
      </text>
    </comment>
    <comment ref="JU16" authorId="22" shapeId="0" xr:uid="{E4738FCD-B22B-4674-B482-3AC7033ED4B3}">
      <text>
        <r>
          <rPr>
            <sz val="11"/>
            <color theme="1"/>
            <rFont val="Calibri"/>
            <family val="2"/>
            <scheme val="minor"/>
          </rPr>
          <t>Dwibhashyam, Neha:
Total for all E190s</t>
        </r>
      </text>
    </comment>
    <comment ref="JX16" authorId="22" shapeId="0" xr:uid="{3FDA5050-543D-4E6A-9344-1C92C784F8B5}">
      <text>
        <r>
          <rPr>
            <sz val="11"/>
            <color theme="1"/>
            <rFont val="Calibri"/>
            <family val="2"/>
            <scheme val="minor"/>
          </rPr>
          <t>Dwibhashyam, Neha:
172 total for E195</t>
        </r>
      </text>
    </comment>
    <comment ref="KI16" authorId="22" shapeId="0" xr:uid="{7E2A70F6-EC08-415B-BC2F-DAD7065AE9E2}">
      <text>
        <r>
          <rPr>
            <sz val="11"/>
            <color theme="1"/>
            <rFont val="Calibri"/>
            <family val="2"/>
            <scheme val="minor"/>
          </rPr>
          <t>Dwibhashyam, Neha:
 (for all ERJ -145)</t>
        </r>
      </text>
    </comment>
    <comment ref="KS16" authorId="9" shapeId="0" xr:uid="{E1F41C7D-91CA-4282-9540-898C42D7A18A}">
      <text>
        <r>
          <rPr>
            <sz val="11"/>
            <color theme="1"/>
            <rFont val="Calibri"/>
            <family val="2"/>
            <scheme val="minor"/>
          </rPr>
          <t>Shine, Jayda:
This is an approximation across all of the Learjet model 24's</t>
        </r>
      </text>
    </comment>
    <comment ref="KT16" authorId="9" shapeId="0" xr:uid="{9E1318C0-53C7-4AFF-A1BA-6F5851445C9C}">
      <text>
        <r>
          <rPr>
            <sz val="11"/>
            <color theme="1"/>
            <rFont val="Calibri"/>
            <family val="2"/>
            <scheme val="minor"/>
          </rPr>
          <t>Shine, Jayda:
This is an approximation across all of the Learjet model 24's</t>
        </r>
      </text>
    </comment>
    <comment ref="KU16" authorId="9" shapeId="0" xr:uid="{9FE5236B-9EE4-46B0-9034-10D6BD69D811}">
      <text>
        <r>
          <rPr>
            <sz val="11"/>
            <color theme="1"/>
            <rFont val="Calibri"/>
            <family val="2"/>
            <scheme val="minor"/>
          </rPr>
          <t>Shine, Jayda:
This is an approximation across all of the Learjet model 24's</t>
        </r>
      </text>
    </comment>
    <comment ref="KV16" authorId="9" shapeId="0" xr:uid="{17753442-E0FE-4622-B33D-9A82B942622B}">
      <text>
        <r>
          <rPr>
            <sz val="11"/>
            <color theme="1"/>
            <rFont val="Calibri"/>
            <family val="2"/>
            <scheme val="minor"/>
          </rPr>
          <t>Shine, Jayda:
This is an approximation across all of the Learjet model 24's</t>
        </r>
      </text>
    </comment>
    <comment ref="KW16" authorId="9" shapeId="0" xr:uid="{340619F2-C0F4-4FE9-A710-0C42B47602E9}">
      <text>
        <r>
          <rPr>
            <sz val="11"/>
            <color theme="1"/>
            <rFont val="Calibri"/>
            <family val="2"/>
            <scheme val="minor"/>
          </rPr>
          <t>Shine, Jayda:
This is an approximation across all of the Learjet model 24's</t>
        </r>
      </text>
    </comment>
    <comment ref="KX16" authorId="9" shapeId="0" xr:uid="{43D607D0-3C99-4FD3-944C-A61B23180BB9}">
      <text>
        <r>
          <rPr>
            <sz val="11"/>
            <color theme="1"/>
            <rFont val="Calibri"/>
            <family val="2"/>
            <scheme val="minor"/>
          </rPr>
          <t>Shine, Jayda:
This is an approximation across all of the Learjet model 24's</t>
        </r>
      </text>
    </comment>
    <comment ref="KY16" authorId="9" shapeId="0" xr:uid="{B61A1785-329C-468D-9130-2862C056E0E7}">
      <text>
        <r>
          <rPr>
            <sz val="11"/>
            <color theme="1"/>
            <rFont val="Calibri"/>
            <family val="2"/>
            <scheme val="minor"/>
          </rPr>
          <t>Shine, Jayda:
This is an approximation across all of the Learjet model 24's</t>
        </r>
      </text>
    </comment>
    <comment ref="KZ16" authorId="9" shapeId="0" xr:uid="{B1341F8A-A847-487E-8E84-B6683EC0A7EF}">
      <text>
        <r>
          <rPr>
            <sz val="11"/>
            <color theme="1"/>
            <rFont val="Calibri"/>
            <family val="2"/>
            <scheme val="minor"/>
          </rPr>
          <t>Shine, Jayda:
This is an approximation across all of the Learjet model 24's</t>
        </r>
      </text>
    </comment>
    <comment ref="LA16" authorId="9" shapeId="0" xr:uid="{6A55C4A0-659A-4049-9E15-5CFA701A357F}">
      <text>
        <r>
          <rPr>
            <sz val="11"/>
            <color theme="1"/>
            <rFont val="Calibri"/>
            <family val="2"/>
            <scheme val="minor"/>
          </rPr>
          <t>Shine, Jayda:
This is an approximation across all of the Learjet model 24's</t>
        </r>
      </text>
    </comment>
    <comment ref="LB16" authorId="9" shapeId="0" xr:uid="{C4650684-7EE5-4EF1-9517-0E47A252F9B1}">
      <text>
        <r>
          <rPr>
            <sz val="11"/>
            <color theme="1"/>
            <rFont val="Calibri"/>
            <family val="2"/>
            <scheme val="minor"/>
          </rPr>
          <t>Shine, Jayda:
This is an approximation across all of the Learjet model 24's</t>
        </r>
      </text>
    </comment>
    <comment ref="LC16" authorId="9" shapeId="0" xr:uid="{E26DDECC-2C94-4EDA-AF5F-09D3EE9ACD05}">
      <text>
        <r>
          <rPr>
            <sz val="11"/>
            <color theme="1"/>
            <rFont val="Calibri"/>
            <family val="2"/>
            <scheme val="minor"/>
          </rPr>
          <t>Shine, Jayda:
This is an approximation across all of the Learjet model 24's</t>
        </r>
      </text>
    </comment>
    <comment ref="LD16" authorId="9" shapeId="0" xr:uid="{1A24E15F-5AB9-4222-8C07-C16107CE0B02}">
      <text>
        <r>
          <rPr>
            <sz val="11"/>
            <color theme="1"/>
            <rFont val="Calibri"/>
            <family val="2"/>
            <scheme val="minor"/>
          </rPr>
          <t>Shine, Jayda:
This is an approximation across all of the Learjet model 24's</t>
        </r>
      </text>
    </comment>
    <comment ref="LE16" authorId="9" shapeId="0" xr:uid="{7A2B1DDA-85DE-4CD9-BDEC-F49678650153}">
      <text>
        <r>
          <rPr>
            <sz val="11"/>
            <color theme="1"/>
            <rFont val="Calibri"/>
            <family val="2"/>
            <scheme val="minor"/>
          </rPr>
          <t>Shine, Jayda:
This is an approximation across all of the Learjet model 24's</t>
        </r>
      </text>
    </comment>
    <comment ref="LF16" authorId="9" shapeId="0" xr:uid="{4A34AEB3-ADAB-4086-97CB-50DFBE0075BD}">
      <text>
        <r>
          <rPr>
            <sz val="11"/>
            <color theme="1"/>
            <rFont val="Calibri"/>
            <family val="2"/>
            <scheme val="minor"/>
          </rPr>
          <t>Shine, Jayda:
This is an approximation across all of the Learjet model 24's</t>
        </r>
      </text>
    </comment>
    <comment ref="LG16" authorId="9" shapeId="0" xr:uid="{CD6688EA-FA6E-4BB5-BBD8-750BC8B8BC45}">
      <text>
        <r>
          <rPr>
            <sz val="11"/>
            <color theme="1"/>
            <rFont val="Calibri"/>
            <family val="2"/>
            <scheme val="minor"/>
          </rPr>
          <t>Shine, Jayda:
This is an approximation across all of the Learjet model 24's</t>
        </r>
      </text>
    </comment>
    <comment ref="LH16" authorId="9" shapeId="0" xr:uid="{730EA703-D436-4C1B-883B-B7C7549E5233}">
      <text>
        <r>
          <rPr>
            <sz val="11"/>
            <color theme="1"/>
            <rFont val="Calibri"/>
            <family val="2"/>
            <scheme val="minor"/>
          </rPr>
          <t>Shine, Jayda:
This is an approximation across all of the Learjet model 24's</t>
        </r>
      </text>
    </comment>
    <comment ref="LU16" authorId="41" shapeId="0" xr:uid="{3B3182A5-6D8E-49C5-9233-0A4BAAE17CB7}">
      <text>
        <r>
          <rPr>
            <b/>
            <sz val="9"/>
            <color indexed="81"/>
            <rFont val="Tahoma"/>
            <family val="2"/>
          </rPr>
          <t>Jayda Shine:</t>
        </r>
        <r>
          <rPr>
            <sz val="9"/>
            <color indexed="81"/>
            <rFont val="Tahoma"/>
            <family val="2"/>
          </rPr>
          <t xml:space="preserve">
This is the number builts for all DC-8s</t>
        </r>
      </text>
    </comment>
    <comment ref="LV16" authorId="41" shapeId="0" xr:uid="{4551F763-BA41-4055-9B42-17DF54829975}">
      <text>
        <r>
          <rPr>
            <b/>
            <sz val="9"/>
            <color indexed="81"/>
            <rFont val="Tahoma"/>
            <family val="2"/>
          </rPr>
          <t>Jayda Shine:</t>
        </r>
        <r>
          <rPr>
            <sz val="9"/>
            <color indexed="81"/>
            <rFont val="Tahoma"/>
            <family val="2"/>
          </rPr>
          <t xml:space="preserve">
This is the number builts for all DC-8s</t>
        </r>
      </text>
    </comment>
    <comment ref="LW16" authorId="41" shapeId="0" xr:uid="{5274C153-0EFF-45A7-B727-916AD03C6C9B}">
      <text>
        <r>
          <rPr>
            <b/>
            <sz val="9"/>
            <color indexed="81"/>
            <rFont val="Tahoma"/>
            <family val="2"/>
          </rPr>
          <t>Jayda Shine:</t>
        </r>
        <r>
          <rPr>
            <sz val="9"/>
            <color indexed="81"/>
            <rFont val="Tahoma"/>
            <family val="2"/>
          </rPr>
          <t xml:space="preserve">
This is the number builts for all DC-8s</t>
        </r>
      </text>
    </comment>
    <comment ref="LX16" authorId="41" shapeId="0" xr:uid="{3C3C0130-557B-4164-95F9-F438B5959FB6}">
      <text>
        <r>
          <rPr>
            <b/>
            <sz val="9"/>
            <color indexed="81"/>
            <rFont val="Tahoma"/>
            <family val="2"/>
          </rPr>
          <t>Jayda Shine:</t>
        </r>
        <r>
          <rPr>
            <sz val="9"/>
            <color indexed="81"/>
            <rFont val="Tahoma"/>
            <family val="2"/>
          </rPr>
          <t xml:space="preserve">
This is the number builts for all DC-8s</t>
        </r>
      </text>
    </comment>
    <comment ref="LY16" authorId="41" shapeId="0" xr:uid="{EC1882BE-B356-491A-84B3-0D18F6152240}">
      <text>
        <r>
          <rPr>
            <b/>
            <sz val="9"/>
            <color indexed="81"/>
            <rFont val="Tahoma"/>
            <family val="2"/>
          </rPr>
          <t>Jayda Shine:</t>
        </r>
        <r>
          <rPr>
            <sz val="9"/>
            <color indexed="81"/>
            <rFont val="Tahoma"/>
            <family val="2"/>
          </rPr>
          <t xml:space="preserve">
This is the number builts for all DC-8s</t>
        </r>
      </text>
    </comment>
    <comment ref="LZ16" authorId="41" shapeId="0" xr:uid="{19269C00-E1C7-4519-BBE6-0B2E41B4BDC6}">
      <text>
        <r>
          <rPr>
            <b/>
            <sz val="9"/>
            <color indexed="81"/>
            <rFont val="Tahoma"/>
            <family val="2"/>
          </rPr>
          <t>Jayda Shine:</t>
        </r>
        <r>
          <rPr>
            <sz val="9"/>
            <color indexed="81"/>
            <rFont val="Tahoma"/>
            <family val="2"/>
          </rPr>
          <t xml:space="preserve">
This is the number builts for all DC-8s</t>
        </r>
      </text>
    </comment>
    <comment ref="MA16" authorId="41" shapeId="0" xr:uid="{86052EFF-8697-47BF-B188-C977570B5A5C}">
      <text>
        <r>
          <rPr>
            <b/>
            <sz val="9"/>
            <color indexed="81"/>
            <rFont val="Tahoma"/>
            <family val="2"/>
          </rPr>
          <t>Jayda Shine:</t>
        </r>
        <r>
          <rPr>
            <sz val="9"/>
            <color indexed="81"/>
            <rFont val="Tahoma"/>
            <family val="2"/>
          </rPr>
          <t xml:space="preserve">
This is the number builts for all DC-8s</t>
        </r>
      </text>
    </comment>
    <comment ref="MB16" authorId="41" shapeId="0" xr:uid="{F6630AEF-4D0E-4AE7-96EF-393EA4CD69A6}">
      <text>
        <r>
          <rPr>
            <b/>
            <sz val="9"/>
            <color indexed="81"/>
            <rFont val="Tahoma"/>
            <family val="2"/>
          </rPr>
          <t>Jayda Shine:</t>
        </r>
        <r>
          <rPr>
            <sz val="9"/>
            <color indexed="81"/>
            <rFont val="Tahoma"/>
            <family val="2"/>
          </rPr>
          <t xml:space="preserve">
This is the number builts for all DC-8s</t>
        </r>
      </text>
    </comment>
    <comment ref="MC16" authorId="41" shapeId="0" xr:uid="{0458C725-7EFB-427F-8899-74D688E99076}">
      <text>
        <r>
          <rPr>
            <b/>
            <sz val="9"/>
            <color indexed="81"/>
            <rFont val="Tahoma"/>
            <family val="2"/>
          </rPr>
          <t>Jayda Shine:</t>
        </r>
        <r>
          <rPr>
            <sz val="9"/>
            <color indexed="81"/>
            <rFont val="Tahoma"/>
            <family val="2"/>
          </rPr>
          <t xml:space="preserve">
This is the number builts for all DC-8s</t>
        </r>
      </text>
    </comment>
    <comment ref="MD16" authorId="41" shapeId="0" xr:uid="{493B9E01-E322-4AB9-A900-26D560EC6599}">
      <text>
        <r>
          <rPr>
            <b/>
            <sz val="9"/>
            <color indexed="81"/>
            <rFont val="Tahoma"/>
            <family val="2"/>
          </rPr>
          <t>Jayda Shine:</t>
        </r>
        <r>
          <rPr>
            <sz val="9"/>
            <color indexed="81"/>
            <rFont val="Tahoma"/>
            <family val="2"/>
          </rPr>
          <t xml:space="preserve">
This is the number builts for all DC-8s</t>
        </r>
      </text>
    </comment>
    <comment ref="ME16" authorId="41" shapeId="0" xr:uid="{07BC9E17-7B00-40AC-BE0B-2FE789CE53BF}">
      <text>
        <r>
          <rPr>
            <b/>
            <sz val="9"/>
            <color indexed="81"/>
            <rFont val="Tahoma"/>
            <family val="2"/>
          </rPr>
          <t>Jayda Shine:</t>
        </r>
        <r>
          <rPr>
            <sz val="9"/>
            <color indexed="81"/>
            <rFont val="Tahoma"/>
            <family val="2"/>
          </rPr>
          <t xml:space="preserve">
This is the number builts for all DC-8s</t>
        </r>
      </text>
    </comment>
    <comment ref="MF16" authorId="41" shapeId="0" xr:uid="{D26D1076-609D-4088-9950-9392E3450060}">
      <text>
        <r>
          <rPr>
            <b/>
            <sz val="9"/>
            <color indexed="81"/>
            <rFont val="Tahoma"/>
            <family val="2"/>
          </rPr>
          <t>Jayda Shine:</t>
        </r>
        <r>
          <rPr>
            <sz val="9"/>
            <color indexed="81"/>
            <rFont val="Tahoma"/>
            <family val="2"/>
          </rPr>
          <t xml:space="preserve">
This is the number builts for all DC-8s</t>
        </r>
      </text>
    </comment>
    <comment ref="MG16" authorId="41" shapeId="0" xr:uid="{45862B6C-CF4F-480F-B31A-7795B568113A}">
      <text>
        <r>
          <rPr>
            <b/>
            <sz val="9"/>
            <color indexed="81"/>
            <rFont val="Tahoma"/>
            <family val="2"/>
          </rPr>
          <t>Jayda Shine:</t>
        </r>
        <r>
          <rPr>
            <sz val="9"/>
            <color indexed="81"/>
            <rFont val="Tahoma"/>
            <family val="2"/>
          </rPr>
          <t xml:space="preserve">
This is the number builts for all DC-8s</t>
        </r>
      </text>
    </comment>
    <comment ref="MH16" authorId="41" shapeId="0" xr:uid="{5E70DA7E-BE17-4618-B19A-FD18FEEFF799}">
      <text>
        <r>
          <rPr>
            <b/>
            <sz val="9"/>
            <color indexed="81"/>
            <rFont val="Tahoma"/>
            <family val="2"/>
          </rPr>
          <t>Jayda Shine:</t>
        </r>
        <r>
          <rPr>
            <sz val="9"/>
            <color indexed="81"/>
            <rFont val="Tahoma"/>
            <family val="2"/>
          </rPr>
          <t xml:space="preserve">
This is the number builts for all DC-8s</t>
        </r>
      </text>
    </comment>
    <comment ref="MI16" authorId="41" shapeId="0" xr:uid="{426E1BA8-4F6E-4B0E-92EF-BBAA7BD65422}">
      <text>
        <r>
          <rPr>
            <b/>
            <sz val="9"/>
            <color indexed="81"/>
            <rFont val="Tahoma"/>
            <family val="2"/>
          </rPr>
          <t>Jayda Shine:</t>
        </r>
        <r>
          <rPr>
            <sz val="9"/>
            <color indexed="81"/>
            <rFont val="Tahoma"/>
            <family val="2"/>
          </rPr>
          <t xml:space="preserve">
This is the number builts for all DC-8s</t>
        </r>
      </text>
    </comment>
    <comment ref="MJ16" authorId="41" shapeId="0" xr:uid="{0688953C-C830-46C3-AD1C-59591F16BB67}">
      <text>
        <r>
          <rPr>
            <b/>
            <sz val="9"/>
            <color indexed="81"/>
            <rFont val="Tahoma"/>
            <family val="2"/>
          </rPr>
          <t>Jayda Shine:</t>
        </r>
        <r>
          <rPr>
            <sz val="9"/>
            <color indexed="81"/>
            <rFont val="Tahoma"/>
            <family val="2"/>
          </rPr>
          <t xml:space="preserve">
This is the number builts for all DC-8s</t>
        </r>
      </text>
    </comment>
    <comment ref="MK16" authorId="41" shapeId="0" xr:uid="{06C39A28-17CA-4925-913F-9227430ED2E3}">
      <text>
        <r>
          <rPr>
            <b/>
            <sz val="9"/>
            <color indexed="81"/>
            <rFont val="Tahoma"/>
            <family val="2"/>
          </rPr>
          <t>Jayda Shine:</t>
        </r>
        <r>
          <rPr>
            <sz val="9"/>
            <color indexed="81"/>
            <rFont val="Tahoma"/>
            <family val="2"/>
          </rPr>
          <t xml:space="preserve">
This is the number builts for all DC-8s</t>
        </r>
      </text>
    </comment>
    <comment ref="ML16" authorId="41" shapeId="0" xr:uid="{BCA08500-8323-4533-9037-DF28A183ED25}">
      <text>
        <r>
          <rPr>
            <b/>
            <sz val="9"/>
            <color indexed="81"/>
            <rFont val="Tahoma"/>
            <family val="2"/>
          </rPr>
          <t>Jayda Shine:</t>
        </r>
        <r>
          <rPr>
            <sz val="9"/>
            <color indexed="81"/>
            <rFont val="Tahoma"/>
            <family val="2"/>
          </rPr>
          <t xml:space="preserve">
This is the number builts for all DC-8s</t>
        </r>
      </text>
    </comment>
    <comment ref="MM16" authorId="41" shapeId="0" xr:uid="{2B387FBD-8256-4A34-84DE-31E820313F59}">
      <text>
        <r>
          <rPr>
            <b/>
            <sz val="9"/>
            <color indexed="81"/>
            <rFont val="Tahoma"/>
            <family val="2"/>
          </rPr>
          <t>Jayda Shine:</t>
        </r>
        <r>
          <rPr>
            <sz val="9"/>
            <color indexed="81"/>
            <rFont val="Tahoma"/>
            <family val="2"/>
          </rPr>
          <t xml:space="preserve">
This is the number builts for all DC-8s</t>
        </r>
      </text>
    </comment>
    <comment ref="MN16" authorId="41" shapeId="0" xr:uid="{478715B7-BF73-4C40-B983-E7895609C849}">
      <text>
        <r>
          <rPr>
            <b/>
            <sz val="9"/>
            <color indexed="81"/>
            <rFont val="Tahoma"/>
            <family val="2"/>
          </rPr>
          <t>Jayda Shine:</t>
        </r>
        <r>
          <rPr>
            <sz val="9"/>
            <color indexed="81"/>
            <rFont val="Tahoma"/>
            <family val="2"/>
          </rPr>
          <t xml:space="preserve">
This is the number builts for all DC-8s</t>
        </r>
      </text>
    </comment>
    <comment ref="MO16" authorId="41" shapeId="0" xr:uid="{DF4FEAB3-02D6-43A1-A4D1-DEB15951F7B0}">
      <text>
        <r>
          <rPr>
            <b/>
            <sz val="9"/>
            <color indexed="81"/>
            <rFont val="Tahoma"/>
            <family val="2"/>
          </rPr>
          <t>Jayda Shine:</t>
        </r>
        <r>
          <rPr>
            <sz val="9"/>
            <color indexed="81"/>
            <rFont val="Tahoma"/>
            <family val="2"/>
          </rPr>
          <t xml:space="preserve">
This is the number builts for all DC-8s</t>
        </r>
      </text>
    </comment>
    <comment ref="MP16" authorId="41" shapeId="0" xr:uid="{A6664A29-450A-4C99-B8DA-84DB75A7511A}">
      <text>
        <r>
          <rPr>
            <b/>
            <sz val="9"/>
            <color indexed="81"/>
            <rFont val="Tahoma"/>
            <family val="2"/>
          </rPr>
          <t>Jayda Shine:</t>
        </r>
        <r>
          <rPr>
            <sz val="9"/>
            <color indexed="81"/>
            <rFont val="Tahoma"/>
            <family val="2"/>
          </rPr>
          <t xml:space="preserve">
This is the number builts for all DC-8s</t>
        </r>
      </text>
    </comment>
    <comment ref="MQ16" authorId="41" shapeId="0" xr:uid="{076A67BD-41C7-42BE-86DE-EF390905EDFD}">
      <text>
        <r>
          <rPr>
            <b/>
            <sz val="9"/>
            <color indexed="81"/>
            <rFont val="Tahoma"/>
            <family val="2"/>
          </rPr>
          <t>Jayda Shine:</t>
        </r>
        <r>
          <rPr>
            <sz val="9"/>
            <color indexed="81"/>
            <rFont val="Tahoma"/>
            <family val="2"/>
          </rPr>
          <t xml:space="preserve">
This is the number builts for all DC-8s</t>
        </r>
      </text>
    </comment>
    <comment ref="MR16" authorId="41" shapeId="0" xr:uid="{2A123658-027B-404D-B15D-1C1804662679}">
      <text>
        <r>
          <rPr>
            <b/>
            <sz val="9"/>
            <color indexed="81"/>
            <rFont val="Tahoma"/>
            <family val="2"/>
          </rPr>
          <t>Jayda Shine:</t>
        </r>
        <r>
          <rPr>
            <sz val="9"/>
            <color indexed="81"/>
            <rFont val="Tahoma"/>
            <family val="2"/>
          </rPr>
          <t xml:space="preserve">
This is the number builts for all DC-8s</t>
        </r>
      </text>
    </comment>
    <comment ref="MS16" authorId="41" shapeId="0" xr:uid="{54EEAC0B-4639-4F54-A991-ECD695F6716A}">
      <text>
        <r>
          <rPr>
            <b/>
            <sz val="9"/>
            <color indexed="81"/>
            <rFont val="Tahoma"/>
            <family val="2"/>
          </rPr>
          <t>Jayda Shine:</t>
        </r>
        <r>
          <rPr>
            <sz val="9"/>
            <color indexed="81"/>
            <rFont val="Tahoma"/>
            <family val="2"/>
          </rPr>
          <t xml:space="preserve">
This is the number builts for all DC-8s</t>
        </r>
      </text>
    </comment>
    <comment ref="MT16" authorId="41" shapeId="0" xr:uid="{58C39C3D-102B-439C-9C22-6765D3ACD987}">
      <text>
        <r>
          <rPr>
            <b/>
            <sz val="9"/>
            <color indexed="81"/>
            <rFont val="Tahoma"/>
            <family val="2"/>
          </rPr>
          <t>Jayda Shine:</t>
        </r>
        <r>
          <rPr>
            <sz val="9"/>
            <color indexed="81"/>
            <rFont val="Tahoma"/>
            <family val="2"/>
          </rPr>
          <t xml:space="preserve">
This is the number builts for all DC-8s</t>
        </r>
      </text>
    </comment>
    <comment ref="MU16" authorId="41" shapeId="0" xr:uid="{9347EA3F-C954-4E43-AE6F-A858855D9300}">
      <text>
        <r>
          <rPr>
            <b/>
            <sz val="9"/>
            <color indexed="81"/>
            <rFont val="Tahoma"/>
            <family val="2"/>
          </rPr>
          <t>Jayda Shine:</t>
        </r>
        <r>
          <rPr>
            <sz val="9"/>
            <color indexed="81"/>
            <rFont val="Tahoma"/>
            <family val="2"/>
          </rPr>
          <t xml:space="preserve">
This is the number builts for all DC-8s</t>
        </r>
      </text>
    </comment>
    <comment ref="MV16" authorId="9" shapeId="0" xr:uid="{06EEDC06-1F4F-439F-9DD1-C6FDBE7D4CB9}">
      <text>
        <r>
          <rPr>
            <sz val="11"/>
            <color theme="1"/>
            <rFont val="Calibri"/>
            <family val="2"/>
            <scheme val="minor"/>
          </rPr>
          <t>Shine, Jayda:
Total number of DC-9s built</t>
        </r>
      </text>
    </comment>
    <comment ref="MW16" authorId="9" shapeId="0" xr:uid="{7B44A477-B3F6-4293-935B-2DB391919D5D}">
      <text>
        <r>
          <rPr>
            <sz val="11"/>
            <color theme="1"/>
            <rFont val="Calibri"/>
            <family val="2"/>
            <scheme val="minor"/>
          </rPr>
          <t>Shine, Jayda:
Total number of DC-9s built</t>
        </r>
      </text>
    </comment>
    <comment ref="MX16" authorId="9" shapeId="0" xr:uid="{38142BBE-D550-4300-9320-6277B40B1487}">
      <text>
        <r>
          <rPr>
            <sz val="11"/>
            <color theme="1"/>
            <rFont val="Calibri"/>
            <family val="2"/>
            <scheme val="minor"/>
          </rPr>
          <t>Shine, Jayda:
Total number of DC-9s built</t>
        </r>
      </text>
    </comment>
    <comment ref="MY16" authorId="9" shapeId="0" xr:uid="{D025F914-D412-47E7-852E-7B9A6684F300}">
      <text>
        <r>
          <rPr>
            <sz val="11"/>
            <color theme="1"/>
            <rFont val="Calibri"/>
            <family val="2"/>
            <scheme val="minor"/>
          </rPr>
          <t>Shine, Jayda:
Total number of DC-9s built</t>
        </r>
      </text>
    </comment>
    <comment ref="MZ16" authorId="9" shapeId="0" xr:uid="{B2D8D0FB-A64A-40AF-9A4A-B984CE70C8C9}">
      <text>
        <r>
          <rPr>
            <sz val="11"/>
            <color theme="1"/>
            <rFont val="Calibri"/>
            <family val="2"/>
            <scheme val="minor"/>
          </rPr>
          <t>Shine, Jayda:
Total number of DC-9s built</t>
        </r>
      </text>
    </comment>
    <comment ref="NA16" authorId="9" shapeId="0" xr:uid="{73365DD3-0810-42E2-AEAD-54BF9730D099}">
      <text>
        <r>
          <rPr>
            <sz val="11"/>
            <color theme="1"/>
            <rFont val="Calibri"/>
            <family val="2"/>
            <scheme val="minor"/>
          </rPr>
          <t>Shine, Jayda:
Total number of DC-9s built</t>
        </r>
      </text>
    </comment>
    <comment ref="NB16" authorId="9" shapeId="0" xr:uid="{57D1C1AB-90BC-4D3E-A337-C76ABDAD0B0B}">
      <text>
        <r>
          <rPr>
            <sz val="11"/>
            <color theme="1"/>
            <rFont val="Calibri"/>
            <family val="2"/>
            <scheme val="minor"/>
          </rPr>
          <t>Shine, Jayda:
Total number of DC-9s built</t>
        </r>
      </text>
    </comment>
    <comment ref="NC16" authorId="9" shapeId="0" xr:uid="{E41354A1-952D-4A9B-9BFD-72BCA931AA88}">
      <text>
        <r>
          <rPr>
            <sz val="11"/>
            <color theme="1"/>
            <rFont val="Calibri"/>
            <family val="2"/>
            <scheme val="minor"/>
          </rPr>
          <t>Shine, Jayda:
Total number of DC-9s built</t>
        </r>
      </text>
    </comment>
    <comment ref="ND16" authorId="9" shapeId="0" xr:uid="{8AA9F0DA-B877-4306-8D6F-58F4E2B3BF7F}">
      <text>
        <r>
          <rPr>
            <sz val="11"/>
            <color theme="1"/>
            <rFont val="Calibri"/>
            <family val="2"/>
            <scheme val="minor"/>
          </rPr>
          <t>Shine, Jayda:
Total number of DC-9s built</t>
        </r>
      </text>
    </comment>
    <comment ref="NE16" authorId="9" shapeId="0" xr:uid="{863309AC-CCD5-4349-8991-359C8CD670FF}">
      <text>
        <r>
          <rPr>
            <sz val="11"/>
            <color theme="1"/>
            <rFont val="Calibri"/>
            <family val="2"/>
            <scheme val="minor"/>
          </rPr>
          <t>Shine, Jayda:
Total number of DC-9s built</t>
        </r>
      </text>
    </comment>
    <comment ref="NF16" authorId="9" shapeId="0" xr:uid="{FCF34BAD-8FEE-45D5-AC27-75E56DE87055}">
      <text>
        <r>
          <rPr>
            <sz val="11"/>
            <color theme="1"/>
            <rFont val="Calibri"/>
            <family val="2"/>
            <scheme val="minor"/>
          </rPr>
          <t>Shine, Jayda:
Total number of DC-9s built</t>
        </r>
      </text>
    </comment>
    <comment ref="NG16" authorId="9" shapeId="0" xr:uid="{B1216410-0A83-4E63-B058-5EA3DCB5E3AF}">
      <text>
        <r>
          <rPr>
            <sz val="11"/>
            <color theme="1"/>
            <rFont val="Calibri"/>
            <family val="2"/>
            <scheme val="minor"/>
          </rPr>
          <t>Shine, Jayda:
Total number of DC-9s built</t>
        </r>
      </text>
    </comment>
    <comment ref="NH16" authorId="9" shapeId="0" xr:uid="{3AC7A86D-1A1A-4AD3-8A96-457C11D6CDCF}">
      <text>
        <r>
          <rPr>
            <sz val="11"/>
            <color theme="1"/>
            <rFont val="Calibri"/>
            <family val="2"/>
            <scheme val="minor"/>
          </rPr>
          <t>Shine, Jayda:
Total number of DC-9s built</t>
        </r>
      </text>
    </comment>
    <comment ref="NI16" authorId="9" shapeId="0" xr:uid="{767FEFB5-6C01-4B92-8718-97006BAE0B0C}">
      <text>
        <r>
          <rPr>
            <sz val="11"/>
            <color theme="1"/>
            <rFont val="Calibri"/>
            <family val="2"/>
            <scheme val="minor"/>
          </rPr>
          <t>Shine, Jayda:
Total number of DC-9s built</t>
        </r>
      </text>
    </comment>
    <comment ref="NJ16" authorId="9" shapeId="0" xr:uid="{62768F4E-DECA-479B-BF51-519682F92D43}">
      <text>
        <r>
          <rPr>
            <sz val="11"/>
            <color theme="1"/>
            <rFont val="Calibri"/>
            <family val="2"/>
            <scheme val="minor"/>
          </rPr>
          <t>Shine, Jayda:
Total number of DC-9s built</t>
        </r>
      </text>
    </comment>
    <comment ref="NK16" authorId="9" shapeId="0" xr:uid="{60D75A38-E262-454F-840E-6463013C4755}">
      <text>
        <r>
          <rPr>
            <sz val="11"/>
            <color theme="1"/>
            <rFont val="Calibri"/>
            <family val="2"/>
            <scheme val="minor"/>
          </rPr>
          <t>Shine, Jayda:
Total number of DC-9s built</t>
        </r>
      </text>
    </comment>
    <comment ref="NL16" authorId="9" shapeId="0" xr:uid="{419BD323-FB11-4CCE-A98E-D0E5D40C9E42}">
      <text>
        <r>
          <rPr>
            <sz val="11"/>
            <color theme="1"/>
            <rFont val="Calibri"/>
            <family val="2"/>
            <scheme val="minor"/>
          </rPr>
          <t>Shine, Jayda:
Total number of DC-9s built</t>
        </r>
      </text>
    </comment>
    <comment ref="NM16" authorId="9" shapeId="0" xr:uid="{88598996-2EFB-4D20-97FB-F04DC93C4066}">
      <text>
        <r>
          <rPr>
            <sz val="11"/>
            <color theme="1"/>
            <rFont val="Calibri"/>
            <family val="2"/>
            <scheme val="minor"/>
          </rPr>
          <t>Shine, Jayda:
Total number of DC-9s built</t>
        </r>
      </text>
    </comment>
    <comment ref="NN16" authorId="9" shapeId="0" xr:uid="{5CFCB5DB-D8A2-4F31-BA61-68DF484D0057}">
      <text>
        <r>
          <rPr>
            <sz val="11"/>
            <color theme="1"/>
            <rFont val="Calibri"/>
            <family val="2"/>
            <scheme val="minor"/>
          </rPr>
          <t>Shine, Jayda:
Total number of DC-9s built</t>
        </r>
      </text>
    </comment>
    <comment ref="NO16" authorId="9" shapeId="0" xr:uid="{F75D560E-C3D0-4524-A3B7-C98A7EF15EBB}">
      <text>
        <r>
          <rPr>
            <sz val="11"/>
            <color theme="1"/>
            <rFont val="Calibri"/>
            <family val="2"/>
            <scheme val="minor"/>
          </rPr>
          <t>Shine, Jayda:
Total number of DC-10s built</t>
        </r>
      </text>
    </comment>
    <comment ref="NP16" authorId="9" shapeId="0" xr:uid="{5A6F6FD3-E08F-456C-8A8A-C0B40DDF4D4B}">
      <text>
        <r>
          <rPr>
            <sz val="11"/>
            <color theme="1"/>
            <rFont val="Calibri"/>
            <family val="2"/>
            <scheme val="minor"/>
          </rPr>
          <t>Shine, Jayda:
Total number of DC-10s built</t>
        </r>
      </text>
    </comment>
    <comment ref="NQ16" authorId="9" shapeId="0" xr:uid="{9D60EA42-C44B-4C81-9F12-E192AE772587}">
      <text>
        <r>
          <rPr>
            <sz val="11"/>
            <color theme="1"/>
            <rFont val="Calibri"/>
            <family val="2"/>
            <scheme val="minor"/>
          </rPr>
          <t>Shine, Jayda:
Total number of DC-10s built</t>
        </r>
      </text>
    </comment>
    <comment ref="NR16" authorId="9" shapeId="0" xr:uid="{ADDD29DB-B930-4242-803B-8EDA93872CB2}">
      <text>
        <r>
          <rPr>
            <sz val="11"/>
            <color theme="1"/>
            <rFont val="Calibri"/>
            <family val="2"/>
            <scheme val="minor"/>
          </rPr>
          <t>Shine, Jayda:
Total number of DC-10s built</t>
        </r>
      </text>
    </comment>
    <comment ref="NS16" authorId="9" shapeId="0" xr:uid="{2CC0373A-AA17-4330-9D75-08988E0202E0}">
      <text>
        <r>
          <rPr>
            <sz val="11"/>
            <color theme="1"/>
            <rFont val="Calibri"/>
            <family val="2"/>
            <scheme val="minor"/>
          </rPr>
          <t>Shine, Jayda:
Total number of DC-10s built</t>
        </r>
      </text>
    </comment>
    <comment ref="NT16" authorId="9" shapeId="0" xr:uid="{B87994ED-A07F-41A3-B5BA-2C828EFE1EBA}">
      <text>
        <r>
          <rPr>
            <sz val="11"/>
            <color theme="1"/>
            <rFont val="Calibri"/>
            <family val="2"/>
            <scheme val="minor"/>
          </rPr>
          <t>Shine, Jayda:
Total number of DC-10s built</t>
        </r>
      </text>
    </comment>
    <comment ref="NU16" authorId="9" shapeId="0" xr:uid="{BB449A19-5947-4644-91F7-C47129780971}">
      <text>
        <r>
          <rPr>
            <sz val="11"/>
            <color theme="1"/>
            <rFont val="Calibri"/>
            <family val="2"/>
            <scheme val="minor"/>
          </rPr>
          <t>Shine, Jayda:
Total number of DC-10s built</t>
        </r>
      </text>
    </comment>
    <comment ref="NV16" authorId="9" shapeId="0" xr:uid="{F2A75CE5-6871-4584-94EC-088444206AD1}">
      <text>
        <r>
          <rPr>
            <sz val="11"/>
            <color theme="1"/>
            <rFont val="Calibri"/>
            <family val="2"/>
            <scheme val="minor"/>
          </rPr>
          <t>Shine, Jayda:
Total number of MD-11s built</t>
        </r>
      </text>
    </comment>
    <comment ref="NW16" authorId="9" shapeId="0" xr:uid="{7C336F0B-ADF0-425D-9117-744A32F836B2}">
      <text>
        <r>
          <rPr>
            <sz val="11"/>
            <color theme="1"/>
            <rFont val="Calibri"/>
            <family val="2"/>
            <scheme val="minor"/>
          </rPr>
          <t>Shine, Jayda:
Total number of MD-11 built</t>
        </r>
      </text>
    </comment>
    <comment ref="NX16" authorId="9" shapeId="0" xr:uid="{EE85DE0F-68C9-4DE5-96C7-266DB9109C60}">
      <text>
        <r>
          <rPr>
            <sz val="11"/>
            <color theme="1"/>
            <rFont val="Calibri"/>
            <family val="2"/>
            <scheme val="minor"/>
          </rPr>
          <t>Shine, Jayda:
Total number of DC-10s built</t>
        </r>
      </text>
    </comment>
    <comment ref="A18" authorId="42" shapeId="0" xr:uid="{7698A53C-1684-4CEB-AAED-696DDD4145C3}">
      <text>
        <r>
          <rPr>
            <sz val="11"/>
            <color theme="1"/>
            <rFont val="Calibri"/>
            <family val="2"/>
            <scheme val="minor"/>
          </rPr>
          <t xml:space="preserve">Arnson, Maxfield: Also may be called "one class configuration." This is the maximum allowed passengers in the aircraft. often airlines will not fill the plane to this capacity as it is more economical to build first class seats into the cabin layout
</t>
        </r>
      </text>
    </comment>
    <comment ref="R18" authorId="0" shapeId="0" xr:uid="{A0C050F3-A031-4BB0-BF47-E17EAC8E7BEF}">
      <text>
        <r>
          <rPr>
            <sz val="11"/>
            <color theme="1"/>
            <rFont val="Calibri"/>
            <family val="2"/>
            <scheme val="minor"/>
          </rPr>
          <t>Khailany, Nawa:
In the A-A-A-A seating configuration</t>
        </r>
      </text>
    </comment>
    <comment ref="S18" authorId="0" shapeId="0" xr:uid="{9F968F77-A86D-4FEE-AF00-393B4BAFC31D}">
      <text>
        <r>
          <rPr>
            <sz val="11"/>
            <color theme="1"/>
            <rFont val="Calibri"/>
            <family val="2"/>
            <scheme val="minor"/>
          </rPr>
          <t>Khailany, Nawa:
In the A-A-A-A seating configuration</t>
        </r>
      </text>
    </comment>
    <comment ref="T18" authorId="0" shapeId="0" xr:uid="{F40EE88C-AB77-4498-B304-7AF8DC9ACFAA}">
      <text>
        <r>
          <rPr>
            <sz val="11"/>
            <color theme="1"/>
            <rFont val="Calibri"/>
            <family val="2"/>
            <scheme val="minor"/>
          </rPr>
          <t>Khailany, Nawa:
In the A-A-A-A seating configuration</t>
        </r>
      </text>
    </comment>
    <comment ref="AN18" authorId="0" shapeId="0" xr:uid="{3D487F3E-0CD7-450C-B76D-94593C1E8399}">
      <text>
        <r>
          <rPr>
            <sz val="11"/>
            <color theme="1"/>
            <rFont val="Calibri"/>
            <family val="2"/>
            <scheme val="minor"/>
          </rPr>
          <t>Khailany, Nawa:
This is 145 pax in a combined cargo + pax configuration</t>
        </r>
      </text>
    </comment>
    <comment ref="AU18" authorId="0" shapeId="0" xr:uid="{D1E0C289-FCC7-4685-A205-367EAA7C9BB1}">
      <text>
        <r>
          <rPr>
            <sz val="11"/>
            <color theme="1"/>
            <rFont val="Calibri"/>
            <family val="2"/>
            <scheme val="minor"/>
          </rPr>
          <t>Khailany, Nawa:
This is 155 pax in a combined cargo + pax configuration</t>
        </r>
      </text>
    </comment>
    <comment ref="DE18" authorId="43" shapeId="0" xr:uid="{B0BBB6E1-83EA-4B1E-96B7-6518274894A2}">
      <text>
        <t xml:space="preserve">[Threaded comment]
Your version of Excel allows you to read this threaded comment; however, any edits to it will get removed if the file is opened in a newer version of Excel. Learn more: https://go.microsoft.com/fwlink/?linkid=870924
Comment:
    0 pax? Freighter…
</t>
      </text>
    </comment>
    <comment ref="EM18" authorId="2" shapeId="0" xr:uid="{331AD832-5747-414C-B47C-28070C7226F6}">
      <text>
        <r>
          <rPr>
            <sz val="11"/>
            <color theme="1"/>
            <rFont val="Calibri"/>
            <family val="2"/>
            <scheme val="minor"/>
          </rPr>
          <t xml:space="preserve">Aljaber, Rawan:
TWO-CLASS, 85: 12 FIRST CLASS AND 73 ECONOMY
ALL-ECONOMY, 96 AT SIX ABREAST; FAA EXIT LIMIT: 124  </t>
        </r>
      </text>
    </comment>
    <comment ref="EN18" authorId="2" shapeId="0" xr:uid="{9D08C995-CEB1-4023-93E2-635A357FE3F4}">
      <text>
        <r>
          <rPr>
            <sz val="11"/>
            <color theme="1"/>
            <rFont val="Calibri"/>
            <family val="2"/>
            <scheme val="minor"/>
          </rPr>
          <t>Aljaber, Rawan:
TWO-CLASS 97: 24 FIRST CLASS AND 73 ECONOMY
ALL-ECONOMY 90 AT FIVE ABREAST, OR 124 AT SIX ABREAST; FAA EXIT LIMIT: 136</t>
        </r>
      </text>
    </comment>
    <comment ref="EO18" authorId="2" shapeId="0" xr:uid="{2D2C72FB-59AB-4A37-A991-7891F4192A7D}">
      <text>
        <r>
          <rPr>
            <sz val="11"/>
            <color theme="1"/>
            <rFont val="Calibri"/>
            <family val="2"/>
            <scheme val="minor"/>
          </rPr>
          <t>Aljaber, Rawan:
TWO-CLASS 110: 8 FIRST CLASS AND 102 ECONOMY (2) 
ALL-ECONOMY 117 AT SIX ABREAST (2) ; FAA EXIT LIMIT: 136</t>
        </r>
      </text>
    </comment>
    <comment ref="EP18" authorId="2" shapeId="0" xr:uid="{3F5B5416-9A50-4C73-8706-2CE0F017A44C}">
      <text>
        <r>
          <rPr>
            <sz val="11"/>
            <color theme="1"/>
            <rFont val="Calibri"/>
            <family val="2"/>
            <scheme val="minor"/>
          </rPr>
          <t xml:space="preserve">Aljaber, Rawan:
TWO-CLASS 128: 8 FIRST CLASS AND 120 ECONOMY
ALL-ECONOMY 134 AT SIX ABREAST; FAA EXIT LIMIT: 149 </t>
        </r>
      </text>
    </comment>
    <comment ref="EQ18" authorId="2" shapeId="0" xr:uid="{5A21BD17-AB47-4C6B-B45B-DD69AF3A9FCE}">
      <text>
        <r>
          <rPr>
            <sz val="11"/>
            <color theme="1"/>
            <rFont val="Calibri"/>
            <family val="2"/>
            <scheme val="minor"/>
          </rPr>
          <t>Aljaber, Rawan:
TWO-CLASS 146: 8 FIRST CLASS AND 138 ECONOMY
ALL-ECONOMY 159 AT SIX ABREAST; FAA EXIT LIMIT: 189</t>
        </r>
      </text>
    </comment>
    <comment ref="ER18" authorId="2" shapeId="0" xr:uid="{00765CBF-1CE4-4492-88FF-3B9FE4B31057}">
      <text>
        <r>
          <rPr>
            <sz val="11"/>
            <color theme="1"/>
            <rFont val="Calibri"/>
            <family val="2"/>
            <scheme val="minor"/>
          </rPr>
          <t>Aljaber, Rawan:
TWO-CLASS 108: 8 FIRST CLASS AND 100 ECONOMY
ALL-ECONOMY 122 AT SIX ABREAST; FAA EXIT LIMIT: 149</t>
        </r>
      </text>
    </comment>
    <comment ref="ES18" authorId="2" shapeId="0" xr:uid="{7E782208-75AD-4E2F-8211-3551AB4461BA}">
      <text>
        <r>
          <rPr>
            <sz val="11"/>
            <color theme="1"/>
            <rFont val="Calibri"/>
            <family val="2"/>
            <scheme val="minor"/>
          </rPr>
          <t>Aljaber, Rawan:
Two-class: 108
All economy: 130</t>
        </r>
      </text>
    </comment>
    <comment ref="ET18" authorId="2" shapeId="0" xr:uid="{9CFBF2D3-790E-41CA-9380-4B31C32D26E0}">
      <text>
        <r>
          <rPr>
            <sz val="11"/>
            <color theme="1"/>
            <rFont val="Calibri"/>
            <family val="2"/>
            <scheme val="minor"/>
          </rPr>
          <t>Aljaber, Rawan:
Two-class: 128
All Economy: 148</t>
        </r>
      </text>
    </comment>
    <comment ref="EU18" authorId="2" shapeId="0" xr:uid="{438596D6-CDB2-4757-9459-0E70D878C050}">
      <text>
        <r>
          <rPr>
            <sz val="11"/>
            <color theme="1"/>
            <rFont val="Calibri"/>
            <family val="2"/>
            <scheme val="minor"/>
          </rPr>
          <t>Aljaber, Rawan:
Two-class: 128
All Economy: 148</t>
        </r>
      </text>
    </comment>
    <comment ref="EV18" authorId="2" shapeId="0" xr:uid="{1766F91F-1164-4BE6-97A2-5D57C84AA392}">
      <text>
        <r>
          <rPr>
            <sz val="11"/>
            <color theme="1"/>
            <rFont val="Calibri"/>
            <family val="2"/>
            <scheme val="minor"/>
          </rPr>
          <t>Aljaber, Rawan:
Two-class: 128
All Economy: 148</t>
        </r>
      </text>
    </comment>
    <comment ref="EW18" authorId="2" shapeId="0" xr:uid="{C194EDC5-9053-4EDE-B3E6-034C2CD8F738}">
      <text>
        <r>
          <rPr>
            <sz val="11"/>
            <color theme="1"/>
            <rFont val="Calibri"/>
            <family val="2"/>
            <scheme val="minor"/>
          </rPr>
          <t>Aljaber, Rawan:
Two-class: 160
All Economy: 184</t>
        </r>
      </text>
    </comment>
    <comment ref="EX18" authorId="2" shapeId="0" xr:uid="{D9E6DDE4-C44F-451C-BD9E-7FAA5693A919}">
      <text>
        <r>
          <rPr>
            <sz val="11"/>
            <color theme="1"/>
            <rFont val="Calibri"/>
            <family val="2"/>
            <scheme val="minor"/>
          </rPr>
          <t>Aljaber, Rawan:
Two-class: 160
All Economy: 184</t>
        </r>
      </text>
    </comment>
    <comment ref="EY18" authorId="2" shapeId="0" xr:uid="{F32DD0F0-43B4-46F7-AC06-9728277E1B12}">
      <text>
        <r>
          <rPr>
            <sz val="11"/>
            <color theme="1"/>
            <rFont val="Calibri"/>
            <family val="2"/>
            <scheme val="minor"/>
          </rPr>
          <t>Aljaber, Rawan:
Two-class: 177
All Economy: 189</t>
        </r>
      </text>
    </comment>
    <comment ref="EZ18" authorId="2" shapeId="0" xr:uid="{3F3D9535-A18D-4D56-8F61-2B1C1E7C85B9}">
      <text>
        <r>
          <rPr>
            <sz val="11"/>
            <color theme="1"/>
            <rFont val="Calibri"/>
            <family val="2"/>
            <scheme val="minor"/>
          </rPr>
          <t>Aljaber, Rawan:
Two-class: 177
All Economy: 189</t>
        </r>
      </text>
    </comment>
    <comment ref="FA18" authorId="2" shapeId="0" xr:uid="{9D96B43F-BCEE-4290-9ECA-ACF171B8CEE2}">
      <text>
        <r>
          <rPr>
            <sz val="11"/>
            <color theme="1"/>
            <rFont val="Calibri"/>
            <family val="2"/>
            <scheme val="minor"/>
          </rPr>
          <t>Aljaber, Rawan:
TWO-CLASS 177
ALL-ECONOMY
186 WITH MID EXIT DOOR, 215 FAA EXIT LIMIT</t>
        </r>
      </text>
    </comment>
    <comment ref="IW18" authorId="22" shapeId="0" xr:uid="{0F6ADFB9-DD8A-4516-AB34-7D52A195C6E3}">
      <text>
        <r>
          <rPr>
            <sz val="11"/>
            <color theme="1"/>
            <rFont val="Calibri"/>
            <family val="2"/>
            <scheme val="minor"/>
          </rPr>
          <t>Dwibhashyam, Neha:
for 702, 70 for 701, 68 for 700</t>
        </r>
      </text>
    </comment>
    <comment ref="IX18" authorId="22" shapeId="0" xr:uid="{DF3041C2-70C3-4341-A7D4-74A5AEF6B289}">
      <text>
        <r>
          <rPr>
            <sz val="11"/>
            <color theme="1"/>
            <rFont val="Calibri"/>
            <family val="2"/>
            <scheme val="minor"/>
          </rPr>
          <t>Dwibhashyam, Neha:
55 including crew</t>
        </r>
      </text>
    </comment>
    <comment ref="IY18" authorId="22" shapeId="0" xr:uid="{3968889B-4A31-4D68-AA11-110EB8BAE3B8}">
      <text>
        <r>
          <rPr>
            <sz val="11"/>
            <color theme="1"/>
            <rFont val="Calibri"/>
            <family val="2"/>
            <scheme val="minor"/>
          </rPr>
          <t>Dwibhashyam, Neha:
95 with crew</t>
        </r>
      </text>
    </comment>
    <comment ref="IZ18" authorId="22" shapeId="0" xr:uid="{B74F9A1B-4358-4762-9E05-8B7147A865D4}">
      <text>
        <r>
          <rPr>
            <sz val="11"/>
            <color theme="1"/>
            <rFont val="Calibri"/>
            <family val="2"/>
            <scheme val="minor"/>
          </rPr>
          <t>Dwibhashyam, Neha:
80 including crew</t>
        </r>
      </text>
    </comment>
    <comment ref="JA18" authorId="22" shapeId="0" xr:uid="{5BE9EBCD-926E-4BD1-BF92-6917A25E4E2F}">
      <text>
        <r>
          <rPr>
            <sz val="11"/>
            <color theme="1"/>
            <rFont val="Calibri"/>
            <family val="2"/>
            <scheme val="minor"/>
          </rPr>
          <t>Dwibhashyam, Neha:
110 including crew</t>
        </r>
      </text>
    </comment>
    <comment ref="MV18" authorId="9" shapeId="0" xr:uid="{116BEB34-52F7-47DF-A0EE-422E47C6B5C5}">
      <text>
        <r>
          <rPr>
            <sz val="11"/>
            <color theme="1"/>
            <rFont val="Calibri"/>
            <family val="2"/>
            <scheme val="minor"/>
          </rPr>
          <t xml:space="preserve">Shine, Jayda:
Passenger Capacity(1)/(Type I / Side)/(Type III / Side)/ Tail exit:
79/1/1/1(3)
94/1/1/1(4)
109/1/2(2)/1(3)
</t>
        </r>
      </text>
    </comment>
    <comment ref="MW18" authorId="9" shapeId="0" xr:uid="{3868197F-B65C-4BA4-9020-693AA2725A37}">
      <text>
        <r>
          <rPr>
            <sz val="11"/>
            <color theme="1"/>
            <rFont val="Calibri"/>
            <family val="2"/>
            <scheme val="minor"/>
          </rPr>
          <t xml:space="preserve">Shine, Jayda:
Passenger Capacity(1)/(Type I / Side)/(Type III / Side)/ Tail exit:
79/1/1/1(3)
94/1/1/1(4)
109/1/2(2)/1(3)
</t>
        </r>
      </text>
    </comment>
    <comment ref="MX18" authorId="9" shapeId="0" xr:uid="{B575B77A-0612-4DC2-909E-BA47D55569CA}">
      <text>
        <r>
          <rPr>
            <sz val="11"/>
            <color theme="1"/>
            <rFont val="Calibri"/>
            <family val="2"/>
            <scheme val="minor"/>
          </rPr>
          <t xml:space="preserve">Shine, Jayda:
Passenger Capacity(1)/(Type I / Side)/(Type III / Side)/ Tail exit:
79/1/1/1(3)
94/1/1/1(4)
109/1/2(2)/1(3)
</t>
        </r>
      </text>
    </comment>
    <comment ref="MY18" authorId="9" shapeId="0" xr:uid="{E6E1640D-E3A4-4FE1-8074-8E2870C9B9D8}">
      <text>
        <r>
          <rPr>
            <sz val="11"/>
            <color theme="1"/>
            <rFont val="Calibri"/>
            <family val="2"/>
            <scheme val="minor"/>
          </rPr>
          <t xml:space="preserve">Shine, Jayda:
Passenger Capacity(1)/(Type I / Side)/(Type III / Side)/ Tail exit:
79/1/1/1(3)
94/1/1/1(4)
109/1/2(2)/1(3)
</t>
        </r>
      </text>
    </comment>
    <comment ref="NR18" authorId="41" shapeId="0" xr:uid="{781998C5-A208-4C3B-ABB9-E610BE33EAE7}">
      <text>
        <r>
          <rPr>
            <b/>
            <sz val="9"/>
            <color indexed="81"/>
            <rFont val="Tahoma"/>
            <family val="2"/>
          </rPr>
          <t>Jayda Shine:</t>
        </r>
        <r>
          <rPr>
            <sz val="9"/>
            <color indexed="81"/>
            <rFont val="Tahoma"/>
            <family val="2"/>
          </rPr>
          <t xml:space="preserve">
CARGO: 0
</t>
        </r>
      </text>
    </comment>
    <comment ref="NT18" authorId="41" shapeId="0" xr:uid="{F873781B-7653-4604-8FFF-D7D857B98C1F}">
      <text>
        <r>
          <rPr>
            <b/>
            <sz val="9"/>
            <color indexed="81"/>
            <rFont val="Tahoma"/>
            <family val="2"/>
          </rPr>
          <t>Jayda Shine:</t>
        </r>
        <r>
          <rPr>
            <sz val="9"/>
            <color indexed="81"/>
            <rFont val="Tahoma"/>
            <family val="2"/>
          </rPr>
          <t xml:space="preserve">
CARGO: 0
</t>
        </r>
      </text>
    </comment>
    <comment ref="OB18" authorId="10" shapeId="0" xr:uid="{233C037F-24C5-4ABA-9036-C0F10664E661}">
      <text>
        <r>
          <rPr>
            <b/>
            <sz val="9"/>
            <color indexed="81"/>
            <rFont val="Tahoma"/>
            <family val="2"/>
          </rPr>
          <t>Max Arnson:</t>
        </r>
        <r>
          <rPr>
            <sz val="9"/>
            <color indexed="81"/>
            <rFont val="Tahoma"/>
            <family val="2"/>
          </rPr>
          <t xml:space="preserve">
see TCDS, can go higher but this seems to be for FAA exit limits?
</t>
        </r>
      </text>
    </comment>
    <comment ref="OC18" authorId="10" shapeId="0" xr:uid="{37F30932-4715-46B0-AE3F-093E2FE301C2}">
      <text>
        <r>
          <rPr>
            <b/>
            <sz val="9"/>
            <color indexed="81"/>
            <rFont val="Tahoma"/>
            <family val="2"/>
          </rPr>
          <t>Max Arnson:</t>
        </r>
        <r>
          <rPr>
            <sz val="9"/>
            <color indexed="81"/>
            <rFont val="Tahoma"/>
            <family val="2"/>
          </rPr>
          <t xml:space="preserve">
see TCDS, can go higher but this seems to be for FAA exit limits?
</t>
        </r>
      </text>
    </comment>
    <comment ref="OD18" authorId="10" shapeId="0" xr:uid="{268A7D04-D479-40BB-BC51-94EDE20B3B09}">
      <text>
        <r>
          <rPr>
            <b/>
            <sz val="9"/>
            <color indexed="81"/>
            <rFont val="Tahoma"/>
            <family val="2"/>
          </rPr>
          <t>Max Arnson:</t>
        </r>
        <r>
          <rPr>
            <sz val="9"/>
            <color indexed="81"/>
            <rFont val="Tahoma"/>
            <family val="2"/>
          </rPr>
          <t xml:space="preserve">
see TCDS, can go higher but this seems to be for FAA exit limits?
</t>
        </r>
      </text>
    </comment>
    <comment ref="A19" authorId="10" shapeId="0" xr:uid="{41F2D0BB-BD7B-43B9-8710-6F7F59E51F42}">
      <text>
        <r>
          <rPr>
            <b/>
            <sz val="9"/>
            <color indexed="81"/>
            <rFont val="Tahoma"/>
            <family val="2"/>
          </rPr>
          <t>Max Arnson:</t>
        </r>
        <r>
          <rPr>
            <sz val="9"/>
            <color indexed="81"/>
            <rFont val="Tahoma"/>
            <family val="2"/>
          </rPr>
          <t xml:space="preserve">
May also be called "Design Passengers"
</t>
        </r>
      </text>
    </comment>
    <comment ref="BW19" authorId="40" shapeId="0" xr:uid="{387FF56F-E010-4736-9A62-CEE31CCEF7BC}">
      <text>
        <r>
          <rPr>
            <b/>
            <sz val="9"/>
            <color indexed="81"/>
            <rFont val="Tahoma"/>
            <family val="2"/>
          </rPr>
          <t>Paul Mokotoff:</t>
        </r>
        <r>
          <rPr>
            <sz val="9"/>
            <color indexed="81"/>
            <rFont val="Tahoma"/>
            <family val="2"/>
          </rPr>
          <t xml:space="preserve">
Two-Class Configuration (12/138)</t>
        </r>
      </text>
    </comment>
    <comment ref="EX19" authorId="42" shapeId="0" xr:uid="{F820AFD5-62FD-44AE-99E1-2723414A745A}">
      <text>
        <r>
          <rPr>
            <sz val="11"/>
            <color theme="1"/>
            <rFont val="Calibri"/>
            <family val="2"/>
            <scheme val="minor"/>
          </rPr>
          <t xml:space="preserve">Arnson, Maxfield:
Found this on Delta's website. They fit 160 people with a 3 class config.
https://www.delta.com/us/en/aircraft/boeing/737-800
</t>
        </r>
      </text>
    </comment>
    <comment ref="FF19" authorId="44" shapeId="0" xr:uid="{96527594-C406-45F1-B35D-1E3C45F05BE2}">
      <text>
        <r>
          <rPr>
            <b/>
            <sz val="9"/>
            <color indexed="81"/>
            <rFont val="Tahoma"/>
            <family val="2"/>
          </rPr>
          <t xml:space="preserve">Michael Tsai:
Passenger for Design Range
</t>
        </r>
      </text>
    </comment>
    <comment ref="FJ19" authorId="44" shapeId="0" xr:uid="{64214243-0130-49B2-AAA1-A5790922095D}">
      <text>
        <r>
          <rPr>
            <b/>
            <sz val="9"/>
            <color indexed="81"/>
            <rFont val="Tahoma"/>
            <family val="2"/>
          </rPr>
          <t>Michael Tsai:</t>
        </r>
        <r>
          <rPr>
            <sz val="9"/>
            <color indexed="81"/>
            <rFont val="Tahoma"/>
            <family val="2"/>
          </rPr>
          <t xml:space="preserve">
Design Passenger</t>
        </r>
      </text>
    </comment>
    <comment ref="FK19" authorId="44" shapeId="0" xr:uid="{C4D89887-CBF1-44F6-9E3E-DFC445C2217F}">
      <text>
        <r>
          <rPr>
            <b/>
            <sz val="9"/>
            <color indexed="81"/>
            <rFont val="Tahoma"/>
            <family val="2"/>
          </rPr>
          <t>Michael Tsai:</t>
        </r>
        <r>
          <rPr>
            <sz val="9"/>
            <color indexed="81"/>
            <rFont val="Tahoma"/>
            <family val="2"/>
          </rPr>
          <t xml:space="preserve">
Design Passenger</t>
        </r>
      </text>
    </comment>
    <comment ref="FL19" authorId="44" shapeId="0" xr:uid="{D0DB12C0-B990-4AAD-ABA7-084499920576}">
      <text>
        <r>
          <rPr>
            <b/>
            <sz val="9"/>
            <color indexed="81"/>
            <rFont val="Tahoma"/>
            <family val="2"/>
          </rPr>
          <t>Michael Tsai:</t>
        </r>
        <r>
          <rPr>
            <sz val="9"/>
            <color indexed="81"/>
            <rFont val="Tahoma"/>
            <family val="2"/>
          </rPr>
          <t xml:space="preserve">
Design Passenger</t>
        </r>
      </text>
    </comment>
    <comment ref="IK19" authorId="44" shapeId="0" xr:uid="{3D65456A-E28D-4470-A5D1-C5ADF50CE094}">
      <text>
        <r>
          <rPr>
            <b/>
            <sz val="9"/>
            <color indexed="81"/>
            <rFont val="Tahoma"/>
            <family val="2"/>
          </rPr>
          <t>Michael Tsai:</t>
        </r>
        <r>
          <rPr>
            <sz val="9"/>
            <color indexed="81"/>
            <rFont val="Tahoma"/>
            <family val="2"/>
          </rPr>
          <t xml:space="preserve">
Dual Class
All Economy = 359</t>
        </r>
      </text>
    </comment>
    <comment ref="IL19" authorId="44" shapeId="0" xr:uid="{6A70F885-AACD-41F2-A984-DAC2F884169D}">
      <text>
        <r>
          <rPr>
            <b/>
            <sz val="9"/>
            <color indexed="81"/>
            <rFont val="Tahoma"/>
            <family val="2"/>
          </rPr>
          <t>Michael Tsai:</t>
        </r>
        <r>
          <rPr>
            <sz val="9"/>
            <color indexed="81"/>
            <rFont val="Tahoma"/>
            <family val="2"/>
          </rPr>
          <t xml:space="preserve">
Dual Class
All Economy = 406
</t>
        </r>
      </text>
    </comment>
    <comment ref="IM19" authorId="44" shapeId="0" xr:uid="{79B44C7E-0D7F-4687-92E2-2FA8C6A4EA2C}">
      <text>
        <r>
          <rPr>
            <b/>
            <sz val="9"/>
            <color indexed="81"/>
            <rFont val="Tahoma"/>
            <family val="2"/>
          </rPr>
          <t>Michael Tsai:</t>
        </r>
        <r>
          <rPr>
            <sz val="9"/>
            <color indexed="81"/>
            <rFont val="Tahoma"/>
            <family val="2"/>
          </rPr>
          <t xml:space="preserve">
Dual Class
All Economy = 440
</t>
        </r>
      </text>
    </comment>
    <comment ref="JK19" authorId="22" shapeId="0" xr:uid="{B48A6D24-4BF2-4924-ACBE-4B9ABE496D68}">
      <text>
        <r>
          <rPr>
            <sz val="11"/>
            <color theme="1"/>
            <rFont val="Calibri"/>
            <family val="2"/>
            <scheme val="minor"/>
          </rPr>
          <t xml:space="preserve">Dwibhashyam, Neha:
at 3 class configuration.
106 at single class config. </t>
        </r>
      </text>
    </comment>
    <comment ref="JL19" authorId="22" shapeId="0" xr:uid="{0CF2AF4F-A468-41CB-ADC4-50097979A810}">
      <text>
        <r>
          <rPr>
            <sz val="11"/>
            <color theme="1"/>
            <rFont val="Calibri"/>
            <family val="2"/>
            <scheme val="minor"/>
          </rPr>
          <t xml:space="preserve">Dwibhashyam, Neha:
at 3 class config. 
132 at single class config. </t>
        </r>
      </text>
    </comment>
    <comment ref="JO19" authorId="22" shapeId="0" xr:uid="{5407464F-4882-4439-AB1B-44D16370B5DE}">
      <text>
        <r>
          <rPr>
            <sz val="11"/>
            <color theme="1"/>
            <rFont val="Calibri"/>
            <family val="2"/>
            <scheme val="minor"/>
          </rPr>
          <t>Dwibhashyam, Neha:
for dual class config., 78 for single class</t>
        </r>
      </text>
    </comment>
    <comment ref="JV19" authorId="22" shapeId="0" xr:uid="{0A4FF137-0559-419A-82D1-492F8638E2E7}">
      <text>
        <r>
          <rPr>
            <sz val="11"/>
            <color theme="1"/>
            <rFont val="Calibri"/>
            <family val="2"/>
            <scheme val="minor"/>
          </rPr>
          <t>Dwibhashyam, Neha:
for dual class, 116 for single class</t>
        </r>
      </text>
    </comment>
    <comment ref="JW19" authorId="22" shapeId="0" xr:uid="{E038F552-68FD-4BDF-A3C6-422D13002B0F}">
      <text>
        <r>
          <rPr>
            <sz val="11"/>
            <color theme="1"/>
            <rFont val="Calibri"/>
            <family val="2"/>
            <scheme val="minor"/>
          </rPr>
          <t>Dwibhashyam, Neha:
for dual class, 116 for single class</t>
        </r>
      </text>
    </comment>
    <comment ref="NR19" authorId="41" shapeId="0" xr:uid="{68741415-87D2-4F3B-B35D-E25E3D506B3C}">
      <text>
        <r>
          <rPr>
            <b/>
            <sz val="9"/>
            <color indexed="81"/>
            <rFont val="Tahoma"/>
            <family val="2"/>
          </rPr>
          <t>Jayda Shine:</t>
        </r>
        <r>
          <rPr>
            <sz val="9"/>
            <color indexed="81"/>
            <rFont val="Tahoma"/>
            <family val="2"/>
          </rPr>
          <t xml:space="preserve">
CARGO: 0
</t>
        </r>
      </text>
    </comment>
    <comment ref="NS19" authorId="41" shapeId="0" xr:uid="{B11F5F25-3692-4E89-AF46-F70989FF9F6E}">
      <text>
        <r>
          <rPr>
            <b/>
            <sz val="9"/>
            <color indexed="81"/>
            <rFont val="Tahoma"/>
            <family val="2"/>
          </rPr>
          <t>Jayda Shine:</t>
        </r>
        <r>
          <rPr>
            <sz val="9"/>
            <color indexed="81"/>
            <rFont val="Tahoma"/>
            <family val="2"/>
          </rPr>
          <t xml:space="preserve">
CARGO: 0
</t>
        </r>
      </text>
    </comment>
    <comment ref="NT19" authorId="41" shapeId="0" xr:uid="{0D4A6CA6-69E0-42F0-9DD7-0A2A14926C8F}">
      <text>
        <r>
          <rPr>
            <b/>
            <sz val="9"/>
            <color indexed="81"/>
            <rFont val="Tahoma"/>
            <family val="2"/>
          </rPr>
          <t>Jayda Shine:</t>
        </r>
        <r>
          <rPr>
            <sz val="9"/>
            <color indexed="81"/>
            <rFont val="Tahoma"/>
            <family val="2"/>
          </rPr>
          <t xml:space="preserve">
CARGO: 0
</t>
        </r>
      </text>
    </comment>
    <comment ref="BP20" authorId="40" shapeId="0" xr:uid="{17F07268-0509-4C1D-9ADE-92D32BAA3F9A}">
      <text>
        <r>
          <rPr>
            <b/>
            <sz val="9"/>
            <color indexed="81"/>
            <rFont val="Tahoma"/>
            <family val="2"/>
          </rPr>
          <t>Paul Mokotoff:</t>
        </r>
        <r>
          <rPr>
            <sz val="9"/>
            <color indexed="81"/>
            <rFont val="Tahoma"/>
            <family val="2"/>
          </rPr>
          <t xml:space="preserve">
Assuming the engine performs similar to the CFM 56_5B7 engine (to get design range and OEW).</t>
        </r>
      </text>
    </comment>
    <comment ref="BR20" authorId="40" shapeId="0" xr:uid="{E10A189A-B33F-480B-8436-B145DF92227F}">
      <text>
        <r>
          <rPr>
            <b/>
            <sz val="9"/>
            <color indexed="81"/>
            <rFont val="Tahoma"/>
            <family val="2"/>
          </rPr>
          <t>Paul Mokotoff:</t>
        </r>
        <r>
          <rPr>
            <sz val="9"/>
            <color indexed="81"/>
            <rFont val="Tahoma"/>
            <family val="2"/>
          </rPr>
          <t xml:space="preserve">
Assuming the engine performs similar to the CFM 56_5B7 engine (to get design range and OEW).</t>
        </r>
      </text>
    </comment>
    <comment ref="CB20" authorId="40" shapeId="0" xr:uid="{9DF0787B-50C0-4D10-BE36-CAA73F8F98C7}">
      <text>
        <r>
          <rPr>
            <b/>
            <sz val="9"/>
            <color indexed="81"/>
            <rFont val="Tahoma"/>
            <family val="2"/>
          </rPr>
          <t>Paul Mokotoff:</t>
        </r>
        <r>
          <rPr>
            <sz val="9"/>
            <color indexed="81"/>
            <rFont val="Tahoma"/>
            <family val="2"/>
          </rPr>
          <t xml:space="preserve">
Assuming same range as A320ceo.</t>
        </r>
      </text>
    </comment>
    <comment ref="CC20" authorId="40" shapeId="0" xr:uid="{ABB46E16-65A8-4C22-90AC-C320E868234B}">
      <text>
        <r>
          <rPr>
            <b/>
            <sz val="9"/>
            <color indexed="81"/>
            <rFont val="Tahoma"/>
            <family val="2"/>
          </rPr>
          <t>Paul Mokotoff:</t>
        </r>
        <r>
          <rPr>
            <sz val="9"/>
            <color indexed="81"/>
            <rFont val="Tahoma"/>
            <family val="2"/>
          </rPr>
          <t xml:space="preserve">
Assuming same range as A320ceo.</t>
        </r>
      </text>
    </comment>
    <comment ref="CD20" authorId="40" shapeId="0" xr:uid="{FBD63793-C069-4FC9-A1A1-F73F75843D8B}">
      <text>
        <r>
          <rPr>
            <b/>
            <sz val="9"/>
            <color indexed="81"/>
            <rFont val="Tahoma"/>
            <family val="2"/>
          </rPr>
          <t>Paul Mokotoff:</t>
        </r>
        <r>
          <rPr>
            <sz val="9"/>
            <color indexed="81"/>
            <rFont val="Tahoma"/>
            <family val="2"/>
          </rPr>
          <t xml:space="preserve">
Assuming same range as A320ceo.</t>
        </r>
      </text>
    </comment>
    <comment ref="CE20" authorId="40" shapeId="0" xr:uid="{A4D87F3C-8ADC-463C-B7EB-AF0CBFA28C62}">
      <text>
        <r>
          <rPr>
            <b/>
            <sz val="9"/>
            <color indexed="81"/>
            <rFont val="Tahoma"/>
            <family val="2"/>
          </rPr>
          <t>Paul Mokotoff:</t>
        </r>
        <r>
          <rPr>
            <sz val="9"/>
            <color indexed="81"/>
            <rFont val="Tahoma"/>
            <family val="2"/>
          </rPr>
          <t xml:space="preserve">
Assuming same range as A320ceo.</t>
        </r>
      </text>
    </comment>
    <comment ref="CF20" authorId="40" shapeId="0" xr:uid="{AB7B1AB4-E2CD-42C5-9352-8A3E7E5B9809}">
      <text>
        <r>
          <rPr>
            <b/>
            <sz val="9"/>
            <color indexed="81"/>
            <rFont val="Tahoma"/>
            <family val="2"/>
          </rPr>
          <t>Paul Mokotoff:</t>
        </r>
        <r>
          <rPr>
            <sz val="9"/>
            <color indexed="81"/>
            <rFont val="Tahoma"/>
            <family val="2"/>
          </rPr>
          <t xml:space="preserve">
Assuming same range as A320ceo.</t>
        </r>
      </text>
    </comment>
    <comment ref="CG20" authorId="40" shapeId="0" xr:uid="{862508C0-408C-44C7-A7DB-3D9AACB6F4DC}">
      <text>
        <r>
          <rPr>
            <b/>
            <sz val="9"/>
            <color indexed="81"/>
            <rFont val="Tahoma"/>
            <family val="2"/>
          </rPr>
          <t>Paul Mokotoff:</t>
        </r>
        <r>
          <rPr>
            <sz val="9"/>
            <color indexed="81"/>
            <rFont val="Tahoma"/>
            <family val="2"/>
          </rPr>
          <t xml:space="preserve">
Assuming same range as A320ceo.</t>
        </r>
      </text>
    </comment>
    <comment ref="CP20" authorId="40" shapeId="0" xr:uid="{BF9E7FA5-7F32-4BD7-BACE-005DFE32FB6B}">
      <text>
        <r>
          <rPr>
            <b/>
            <sz val="9"/>
            <color indexed="81"/>
            <rFont val="Tahoma"/>
            <family val="2"/>
          </rPr>
          <t>Paul Mokotoff:</t>
        </r>
        <r>
          <rPr>
            <sz val="9"/>
            <color indexed="81"/>
            <rFont val="Tahoma"/>
            <family val="2"/>
          </rPr>
          <t xml:space="preserve">
Assuming the same range as the A321ceo.</t>
        </r>
      </text>
    </comment>
    <comment ref="CQ20" authorId="40" shapeId="0" xr:uid="{1202E788-7979-42C2-A093-5EE9C25FF932}">
      <text>
        <r>
          <rPr>
            <b/>
            <sz val="9"/>
            <color indexed="81"/>
            <rFont val="Tahoma"/>
            <family val="2"/>
          </rPr>
          <t>Paul Mokotoff:</t>
        </r>
        <r>
          <rPr>
            <sz val="9"/>
            <color indexed="81"/>
            <rFont val="Tahoma"/>
            <family val="2"/>
          </rPr>
          <t xml:space="preserve">
Assuming the same range as the A321ceo.</t>
        </r>
      </text>
    </comment>
    <comment ref="CR20" authorId="40" shapeId="0" xr:uid="{2269BCD4-1374-41A0-9D5D-46CAC8F7B4F4}">
      <text>
        <r>
          <rPr>
            <b/>
            <sz val="9"/>
            <color indexed="81"/>
            <rFont val="Tahoma"/>
            <family val="2"/>
          </rPr>
          <t>Paul Mokotoff:</t>
        </r>
        <r>
          <rPr>
            <sz val="9"/>
            <color indexed="81"/>
            <rFont val="Tahoma"/>
            <family val="2"/>
          </rPr>
          <t xml:space="preserve">
Assuming the same range as the A321ceo.</t>
        </r>
      </text>
    </comment>
    <comment ref="CS20" authorId="40" shapeId="0" xr:uid="{57BFDFF7-F9F9-417A-BFFC-94C764C7970B}">
      <text>
        <r>
          <rPr>
            <b/>
            <sz val="9"/>
            <color indexed="81"/>
            <rFont val="Tahoma"/>
            <family val="2"/>
          </rPr>
          <t>Paul Mokotoff:</t>
        </r>
        <r>
          <rPr>
            <sz val="9"/>
            <color indexed="81"/>
            <rFont val="Tahoma"/>
            <family val="2"/>
          </rPr>
          <t xml:space="preserve">
Assuming the same range as the A321ceo.</t>
        </r>
      </text>
    </comment>
    <comment ref="CT20" authorId="40" shapeId="0" xr:uid="{DB946C3D-F4A7-4E5F-9F70-7E8129602952}">
      <text>
        <r>
          <rPr>
            <b/>
            <sz val="9"/>
            <color indexed="81"/>
            <rFont val="Tahoma"/>
            <family val="2"/>
          </rPr>
          <t>Paul Mokotoff:</t>
        </r>
        <r>
          <rPr>
            <sz val="9"/>
            <color indexed="81"/>
            <rFont val="Tahoma"/>
            <family val="2"/>
          </rPr>
          <t xml:space="preserve">
Assuming the same range as the A321ceo.</t>
        </r>
      </text>
    </comment>
    <comment ref="CU20" authorId="40" shapeId="0" xr:uid="{8AA3C92F-1559-49B5-9E47-4C996F803BB8}">
      <text>
        <r>
          <rPr>
            <b/>
            <sz val="9"/>
            <color indexed="81"/>
            <rFont val="Tahoma"/>
            <family val="2"/>
          </rPr>
          <t>Paul Mokotoff:</t>
        </r>
        <r>
          <rPr>
            <sz val="9"/>
            <color indexed="81"/>
            <rFont val="Tahoma"/>
            <family val="2"/>
          </rPr>
          <t xml:space="preserve">
Assuming the same range as the A321ceo.</t>
        </r>
      </text>
    </comment>
    <comment ref="CV20" authorId="40" shapeId="0" xr:uid="{600AB2E0-F985-4B49-9F3D-70F3755508E6}">
      <text>
        <r>
          <rPr>
            <b/>
            <sz val="9"/>
            <color indexed="81"/>
            <rFont val="Tahoma"/>
            <family val="2"/>
          </rPr>
          <t>Paul Mokotoff:</t>
        </r>
        <r>
          <rPr>
            <sz val="9"/>
            <color indexed="81"/>
            <rFont val="Tahoma"/>
            <family val="2"/>
          </rPr>
          <t xml:space="preserve">
Assuming the same range as the A321ceo.</t>
        </r>
      </text>
    </comment>
    <comment ref="CW20" authorId="40" shapeId="0" xr:uid="{C36B65BF-36AD-4334-A942-9689A36DF37F}">
      <text>
        <r>
          <rPr>
            <b/>
            <sz val="9"/>
            <color indexed="81"/>
            <rFont val="Tahoma"/>
            <family val="2"/>
          </rPr>
          <t>Paul Mokotoff:</t>
        </r>
        <r>
          <rPr>
            <sz val="9"/>
            <color indexed="81"/>
            <rFont val="Tahoma"/>
            <family val="2"/>
          </rPr>
          <t xml:space="preserve">
Assuming the same range as the A321ceo.</t>
        </r>
      </text>
    </comment>
    <comment ref="CX20" authorId="40" shapeId="0" xr:uid="{F0250B91-7472-4606-85EE-E78528E26BA6}">
      <text>
        <r>
          <rPr>
            <b/>
            <sz val="9"/>
            <color indexed="81"/>
            <rFont val="Tahoma"/>
            <family val="2"/>
          </rPr>
          <t>Paul Mokotoff:</t>
        </r>
        <r>
          <rPr>
            <sz val="9"/>
            <color indexed="81"/>
            <rFont val="Tahoma"/>
            <family val="2"/>
          </rPr>
          <t xml:space="preserve">
Assuming the same range as the A321ceo.</t>
        </r>
      </text>
    </comment>
    <comment ref="CY20" authorId="40" shapeId="0" xr:uid="{031443C6-AA2A-4D84-B0AB-5FE68BC6FA77}">
      <text>
        <r>
          <rPr>
            <b/>
            <sz val="9"/>
            <color indexed="81"/>
            <rFont val="Tahoma"/>
            <family val="2"/>
          </rPr>
          <t>Paul Mokotoff:</t>
        </r>
        <r>
          <rPr>
            <sz val="9"/>
            <color indexed="81"/>
            <rFont val="Tahoma"/>
            <family val="2"/>
          </rPr>
          <t xml:space="preserve">
Assuming the same range as the A321ceo.</t>
        </r>
      </text>
    </comment>
    <comment ref="ET20" authorId="45" shapeId="0" xr:uid="{CCFCA2CC-A605-47E2-AAE4-9A1F550BA8C5}">
      <text>
        <t>[Threaded comment]
Your version of Excel allows you to read this threaded comment; however, any edits to it will get removed if the file is opened in a newer version of Excel. Learn more: https://go.microsoft.com/fwlink/?linkid=870924
Comment:
    Might be using the max range not design range?</t>
      </text>
    </comment>
    <comment ref="FF20" authorId="44" shapeId="0" xr:uid="{3D093C34-FE78-4676-A8E3-CE13DC44D458}">
      <text>
        <r>
          <rPr>
            <b/>
            <sz val="9"/>
            <color indexed="81"/>
            <rFont val="Tahoma"/>
            <family val="2"/>
          </rPr>
          <t>Michael Tsai:</t>
        </r>
        <r>
          <rPr>
            <sz val="9"/>
            <color indexed="81"/>
            <rFont val="Tahoma"/>
            <family val="2"/>
          </rPr>
          <t xml:space="preserve">
385 Passenger + baggage (not Full cargo load) </t>
        </r>
      </text>
    </comment>
    <comment ref="GC20" authorId="46" shapeId="0" xr:uid="{67C74FE7-660B-4710-9C61-1C0C12680769}">
      <text>
        <t>[Threaded comment]
Your version of Excel allows you to read this threaded comment; however, any edits to it will get removed if the file is opened in a newer version of Excel. Learn more: https://go.microsoft.com/fwlink/?linkid=870924
Comment:
    Unable to find in TCDS, Airport Planning Manual, or brochure</t>
      </text>
    </comment>
    <comment ref="GE20" authorId="47" shapeId="0" xr:uid="{F0BBB7B1-30B4-4B60-9D98-1822837291E5}">
      <text>
        <t>[Threaded comment]
Your version of Excel allows you to read this threaded comment; however, any edits to it will get removed if the file is opened in a newer version of Excel. Learn more: https://go.microsoft.com/fwlink/?linkid=870924
Comment:
    Unable to find in TCDS, Airport Planning Manual, or brochure</t>
      </text>
    </comment>
    <comment ref="GF20" authorId="48" shapeId="0" xr:uid="{51C97362-0139-4CAC-B256-9F8924993A00}">
      <text>
        <t>[Threaded comment]
Your version of Excel allows you to read this threaded comment; however, any edits to it will get removed if the file is opened in a newer version of Excel. Learn more: https://go.microsoft.com/fwlink/?linkid=870924
Comment:
    Unable to find in TCDS, Airport Planning Manual, or brochure</t>
      </text>
    </comment>
    <comment ref="GG20" authorId="49" shapeId="0" xr:uid="{E590A71D-CE6A-4642-A3F4-E1D65F5586B1}">
      <text>
        <t>[Threaded comment]
Your version of Excel allows you to read this threaded comment; however, any edits to it will get removed if the file is opened in a newer version of Excel. Learn more: https://go.microsoft.com/fwlink/?linkid=870924
Comment:
    Unable to find in TCDS, Airport Planning Manual, or brochure</t>
      </text>
    </comment>
    <comment ref="GJ20" authorId="50" shapeId="0" xr:uid="{C995430B-DC76-4081-8DC1-749A9DC73EB3}">
      <text>
        <t>[Threaded comment]
Your version of Excel allows you to read this threaded comment; however, any edits to it will get removed if the file is opened in a newer version of Excel. Learn more: https://go.microsoft.com/fwlink/?linkid=870924
Comment:
    Unable to find in TCDS, Airport Planning Manual, or brochure</t>
      </text>
    </comment>
    <comment ref="GR20" authorId="2" shapeId="0" xr:uid="{C1FC4A48-E7DA-4810-A1C9-55D33439C714}">
      <text>
        <r>
          <rPr>
            <sz val="11"/>
            <color theme="1"/>
            <rFont val="Calibri"/>
            <family val="2"/>
            <scheme val="minor"/>
          </rPr>
          <t xml:space="preserve">Aljaber, Rawan:
APM pg 57, payload/range diagram bottom peak </t>
        </r>
      </text>
    </comment>
    <comment ref="HA20" authorId="51" shapeId="0" xr:uid="{72972C0E-BA08-44D1-870E-D6A9C525A6FA}">
      <text>
        <t>[Threaded comment]
Your version of Excel allows you to read this threaded comment; however, any edits to it will get removed if the file is opened in a newer version of Excel. Learn more: https://go.microsoft.com/fwlink/?linkid=870924
Comment:
    Is this value correct</t>
      </text>
    </comment>
    <comment ref="IE20" authorId="2" shapeId="0" xr:uid="{9E3C206B-4535-492B-8FC5-58BEE4649464}">
      <text>
        <r>
          <rPr>
            <sz val="11"/>
            <color theme="1"/>
            <rFont val="Calibri"/>
            <family val="2"/>
            <scheme val="minor"/>
          </rPr>
          <t>Aljaber, Rawan:
at full pax</t>
        </r>
      </text>
    </comment>
    <comment ref="IF20" authorId="2" shapeId="0" xr:uid="{349C23D9-7545-4FD2-931D-1411BBC26EDB}">
      <text>
        <r>
          <rPr>
            <sz val="11"/>
            <color theme="1"/>
            <rFont val="Calibri"/>
            <family val="2"/>
            <scheme val="minor"/>
          </rPr>
          <t>Aljaber, Rawan:
at full pax</t>
        </r>
      </text>
    </comment>
    <comment ref="IG20" authorId="2" shapeId="0" xr:uid="{FE02CCF1-2DBB-40EE-B223-A945FADF03F3}">
      <text>
        <r>
          <rPr>
            <sz val="11"/>
            <color theme="1"/>
            <rFont val="Calibri"/>
            <family val="2"/>
            <scheme val="minor"/>
          </rPr>
          <t>Aljaber, Rawan:
at full pax</t>
        </r>
      </text>
    </comment>
    <comment ref="IH20" authorId="2" shapeId="0" xr:uid="{3B8FBC29-28C8-4D74-918E-859ECA617540}">
      <text>
        <r>
          <rPr>
            <sz val="11"/>
            <color theme="1"/>
            <rFont val="Calibri"/>
            <family val="2"/>
            <scheme val="minor"/>
          </rPr>
          <t>Aljaber, Rawan:
at full pax</t>
        </r>
      </text>
    </comment>
    <comment ref="II20" authorId="2" shapeId="0" xr:uid="{C0DEE346-B256-43B5-A423-BFFACB437D58}">
      <text>
        <r>
          <rPr>
            <sz val="11"/>
            <color theme="1"/>
            <rFont val="Calibri"/>
            <family val="2"/>
            <scheme val="minor"/>
          </rPr>
          <t>Aljaber, Rawan:
at 220,000 kg of OEW PLUS PAYLOAD axis</t>
        </r>
      </text>
    </comment>
    <comment ref="JP20" authorId="22" shapeId="0" xr:uid="{659C4BF3-B047-4507-A39E-D6A992FEDF5E}">
      <text>
        <r>
          <rPr>
            <sz val="11"/>
            <color theme="1"/>
            <rFont val="Calibri"/>
            <family val="2"/>
            <scheme val="minor"/>
          </rPr>
          <t>Dwibhashyam, Neha:
ISA conditions</t>
        </r>
      </text>
    </comment>
    <comment ref="JQ20" authorId="22" shapeId="0" xr:uid="{FEB91844-1497-4AA7-9872-168CF0888400}">
      <text>
        <r>
          <rPr>
            <sz val="11"/>
            <color theme="1"/>
            <rFont val="Calibri"/>
            <family val="2"/>
            <scheme val="minor"/>
          </rPr>
          <t>Dwibhashyam, Neha:
"En-route speed at M 0.78, 8 passengers (200 lb/each), 3 crew and NBAA IFR reserves (200 nm alternate airport, 35 min of holding at 5,000 ft" from Embraer website</t>
        </r>
      </text>
    </comment>
    <comment ref="JU20" authorId="22" shapeId="0" xr:uid="{F57BFD4C-0064-45D1-B83C-0B5F48F5AE85}">
      <text>
        <r>
          <rPr>
            <sz val="11"/>
            <color theme="1"/>
            <rFont val="Calibri"/>
            <family val="2"/>
            <scheme val="minor"/>
          </rPr>
          <t>Dwibhashyam, Neha:
ISA conditions</t>
        </r>
      </text>
    </comment>
    <comment ref="KA20" authorId="22" shapeId="0" xr:uid="{D9AD4AF0-E585-4D2B-87D7-FB62A1FECE53}">
      <text>
        <r>
          <rPr>
            <sz val="11"/>
            <color theme="1"/>
            <rFont val="Calibri"/>
            <family val="2"/>
            <scheme val="minor"/>
          </rPr>
          <t xml:space="preserve">Dwibhashyam, Neha:
with AE3007 A1P engines with thrust reverser. 
AE3007 A1E engines with thrust reverser is also listed. </t>
        </r>
      </text>
    </comment>
    <comment ref="OB20" authorId="10" shapeId="0" xr:uid="{BD3AE5F0-38C4-4DA1-9524-B404C7CEF0AC}">
      <text>
        <r>
          <rPr>
            <b/>
            <sz val="9"/>
            <color indexed="81"/>
            <rFont val="Tahoma"/>
            <family val="2"/>
          </rPr>
          <t>Max Arnson:</t>
        </r>
        <r>
          <rPr>
            <sz val="9"/>
            <color indexed="81"/>
            <rFont val="Tahoma"/>
            <family val="2"/>
          </rPr>
          <t xml:space="preserve">
max pax+baggage</t>
        </r>
      </text>
    </comment>
    <comment ref="OC20" authorId="10" shapeId="0" xr:uid="{48607F0C-ED59-4C6B-B00D-96CFF83BD19A}">
      <text>
        <r>
          <rPr>
            <b/>
            <sz val="9"/>
            <color indexed="81"/>
            <rFont val="Tahoma"/>
            <family val="2"/>
          </rPr>
          <t>Max Arnson:</t>
        </r>
        <r>
          <rPr>
            <sz val="9"/>
            <color indexed="81"/>
            <rFont val="Tahoma"/>
            <family val="2"/>
          </rPr>
          <t xml:space="preserve">
max pax+baggage</t>
        </r>
      </text>
    </comment>
    <comment ref="OD20" authorId="10" shapeId="0" xr:uid="{111ABD3C-C793-47A7-8AA1-62078C2DFDD3}">
      <text>
        <r>
          <rPr>
            <b/>
            <sz val="9"/>
            <color indexed="81"/>
            <rFont val="Tahoma"/>
            <family val="2"/>
          </rPr>
          <t>Max Arnson:</t>
        </r>
        <r>
          <rPr>
            <sz val="9"/>
            <color indexed="81"/>
            <rFont val="Tahoma"/>
            <family val="2"/>
          </rPr>
          <t xml:space="preserve">
max pax+baggage</t>
        </r>
      </text>
    </comment>
    <comment ref="OE20" authorId="10" shapeId="0" xr:uid="{E1ED0DE6-2715-4A9E-B3FE-FD4B0CD9281E}">
      <text>
        <r>
          <rPr>
            <b/>
            <sz val="9"/>
            <color indexed="81"/>
            <rFont val="Tahoma"/>
            <family val="2"/>
          </rPr>
          <t>Max Arnson:</t>
        </r>
        <r>
          <rPr>
            <sz val="9"/>
            <color indexed="81"/>
            <rFont val="Tahoma"/>
            <family val="2"/>
          </rPr>
          <t xml:space="preserve">
max pax+baggage</t>
        </r>
      </text>
    </comment>
    <comment ref="PL20" authorId="10" shapeId="0" xr:uid="{09020DC9-7B03-4F58-B68D-E5BEF0ABCE18}">
      <text>
        <r>
          <rPr>
            <b/>
            <sz val="9"/>
            <color indexed="81"/>
            <rFont val="Tahoma"/>
            <family val="2"/>
          </rPr>
          <t>Max Arnson:</t>
        </r>
        <r>
          <rPr>
            <sz val="9"/>
            <color indexed="81"/>
            <rFont val="Tahoma"/>
            <family val="2"/>
          </rPr>
          <t xml:space="preserve">
max pax range</t>
        </r>
      </text>
    </comment>
    <comment ref="FU21" authorId="2" shapeId="0" xr:uid="{A1EA0D4B-BE3A-480B-AC50-8338E58B91F0}">
      <text>
        <r>
          <rPr>
            <sz val="11"/>
            <color theme="1"/>
            <rFont val="Calibri"/>
            <family val="2"/>
            <scheme val="minor"/>
          </rPr>
          <t>Aljaber, Rawan:
APM pg 61, payload/range diagram bottom peak weight: 194,000kg - OEW(164030kg) = 29970kg</t>
        </r>
      </text>
    </comment>
    <comment ref="FV21" authorId="2" shapeId="0" xr:uid="{5D8D0A97-9D21-41A7-AF8D-FCA5BBBBDF86}">
      <text>
        <r>
          <rPr>
            <sz val="11"/>
            <color theme="1"/>
            <rFont val="Calibri"/>
            <family val="2"/>
            <scheme val="minor"/>
          </rPr>
          <t>Aljaber, Rawan:
APM pg 65, payload/range diagram bottom peak weight: 220000kg - OEW(166720kg) = 53280kg</t>
        </r>
      </text>
    </comment>
    <comment ref="FW21" authorId="2" shapeId="0" xr:uid="{C2BF7EB8-6D6C-4390-B7F5-FD14DD2B3A7C}">
      <text>
        <r>
          <rPr>
            <sz val="11"/>
            <color theme="1"/>
            <rFont val="Calibri"/>
            <family val="2"/>
            <scheme val="minor"/>
          </rPr>
          <t>Aljaber, Rawan:
APM pg 61, payload/range diagram bottom peak weight: 215000kg - OEW(178640kg) = 36360kg</t>
        </r>
      </text>
    </comment>
    <comment ref="FX21" authorId="2" shapeId="0" xr:uid="{DA066425-AB24-4DD7-8212-01278676EF2D}">
      <text>
        <r>
          <rPr>
            <sz val="11"/>
            <color theme="1"/>
            <rFont val="Calibri"/>
            <family val="2"/>
            <scheme val="minor"/>
          </rPr>
          <t>Aljaber, Rawan:
APM pg 60, payload/range diagram bottom peak weight: 190000kg - OEW(155180kg) = 34820kg</t>
        </r>
      </text>
    </comment>
    <comment ref="FY21" authorId="2" shapeId="0" xr:uid="{9D95ED01-12FE-4545-B50E-76CB6C9E7ECF}">
      <text>
        <r>
          <rPr>
            <sz val="11"/>
            <color theme="1"/>
            <rFont val="Calibri"/>
            <family val="2"/>
            <scheme val="minor"/>
          </rPr>
          <t>Aljaber, Rawan:
APM pg 61, payload/range diagram bottom peak weight: 194000kg - OEW(155180kg) = 38820kg</t>
        </r>
      </text>
    </comment>
    <comment ref="FZ21" authorId="2" shapeId="0" xr:uid="{9AF54AD9-744C-406A-A787-7CDF43FA0824}">
      <text>
        <r>
          <rPr>
            <sz val="11"/>
            <color theme="1"/>
            <rFont val="Calibri"/>
            <family val="2"/>
            <scheme val="minor"/>
          </rPr>
          <t>Aljaber, Rawan:
APM pg 62, payload/range diagram bottom peak weight: 200000kg - OEW(159600kg) = 40400kg</t>
        </r>
      </text>
    </comment>
    <comment ref="GA21" authorId="2" shapeId="0" xr:uid="{B2E92F63-75E5-43BC-A007-90C42BF5202C}">
      <text>
        <r>
          <rPr>
            <sz val="11"/>
            <color theme="1"/>
            <rFont val="Calibri"/>
            <family val="2"/>
            <scheme val="minor"/>
          </rPr>
          <t>Aljaber, Rawan:
APM pg 65, payload/range diagram bottom peak weight: 213000kg - OEW(157880kg) = 55120kg</t>
        </r>
      </text>
    </comment>
    <comment ref="HG21" authorId="52" shapeId="0" xr:uid="{8F425700-9856-4F84-96F6-333FC7A9210D}">
      <text>
        <t>[Threaded comment]
Your version of Excel allows you to read this threaded comment; however, any edits to it will get removed if the file is opened in a newer version of Excel. Learn more: https://go.microsoft.com/fwlink/?linkid=870924
Comment:
    OEW PLUS PAYLOAD (81000 kg) - OEW (51700 kg) = 29300 kg</t>
      </text>
    </comment>
    <comment ref="HR21" authorId="53" shapeId="0" xr:uid="{09EEF752-B412-42AC-BBBF-2468EA6974B2}">
      <text>
        <t>[Threaded comment]
Your version of Excel allows you to read this threaded comment; however, any edits to it will get removed if the file is opened in a newer version of Excel. Learn more: https://go.microsoft.com/fwlink/?linkid=870924
Comment:
    OEW PLUS PAYLOAD (127500 kg) - OEW (85275 kg) = 42225 kg</t>
      </text>
    </comment>
    <comment ref="HS21" authorId="54" shapeId="0" xr:uid="{C2518E0F-0B40-48D5-B1A1-676EC165B309}">
      <text>
        <t>[Threaded comment]
Your version of Excel allows you to read this threaded comment; however, any edits to it will get removed if the file is opened in a newer version of Excel. Learn more: https://go.microsoft.com/fwlink/?linkid=870924
Comment:
    OEW PLUS PAYLOAD (114,000 kg) - OEW (85321 kg) = 28679 kg</t>
      </text>
    </comment>
    <comment ref="A22" authorId="10" shapeId="0" xr:uid="{B4E783C0-4873-4C42-ADAA-20E1CF5A75BC}">
      <text>
        <r>
          <rPr>
            <b/>
            <sz val="9"/>
            <color indexed="81"/>
            <rFont val="Tahoma"/>
            <family val="2"/>
          </rPr>
          <t>Max Arnson:</t>
        </r>
        <r>
          <rPr>
            <sz val="9"/>
            <color indexed="81"/>
            <rFont val="Tahoma"/>
            <family val="2"/>
          </rPr>
          <t xml:space="preserve">
Really these are masses, not weights, however aircraft convention is to still use the word 'weight' when describing these quantities</t>
        </r>
      </text>
    </comment>
    <comment ref="A23" authorId="10" shapeId="0" xr:uid="{A7B30BA2-4C90-4180-B294-E72CEC98F6C3}">
      <text>
        <r>
          <rPr>
            <b/>
            <sz val="9"/>
            <color indexed="81"/>
            <rFont val="Tahoma"/>
            <family val="2"/>
          </rPr>
          <t>Max Arnson:</t>
        </r>
        <r>
          <rPr>
            <sz val="9"/>
            <color indexed="81"/>
            <rFont val="Tahoma"/>
            <family val="2"/>
          </rPr>
          <t xml:space="preserve">
Maximum Ramp Weight
</t>
        </r>
      </text>
    </comment>
    <comment ref="BD23" authorId="40" shapeId="0" xr:uid="{A9CEE778-E823-4389-92AE-240CEC965D16}">
      <text>
        <r>
          <rPr>
            <b/>
            <sz val="9"/>
            <color indexed="81"/>
            <rFont val="Tahoma"/>
            <family val="2"/>
          </rPr>
          <t>Paul Mokotoff:</t>
        </r>
        <r>
          <rPr>
            <sz val="9"/>
            <color indexed="81"/>
            <rFont val="Tahoma"/>
            <family val="2"/>
          </rPr>
          <t xml:space="preserve">
Using the weight variant  with the largest MTOW (WV005, Mod 31676) because that is what is advertised on the Airbus website.</t>
        </r>
      </text>
    </comment>
    <comment ref="BH23" authorId="9" shapeId="0" xr:uid="{D5A60614-BFA4-4B16-B272-03397F047E61}">
      <text>
        <r>
          <rPr>
            <sz val="11"/>
            <color theme="1"/>
            <rFont val="Calibri"/>
            <family val="2"/>
            <scheme val="minor"/>
          </rPr>
          <t>Using the weight variant  with the largest MTOW (WV002, Mod 27112) because that is what is advertised on the Airbus website.</t>
        </r>
      </text>
    </comment>
    <comment ref="BP23" authorId="9" shapeId="0" xr:uid="{7BD5931F-2596-4F99-994C-702743086776}">
      <text>
        <r>
          <rPr>
            <sz val="11"/>
            <color theme="1"/>
            <rFont val="Calibri"/>
            <family val="2"/>
            <scheme val="minor"/>
          </rPr>
          <t>Using the weight variant  with the largest MTOW (WV055, Mod 161390) because that is what is advertised on the Airbus website.</t>
        </r>
      </text>
    </comment>
    <comment ref="BQ23" authorId="9" shapeId="0" xr:uid="{77630237-DBDA-4936-9B3E-7BBE52C83D3E}">
      <text>
        <r>
          <rPr>
            <sz val="11"/>
            <color theme="1"/>
            <rFont val="Calibri"/>
            <family val="2"/>
            <scheme val="minor"/>
          </rPr>
          <t>Using the weight variant  with the largest MTOW (WV055, Mod 161390) because that is what is advertised on the Airbus website.</t>
        </r>
      </text>
    </comment>
    <comment ref="BR23" authorId="9" shapeId="0" xr:uid="{25F7E8CD-C0AD-4F5A-86F5-B20BA683F89F}">
      <text>
        <r>
          <rPr>
            <sz val="11"/>
            <color theme="1"/>
            <rFont val="Calibri"/>
            <family val="2"/>
            <scheme val="minor"/>
          </rPr>
          <t>Using the weight variant  with the largest MTOW (WV055, Mod 161390) because that is what is advertised on the Airbus website.</t>
        </r>
      </text>
    </comment>
    <comment ref="BS23" authorId="40" shapeId="0" xr:uid="{5E42A8D1-33B3-47B7-B34C-C76F74F1596B}">
      <text>
        <r>
          <rPr>
            <b/>
            <sz val="9"/>
            <color indexed="81"/>
            <rFont val="Tahoma"/>
            <family val="2"/>
          </rPr>
          <t>Paul Mokotoff:</t>
        </r>
        <r>
          <rPr>
            <sz val="9"/>
            <color indexed="81"/>
            <rFont val="Tahoma"/>
            <family val="2"/>
          </rPr>
          <t xml:space="preserve">
Using the weight variant  with the largest MTOW (WV120, Mod 164385) because that is what is advertised on the Airbus website.</t>
        </r>
      </text>
    </comment>
    <comment ref="BT23" authorId="9" shapeId="0" xr:uid="{72DF6B0A-C34B-4C1D-B064-1984FD56E6A5}">
      <text>
        <r>
          <rPr>
            <sz val="11"/>
            <color theme="1"/>
            <rFont val="Calibri"/>
            <family val="2"/>
            <scheme val="minor"/>
          </rPr>
          <t xml:space="preserve">Shine, Jayda:
VARIANT 000 BASIC </t>
        </r>
      </text>
    </comment>
    <comment ref="BU23" authorId="9" shapeId="0" xr:uid="{88998EF1-F62C-4058-903A-F8BC710F5538}">
      <text>
        <r>
          <rPr>
            <sz val="11"/>
            <color theme="1"/>
            <rFont val="Calibri"/>
            <family val="2"/>
            <scheme val="minor"/>
          </rPr>
          <t xml:space="preserve">Shine, Jayda:
VARIANT 000 BASIC </t>
        </r>
      </text>
    </comment>
    <comment ref="BV23" authorId="9" shapeId="0" xr:uid="{13B2A9F2-4D81-4DBB-87C4-F652D62B1A87}">
      <text>
        <r>
          <rPr>
            <sz val="11"/>
            <color theme="1"/>
            <rFont val="Calibri"/>
            <family val="2"/>
            <scheme val="minor"/>
          </rPr>
          <t xml:space="preserve">Shine, Jayda:
VARIANT 000 BASIC </t>
        </r>
      </text>
    </comment>
    <comment ref="BW23" authorId="40" shapeId="0" xr:uid="{474030F1-A86C-44F1-8AEF-64B194943E94}">
      <text>
        <r>
          <rPr>
            <b/>
            <sz val="9"/>
            <color indexed="81"/>
            <rFont val="Tahoma"/>
            <family val="2"/>
          </rPr>
          <t>Paul Mokotoff:</t>
        </r>
        <r>
          <rPr>
            <sz val="9"/>
            <color indexed="81"/>
            <rFont val="Tahoma"/>
            <family val="2"/>
          </rPr>
          <t xml:space="preserve">
Weight Variant 000</t>
        </r>
      </text>
    </comment>
    <comment ref="BX23" authorId="9" shapeId="0" xr:uid="{482B05FA-7C7C-4361-A1C1-329454941040}">
      <text>
        <r>
          <rPr>
            <sz val="11"/>
            <color theme="1"/>
            <rFont val="Calibri"/>
            <family val="2"/>
            <scheme val="minor"/>
          </rPr>
          <t xml:space="preserve">Shine, Jayda:
VARIANT 000 BASIC </t>
        </r>
      </text>
    </comment>
    <comment ref="BY23" authorId="9" shapeId="0" xr:uid="{DF666ADF-0C3D-4DA0-920E-976534CCEDDF}">
      <text>
        <r>
          <rPr>
            <sz val="11"/>
            <color theme="1"/>
            <rFont val="Calibri"/>
            <family val="2"/>
            <scheme val="minor"/>
          </rPr>
          <t xml:space="preserve">Shine, Jayda:
VARIANT 000 BASIC </t>
        </r>
      </text>
    </comment>
    <comment ref="BZ23" authorId="9" shapeId="0" xr:uid="{C73257F5-7E84-4B42-AE70-F71567C68384}">
      <text>
        <r>
          <rPr>
            <sz val="11"/>
            <color theme="1"/>
            <rFont val="Calibri"/>
            <family val="2"/>
            <scheme val="minor"/>
          </rPr>
          <t xml:space="preserve">Shine, Jayda:
VARIANT 000 BASIC </t>
        </r>
      </text>
    </comment>
    <comment ref="CA23" authorId="9" shapeId="0" xr:uid="{72EFC5E2-8079-4CFE-BBE2-AB5B0198732C}">
      <text>
        <r>
          <rPr>
            <sz val="11"/>
            <color theme="1"/>
            <rFont val="Calibri"/>
            <family val="2"/>
            <scheme val="minor"/>
          </rPr>
          <t xml:space="preserve">Shine, Jayda:
VARIANT 000 BASIC </t>
        </r>
      </text>
    </comment>
    <comment ref="CB23" authorId="9" shapeId="0" xr:uid="{58185EB5-5496-4FD3-B8CE-F303A64AA56D}">
      <text>
        <r>
          <rPr>
            <sz val="11"/>
            <color theme="1"/>
            <rFont val="Calibri"/>
            <family val="2"/>
            <scheme val="minor"/>
          </rPr>
          <t>Shine, Jayda:
VARIANT 050 BASIC</t>
        </r>
      </text>
    </comment>
    <comment ref="CC23" authorId="9" shapeId="0" xr:uid="{4CEC3A9F-C4FB-4E0E-81E6-9B0093C98932}">
      <text>
        <r>
          <rPr>
            <sz val="11"/>
            <color theme="1"/>
            <rFont val="Calibri"/>
            <family val="2"/>
            <scheme val="minor"/>
          </rPr>
          <t>Shine, Jayda:
VARIANT 050 BASIC</t>
        </r>
      </text>
    </comment>
    <comment ref="CD23" authorId="9" shapeId="0" xr:uid="{288832EA-B6C0-42AD-B935-D104C6A10F86}">
      <text>
        <r>
          <rPr>
            <sz val="11"/>
            <color theme="1"/>
            <rFont val="Calibri"/>
            <family val="2"/>
            <scheme val="minor"/>
          </rPr>
          <t>Shine, Jayda:
VARIANT 050 BASIC</t>
        </r>
      </text>
    </comment>
    <comment ref="CE23" authorId="9" shapeId="0" xr:uid="{207648F0-DDE1-495A-A04F-F462C3A5A6B1}">
      <text>
        <r>
          <rPr>
            <sz val="11"/>
            <color theme="1"/>
            <rFont val="Calibri"/>
            <family val="2"/>
            <scheme val="minor"/>
          </rPr>
          <t>Shine, Jayda:
VARIANT 050 BASIC</t>
        </r>
      </text>
    </comment>
    <comment ref="CF23" authorId="9" shapeId="0" xr:uid="{A78C4163-F173-4402-AD3B-F5B0F0E5FFFF}">
      <text>
        <r>
          <rPr>
            <sz val="11"/>
            <color theme="1"/>
            <rFont val="Calibri"/>
            <family val="2"/>
            <scheme val="minor"/>
          </rPr>
          <t>Shine, Jayda:
VARIANT 050 BASIC</t>
        </r>
      </text>
    </comment>
    <comment ref="CG23" authorId="9" shapeId="0" xr:uid="{AB980A76-FAFE-452F-84FC-F37E5DCD5C49}">
      <text>
        <r>
          <rPr>
            <sz val="11"/>
            <color theme="1"/>
            <rFont val="Calibri"/>
            <family val="2"/>
            <scheme val="minor"/>
          </rPr>
          <t>Shine, Jayda:
VARIANT 050 BASIC</t>
        </r>
      </text>
    </comment>
    <comment ref="CH23" authorId="40" shapeId="0" xr:uid="{3CFCAFA0-B4CF-44A7-A639-8CA371DBE646}">
      <text>
        <r>
          <rPr>
            <b/>
            <sz val="9"/>
            <color indexed="81"/>
            <rFont val="Tahoma"/>
            <family val="2"/>
          </rPr>
          <t>Paul Mokotoff:</t>
        </r>
        <r>
          <rPr>
            <sz val="9"/>
            <color indexed="81"/>
            <rFont val="Tahoma"/>
            <family val="2"/>
          </rPr>
          <t xml:space="preserve">
Weights from WV008.</t>
        </r>
      </text>
    </comment>
    <comment ref="CI23" authorId="40" shapeId="0" xr:uid="{A8CD4210-993E-40B0-8A55-FFE4A1E8377B}">
      <text>
        <r>
          <rPr>
            <b/>
            <sz val="9"/>
            <color indexed="81"/>
            <rFont val="Tahoma"/>
            <family val="2"/>
          </rPr>
          <t>Paul Mokotoff:</t>
        </r>
        <r>
          <rPr>
            <sz val="9"/>
            <color indexed="81"/>
            <rFont val="Tahoma"/>
            <family val="2"/>
          </rPr>
          <t xml:space="preserve">
Weights from WV008.</t>
        </r>
      </text>
    </comment>
    <comment ref="CJ23" authorId="40" shapeId="0" xr:uid="{F34450EB-506A-438C-BDBD-E92AEBF486CE}">
      <text>
        <r>
          <rPr>
            <b/>
            <sz val="9"/>
            <color indexed="81"/>
            <rFont val="Tahoma"/>
            <family val="2"/>
          </rPr>
          <t>Paul Mokotoff:</t>
        </r>
        <r>
          <rPr>
            <sz val="9"/>
            <color indexed="81"/>
            <rFont val="Tahoma"/>
            <family val="2"/>
          </rPr>
          <t xml:space="preserve">
Weights from WV008.</t>
        </r>
      </text>
    </comment>
    <comment ref="CK23" authorId="40" shapeId="0" xr:uid="{11D1B525-A2EF-42A8-9E68-26A5C5A798F8}">
      <text>
        <r>
          <rPr>
            <b/>
            <sz val="9"/>
            <color indexed="81"/>
            <rFont val="Tahoma"/>
            <family val="2"/>
          </rPr>
          <t>Paul Mokotoff:</t>
        </r>
        <r>
          <rPr>
            <sz val="9"/>
            <color indexed="81"/>
            <rFont val="Tahoma"/>
            <family val="2"/>
          </rPr>
          <t xml:space="preserve">
Weights from WV008.</t>
        </r>
      </text>
    </comment>
    <comment ref="CL23" authorId="40" shapeId="0" xr:uid="{0D3FC2CB-5F96-4B0F-9D8E-68B779600794}">
      <text>
        <r>
          <rPr>
            <b/>
            <sz val="9"/>
            <color indexed="81"/>
            <rFont val="Tahoma"/>
            <family val="2"/>
          </rPr>
          <t>Paul Mokotoff:</t>
        </r>
        <r>
          <rPr>
            <sz val="9"/>
            <color indexed="81"/>
            <rFont val="Tahoma"/>
            <family val="2"/>
          </rPr>
          <t xml:space="preserve">
Weights from WV008.</t>
        </r>
      </text>
    </comment>
    <comment ref="CM23" authorId="40" shapeId="0" xr:uid="{6802E7FB-BF81-43B7-91B1-324AB94A65A8}">
      <text>
        <r>
          <rPr>
            <b/>
            <sz val="9"/>
            <color indexed="81"/>
            <rFont val="Tahoma"/>
            <family val="2"/>
          </rPr>
          <t>Paul Mokotoff:</t>
        </r>
        <r>
          <rPr>
            <sz val="9"/>
            <color indexed="81"/>
            <rFont val="Tahoma"/>
            <family val="2"/>
          </rPr>
          <t xml:space="preserve">
Weights from WV008.</t>
        </r>
      </text>
    </comment>
    <comment ref="CN23" authorId="40" shapeId="0" xr:uid="{688D988C-AC41-48C1-B88B-B9F6B6457E35}">
      <text>
        <r>
          <rPr>
            <b/>
            <sz val="9"/>
            <color indexed="81"/>
            <rFont val="Tahoma"/>
            <family val="2"/>
          </rPr>
          <t>Paul Mokotoff:</t>
        </r>
        <r>
          <rPr>
            <sz val="9"/>
            <color indexed="81"/>
            <rFont val="Tahoma"/>
            <family val="2"/>
          </rPr>
          <t xml:space="preserve">
Weights from WV008.</t>
        </r>
      </text>
    </comment>
    <comment ref="CO23" authorId="40" shapeId="0" xr:uid="{A6CF6516-DC5C-4EAA-8BBA-123498B35605}">
      <text>
        <r>
          <rPr>
            <b/>
            <sz val="9"/>
            <color indexed="81"/>
            <rFont val="Tahoma"/>
            <family val="2"/>
          </rPr>
          <t>Paul Mokotoff:</t>
        </r>
        <r>
          <rPr>
            <sz val="9"/>
            <color indexed="81"/>
            <rFont val="Tahoma"/>
            <family val="2"/>
          </rPr>
          <t xml:space="preserve">
Weights from WV008.</t>
        </r>
      </text>
    </comment>
    <comment ref="CP23" authorId="9" shapeId="0" xr:uid="{1515E48F-C393-4F23-85F9-032C553A2820}">
      <text>
        <r>
          <rPr>
            <sz val="11"/>
            <color theme="1"/>
            <rFont val="Calibri"/>
            <family val="2"/>
            <scheme val="minor"/>
          </rPr>
          <t>Shine, Jayda:
VARIANT 50 BASIC</t>
        </r>
      </text>
    </comment>
    <comment ref="CQ23" authorId="9" shapeId="0" xr:uid="{CA980D32-3C8C-43FF-92DA-AB14F46B1A87}">
      <text>
        <r>
          <rPr>
            <sz val="11"/>
            <color theme="1"/>
            <rFont val="Calibri"/>
            <family val="2"/>
            <scheme val="minor"/>
          </rPr>
          <t>Shine, Jayda:
VARIANT 50 BASIC</t>
        </r>
      </text>
    </comment>
    <comment ref="CR23" authorId="9" shapeId="0" xr:uid="{77824814-CDC2-4511-BD32-69F5A5FC717C}">
      <text>
        <r>
          <rPr>
            <sz val="11"/>
            <color theme="1"/>
            <rFont val="Calibri"/>
            <family val="2"/>
            <scheme val="minor"/>
          </rPr>
          <t>Shine, Jayda:
VARIANT 50 BASIC</t>
        </r>
      </text>
    </comment>
    <comment ref="CS23" authorId="9" shapeId="0" xr:uid="{73EE3274-185D-47FF-A9C9-46CA4D816D48}">
      <text>
        <r>
          <rPr>
            <sz val="11"/>
            <color theme="1"/>
            <rFont val="Calibri"/>
            <family val="2"/>
            <scheme val="minor"/>
          </rPr>
          <t>Shine, Jayda:
VARIANT 50 BASIC</t>
        </r>
      </text>
    </comment>
    <comment ref="CT23" authorId="9" shapeId="0" xr:uid="{55021F5F-856C-4FD3-89F4-2C5B8658532F}">
      <text>
        <r>
          <rPr>
            <sz val="11"/>
            <color theme="1"/>
            <rFont val="Calibri"/>
            <family val="2"/>
            <scheme val="minor"/>
          </rPr>
          <t>Shine, Jayda:
VARIANT 50 BASIC</t>
        </r>
      </text>
    </comment>
    <comment ref="CU23" authorId="9" shapeId="0" xr:uid="{F328F98C-00C7-436D-BD09-A3B2D7058E03}">
      <text>
        <r>
          <rPr>
            <sz val="11"/>
            <color theme="1"/>
            <rFont val="Calibri"/>
            <family val="2"/>
            <scheme val="minor"/>
          </rPr>
          <t>Shine, Jayda:
VARIANT 50 BASIC</t>
        </r>
      </text>
    </comment>
    <comment ref="CV23" authorId="9" shapeId="0" xr:uid="{FB16E56B-DDB5-4062-BB60-0C269168DB1A}">
      <text>
        <r>
          <rPr>
            <sz val="11"/>
            <color theme="1"/>
            <rFont val="Calibri"/>
            <family val="2"/>
            <scheme val="minor"/>
          </rPr>
          <t>Shine, Jayda:
VARIANT 50 BASIC</t>
        </r>
      </text>
    </comment>
    <comment ref="CW23" authorId="9" shapeId="0" xr:uid="{54DD6404-DFE7-4F13-85DA-2EF28D913334}">
      <text>
        <r>
          <rPr>
            <sz val="11"/>
            <color theme="1"/>
            <rFont val="Calibri"/>
            <family val="2"/>
            <scheme val="minor"/>
          </rPr>
          <t>Shine, Jayda:
VARIANT 50 BASIC</t>
        </r>
      </text>
    </comment>
    <comment ref="CX23" authorId="9" shapeId="0" xr:uid="{FD190BBA-D2A2-47DC-ACD5-A941CC1B22B3}">
      <text>
        <r>
          <rPr>
            <sz val="11"/>
            <color theme="1"/>
            <rFont val="Calibri"/>
            <family val="2"/>
            <scheme val="minor"/>
          </rPr>
          <t>Shine, Jayda:
VARIANT 50 BASIC</t>
        </r>
      </text>
    </comment>
    <comment ref="CY23" authorId="9" shapeId="0" xr:uid="{415D73C4-BE60-4D83-A139-A299367981B5}">
      <text>
        <r>
          <rPr>
            <sz val="11"/>
            <color theme="1"/>
            <rFont val="Calibri"/>
            <family val="2"/>
            <scheme val="minor"/>
          </rPr>
          <t>Shine, Jayda:
VARIANT 50 BASIC</t>
        </r>
      </text>
    </comment>
    <comment ref="CZ23" authorId="9" shapeId="0" xr:uid="{F52A0B02-F893-4ABC-9D7E-B0A9D7F98ACC}">
      <text>
        <r>
          <rPr>
            <sz val="11"/>
            <color theme="1"/>
            <rFont val="Calibri"/>
            <family val="2"/>
            <scheme val="minor"/>
          </rPr>
          <t xml:space="preserve">Max., Heaviest Variant
</t>
        </r>
      </text>
    </comment>
    <comment ref="DR23" authorId="9" shapeId="0" xr:uid="{2076D748-1B0E-4511-AD70-6FD1342C82D8}">
      <text>
        <r>
          <rPr>
            <sz val="11"/>
            <color theme="1"/>
            <rFont val="Calibri"/>
            <family val="2"/>
            <scheme val="minor"/>
          </rPr>
          <t>Shine, Jayda:
FOR A330-900 WV900</t>
        </r>
      </text>
    </comment>
    <comment ref="EM23" authorId="2" shapeId="0" xr:uid="{B0E292A1-D302-4A49-9223-CF097D331EAE}">
      <text>
        <r>
          <rPr>
            <sz val="11"/>
            <color theme="1"/>
            <rFont val="Calibri"/>
            <family val="2"/>
            <scheme val="minor"/>
          </rPr>
          <t>Aljaber, Rawan:
All weights have first column info, there are more columns with different variations
https://www.boeing.com/assets/pdf/commercial/airports/acaps/737.pdf</t>
        </r>
      </text>
    </comment>
    <comment ref="EN23" authorId="2" shapeId="0" xr:uid="{6B500A42-CA44-4724-86AF-F9DD2E4D93AA}">
      <text>
        <r>
          <rPr>
            <sz val="11"/>
            <color theme="1"/>
            <rFont val="Calibri"/>
            <family val="2"/>
            <scheme val="minor"/>
          </rPr>
          <t>Aljaber, Rawan:
All weights have first column info, there are more columns with different variations
https://www.boeing.com/assets/pdf/commercial/airports/acaps/737.pdf</t>
        </r>
      </text>
    </comment>
    <comment ref="EO23" authorId="2" shapeId="0" xr:uid="{0343FE77-717C-4BAB-BCD5-3CCB7173E08B}">
      <text>
        <r>
          <rPr>
            <sz val="11"/>
            <color theme="1"/>
            <rFont val="Calibri"/>
            <family val="2"/>
            <scheme val="minor"/>
          </rPr>
          <t>Aljaber, Rawan:
All weights have first column info, there are more columns with different variations
https://www.boeing.com/assets/pdf/commercial/airports/acaps/737.pdf</t>
        </r>
      </text>
    </comment>
    <comment ref="EW23" authorId="55" shapeId="0" xr:uid="{0E280ED1-814A-4392-8AB8-D574A37A8EF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@Arnson, Maxfield check these later</t>
      </text>
    </comment>
    <comment ref="GL23" authorId="56" shapeId="0" xr:uid="{22D28C2F-3562-4721-B7C0-61E424026132}">
      <text>
        <t>[Threaded comment]
Your version of Excel allows you to read this threaded comment; however, any edits to it will get removed if the file is opened in a newer version of Excel. Learn more: https://go.microsoft.com/fwlink/?linkid=870924
Comment:
    First column from left</t>
      </text>
    </comment>
    <comment ref="GM23" authorId="57" shapeId="0" xr:uid="{60DEBABA-FE2B-44F9-BC51-4D5BD7B10181}">
      <text>
        <t>[Threaded comment]
Your version of Excel allows you to read this threaded comment; however, any edits to it will get removed if the file is opened in a newer version of Excel. Learn more: https://go.microsoft.com/fwlink/?linkid=870924
Comment:
    First column from left</t>
      </text>
    </comment>
    <comment ref="GN23" authorId="58" shapeId="0" xr:uid="{7BB6AB4A-F044-42AC-B5CB-F8430535C57C}">
      <text>
        <t>[Threaded comment]
Your version of Excel allows you to read this threaded comment; however, any edits to it will get removed if the file is opened in a newer version of Excel. Learn more: https://go.microsoft.com/fwlink/?linkid=870924
Comment:
    First column from left</t>
      </text>
    </comment>
    <comment ref="GO23" authorId="59" shapeId="0" xr:uid="{3BF2B281-27BB-4EA1-9247-E309D2AE4B60}">
      <text>
        <t>[Threaded comment]
Your version of Excel allows you to read this threaded comment; however, any edits to it will get removed if the file is opened in a newer version of Excel. Learn more: https://go.microsoft.com/fwlink/?linkid=870924
Comment:
    First column from left</t>
      </text>
    </comment>
    <comment ref="GP23" authorId="60" shapeId="0" xr:uid="{E1CA631A-2394-44CE-9C93-8A96F82723C1}">
      <text>
        <t>[Threaded comment]
Your version of Excel allows you to read this threaded comment; however, any edits to it will get removed if the file is opened in a newer version of Excel. Learn more: https://go.microsoft.com/fwlink/?linkid=870924
Comment:
    First column from left</t>
      </text>
    </comment>
    <comment ref="GQ23" authorId="61" shapeId="0" xr:uid="{0A4B6403-FFC0-4637-AD25-7250914A0637}">
      <text>
        <t>[Threaded comment]
Your version of Excel allows you to read this threaded comment; however, any edits to it will get removed if the file is opened in a newer version of Excel. Learn more: https://go.microsoft.com/fwlink/?linkid=870924
Comment:
    First column from left</t>
      </text>
    </comment>
    <comment ref="GR23" authorId="62" shapeId="0" xr:uid="{94D644FA-FF16-45E8-BF5D-02F6BA85FAFD}">
      <text>
        <t>[Threaded comment]
Your version of Excel allows you to read this threaded comment; however, any edits to it will get removed if the file is opened in a newer version of Excel. Learn more: https://go.microsoft.com/fwlink/?linkid=870924
Comment:
    First column from right</t>
      </text>
    </comment>
    <comment ref="GS23" authorId="63" shapeId="0" xr:uid="{BA9BBC69-D499-4581-A402-4393761A0A90}">
      <text>
        <t>[Threaded comment]
Your version of Excel allows you to read this threaded comment; however, any edits to it will get removed if the file is opened in a newer version of Excel. Learn more: https://go.microsoft.com/fwlink/?linkid=870924
Comment:
    First column from left</t>
      </text>
    </comment>
    <comment ref="HA23" authorId="64" shapeId="0" xr:uid="{EE7E7EEA-3051-43A3-9D2A-752CB3035F5A}">
      <text>
        <t>[Threaded comment]
Your version of Excel allows you to read this threaded comment; however, any edits to it will get removed if the file is opened in a newer version of Excel. Learn more: https://go.microsoft.com/fwlink/?linkid=870924
Comment:
    Used first column from left to match P-R</t>
      </text>
    </comment>
    <comment ref="IK23" authorId="2" shapeId="0" xr:uid="{D1E3DF6B-D788-46FC-A88A-126449206D4F}">
      <text>
        <r>
          <rPr>
            <sz val="11"/>
            <color theme="1"/>
            <rFont val="Calibri"/>
            <family val="2"/>
            <scheme val="minor"/>
          </rPr>
          <t>Aljaber, Rawan:
In TCDS weights reported as generally the same for both GE and RR engines for each family of the a/c</t>
        </r>
      </text>
    </comment>
    <comment ref="KF23" authorId="22" shapeId="0" xr:uid="{11952B3F-6AC3-4AD9-A4F8-6AE80CDF6725}">
      <text>
        <r>
          <rPr>
            <sz val="11"/>
            <color theme="1"/>
            <rFont val="Calibri"/>
            <family val="2"/>
            <scheme val="minor"/>
          </rPr>
          <t>Dwibhashyam, Neha:
weight values in this column for A1/1 engines, not A1</t>
        </r>
      </text>
    </comment>
    <comment ref="NV23" authorId="41" shapeId="0" xr:uid="{AAEAB534-D02C-482D-B7C1-A653A459E03F}">
      <text>
        <r>
          <rPr>
            <b/>
            <sz val="9"/>
            <color indexed="81"/>
            <rFont val="Tahoma"/>
            <family val="2"/>
          </rPr>
          <t>Jayda Shine:</t>
        </r>
        <r>
          <rPr>
            <sz val="9"/>
            <color indexed="81"/>
            <rFont val="Tahoma"/>
            <family val="2"/>
          </rPr>
          <t xml:space="preserve">
274655 kg in Airport Planning Manual
</t>
        </r>
      </text>
    </comment>
    <comment ref="NW23" authorId="41" shapeId="0" xr:uid="{07015FB8-6AF1-49EF-9247-C6666233B881}">
      <text>
        <r>
          <rPr>
            <b/>
            <sz val="9"/>
            <color indexed="81"/>
            <rFont val="Tahoma"/>
            <family val="2"/>
          </rPr>
          <t>Jayda Shine:</t>
        </r>
        <r>
          <rPr>
            <sz val="9"/>
            <color indexed="81"/>
            <rFont val="Tahoma"/>
            <family val="2"/>
          </rPr>
          <t xml:space="preserve">
274655 kg in Airport Planning Manual
</t>
        </r>
      </text>
    </comment>
    <comment ref="OB23" authorId="10" shapeId="0" xr:uid="{F31664AC-C5DC-4F32-BCF8-73639C177B35}">
      <text>
        <r>
          <rPr>
            <b/>
            <sz val="9"/>
            <color indexed="81"/>
            <rFont val="Tahoma"/>
            <family val="2"/>
          </rPr>
          <t>Max Arnson:</t>
        </r>
        <r>
          <rPr>
            <sz val="9"/>
            <color indexed="81"/>
            <rFont val="Tahoma"/>
            <family val="2"/>
          </rPr>
          <t xml:space="preserve">
these weights differ from what is listed in the flight manual from delta
</t>
        </r>
      </text>
    </comment>
    <comment ref="A24" authorId="10" shapeId="0" xr:uid="{04E0619A-2C54-41A3-A844-C0E94DABF5DA}">
      <text>
        <r>
          <rPr>
            <b/>
            <sz val="9"/>
            <color indexed="81"/>
            <rFont val="Tahoma"/>
            <family val="2"/>
          </rPr>
          <t>Max Arnson:</t>
        </r>
        <r>
          <rPr>
            <sz val="9"/>
            <color indexed="81"/>
            <rFont val="Tahoma"/>
            <family val="2"/>
          </rPr>
          <t xml:space="preserve">
Maximum Takeoff Weight
</t>
        </r>
      </text>
    </comment>
    <comment ref="CC24" authorId="65" shapeId="0" xr:uid="{B9C45081-A668-4BEC-B605-B4347A89DC5D}">
      <text>
        <t xml:space="preserve">[Threaded comment]
Your version of Excel allows you to read this threaded comment; however, any edits to it will get removed if the file is opened in a newer version of Excel. Learn more: https://go.microsoft.com/fwlink/?linkid=870924
Comment:
    The airbus fact sheet says MTOW should be 79 metric tons. Skeptical of this value
</t>
      </text>
    </comment>
    <comment ref="EH24" authorId="66" shapeId="0" xr:uid="{BBC94494-D436-4FAE-BDA0-8CD3FD6846D2}">
      <text>
        <t>[Threaded comment]
Your version of Excel allows you to read this threaded comment; however, any edits to it will get removed if the file is opened in a newer version of Excel. Learn more: https://go.microsoft.com/fwlink/?linkid=870924
Comment:
    Maximum Flight Weight. Gotta double check if this means MTOW</t>
      </text>
    </comment>
    <comment ref="JC24" authorId="22" shapeId="0" xr:uid="{9AC91CB0-1F45-4402-9E40-693464A9E76F}">
      <text>
        <r>
          <rPr>
            <sz val="11"/>
            <color theme="1"/>
            <rFont val="Calibri"/>
            <family val="2"/>
            <scheme val="minor"/>
          </rPr>
          <t>Dwibhashyam, Neha:
Multiple values listed in TCDS. Used lowest value for each aircraft</t>
        </r>
      </text>
    </comment>
    <comment ref="JD24" authorId="22" shapeId="0" xr:uid="{D5F33584-F589-45E7-8654-2C8CDC042A02}">
      <text>
        <r>
          <rPr>
            <sz val="11"/>
            <color theme="1"/>
            <rFont val="Calibri"/>
            <family val="2"/>
            <scheme val="minor"/>
          </rPr>
          <t>Dwibhashyam, Neha:
Multiple values listed in TCDS. Used lowest value for each aircraft</t>
        </r>
      </text>
    </comment>
    <comment ref="JE24" authorId="22" shapeId="0" xr:uid="{BCCDFBD7-6792-45C6-B86D-DBA3C529E3C5}">
      <text>
        <r>
          <rPr>
            <sz val="11"/>
            <color theme="1"/>
            <rFont val="Calibri"/>
            <family val="2"/>
            <scheme val="minor"/>
          </rPr>
          <t>Dwibhashyam, Neha:
Multiple values listed in TCDS. Used lowest value for each aircraft</t>
        </r>
      </text>
    </comment>
    <comment ref="JG24" authorId="22" shapeId="0" xr:uid="{9AE31C26-DA06-4C3D-940E-4C733A694B34}">
      <text>
        <r>
          <rPr>
            <sz val="11"/>
            <color theme="1"/>
            <rFont val="Calibri"/>
            <family val="2"/>
            <scheme val="minor"/>
          </rPr>
          <t>Dwibhashyam, Neha:
Multiple values listed in TCDS. Used lowest value for each aircraft</t>
        </r>
      </text>
    </comment>
    <comment ref="JU24" authorId="67" shapeId="0" xr:uid="{AFDF0E40-5B51-4DDF-81F6-55ABCAF3A8F7}">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Discrepancy between GY and GW23 @Arnson, Maxfield </t>
      </text>
    </comment>
    <comment ref="NV24" authorId="41" shapeId="0" xr:uid="{1702415C-F37A-4C7F-8259-1A5E8DC167E0}">
      <text>
        <r>
          <rPr>
            <b/>
            <sz val="9"/>
            <color indexed="81"/>
            <rFont val="Tahoma"/>
            <family val="2"/>
          </rPr>
          <t>Jayda Shine:</t>
        </r>
        <r>
          <rPr>
            <sz val="9"/>
            <color indexed="81"/>
            <rFont val="Tahoma"/>
            <family val="2"/>
          </rPr>
          <t xml:space="preserve">
273294 kg in Airport Planning Manual </t>
        </r>
      </text>
    </comment>
    <comment ref="NW24" authorId="41" shapeId="0" xr:uid="{C3F77754-7C94-4E0E-9B5E-0F334D222878}">
      <text>
        <r>
          <rPr>
            <b/>
            <sz val="9"/>
            <color indexed="81"/>
            <rFont val="Tahoma"/>
            <family val="2"/>
          </rPr>
          <t>Jayda Shine:</t>
        </r>
        <r>
          <rPr>
            <sz val="9"/>
            <color indexed="81"/>
            <rFont val="Tahoma"/>
            <family val="2"/>
          </rPr>
          <t xml:space="preserve">
273294 kg in Airport Planning Manual </t>
        </r>
      </text>
    </comment>
    <comment ref="A25" authorId="10" shapeId="0" xr:uid="{A951BF00-D1F3-46B9-AE2E-D75E2644D12E}">
      <text>
        <r>
          <rPr>
            <b/>
            <sz val="9"/>
            <color indexed="81"/>
            <rFont val="Tahoma"/>
            <family val="2"/>
          </rPr>
          <t>Max Arnson:</t>
        </r>
        <r>
          <rPr>
            <sz val="9"/>
            <color indexed="81"/>
            <rFont val="Tahoma"/>
            <family val="2"/>
          </rPr>
          <t xml:space="preserve">
Maximum Landing Weight
</t>
        </r>
      </text>
    </comment>
    <comment ref="AA25" authorId="0" shapeId="0" xr:uid="{200B29A9-85A2-43BD-95B5-CA972D06675E}">
      <text>
        <r>
          <rPr>
            <sz val="11"/>
            <color theme="1"/>
            <rFont val="Calibri"/>
            <family val="2"/>
            <scheme val="minor"/>
          </rPr>
          <t>Khailany, Nawa:
136000kg corresponds to slats at 16 degrees and flaps at 15 degrees. 
134000kg corresponds to slats at 25 degrees and flaps at 25 degrees.</t>
        </r>
      </text>
    </comment>
    <comment ref="AQ25" authorId="0" shapeId="0" xr:uid="{72043315-1006-4B87-BD7C-BCCE977D30C1}">
      <text>
        <r>
          <rPr>
            <sz val="11"/>
            <color theme="1"/>
            <rFont val="Calibri"/>
            <family val="2"/>
            <scheme val="minor"/>
          </rPr>
          <t>Khailany, Nawa:
136000kg corresponds to slats at 16 degrees and flaps at 15 degrees. 
134000kg corresponds to slats at 25 degrees and flaps at 25 degrees.</t>
        </r>
      </text>
    </comment>
    <comment ref="JS25" authorId="22" shapeId="0" xr:uid="{9C2CA69A-3F5A-4E5E-81E6-357FE7A4333F}">
      <text>
        <r>
          <rPr>
            <sz val="11"/>
            <color theme="1"/>
            <rFont val="Calibri"/>
            <family val="2"/>
            <scheme val="minor"/>
          </rPr>
          <t>Dwibhashyam, Neha:
94794 lb</t>
        </r>
      </text>
    </comment>
    <comment ref="JU25" authorId="22" shapeId="0" xr:uid="{F55953B1-5452-4B38-82DF-9A14E882B2BE}">
      <text>
        <r>
          <rPr>
            <sz val="11"/>
            <color theme="1"/>
            <rFont val="Calibri"/>
            <family val="2"/>
            <scheme val="minor"/>
          </rPr>
          <t>Dwibhashyam, Neha:
105816 lb</t>
        </r>
      </text>
    </comment>
    <comment ref="NV25" authorId="41" shapeId="0" xr:uid="{22452298-A717-4653-8F67-AC22ECBCE2D5}">
      <text>
        <r>
          <rPr>
            <b/>
            <sz val="9"/>
            <color indexed="81"/>
            <rFont val="Tahoma"/>
            <family val="2"/>
          </rPr>
          <t>Jayda Shine:</t>
        </r>
        <r>
          <rPr>
            <sz val="9"/>
            <color indexed="81"/>
            <rFont val="Tahoma"/>
            <family val="2"/>
          </rPr>
          <t xml:space="preserve">
195048 kg in Airport Planning Manual</t>
        </r>
      </text>
    </comment>
    <comment ref="NW25" authorId="41" shapeId="0" xr:uid="{AE366D52-A4D3-4178-8D8D-1F7F292989C7}">
      <text>
        <r>
          <rPr>
            <b/>
            <sz val="9"/>
            <color indexed="81"/>
            <rFont val="Tahoma"/>
            <family val="2"/>
          </rPr>
          <t>Jayda Shine:</t>
        </r>
        <r>
          <rPr>
            <sz val="9"/>
            <color indexed="81"/>
            <rFont val="Tahoma"/>
            <family val="2"/>
          </rPr>
          <t xml:space="preserve">
195048 kg in Airport Planning Manual</t>
        </r>
      </text>
    </comment>
    <comment ref="A26" authorId="10" shapeId="0" xr:uid="{87B52D65-94B7-4569-A559-9D6EBCF63523}">
      <text>
        <r>
          <rPr>
            <sz val="11"/>
            <color theme="1"/>
            <rFont val="Calibri"/>
            <family val="2"/>
            <scheme val="minor"/>
          </rPr>
          <t>Max Arnson:
Maximum Zero Fuel Weight
Rawan Aljaber:
Can be calculated as 
Max Payload + OEW</t>
        </r>
      </text>
    </comment>
    <comment ref="DR26" authorId="9" shapeId="0" xr:uid="{582BBB3D-1DCE-43B6-AF68-E4242394B93D}">
      <text>
        <r>
          <rPr>
            <sz val="11"/>
            <color theme="1"/>
            <rFont val="Calibri"/>
            <family val="2"/>
            <scheme val="minor"/>
          </rPr>
          <t>Shine, Jayda:
177000 KG TO 181000 KG</t>
        </r>
      </text>
    </comment>
    <comment ref="LY26" authorId="41" shapeId="0" xr:uid="{4589CB5D-BDAB-4F2D-9315-F3AA28AE3882}">
      <text>
        <r>
          <rPr>
            <b/>
            <sz val="9"/>
            <color indexed="81"/>
            <rFont val="Tahoma"/>
            <family val="2"/>
          </rPr>
          <t>Jayda Shine:</t>
        </r>
        <r>
          <rPr>
            <sz val="9"/>
            <color indexed="81"/>
            <rFont val="Tahoma"/>
            <family val="2"/>
          </rPr>
          <t xml:space="preserve">
With JT4A-5, JT4A-10 engines installed - 175900 lbs. 
With JT4A-12 engines installed - 175700 lbs.</t>
        </r>
      </text>
    </comment>
    <comment ref="LZ26" authorId="41" shapeId="0" xr:uid="{429A3636-B903-457D-AE94-4DA70B683AF8}">
      <text>
        <r>
          <rPr>
            <b/>
            <sz val="9"/>
            <color indexed="81"/>
            <rFont val="Tahoma"/>
            <family val="2"/>
          </rPr>
          <t>Jayda Shine:</t>
        </r>
        <r>
          <rPr>
            <sz val="9"/>
            <color indexed="81"/>
            <rFont val="Tahoma"/>
            <family val="2"/>
          </rPr>
          <t xml:space="preserve">
With JT4A-12 engines - 178200 lbs. 
With JT4A-5 or JT4A-10 engines = 178400 lbs. </t>
        </r>
      </text>
    </comment>
    <comment ref="MD26" authorId="41" shapeId="0" xr:uid="{6F941907-6970-4226-8326-A6E7ABFAE7EB}">
      <text>
        <r>
          <rPr>
            <b/>
            <sz val="9"/>
            <color indexed="81"/>
            <rFont val="Tahoma"/>
            <family val="2"/>
          </rPr>
          <t>Jayda Shine:</t>
        </r>
        <r>
          <rPr>
            <sz val="9"/>
            <color indexed="81"/>
            <rFont val="Tahoma"/>
            <family val="2"/>
          </rPr>
          <t xml:space="preserve">
With JT3D-3 or -3B engines installed - 167500 lbs. </t>
        </r>
      </text>
    </comment>
    <comment ref="MF26" authorId="41" shapeId="0" xr:uid="{B40DC4FD-5D8E-4236-94A4-F687CCDCEAFA}">
      <text>
        <r>
          <rPr>
            <b/>
            <sz val="9"/>
            <color indexed="81"/>
            <rFont val="Tahoma"/>
            <family val="2"/>
          </rPr>
          <t>Jayda Shine:</t>
        </r>
        <r>
          <rPr>
            <sz val="9"/>
            <color indexed="81"/>
            <rFont val="Tahoma"/>
            <family val="2"/>
          </rPr>
          <t xml:space="preserve">
With JT3D-1 engines - 178400 lbs. 
</t>
        </r>
      </text>
    </comment>
    <comment ref="MG26" authorId="41" shapeId="0" xr:uid="{D123A299-8CE2-4A83-A573-476738BEA052}">
      <text>
        <r>
          <rPr>
            <b/>
            <sz val="9"/>
            <color indexed="81"/>
            <rFont val="Tahoma"/>
            <family val="2"/>
          </rPr>
          <t>Jayda Shine:</t>
        </r>
        <r>
          <rPr>
            <sz val="9"/>
            <color indexed="81"/>
            <rFont val="Tahoma"/>
            <family val="2"/>
          </rPr>
          <t xml:space="preserve">
224000 lbs. 
</t>
        </r>
      </text>
    </comment>
    <comment ref="NV26" authorId="41" shapeId="0" xr:uid="{5DE9D366-5B7B-4C5E-935D-5D10FD54DF47}">
      <text>
        <r>
          <rPr>
            <b/>
            <sz val="9"/>
            <color indexed="81"/>
            <rFont val="Tahoma"/>
            <family val="2"/>
          </rPr>
          <t>Jayda Shine:</t>
        </r>
        <r>
          <rPr>
            <sz val="9"/>
            <color indexed="81"/>
            <rFont val="Tahoma"/>
            <family val="2"/>
          </rPr>
          <t xml:space="preserve">
181440 kg in Airport Planning Manual</t>
        </r>
      </text>
    </comment>
    <comment ref="NW26" authorId="41" shapeId="0" xr:uid="{7192454B-847C-4C5A-B33E-2FE1A97B72A3}">
      <text>
        <r>
          <rPr>
            <b/>
            <sz val="9"/>
            <color indexed="81"/>
            <rFont val="Tahoma"/>
            <family val="2"/>
          </rPr>
          <t>Jayda Shine:</t>
        </r>
        <r>
          <rPr>
            <sz val="9"/>
            <color indexed="81"/>
            <rFont val="Tahoma"/>
            <family val="2"/>
          </rPr>
          <t xml:space="preserve">
181440 kg in Airport Planning Manual</t>
        </r>
      </text>
    </comment>
    <comment ref="A27" authorId="10" shapeId="0" xr:uid="{129D3177-8065-4634-BA49-732B7332EE68}">
      <text>
        <r>
          <rPr>
            <b/>
            <sz val="9"/>
            <color indexed="81"/>
            <rFont val="Tahoma"/>
            <family val="2"/>
          </rPr>
          <t>Max Arnson:</t>
        </r>
        <r>
          <rPr>
            <sz val="9"/>
            <color indexed="81"/>
            <rFont val="Tahoma"/>
            <family val="2"/>
          </rPr>
          <t xml:space="preserve">
Operational Empty Weight</t>
        </r>
      </text>
    </comment>
    <comment ref="BP27" authorId="40" shapeId="0" xr:uid="{0FDB545B-CEBC-445E-B5F2-7FC2977B0F3E}">
      <text>
        <r>
          <rPr>
            <b/>
            <sz val="9"/>
            <color indexed="81"/>
            <rFont val="Tahoma"/>
            <family val="2"/>
          </rPr>
          <t>Paul Mokotoff:</t>
        </r>
        <r>
          <rPr>
            <sz val="9"/>
            <color indexed="81"/>
            <rFont val="Tahoma"/>
            <family val="2"/>
          </rPr>
          <t xml:space="preserve">
Assuming the engine performs similar to the CFM 56_5B7 engine (to get design range and OEW).</t>
        </r>
      </text>
    </comment>
    <comment ref="BQ27" authorId="40" shapeId="0" xr:uid="{73C23571-AED0-4280-9CFB-0AF74948473D}">
      <text>
        <r>
          <rPr>
            <b/>
            <sz val="9"/>
            <color indexed="81"/>
            <rFont val="Tahoma"/>
            <family val="2"/>
          </rPr>
          <t>Paul Mokotoff:</t>
        </r>
        <r>
          <rPr>
            <sz val="9"/>
            <color indexed="81"/>
            <rFont val="Tahoma"/>
            <family val="2"/>
          </rPr>
          <t xml:space="preserve">
Assuming the engine performs similar to the CFM 56_5B7 engine (to get design range and OEW).</t>
        </r>
      </text>
    </comment>
    <comment ref="BR27" authorId="40" shapeId="0" xr:uid="{54ABEFE7-336C-4E2F-855A-F77C8E9A0097}">
      <text>
        <r>
          <rPr>
            <b/>
            <sz val="9"/>
            <color indexed="81"/>
            <rFont val="Tahoma"/>
            <family val="2"/>
          </rPr>
          <t>Paul Mokotoff:</t>
        </r>
        <r>
          <rPr>
            <sz val="9"/>
            <color indexed="81"/>
            <rFont val="Tahoma"/>
            <family val="2"/>
          </rPr>
          <t xml:space="preserve">
Assuming the engine performs similar to the CFM 56_5B7 engine (to get design range and OEW).</t>
        </r>
      </text>
    </comment>
    <comment ref="BS27" authorId="40" shapeId="0" xr:uid="{BB445AF0-3A1A-4BEA-A83F-5D3DC6B1A810}">
      <text>
        <r>
          <rPr>
            <b/>
            <sz val="9"/>
            <color indexed="81"/>
            <rFont val="Tahoma"/>
            <family val="2"/>
          </rPr>
          <t>Paul Mokotoff:</t>
        </r>
        <r>
          <rPr>
            <sz val="9"/>
            <color indexed="81"/>
            <rFont val="Tahoma"/>
            <family val="2"/>
          </rPr>
          <t xml:space="preserve">
Assuming the engine performs similar to the CFM 56_5B7 engine (to get design range and OEW).</t>
        </r>
      </text>
    </comment>
    <comment ref="FB27" authorId="2" shapeId="0" xr:uid="{99BB43A2-6F3F-4A60-8257-DEB351E2AAA1}">
      <text>
        <r>
          <rPr>
            <sz val="11"/>
            <color theme="1"/>
            <rFont val="Calibri"/>
            <family val="2"/>
            <scheme val="minor"/>
          </rPr>
          <t>Aljaber, Rawan:
with 3 auxiliary fuel tanks</t>
        </r>
      </text>
    </comment>
    <comment ref="KA27" authorId="22" shapeId="0" xr:uid="{4E6544DC-69D2-491E-A8C8-91679D7DC6E3}">
      <text>
        <r>
          <rPr>
            <sz val="11"/>
            <color theme="1"/>
            <rFont val="Calibri"/>
            <family val="2"/>
            <scheme val="minor"/>
          </rPr>
          <t>Dwibhashyam, Neha:
using AE3007 A1E engines, not AE3007 A1P</t>
        </r>
      </text>
    </comment>
    <comment ref="NR27" authorId="41" shapeId="0" xr:uid="{77844DDA-D882-4013-B63B-0667382B4F31}">
      <text>
        <r>
          <rPr>
            <b/>
            <sz val="9"/>
            <color indexed="81"/>
            <rFont val="Tahoma"/>
            <family val="2"/>
          </rPr>
          <t>Jayda Shine:</t>
        </r>
        <r>
          <rPr>
            <sz val="9"/>
            <color indexed="81"/>
            <rFont val="Tahoma"/>
            <family val="2"/>
          </rPr>
          <t xml:space="preserve">
CARGO: 107971
</t>
        </r>
      </text>
    </comment>
    <comment ref="NS27" authorId="41" shapeId="0" xr:uid="{7DE0D137-B1AE-4EAC-9D3A-6EC0A717C157}">
      <text>
        <r>
          <rPr>
            <b/>
            <sz val="9"/>
            <color indexed="81"/>
            <rFont val="Tahoma"/>
            <family val="2"/>
          </rPr>
          <t>Jayda Shine:</t>
        </r>
        <r>
          <rPr>
            <sz val="9"/>
            <color indexed="81"/>
            <rFont val="Tahoma"/>
            <family val="2"/>
          </rPr>
          <t xml:space="preserve">
CARGO: 97724
</t>
        </r>
      </text>
    </comment>
    <comment ref="NT27" authorId="41" shapeId="0" xr:uid="{1167CBC4-C63C-48E8-8C9A-D67B3320E684}">
      <text>
        <r>
          <rPr>
            <b/>
            <sz val="9"/>
            <color indexed="81"/>
            <rFont val="Tahoma"/>
            <family val="2"/>
          </rPr>
          <t>Jayda Shine:</t>
        </r>
        <r>
          <rPr>
            <sz val="9"/>
            <color indexed="81"/>
            <rFont val="Tahoma"/>
            <family val="2"/>
          </rPr>
          <t xml:space="preserve">
CARGO: 109796</t>
        </r>
      </text>
    </comment>
    <comment ref="AF28" authorId="0" shapeId="0" xr:uid="{5927B383-001F-4018-86A5-C7389A77AD58}">
      <text>
        <r>
          <rPr>
            <sz val="11"/>
            <color theme="1"/>
            <rFont val="Calibri"/>
            <family val="2"/>
            <scheme val="minor"/>
          </rPr>
          <t>Khailany, Nawa:
discrepancy between TCDS and APM</t>
        </r>
      </text>
    </comment>
    <comment ref="AG28" authorId="0" shapeId="0" xr:uid="{24996B99-5F24-4B9D-83A3-3E2543ECC05B}">
      <text>
        <r>
          <rPr>
            <sz val="11"/>
            <color theme="1"/>
            <rFont val="Calibri"/>
            <family val="2"/>
            <scheme val="minor"/>
          </rPr>
          <t>Khailany, Nawa:
discrepancy between TCDS and APM</t>
        </r>
      </text>
    </comment>
    <comment ref="AN28" authorId="0" shapeId="0" xr:uid="{0C747A5B-1C86-4A89-9962-9E1764E05701}">
      <text>
        <r>
          <rPr>
            <sz val="11"/>
            <color theme="1"/>
            <rFont val="Calibri"/>
            <family val="2"/>
            <scheme val="minor"/>
          </rPr>
          <t>Khailany, Nawa:
discrepancy between TCDS and APM</t>
        </r>
      </text>
    </comment>
    <comment ref="AQ28" authorId="0" shapeId="0" xr:uid="{979332C1-79A8-4177-B858-A0DD89674C65}">
      <text>
        <r>
          <rPr>
            <sz val="11"/>
            <color theme="1"/>
            <rFont val="Calibri"/>
            <family val="2"/>
            <scheme val="minor"/>
          </rPr>
          <t>Khailany, Nawa:
discrepancy between TCDS and APM</t>
        </r>
      </text>
    </comment>
    <comment ref="BS28" authorId="40" shapeId="0" xr:uid="{38143167-6317-48A4-9A12-EAF607A19840}">
      <text>
        <r>
          <rPr>
            <b/>
            <sz val="9"/>
            <color indexed="81"/>
            <rFont val="Tahoma"/>
            <family val="2"/>
          </rPr>
          <t>Paul Mokotoff:</t>
        </r>
        <r>
          <rPr>
            <sz val="9"/>
            <color indexed="81"/>
            <rFont val="Tahoma"/>
            <family val="2"/>
          </rPr>
          <t xml:space="preserve">
Assuming a 5 Tank Airlplane</t>
        </r>
      </text>
    </comment>
    <comment ref="EO28" authorId="2" shapeId="0" xr:uid="{A2E390B2-226A-4633-ABCD-66167FD9E249}">
      <text>
        <r>
          <rPr>
            <sz val="11"/>
            <color theme="1"/>
            <rFont val="Calibri"/>
            <family val="2"/>
            <scheme val="minor"/>
          </rPr>
          <t>Aljaber, Rawan:
Useable Fuel</t>
        </r>
      </text>
    </comment>
    <comment ref="FA28" authorId="2" shapeId="0" xr:uid="{BA039E4C-8206-4DEC-A611-EF72EFDCBE7C}">
      <text>
        <r>
          <rPr>
            <sz val="11"/>
            <color theme="1"/>
            <rFont val="Calibri"/>
            <family val="2"/>
            <scheme val="minor"/>
          </rPr>
          <t>Aljaber, Rawan:
23817 with two auxiliary fuel tanks 
22459 with one auxiliary fuel tank 
20,894 with no auxiliary fuel rank</t>
        </r>
      </text>
    </comment>
    <comment ref="JK28" authorId="22" shapeId="0" xr:uid="{2F43AE8B-67F1-499D-B560-F4E374079A1A}">
      <text>
        <r>
          <rPr>
            <sz val="11"/>
            <color theme="1"/>
            <rFont val="Calibri"/>
            <family val="2"/>
            <scheme val="minor"/>
          </rPr>
          <t>Dwibhashyam, Neha:
maximum usable fuel</t>
        </r>
      </text>
    </comment>
    <comment ref="JL28" authorId="22" shapeId="0" xr:uid="{222A85CE-D25C-4894-AD29-63542FDA17B9}">
      <text>
        <r>
          <rPr>
            <sz val="11"/>
            <color theme="1"/>
            <rFont val="Calibri"/>
            <family val="2"/>
            <scheme val="minor"/>
          </rPr>
          <t>Dwibhashyam, Neha:
Maximum usable fuel</t>
        </r>
      </text>
    </comment>
    <comment ref="JM28" authorId="22" shapeId="0" xr:uid="{9142453A-B1D4-48E5-94E1-7254CC1B3D28}">
      <text>
        <r>
          <rPr>
            <sz val="11"/>
            <color theme="1"/>
            <rFont val="Calibri"/>
            <family val="2"/>
            <scheme val="minor"/>
          </rPr>
          <t>Dwibhashyam, Neha:
usable fuel</t>
        </r>
      </text>
    </comment>
    <comment ref="JN28" authorId="22" shapeId="0" xr:uid="{53F5D6F0-A22A-4705-90EC-DDCEECEF1697}">
      <text>
        <r>
          <rPr>
            <sz val="11"/>
            <color theme="1"/>
            <rFont val="Calibri"/>
            <family val="2"/>
            <scheme val="minor"/>
          </rPr>
          <t>Dwibhashyam, Neha:
usable fuel</t>
        </r>
      </text>
    </comment>
    <comment ref="JO28" authorId="22" shapeId="0" xr:uid="{37ADC717-DE39-4ABE-AEC1-AED85EAD007D}">
      <text>
        <r>
          <rPr>
            <sz val="11"/>
            <color theme="1"/>
            <rFont val="Calibri"/>
            <family val="2"/>
            <scheme val="minor"/>
          </rPr>
          <t>Dwibhashyam, Neha:
usable fuel</t>
        </r>
      </text>
    </comment>
    <comment ref="JP28" authorId="22" shapeId="0" xr:uid="{6E4CCD0C-AF8E-49BE-AB36-26F910F73854}">
      <text>
        <r>
          <rPr>
            <sz val="11"/>
            <color theme="1"/>
            <rFont val="Calibri"/>
            <family val="2"/>
            <scheme val="minor"/>
          </rPr>
          <t>Dwibhashyam, Neha:
usable fuel</t>
        </r>
      </text>
    </comment>
    <comment ref="JR28" authorId="22" shapeId="0" xr:uid="{95CAAD0A-3552-4586-AA00-C70D53BB627D}">
      <text>
        <r>
          <rPr>
            <sz val="11"/>
            <color theme="1"/>
            <rFont val="Calibri"/>
            <family val="2"/>
            <scheme val="minor"/>
          </rPr>
          <t>Dwibhashyam, Neha:
usable</t>
        </r>
      </text>
    </comment>
    <comment ref="JS28" authorId="22" shapeId="0" xr:uid="{23DEDFD8-234C-48F9-B95A-8546A478F2F3}">
      <text>
        <r>
          <rPr>
            <sz val="11"/>
            <color theme="1"/>
            <rFont val="Calibri"/>
            <family val="2"/>
            <scheme val="minor"/>
          </rPr>
          <t>Dwibhashyam, Neha:
usable</t>
        </r>
      </text>
    </comment>
    <comment ref="JV28" authorId="22" shapeId="0" xr:uid="{0F43DE0F-93D8-4494-A9EF-ECB96557FD87}">
      <text>
        <r>
          <rPr>
            <sz val="11"/>
            <color theme="1"/>
            <rFont val="Calibri"/>
            <family val="2"/>
            <scheme val="minor"/>
          </rPr>
          <t>Dwibhashyam, Neha:
usable</t>
        </r>
      </text>
    </comment>
    <comment ref="JW28" authorId="22" shapeId="0" xr:uid="{7AD70F81-1231-4116-A6AA-02AF3A6ADFF7}">
      <text>
        <r>
          <rPr>
            <sz val="11"/>
            <color theme="1"/>
            <rFont val="Calibri"/>
            <family val="2"/>
            <scheme val="minor"/>
          </rPr>
          <t>Dwibhashyam, Neha:
usable</t>
        </r>
      </text>
    </comment>
    <comment ref="JY28" authorId="22" shapeId="0" xr:uid="{4FD4F24D-81A9-4FA7-BB33-7BA5BEC32D2A}">
      <text>
        <r>
          <rPr>
            <sz val="11"/>
            <color theme="1"/>
            <rFont val="Calibri"/>
            <family val="2"/>
            <scheme val="minor"/>
          </rPr>
          <t>Dwibhashyam, Neha:
usable</t>
        </r>
      </text>
    </comment>
    <comment ref="JZ28" authorId="22" shapeId="0" xr:uid="{ED1368AA-54C7-4B7B-AC19-1F76BAE613F7}">
      <text>
        <r>
          <rPr>
            <sz val="11"/>
            <color theme="1"/>
            <rFont val="Calibri"/>
            <family val="2"/>
            <scheme val="minor"/>
          </rPr>
          <t>Dwibhashyam, Neha:
usable</t>
        </r>
      </text>
    </comment>
    <comment ref="KE28" authorId="22" shapeId="0" xr:uid="{464AFCBF-6386-4FF2-BF99-87C14EE7322A}">
      <text>
        <r>
          <rPr>
            <sz val="11"/>
            <color theme="1"/>
            <rFont val="Calibri"/>
            <family val="2"/>
            <scheme val="minor"/>
          </rPr>
          <t>Dwibhashyam, Neha:
usable fuel</t>
        </r>
      </text>
    </comment>
    <comment ref="KF28" authorId="22" shapeId="0" xr:uid="{B3B1A79C-645C-4C27-87D1-5616F889A713}">
      <text>
        <r>
          <rPr>
            <sz val="11"/>
            <color theme="1"/>
            <rFont val="Calibri"/>
            <family val="2"/>
            <scheme val="minor"/>
          </rPr>
          <t>Dwibhashyam, Neha:
usable</t>
        </r>
      </text>
    </comment>
    <comment ref="NW28" authorId="68" shapeId="0" xr:uid="{DD46AB91-C720-4967-ADE5-47D5C6141103}">
      <text>
        <t>[Threaded comment]
Your version of Excel allows you to read this threaded comment; however, any edits to it will get removed if the file is opened in a newer version of Excel. Learn more: https://go.microsoft.com/fwlink/?linkid=870924
Comment:
    @marnson@umich.edu 
Reply:
    The values for the FAA and Airport Planning are different for the weights</t>
      </text>
    </comment>
    <comment ref="OB28" authorId="10" shapeId="0" xr:uid="{6D145D0F-E553-4A06-B61A-6178DCE2FC36}">
      <text>
        <r>
          <rPr>
            <b/>
            <sz val="9"/>
            <color indexed="81"/>
            <rFont val="Tahoma"/>
            <family val="2"/>
          </rPr>
          <t>Max Arnson:</t>
        </r>
        <r>
          <rPr>
            <sz val="9"/>
            <color indexed="81"/>
            <rFont val="Tahoma"/>
            <family val="2"/>
          </rPr>
          <t xml:space="preserve">
usable fuel. Structural limit is higher</t>
        </r>
      </text>
    </comment>
    <comment ref="OC28" authorId="10" shapeId="0" xr:uid="{6EC8DE93-B4DC-4C53-95F0-ADFD815BF568}">
      <text>
        <r>
          <rPr>
            <b/>
            <sz val="9"/>
            <color indexed="81"/>
            <rFont val="Tahoma"/>
            <family val="2"/>
          </rPr>
          <t>Max Arnson:</t>
        </r>
        <r>
          <rPr>
            <sz val="9"/>
            <color indexed="81"/>
            <rFont val="Tahoma"/>
            <family val="2"/>
          </rPr>
          <t xml:space="preserve">
usable fuel. Structural limit is higher</t>
        </r>
      </text>
    </comment>
    <comment ref="OD28" authorId="10" shapeId="0" xr:uid="{11CB4389-F265-481A-BBFE-F78C795BF3C3}">
      <text>
        <r>
          <rPr>
            <b/>
            <sz val="9"/>
            <color indexed="81"/>
            <rFont val="Tahoma"/>
            <family val="2"/>
          </rPr>
          <t>Max Arnson:</t>
        </r>
        <r>
          <rPr>
            <sz val="9"/>
            <color indexed="81"/>
            <rFont val="Tahoma"/>
            <family val="2"/>
          </rPr>
          <t xml:space="preserve">
usable fuel. Structural limit is higher</t>
        </r>
      </text>
    </comment>
    <comment ref="OE28" authorId="10" shapeId="0" xr:uid="{0B80D80E-5887-46BC-9F7B-A9F7CCEB5BDD}">
      <text>
        <r>
          <rPr>
            <b/>
            <sz val="9"/>
            <color indexed="81"/>
            <rFont val="Tahoma"/>
            <family val="2"/>
          </rPr>
          <t>Max Arnson:</t>
        </r>
        <r>
          <rPr>
            <sz val="9"/>
            <color indexed="81"/>
            <rFont val="Tahoma"/>
            <family val="2"/>
          </rPr>
          <t xml:space="preserve">
usable fuel, structural limit is higher</t>
        </r>
      </text>
    </comment>
    <comment ref="A30" authorId="10" shapeId="0" xr:uid="{0512D3FC-4500-45C5-871D-67572ECC7BED}">
      <text>
        <r>
          <rPr>
            <b/>
            <sz val="9"/>
            <color indexed="81"/>
            <rFont val="Tahoma"/>
            <family val="2"/>
          </rPr>
          <t>Max Arnson:</t>
        </r>
        <r>
          <rPr>
            <sz val="9"/>
            <color indexed="81"/>
            <rFont val="Tahoma"/>
            <family val="2"/>
          </rPr>
          <t xml:space="preserve">
Maximum operating Mach Number</t>
        </r>
      </text>
    </comment>
    <comment ref="DT30" authorId="2" shapeId="0" xr:uid="{80F8F1B8-446F-4CAC-A49C-BAD796478A8C}">
      <text>
        <r>
          <rPr>
            <sz val="11"/>
            <color theme="1"/>
            <rFont val="Calibri"/>
            <family val="2"/>
            <scheme val="minor"/>
          </rPr>
          <t>Aljaber, Rawan:
at 23000 ft and above</t>
        </r>
      </text>
    </comment>
    <comment ref="DU30" authorId="44" shapeId="0" xr:uid="{F333D7DE-1FEC-4542-AD1E-F2DC0B063424}">
      <text>
        <r>
          <rPr>
            <b/>
            <sz val="9"/>
            <color indexed="81"/>
            <rFont val="Tahoma"/>
            <family val="2"/>
          </rPr>
          <t>Michael Tsai:</t>
        </r>
        <r>
          <rPr>
            <sz val="9"/>
            <color indexed="81"/>
            <rFont val="Tahoma"/>
            <family val="2"/>
          </rPr>
          <t xml:space="preserve">
at 25,000 ft and above
</t>
        </r>
      </text>
    </comment>
    <comment ref="DV30" authorId="44" shapeId="0" xr:uid="{6E9935AE-9A72-4E39-B914-11E135E0BE79}">
      <text>
        <r>
          <rPr>
            <b/>
            <sz val="9"/>
            <color indexed="81"/>
            <rFont val="Tahoma"/>
            <family val="2"/>
          </rPr>
          <t>Michael Tsai:</t>
        </r>
        <r>
          <rPr>
            <sz val="9"/>
            <color indexed="81"/>
            <rFont val="Tahoma"/>
            <family val="2"/>
          </rPr>
          <t xml:space="preserve">
at 23,000 ft and above
</t>
        </r>
      </text>
    </comment>
    <comment ref="DW30" authorId="44" shapeId="0" xr:uid="{59FB7DB6-7369-4E87-A0FA-D498A540156A}">
      <text>
        <r>
          <rPr>
            <b/>
            <sz val="9"/>
            <color indexed="81"/>
            <rFont val="Tahoma"/>
            <family val="2"/>
          </rPr>
          <t>Michael Tsai:</t>
        </r>
        <r>
          <rPr>
            <sz val="9"/>
            <color indexed="81"/>
            <rFont val="Tahoma"/>
            <family val="2"/>
          </rPr>
          <t xml:space="preserve">
at 23,000 ft and above
</t>
        </r>
      </text>
    </comment>
    <comment ref="DX30" authorId="44" shapeId="0" xr:uid="{BB141A37-A313-4866-80BB-B7B1263F953F}">
      <text>
        <r>
          <rPr>
            <b/>
            <sz val="9"/>
            <color indexed="81"/>
            <rFont val="Tahoma"/>
            <family val="2"/>
          </rPr>
          <t>Michael Tsai:</t>
        </r>
        <r>
          <rPr>
            <sz val="9"/>
            <color indexed="81"/>
            <rFont val="Tahoma"/>
            <family val="2"/>
          </rPr>
          <t xml:space="preserve">
at 23,000 ft and above
</t>
        </r>
      </text>
    </comment>
    <comment ref="DY30" authorId="44" shapeId="0" xr:uid="{22C053CF-349E-428F-BC33-03896BD4E53A}">
      <text>
        <r>
          <rPr>
            <b/>
            <sz val="9"/>
            <color indexed="81"/>
            <rFont val="Tahoma"/>
            <family val="2"/>
          </rPr>
          <t>Michael Tsai:</t>
        </r>
        <r>
          <rPr>
            <sz val="9"/>
            <color indexed="81"/>
            <rFont val="Tahoma"/>
            <family val="2"/>
          </rPr>
          <t xml:space="preserve">
at 23,000 ft and above
</t>
        </r>
      </text>
    </comment>
    <comment ref="EP30" authorId="2" shapeId="0" xr:uid="{CBBE15A5-621B-4136-AEF3-A4F0DB2F793F}">
      <text>
        <r>
          <rPr>
            <sz val="11"/>
            <color theme="1"/>
            <rFont val="Calibri"/>
            <family val="2"/>
            <scheme val="minor"/>
          </rPr>
          <t>Aljaber, Rawan:
https://web.archive.org/web/20180418031822/http://rgl.faa.gov/Regulatory_and_Guidance_Library/rgMakeModel.nsf/0/8fcf1d1d82007a9e8625823d00778f99/$FILE/A16WE_Rev_61.pdf</t>
        </r>
      </text>
    </comment>
    <comment ref="IY30" authorId="44" shapeId="0" xr:uid="{FA686296-7D38-43AD-BD56-D15BAC25A96A}">
      <text>
        <r>
          <rPr>
            <b/>
            <sz val="9"/>
            <color indexed="81"/>
            <rFont val="Tahoma"/>
            <family val="2"/>
          </rPr>
          <t>Michael Tsai:</t>
        </r>
        <r>
          <rPr>
            <sz val="9"/>
            <color indexed="81"/>
            <rFont val="Tahoma"/>
            <family val="2"/>
          </rPr>
          <t xml:space="preserve">
0.84 with winglet : FAA A21EA
</t>
        </r>
      </text>
    </comment>
    <comment ref="LC30" authorId="9" shapeId="0" xr:uid="{0E259ABF-097B-4D61-983F-C07E65DC12D6}">
      <text>
        <r>
          <rPr>
            <sz val="11"/>
            <color theme="1"/>
            <rFont val="Calibri"/>
            <family val="2"/>
            <scheme val="minor"/>
          </rPr>
          <t>Shine, Jayda:
30400 ft. to 45000ft.</t>
        </r>
      </text>
    </comment>
    <comment ref="LD30" authorId="9" shapeId="0" xr:uid="{B2F845C9-C050-42EC-8742-2EF68EFC2B9A}">
      <text>
        <r>
          <rPr>
            <sz val="11"/>
            <color theme="1"/>
            <rFont val="Calibri"/>
            <family val="2"/>
            <scheme val="minor"/>
          </rPr>
          <t>Shine, Jayda:
30400 ft. to 45000ft.</t>
        </r>
      </text>
    </comment>
    <comment ref="LE30" authorId="9" shapeId="0" xr:uid="{2B25FAE0-579F-49E7-A4F4-EF5C22EFBA53}">
      <text>
        <r>
          <rPr>
            <sz val="11"/>
            <color theme="1"/>
            <rFont val="Calibri"/>
            <family val="2"/>
            <scheme val="minor"/>
          </rPr>
          <t>Shine, Jayda:
31100 ft. to 45000 ft.</t>
        </r>
      </text>
    </comment>
    <comment ref="LF30" authorId="9" shapeId="0" xr:uid="{34D32330-DC50-4657-BD7E-AE2A36C3EA67}">
      <text>
        <r>
          <rPr>
            <sz val="11"/>
            <color theme="1"/>
            <rFont val="Calibri"/>
            <family val="2"/>
            <scheme val="minor"/>
          </rPr>
          <t>Shine, Jayda:
31100 ft. to 45000 ft.</t>
        </r>
      </text>
    </comment>
    <comment ref="LG30" authorId="9" shapeId="0" xr:uid="{B1B4C47D-F58B-427F-8344-1126F65D8E7F}">
      <text>
        <r>
          <rPr>
            <sz val="11"/>
            <color theme="1"/>
            <rFont val="Calibri"/>
            <family val="2"/>
            <scheme val="minor"/>
          </rPr>
          <t>Shine, Jayda:
23900 ft. to 45000 ft.</t>
        </r>
      </text>
    </comment>
    <comment ref="LH30" authorId="9" shapeId="0" xr:uid="{A4F35229-5F9A-412D-9143-B089AD14D285}">
      <text>
        <r>
          <rPr>
            <sz val="11"/>
            <color theme="1"/>
            <rFont val="Calibri"/>
            <family val="2"/>
            <scheme val="minor"/>
          </rPr>
          <t>Shine, Jayda:
23900 ft. to 45000 ft.</t>
        </r>
      </text>
    </comment>
    <comment ref="A31" authorId="10" shapeId="0" xr:uid="{22A59369-7781-4FBD-A828-418A553AB2A5}">
      <text>
        <r>
          <rPr>
            <b/>
            <sz val="9"/>
            <color indexed="81"/>
            <rFont val="Tahoma"/>
            <family val="2"/>
          </rPr>
          <t>Max Arnson:</t>
        </r>
        <r>
          <rPr>
            <sz val="9"/>
            <color indexed="81"/>
            <rFont val="Tahoma"/>
            <family val="2"/>
          </rPr>
          <t xml:space="preserve">
Cruise Mach Number</t>
        </r>
      </text>
    </comment>
    <comment ref="EA31" authorId="2" shapeId="0" xr:uid="{377C7D02-0605-4FF8-9B99-C565B386B225}">
      <text>
        <r>
          <rPr>
            <sz val="11"/>
            <color theme="1"/>
            <rFont val="Calibri"/>
            <family val="2"/>
            <scheme val="minor"/>
          </rPr>
          <t>Aljaber, Rawan:
at 34200 ft</t>
        </r>
      </text>
    </comment>
    <comment ref="EB31" authorId="2" shapeId="0" xr:uid="{BC56B472-04EE-4080-BD1A-1123BC80297F}">
      <text>
        <r>
          <rPr>
            <sz val="11"/>
            <color theme="1"/>
            <rFont val="Calibri"/>
            <family val="2"/>
            <scheme val="minor"/>
          </rPr>
          <t>Aljaber, Rawan:
at 34200 ft</t>
        </r>
      </text>
    </comment>
    <comment ref="HA31" authorId="69" shapeId="0" xr:uid="{A3403A9E-B736-4D58-8448-ABDAFFFD1CAD}">
      <text>
        <t>[Threaded comment]
Your version of Excel allows you to read this threaded comment; however, any edits to it will get removed if the file is opened in a newer version of Excel. Learn more: https://go.microsoft.com/fwlink/?linkid=870924
Comment:
    From Payload Range diagram in APM</t>
      </text>
    </comment>
    <comment ref="IO31" authorId="70" shapeId="0" xr:uid="{C3BA99FB-0507-4BAE-8F85-4D5D3B4CE853}">
      <text>
        <r>
          <rPr>
            <b/>
            <sz val="10"/>
            <color rgb="FF000000"/>
            <rFont val="Tahoma"/>
            <family val="2"/>
          </rPr>
          <t>Microsoft Office User:</t>
        </r>
        <r>
          <rPr>
            <sz val="10"/>
            <color rgb="FF000000"/>
            <rFont val="Tahoma"/>
            <family val="2"/>
          </rPr>
          <t xml:space="preserve">
</t>
        </r>
        <r>
          <rPr>
            <sz val="10"/>
            <color rgb="FF000000"/>
            <rFont val="Tahoma"/>
            <family val="2"/>
          </rPr>
          <t>at 37000 ft</t>
        </r>
      </text>
    </comment>
    <comment ref="A32" authorId="10" shapeId="0" xr:uid="{61D831DB-0455-490F-BBB1-BAF88619C3BA}">
      <text>
        <r>
          <rPr>
            <b/>
            <sz val="9"/>
            <color indexed="81"/>
            <rFont val="Tahoma"/>
            <family val="2"/>
          </rPr>
          <t>Max Arnson:</t>
        </r>
        <r>
          <rPr>
            <sz val="9"/>
            <color indexed="81"/>
            <rFont val="Tahoma"/>
            <family val="2"/>
          </rPr>
          <t xml:space="preserve">
Takeoff Velocity. Usually defined when the plane begins its rotation off of the ground</t>
        </r>
      </text>
    </comment>
    <comment ref="EM34" authorId="2" shapeId="0" xr:uid="{56860106-3B54-4F9C-B2A6-D59F41172369}">
      <text>
        <r>
          <rPr>
            <sz val="11"/>
            <color theme="1"/>
            <rFont val="Calibri"/>
            <family val="2"/>
            <scheme val="minor"/>
          </rPr>
          <t xml:space="preserve">Aljaber, Rawan:
TCD does not specify cruise max vs TOL max
37,000 ft if authorized by flight manual </t>
        </r>
      </text>
    </comment>
    <comment ref="EN34" authorId="2" shapeId="0" xr:uid="{0C8EEB59-DAFE-435C-8BE4-515A3F0C1DE9}">
      <text>
        <r>
          <rPr>
            <sz val="11"/>
            <color theme="1"/>
            <rFont val="Calibri"/>
            <family val="2"/>
            <scheme val="minor"/>
          </rPr>
          <t xml:space="preserve">Aljaber, Rawan:
TCD does not specify cruise max vs TOL max
37,000 ft if authorized by flight manual </t>
        </r>
      </text>
    </comment>
    <comment ref="EO34" authorId="2" shapeId="0" xr:uid="{1E018F81-4E19-4DD5-B447-034569E7D694}">
      <text>
        <r>
          <rPr>
            <sz val="11"/>
            <color theme="1"/>
            <rFont val="Calibri"/>
            <family val="2"/>
            <scheme val="minor"/>
          </rPr>
          <t xml:space="preserve">Aljaber, Rawan:
TCD does not specify cruise max vs TOL max
37,000 ft if authorized by flight manual </t>
        </r>
      </text>
    </comment>
    <comment ref="EP34" authorId="2" shapeId="0" xr:uid="{79E1E78B-B000-4709-92D0-FBFE138834D4}">
      <text>
        <r>
          <rPr>
            <sz val="11"/>
            <color theme="1"/>
            <rFont val="Calibri"/>
            <family val="2"/>
            <scheme val="minor"/>
          </rPr>
          <t>Aljaber, Rawan:
TCD does not specify cruise max vs TOL max</t>
        </r>
      </text>
    </comment>
    <comment ref="EQ34" authorId="2" shapeId="0" xr:uid="{52E12045-F1BC-4D17-866C-2BB5329C56E9}">
      <text>
        <r>
          <rPr>
            <sz val="11"/>
            <color theme="1"/>
            <rFont val="Calibri"/>
            <family val="2"/>
            <scheme val="minor"/>
          </rPr>
          <t>Aljaber, Rawan:
TCD does not specify cruise max vs TOL max</t>
        </r>
      </text>
    </comment>
    <comment ref="ER34" authorId="2" shapeId="0" xr:uid="{065FD4A4-3791-4F00-905D-C1986DB874C7}">
      <text>
        <r>
          <rPr>
            <sz val="11"/>
            <color theme="1"/>
            <rFont val="Calibri"/>
            <family val="2"/>
            <scheme val="minor"/>
          </rPr>
          <t>Aljaber, Rawan:
TCD does not specify cruise max vs TOL max</t>
        </r>
      </text>
    </comment>
    <comment ref="KS34" authorId="9" shapeId="0" xr:uid="{9DF1EE13-AE8F-4CA3-A520-FE0811A03EE4}">
      <text>
        <r>
          <rPr>
            <sz val="11"/>
            <color theme="1"/>
            <rFont val="Calibri"/>
            <family val="2"/>
            <scheme val="minor"/>
          </rPr>
          <t xml:space="preserve">Shine, Jayda:
45,000 ft. pressure altitude, S/N 140 and up
</t>
        </r>
      </text>
    </comment>
    <comment ref="KT34" authorId="9" shapeId="0" xr:uid="{83AF9F2F-91CA-4847-85F3-5BA8993BCB09}">
      <text>
        <r>
          <rPr>
            <sz val="11"/>
            <color theme="1"/>
            <rFont val="Calibri"/>
            <family val="2"/>
            <scheme val="minor"/>
          </rPr>
          <t xml:space="preserve">Shine, Jayda:
45,000 ft. pressure altitude, S/N 140 and up
</t>
        </r>
      </text>
    </comment>
    <comment ref="OQ34" authorId="44" shapeId="0" xr:uid="{2AAD2214-9BFC-4C80-8B9B-26B078B14876}">
      <text>
        <r>
          <rPr>
            <b/>
            <sz val="9"/>
            <color indexed="81"/>
            <rFont val="Tahoma"/>
            <family val="2"/>
          </rPr>
          <t>Michael Tsai:</t>
        </r>
        <r>
          <rPr>
            <sz val="9"/>
            <color indexed="81"/>
            <rFont val="Tahoma"/>
            <family val="2"/>
          </rPr>
          <t xml:space="preserve">
3rd party source: https://aviationweek.com/aerospace/comac-c919-testing-exceeds-cruise-speed-reaches-ceiling</t>
        </r>
      </text>
    </comment>
    <comment ref="OR34" authorId="44" shapeId="0" xr:uid="{21C0E2B6-69E3-4A6B-B98E-EE4FB52E67A1}">
      <text>
        <r>
          <rPr>
            <b/>
            <sz val="9"/>
            <color indexed="81"/>
            <rFont val="Tahoma"/>
            <family val="2"/>
          </rPr>
          <t>Michael Tsai:</t>
        </r>
        <r>
          <rPr>
            <sz val="9"/>
            <color indexed="81"/>
            <rFont val="Tahoma"/>
            <family val="2"/>
          </rPr>
          <t xml:space="preserve">
3rd party source: https://aviationweek.com/aerospace/comac-c919-testing-exceeds-cruise-speed-reaches-ceiling</t>
        </r>
      </text>
    </comment>
    <comment ref="PL34" authorId="44" shapeId="0" xr:uid="{26149611-68D3-46F0-BD2E-3332655F5184}">
      <text>
        <r>
          <rPr>
            <b/>
            <sz val="9"/>
            <color indexed="81"/>
            <rFont val="Tahoma"/>
            <family val="2"/>
          </rPr>
          <t>Michael Tsai:</t>
        </r>
        <r>
          <rPr>
            <sz val="9"/>
            <color indexed="81"/>
            <rFont val="Tahoma"/>
            <family val="2"/>
          </rPr>
          <t xml:space="preserve">
3rd party https://www.lufthansagroup.com/en/company/fleet/lufthansa-and-regional-partners/airbus-a380-800.html</t>
        </r>
      </text>
    </comment>
    <comment ref="PM34" authorId="44" shapeId="0" xr:uid="{A67AA49B-BE3D-498E-B67B-3C16E56C03E4}">
      <text>
        <r>
          <rPr>
            <b/>
            <sz val="9"/>
            <color indexed="81"/>
            <rFont val="Tahoma"/>
            <family val="2"/>
          </rPr>
          <t>Michael Tsai:</t>
        </r>
        <r>
          <rPr>
            <sz val="9"/>
            <color indexed="81"/>
            <rFont val="Tahoma"/>
            <family val="2"/>
          </rPr>
          <t xml:space="preserve">
3rd party https://www.lufthansagroup.com/en/company/fleet/lufthansa-and-regional-partners/airbus-a380-800.html</t>
        </r>
      </text>
    </comment>
    <comment ref="PN34" authorId="44" shapeId="0" xr:uid="{F4040FDD-749B-47EA-96E6-653103D6E9A1}">
      <text>
        <r>
          <rPr>
            <b/>
            <sz val="9"/>
            <color indexed="81"/>
            <rFont val="Tahoma"/>
            <family val="2"/>
          </rPr>
          <t>Michael Tsai:</t>
        </r>
        <r>
          <rPr>
            <sz val="9"/>
            <color indexed="81"/>
            <rFont val="Tahoma"/>
            <family val="2"/>
          </rPr>
          <t xml:space="preserve">
3rd party https://www.lufthansagroup.com/en/company/fleet/lufthansa-and-regional-partners/airbus-a380-800.html</t>
        </r>
      </text>
    </comment>
    <comment ref="A35" authorId="2" shapeId="0" xr:uid="{D80EE006-0124-4E13-9F74-6B30F28A0443}">
      <text>
        <r>
          <rPr>
            <sz val="11"/>
            <color theme="1"/>
            <rFont val="Calibri"/>
            <family val="2"/>
            <scheme val="minor"/>
          </rPr>
          <t xml:space="preserve">Aljaber, Rawan:
Record MTOW Sea Level Takeoff distance </t>
        </r>
      </text>
    </comment>
    <comment ref="BP35" authorId="40" shapeId="0" xr:uid="{71054D61-D854-4D2C-9800-230242E66A85}">
      <text>
        <r>
          <rPr>
            <b/>
            <sz val="9"/>
            <color indexed="81"/>
            <rFont val="Tahoma"/>
            <family val="2"/>
          </rPr>
          <t>Paul Mokotoff:</t>
        </r>
        <r>
          <rPr>
            <sz val="9"/>
            <color indexed="81"/>
            <rFont val="Tahoma"/>
            <family val="2"/>
          </rPr>
          <t xml:space="preserve">
Assuming the engine performs similar to the CFM 56_5B7 engine (to get design range and OEW).</t>
        </r>
      </text>
    </comment>
    <comment ref="BQ35" authorId="40" shapeId="0" xr:uid="{CBCA49D5-E5D8-425D-AF1D-5532B7EA1131}">
      <text>
        <r>
          <rPr>
            <b/>
            <sz val="9"/>
            <color indexed="81"/>
            <rFont val="Tahoma"/>
            <family val="2"/>
          </rPr>
          <t>Paul Mokotoff:</t>
        </r>
        <r>
          <rPr>
            <sz val="9"/>
            <color indexed="81"/>
            <rFont val="Tahoma"/>
            <family val="2"/>
          </rPr>
          <t xml:space="preserve">
Assuming the engine performs similar to the CFM 56_5B7 engine (to get design range and OEW).</t>
        </r>
      </text>
    </comment>
    <comment ref="BR35" authorId="40" shapeId="0" xr:uid="{09C9CDFE-DDDF-43D0-850E-8EEF570E9AAC}">
      <text>
        <r>
          <rPr>
            <b/>
            <sz val="9"/>
            <color indexed="81"/>
            <rFont val="Tahoma"/>
            <family val="2"/>
          </rPr>
          <t>Paul Mokotoff:</t>
        </r>
        <r>
          <rPr>
            <sz val="9"/>
            <color indexed="81"/>
            <rFont val="Tahoma"/>
            <family val="2"/>
          </rPr>
          <t xml:space="preserve">
Assuming the engine performs similar to the CFM 56_5B7 engine (to get design range and OEW).</t>
        </r>
      </text>
    </comment>
    <comment ref="BS35" authorId="40" shapeId="0" xr:uid="{3B576A8E-0C30-4686-9DE9-5F7CA74F7173}">
      <text>
        <r>
          <rPr>
            <b/>
            <sz val="9"/>
            <color indexed="81"/>
            <rFont val="Tahoma"/>
            <family val="2"/>
          </rPr>
          <t>Paul Mokotoff:</t>
        </r>
        <r>
          <rPr>
            <sz val="9"/>
            <color indexed="81"/>
            <rFont val="Tahoma"/>
            <family val="2"/>
          </rPr>
          <t xml:space="preserve">
For an MTOW of 77,300 kg (but close enough given that this is a corporate jet).</t>
        </r>
      </text>
    </comment>
    <comment ref="BT35" authorId="40" shapeId="0" xr:uid="{236DA3F1-DD0B-4ED8-94B7-467CFC5031F3}">
      <text>
        <r>
          <rPr>
            <b/>
            <sz val="9"/>
            <color indexed="81"/>
            <rFont val="Tahoma"/>
            <family val="2"/>
          </rPr>
          <t>Paul Mokotoff:</t>
        </r>
        <r>
          <rPr>
            <sz val="9"/>
            <color indexed="81"/>
            <rFont val="Tahoma"/>
            <family val="2"/>
          </rPr>
          <t xml:space="preserve">
Assuming similar engine performance to the CFM56_5B4/3.</t>
        </r>
      </text>
    </comment>
    <comment ref="BU35" authorId="40" shapeId="0" xr:uid="{1CE0897E-E127-4F26-B43D-8A07CDB887C4}">
      <text>
        <r>
          <rPr>
            <b/>
            <sz val="9"/>
            <color indexed="81"/>
            <rFont val="Tahoma"/>
            <family val="2"/>
          </rPr>
          <t>Paul Mokotoff:</t>
        </r>
        <r>
          <rPr>
            <sz val="9"/>
            <color indexed="81"/>
            <rFont val="Tahoma"/>
            <family val="2"/>
          </rPr>
          <t xml:space="preserve">
Assuming similar engine performance to the CFM56_5B4/3.</t>
        </r>
      </text>
    </comment>
    <comment ref="BW35" authorId="40" shapeId="0" xr:uid="{AF71CB85-5E10-44BD-89EE-09BC20AE18F4}">
      <text>
        <r>
          <rPr>
            <b/>
            <sz val="9"/>
            <color indexed="81"/>
            <rFont val="Tahoma"/>
            <family val="2"/>
          </rPr>
          <t>Paul Mokotoff:</t>
        </r>
        <r>
          <rPr>
            <sz val="9"/>
            <color indexed="81"/>
            <rFont val="Tahoma"/>
            <family val="2"/>
          </rPr>
          <t xml:space="preserve">
Assuming similar engine performance to the CFM56_5B4/3.</t>
        </r>
      </text>
    </comment>
    <comment ref="BX35" authorId="40" shapeId="0" xr:uid="{E520C905-29BA-4245-8695-2180CF6D9196}">
      <text>
        <r>
          <rPr>
            <b/>
            <sz val="9"/>
            <color indexed="81"/>
            <rFont val="Tahoma"/>
            <family val="2"/>
          </rPr>
          <t>Paul Mokotoff:</t>
        </r>
        <r>
          <rPr>
            <sz val="9"/>
            <color indexed="81"/>
            <rFont val="Tahoma"/>
            <family val="2"/>
          </rPr>
          <t xml:space="preserve">
Assuming similar engine performance to the CFM56_5B4/3.</t>
        </r>
      </text>
    </comment>
    <comment ref="BY35" authorId="40" shapeId="0" xr:uid="{45248BC2-0D92-4CFB-A62E-CD152CAE9CF8}">
      <text>
        <r>
          <rPr>
            <b/>
            <sz val="9"/>
            <color indexed="81"/>
            <rFont val="Tahoma"/>
            <family val="2"/>
          </rPr>
          <t>Paul Mokotoff:</t>
        </r>
        <r>
          <rPr>
            <sz val="9"/>
            <color indexed="81"/>
            <rFont val="Tahoma"/>
            <family val="2"/>
          </rPr>
          <t xml:space="preserve">
Assuming similar engine performance to the V2527_A5.</t>
        </r>
      </text>
    </comment>
    <comment ref="CP35" authorId="40" shapeId="0" xr:uid="{CEAF12DB-3FF2-4A84-9EEB-D36E40C6F9CA}">
      <text>
        <r>
          <rPr>
            <b/>
            <sz val="9"/>
            <color indexed="81"/>
            <rFont val="Tahoma"/>
            <family val="2"/>
          </rPr>
          <t>Paul Mokotoff:</t>
        </r>
        <r>
          <rPr>
            <sz val="9"/>
            <color indexed="81"/>
            <rFont val="Tahoma"/>
            <family val="2"/>
          </rPr>
          <t xml:space="preserve">
Assuming the engine performs the same as the LEAP_1A engines.</t>
        </r>
      </text>
    </comment>
    <comment ref="CS35" authorId="40" shapeId="0" xr:uid="{63920E72-C342-42A5-AE33-AE319CD77A61}">
      <text>
        <r>
          <rPr>
            <b/>
            <sz val="9"/>
            <color indexed="81"/>
            <rFont val="Tahoma"/>
            <family val="2"/>
          </rPr>
          <t>Paul Mokotoff:</t>
        </r>
        <r>
          <rPr>
            <sz val="9"/>
            <color indexed="81"/>
            <rFont val="Tahoma"/>
            <family val="2"/>
          </rPr>
          <t xml:space="preserve">
Assuming the engine performs the same as the LEAP_1A engines.</t>
        </r>
      </text>
    </comment>
    <comment ref="CV35" authorId="40" shapeId="0" xr:uid="{7B8C4F03-BA7E-47F2-83A6-354CDBC30388}">
      <text>
        <r>
          <rPr>
            <b/>
            <sz val="9"/>
            <color indexed="81"/>
            <rFont val="Tahoma"/>
            <family val="2"/>
          </rPr>
          <t>Paul Mokotoff:</t>
        </r>
        <r>
          <rPr>
            <sz val="9"/>
            <color indexed="81"/>
            <rFont val="Tahoma"/>
            <family val="2"/>
          </rPr>
          <t xml:space="preserve">
Assuming the engine performs the same as the LEAP_1A engines.</t>
        </r>
      </text>
    </comment>
    <comment ref="CX35" authorId="40" shapeId="0" xr:uid="{A5651869-1805-4E1A-AFCB-DA0655E4338E}">
      <text>
        <r>
          <rPr>
            <b/>
            <sz val="9"/>
            <color indexed="81"/>
            <rFont val="Tahoma"/>
            <family val="2"/>
          </rPr>
          <t>Paul Mokotoff:</t>
        </r>
        <r>
          <rPr>
            <sz val="9"/>
            <color indexed="81"/>
            <rFont val="Tahoma"/>
            <family val="2"/>
          </rPr>
          <t xml:space="preserve">
Assuming the engine performs the same as the LEAP_1A engines.</t>
        </r>
      </text>
    </comment>
    <comment ref="IK35" authorId="2" shapeId="0" xr:uid="{2FEFBC31-6C41-4167-9168-603ACA6087E7}">
      <text>
        <r>
          <rPr>
            <sz val="11"/>
            <color theme="1"/>
            <rFont val="Calibri"/>
            <family val="2"/>
            <scheme val="minor"/>
          </rPr>
          <t>Aljaber, Rawan:
Standard Day, Dry Runway, Sea Level</t>
        </r>
      </text>
    </comment>
    <comment ref="IL35" authorId="2" shapeId="0" xr:uid="{117218FA-2DD9-460E-9653-B05A58D9114F}">
      <text>
        <r>
          <rPr>
            <sz val="11"/>
            <color theme="1"/>
            <rFont val="Calibri"/>
            <family val="2"/>
            <scheme val="minor"/>
          </rPr>
          <t>Aljaber, Rawan:
Standard Day, Dry Runway, Sea Level</t>
        </r>
      </text>
    </comment>
    <comment ref="IM35" authorId="2" shapeId="0" xr:uid="{E3D8614D-5468-40FA-A719-56186E0F345A}">
      <text>
        <r>
          <rPr>
            <sz val="11"/>
            <color theme="1"/>
            <rFont val="Calibri"/>
            <family val="2"/>
            <scheme val="minor"/>
          </rPr>
          <t>Aljaber, Rawan:
Standard Day, Dry Runway, Sea Level</t>
        </r>
      </text>
    </comment>
    <comment ref="OB35" authorId="10" shapeId="0" xr:uid="{4D005746-8488-458D-9CE0-E0707EE8087A}">
      <text>
        <r>
          <rPr>
            <b/>
            <sz val="9"/>
            <color indexed="81"/>
            <rFont val="Tahoma"/>
            <family val="2"/>
          </rPr>
          <t>Max Arnson:</t>
        </r>
        <r>
          <rPr>
            <sz val="9"/>
            <color indexed="81"/>
            <rFont val="Tahoma"/>
            <family val="2"/>
          </rPr>
          <t xml:space="preserve">
unreliable:
https://aerocorner.com/aircraft/lockheed-l-1011-tristar-200/</t>
        </r>
      </text>
    </comment>
    <comment ref="OC35" authorId="10" shapeId="0" xr:uid="{A745D116-A684-4F82-AC2B-33E6AB2501E4}">
      <text>
        <r>
          <rPr>
            <b/>
            <sz val="9"/>
            <color indexed="81"/>
            <rFont val="Tahoma"/>
            <family val="2"/>
          </rPr>
          <t>Max Arnson:</t>
        </r>
        <r>
          <rPr>
            <sz val="9"/>
            <color indexed="81"/>
            <rFont val="Tahoma"/>
            <family val="2"/>
          </rPr>
          <t xml:space="preserve">
unreliable:
https://aerocorner.com/aircraft/lockheed-l-1011-tristar-200/</t>
        </r>
      </text>
    </comment>
    <comment ref="OD35" authorId="10" shapeId="0" xr:uid="{ED922DB4-6B6F-429A-A6FA-CF04D2BDA1A2}">
      <text>
        <r>
          <rPr>
            <b/>
            <sz val="9"/>
            <color indexed="81"/>
            <rFont val="Tahoma"/>
            <family val="2"/>
          </rPr>
          <t>Max Arnson:</t>
        </r>
        <r>
          <rPr>
            <sz val="9"/>
            <color indexed="81"/>
            <rFont val="Tahoma"/>
            <family val="2"/>
          </rPr>
          <t xml:space="preserve">
unreliable:
https://aerocorner.com/aircraft/lockheed-l-1011-tristar-200/</t>
        </r>
      </text>
    </comment>
    <comment ref="OE35" authorId="10" shapeId="0" xr:uid="{0F5C280B-73E5-4B05-BE99-A406307391B1}">
      <text>
        <r>
          <rPr>
            <b/>
            <sz val="9"/>
            <color indexed="81"/>
            <rFont val="Tahoma"/>
            <family val="2"/>
          </rPr>
          <t>Max Arnson:</t>
        </r>
        <r>
          <rPr>
            <sz val="9"/>
            <color indexed="81"/>
            <rFont val="Tahoma"/>
            <family val="2"/>
          </rPr>
          <t xml:space="preserve">
unreliable source:
https://aerocorner.com/aircraft/lockheed-l-1011-tristar-500/
</t>
        </r>
      </text>
    </comment>
    <comment ref="EM36" authorId="2" shapeId="0" xr:uid="{FECF0FA3-7C39-4927-B9B1-0925D17E5E37}">
      <text>
        <r>
          <rPr>
            <sz val="11"/>
            <color theme="1"/>
            <rFont val="Calibri"/>
            <family val="2"/>
            <scheme val="minor"/>
          </rPr>
          <t>Aljaber, Rawan:
JT8D_7,  -7A, -7B SAME THRUST VALUES</t>
        </r>
      </text>
    </comment>
    <comment ref="EN36" authorId="2" shapeId="0" xr:uid="{AAB0AA46-C029-4062-A3F3-03CD3181077D}">
      <text>
        <r>
          <rPr>
            <sz val="11"/>
            <color theme="1"/>
            <rFont val="Calibri"/>
            <family val="2"/>
            <scheme val="minor"/>
          </rPr>
          <t>Aljaber, Rawan:
JT8D_7,  -7A, -7B SAME THRUST VALUES</t>
        </r>
      </text>
    </comment>
    <comment ref="EO36" authorId="2" shapeId="0" xr:uid="{296EEF9B-624C-4B17-9425-5987D70C865A}">
      <text>
        <r>
          <rPr>
            <sz val="11"/>
            <color theme="1"/>
            <rFont val="Calibri"/>
            <family val="2"/>
            <scheme val="minor"/>
          </rPr>
          <t>Aljaber, Rawan:
JT8D_7,  -7A, -7B SAME THRUST VALUES</t>
        </r>
      </text>
    </comment>
    <comment ref="FF36" authorId="44" shapeId="0" xr:uid="{B71722F5-8ABB-458E-8E45-329720A423C7}">
      <text>
        <r>
          <rPr>
            <b/>
            <sz val="9"/>
            <color indexed="81"/>
            <rFont val="Tahoma"/>
            <family val="2"/>
          </rPr>
          <t>Michael Tsai:</t>
        </r>
        <r>
          <rPr>
            <sz val="9"/>
            <color indexed="81"/>
            <rFont val="Tahoma"/>
            <family val="2"/>
          </rPr>
          <t xml:space="preserve">
Sea level
</t>
        </r>
      </text>
    </comment>
    <comment ref="A37" authorId="2" shapeId="0" xr:uid="{4A1E2122-E861-436B-8B47-649DD0EE291E}">
      <text>
        <r>
          <rPr>
            <sz val="11"/>
            <color theme="1"/>
            <rFont val="Calibri"/>
            <family val="2"/>
            <scheme val="minor"/>
          </rPr>
          <t xml:space="preserve">Aljaber, Rawan:
Takeoff static, sea level </t>
        </r>
      </text>
    </comment>
    <comment ref="FF37" authorId="44" shapeId="0" xr:uid="{707C692E-6757-4C50-8093-BB0C88894D3B}">
      <text>
        <r>
          <rPr>
            <b/>
            <sz val="9"/>
            <color indexed="81"/>
            <rFont val="Tahoma"/>
            <family val="2"/>
          </rPr>
          <t>Michael Tsai:</t>
        </r>
        <r>
          <rPr>
            <sz val="9"/>
            <color indexed="81"/>
            <rFont val="Tahoma"/>
            <family val="2"/>
          </rPr>
          <t xml:space="preserve">
Water Injection: 45000 lb
</t>
        </r>
      </text>
    </comment>
    <comment ref="FI37" authorId="44" shapeId="0" xr:uid="{A30323F3-EE50-4430-A8FA-ECA96DE88279}">
      <text>
        <r>
          <rPr>
            <b/>
            <sz val="9"/>
            <color indexed="81"/>
            <rFont val="Tahoma"/>
            <family val="2"/>
          </rPr>
          <t>Michael Tsai:</t>
        </r>
        <r>
          <rPr>
            <sz val="9"/>
            <color indexed="81"/>
            <rFont val="Tahoma"/>
            <family val="2"/>
          </rPr>
          <t xml:space="preserve">
With Water Injection: 47670 lb</t>
        </r>
      </text>
    </comment>
    <comment ref="FJ37" authorId="44" shapeId="0" xr:uid="{A6B0B72F-3737-4194-9E66-C2FDAB7420DE}">
      <text>
        <r>
          <rPr>
            <b/>
            <sz val="9"/>
            <color indexed="81"/>
            <rFont val="Tahoma"/>
            <family val="2"/>
          </rPr>
          <t>Michael Tsai:</t>
        </r>
        <r>
          <rPr>
            <sz val="9"/>
            <color indexed="81"/>
            <rFont val="Tahoma"/>
            <family val="2"/>
          </rPr>
          <t xml:space="preserve">
With Water Injection: 47670 lb</t>
        </r>
      </text>
    </comment>
    <comment ref="FO37" authorId="44" shapeId="0" xr:uid="{B55F9A53-74A7-453E-99DB-BD75B85FBDD2}">
      <text>
        <r>
          <rPr>
            <b/>
            <sz val="9"/>
            <color indexed="81"/>
            <rFont val="Tahoma"/>
            <family val="2"/>
          </rPr>
          <t>Michael Tsai:</t>
        </r>
        <r>
          <rPr>
            <sz val="9"/>
            <color indexed="81"/>
            <rFont val="Tahoma"/>
            <family val="2"/>
          </rPr>
          <t xml:space="preserve">
Water Injection: 48650 lb</t>
        </r>
      </text>
    </comment>
    <comment ref="GE37" authorId="44" shapeId="0" xr:uid="{2A286FF8-3777-47C1-84B9-BC30C68764CB}">
      <text>
        <r>
          <rPr>
            <b/>
            <sz val="9"/>
            <color indexed="81"/>
            <rFont val="Tahoma"/>
            <family val="2"/>
          </rPr>
          <t>Michael Tsai:</t>
        </r>
        <r>
          <rPr>
            <sz val="9"/>
            <color indexed="81"/>
            <rFont val="Tahoma"/>
            <family val="2"/>
          </rPr>
          <t xml:space="preserve">
Water Injection: 47670 lb</t>
        </r>
      </text>
    </comment>
    <comment ref="GG37" authorId="44" shapeId="0" xr:uid="{E3FB21AF-034F-4007-AD66-1D1A48D3614A}">
      <text>
        <r>
          <rPr>
            <b/>
            <sz val="9"/>
            <color indexed="81"/>
            <rFont val="Tahoma"/>
            <family val="2"/>
          </rPr>
          <t>Michael Tsai:</t>
        </r>
        <r>
          <rPr>
            <sz val="9"/>
            <color indexed="81"/>
            <rFont val="Tahoma"/>
            <family val="2"/>
          </rPr>
          <t xml:space="preserve">
Water Injection: 47670 lb</t>
        </r>
      </text>
    </comment>
    <comment ref="GH37" authorId="44" shapeId="0" xr:uid="{47F84639-0367-4347-9DC7-00A97BD0CB3A}">
      <text>
        <r>
          <rPr>
            <b/>
            <sz val="9"/>
            <color indexed="81"/>
            <rFont val="Tahoma"/>
            <family val="2"/>
          </rPr>
          <t>Michael Tsai:</t>
        </r>
        <r>
          <rPr>
            <sz val="9"/>
            <color indexed="81"/>
            <rFont val="Tahoma"/>
            <family val="2"/>
          </rPr>
          <t xml:space="preserve">
Water Injection: 48650 lb</t>
        </r>
      </text>
    </comment>
    <comment ref="GK37" authorId="44" shapeId="0" xr:uid="{45D4F80A-9DEF-48D8-A041-E25DF2EDF45F}">
      <text>
        <r>
          <rPr>
            <b/>
            <sz val="9"/>
            <color indexed="81"/>
            <rFont val="Tahoma"/>
            <family val="2"/>
          </rPr>
          <t>Michael Tsai:</t>
        </r>
        <r>
          <rPr>
            <sz val="9"/>
            <color indexed="81"/>
            <rFont val="Tahoma"/>
            <family val="2"/>
          </rPr>
          <t xml:space="preserve">
Water Injection: 47670 lb</t>
        </r>
      </text>
    </comment>
    <comment ref="OB37" authorId="10" shapeId="0" xr:uid="{D554F1A7-B7E9-4920-A9D1-D35DA5739A11}">
      <text>
        <r>
          <rPr>
            <b/>
            <sz val="9"/>
            <color indexed="81"/>
            <rFont val="Tahoma"/>
            <family val="2"/>
          </rPr>
          <t>Max Arnson:</t>
        </r>
        <r>
          <rPr>
            <sz val="9"/>
            <color indexed="81"/>
            <rFont val="Tahoma"/>
            <family val="2"/>
          </rPr>
          <t xml:space="preserve">
see tcds for info between this and a different one flat rated to a different  temperature</t>
        </r>
      </text>
    </comment>
    <comment ref="OC37" authorId="10" shapeId="0" xr:uid="{0EFE8BD6-F83D-499B-96FC-13A1D63C4D5E}">
      <text>
        <r>
          <rPr>
            <b/>
            <sz val="9"/>
            <color indexed="81"/>
            <rFont val="Tahoma"/>
            <family val="2"/>
          </rPr>
          <t>Max Arnson:</t>
        </r>
        <r>
          <rPr>
            <sz val="9"/>
            <color indexed="81"/>
            <rFont val="Tahoma"/>
            <family val="2"/>
          </rPr>
          <t xml:space="preserve">
see tcds for info between this and a different one flat rated to a different  temperature</t>
        </r>
      </text>
    </comment>
    <comment ref="OD37" authorId="10" shapeId="0" xr:uid="{91C63C7F-39C8-40F0-8BB1-D42566FF8E5B}">
      <text>
        <r>
          <rPr>
            <b/>
            <sz val="9"/>
            <color indexed="81"/>
            <rFont val="Tahoma"/>
            <family val="2"/>
          </rPr>
          <t>Max Arnson:</t>
        </r>
        <r>
          <rPr>
            <sz val="9"/>
            <color indexed="81"/>
            <rFont val="Tahoma"/>
            <family val="2"/>
          </rPr>
          <t xml:space="preserve">
see tcds for info between this and a different one flat rated to a different  temperature</t>
        </r>
      </text>
    </comment>
    <comment ref="EM39" authorId="2" shapeId="0" xr:uid="{67E0F399-A043-46A5-BF27-7A0C2316ADA0}">
      <text>
        <r>
          <rPr>
            <sz val="11"/>
            <color theme="1"/>
            <rFont val="Calibri"/>
            <family val="2"/>
            <scheme val="minor"/>
          </rPr>
          <t>Aljaber, Rawan:
https://web.archive.org/web/20180418031822/http://rgl.faa.gov/Regulatory_and_Guidance_Library/rgMakeModel.nsf/0/8fcf1d1d82007a9e8625823d00778f99/$FILE/A16WE_Rev_61.pdf</t>
        </r>
      </text>
    </comment>
    <comment ref="EP39" authorId="2" shapeId="0" xr:uid="{DCA46763-7861-46D7-A0CF-8CCE961F8950}">
      <text>
        <r>
          <rPr>
            <sz val="11"/>
            <color theme="1"/>
            <rFont val="Calibri"/>
            <family val="2"/>
            <scheme val="minor"/>
          </rPr>
          <t>Aljaber, Rawan:
 Jet A1, and Jet B</t>
        </r>
      </text>
    </comment>
    <comment ref="EQ39" authorId="2" shapeId="0" xr:uid="{1F7924DD-818E-465E-983A-8FB234450FDD}">
      <text>
        <r>
          <rPr>
            <sz val="11"/>
            <color theme="1"/>
            <rFont val="Calibri"/>
            <family val="2"/>
            <scheme val="minor"/>
          </rPr>
          <t>Aljaber, Rawan:
Jet A1, and Jet B</t>
        </r>
      </text>
    </comment>
    <comment ref="ER39" authorId="2" shapeId="0" xr:uid="{B5C2A81D-315E-4F3D-8969-439557DBFE75}">
      <text>
        <r>
          <rPr>
            <sz val="11"/>
            <color theme="1"/>
            <rFont val="Calibri"/>
            <family val="2"/>
            <scheme val="minor"/>
          </rPr>
          <t>Aljaber, Rawan:
Jet A1, and Jet B</t>
        </r>
      </text>
    </comment>
    <comment ref="ES39" authorId="2" shapeId="0" xr:uid="{F219EDAE-33C3-4DDD-8D25-7E62AA04560E}">
      <text>
        <r>
          <rPr>
            <sz val="11"/>
            <color theme="1"/>
            <rFont val="Calibri"/>
            <family val="2"/>
            <scheme val="minor"/>
          </rPr>
          <t xml:space="preserve">Aljaber, Rawan:
* Jet A, Jet A-1 as specified in ASTM-D1655
 * JP-5 as specified in MIL-T-5624
 * JP-8 as specified in MIL-T-83133 </t>
        </r>
      </text>
    </comment>
    <comment ref="ET39" authorId="2" shapeId="0" xr:uid="{E1FAD77C-287F-4418-92D2-DCE42E44135B}">
      <text>
        <r>
          <rPr>
            <sz val="11"/>
            <color theme="1"/>
            <rFont val="Calibri"/>
            <family val="2"/>
            <scheme val="minor"/>
          </rPr>
          <t>Aljaber, Rawan:
* Jet A, Jet A-1 as specified in ASTM-D1655
 * JP-5 as specified in MIL-T-5624
 * JP-8 as specified in MIL-T-83133</t>
        </r>
      </text>
    </comment>
    <comment ref="EU39" authorId="2" shapeId="0" xr:uid="{DA9CD35E-2861-4807-A8DD-D664ED585431}">
      <text>
        <r>
          <rPr>
            <sz val="11"/>
            <color theme="1"/>
            <rFont val="Calibri"/>
            <family val="2"/>
            <scheme val="minor"/>
          </rPr>
          <t>Aljaber, Rawan:
* Jet A, Jet A-1 as specified in ASTM-D1655
 * JP-5 as specified in MIL-T-5624
 * JP-8 as specified in MIL-T-83133</t>
        </r>
      </text>
    </comment>
    <comment ref="EV39" authorId="2" shapeId="0" xr:uid="{A6426D8C-ED25-40D9-A653-30C0DD31DE2F}">
      <text>
        <r>
          <rPr>
            <sz val="11"/>
            <color theme="1"/>
            <rFont val="Calibri"/>
            <family val="2"/>
            <scheme val="minor"/>
          </rPr>
          <t>Aljaber, Rawan:
* Jet A, Jet A-1 as specified in ASTM-D1655
 * JP-5 as specified in MIL-T-5624
 * JP-8 as specified in MIL-T-83133</t>
        </r>
      </text>
    </comment>
    <comment ref="EW39" authorId="2" shapeId="0" xr:uid="{E1AB45D1-4128-4A88-887C-C88B70DB1CB7}">
      <text>
        <r>
          <rPr>
            <sz val="11"/>
            <color theme="1"/>
            <rFont val="Calibri"/>
            <family val="2"/>
            <scheme val="minor"/>
          </rPr>
          <t>Aljaber, Rawan:
* Jet A, Jet A-1 as specified in ASTM-D1655
* JP-5 as specified in MIL-T-5624
* JP-8 as specified in MIL-T-83133</t>
        </r>
      </text>
    </comment>
    <comment ref="EX39" authorId="2" shapeId="0" xr:uid="{37F2344C-21F8-4659-B050-DEC24B5F80D8}">
      <text>
        <r>
          <rPr>
            <sz val="11"/>
            <color theme="1"/>
            <rFont val="Calibri"/>
            <family val="2"/>
            <scheme val="minor"/>
          </rPr>
          <t>Aljaber, Rawan:
* Jet A, Jet A-1 as specified in ASTM-D1655
* JP-5 as specified in MIL-T-5624
* JP-8 as specified in MIL-T-83133</t>
        </r>
      </text>
    </comment>
    <comment ref="EY39" authorId="2" shapeId="0" xr:uid="{D15D2199-D475-4EC4-BF90-82275521FE1B}">
      <text>
        <r>
          <rPr>
            <sz val="11"/>
            <color theme="1"/>
            <rFont val="Calibri"/>
            <family val="2"/>
            <scheme val="minor"/>
          </rPr>
          <t xml:space="preserve">Aljaber, Rawan:
* Jet A, Jet A-1 as specified in ASTM-D1655
 * JP-5 as specified in MIL-T-5624
 * JP-8 as specified in MIL-T-83133 </t>
        </r>
      </text>
    </comment>
    <comment ref="EZ39" authorId="2" shapeId="0" xr:uid="{65FFD034-89CF-44B6-8F6B-3F798CDB02F9}">
      <text>
        <r>
          <rPr>
            <sz val="11"/>
            <color theme="1"/>
            <rFont val="Calibri"/>
            <family val="2"/>
            <scheme val="minor"/>
          </rPr>
          <t xml:space="preserve">Aljaber, Rawan:
* Jet A, Jet A-1 as specified in ASTM-D1655
 * JP-5 as specified in MIL-T-5624
 * JP-8 as specified in MIL-T-83133 </t>
        </r>
      </text>
    </comment>
    <comment ref="FA39" authorId="2" shapeId="0" xr:uid="{ECDB7266-3321-421B-B8CC-84E528775DDB}">
      <text>
        <r>
          <rPr>
            <sz val="11"/>
            <color theme="1"/>
            <rFont val="Calibri"/>
            <family val="2"/>
            <scheme val="minor"/>
          </rPr>
          <t>Aljaber, Rawan:
* Jet A, Jet A-1 as specified in ASTM-D1655
 * JP-5 as specified in MIL-T-5624
 * JP-8 as specified in MIL-T-83133</t>
        </r>
      </text>
    </comment>
    <comment ref="MA39" authorId="41" shapeId="0" xr:uid="{09E535DE-1C26-44C9-8801-D926CFC56985}">
      <text>
        <r>
          <rPr>
            <b/>
            <sz val="9"/>
            <color indexed="81"/>
            <rFont val="Tahoma"/>
            <family val="2"/>
          </rPr>
          <t>Jayda Shine:</t>
        </r>
        <r>
          <rPr>
            <sz val="9"/>
            <color indexed="81"/>
            <rFont val="Tahoma"/>
            <family val="2"/>
          </rPr>
          <t xml:space="preserve">
British DERD 2482, 2486, 2494 
American JP-1
JP-4
Canadian 3-CP-23D, 3-CP-22B</t>
        </r>
      </text>
    </comment>
    <comment ref="MB39" authorId="41" shapeId="0" xr:uid="{17704B1D-BAD5-4346-A0FA-463F787A1F1A}">
      <text>
        <r>
          <rPr>
            <b/>
            <sz val="9"/>
            <color indexed="81"/>
            <rFont val="Tahoma"/>
            <family val="2"/>
          </rPr>
          <t>Jayda Shine:</t>
        </r>
        <r>
          <rPr>
            <sz val="9"/>
            <color indexed="81"/>
            <rFont val="Tahoma"/>
            <family val="2"/>
          </rPr>
          <t xml:space="preserve">
British DERD 2482, 2486, 2494 
American JP-1
JP-4
Canadian 3-CP-23D, 3-CP-22B</t>
        </r>
      </text>
    </comment>
    <comment ref="MC39" authorId="41" shapeId="0" xr:uid="{9356C864-2B2D-42EC-BA74-64C785FFDFD2}">
      <text>
        <r>
          <rPr>
            <b/>
            <sz val="9"/>
            <color indexed="81"/>
            <rFont val="Tahoma"/>
            <family val="2"/>
          </rPr>
          <t>Jayda Shine:</t>
        </r>
        <r>
          <rPr>
            <sz val="9"/>
            <color indexed="81"/>
            <rFont val="Tahoma"/>
            <family val="2"/>
          </rPr>
          <t xml:space="preserve">
British DERD 2482, 2486, 2494 
American JP-1
JP-4
Canadian 3-CP-23D, 3-CP-22B</t>
        </r>
      </text>
    </comment>
    <comment ref="OB39" authorId="10" shapeId="0" xr:uid="{076B8771-B064-4868-AB81-D38888A623A6}">
      <text>
        <r>
          <rPr>
            <b/>
            <sz val="9"/>
            <color indexed="81"/>
            <rFont val="Tahoma"/>
            <family val="2"/>
          </rPr>
          <t>Max Arnson:</t>
        </r>
        <r>
          <rPr>
            <sz val="9"/>
            <color indexed="81"/>
            <rFont val="Tahoma"/>
            <family val="2"/>
          </rPr>
          <t xml:space="preserve">
anything with a heating value above 42.98 MJ/kg</t>
        </r>
      </text>
    </comment>
    <comment ref="OC39" authorId="10" shapeId="0" xr:uid="{485AFEDF-1DC8-4AB0-83B3-2F98AFFE51FD}">
      <text>
        <r>
          <rPr>
            <b/>
            <sz val="9"/>
            <color indexed="81"/>
            <rFont val="Tahoma"/>
            <family val="2"/>
          </rPr>
          <t>Max Arnson:</t>
        </r>
        <r>
          <rPr>
            <sz val="9"/>
            <color indexed="81"/>
            <rFont val="Tahoma"/>
            <family val="2"/>
          </rPr>
          <t xml:space="preserve">
anything with a heating value above 42.98 MJ/kg</t>
        </r>
      </text>
    </comment>
    <comment ref="OD39" authorId="10" shapeId="0" xr:uid="{6ABB5D46-4968-4678-A5AF-F733F2CF0796}">
      <text>
        <r>
          <rPr>
            <b/>
            <sz val="9"/>
            <color indexed="81"/>
            <rFont val="Tahoma"/>
            <family val="2"/>
          </rPr>
          <t>Max Arnson:</t>
        </r>
        <r>
          <rPr>
            <sz val="9"/>
            <color indexed="81"/>
            <rFont val="Tahoma"/>
            <family val="2"/>
          </rPr>
          <t xml:space="preserve">
anything with a heating value above 42.98 MJ/kg</t>
        </r>
      </text>
    </comment>
    <comment ref="OE39" authorId="10" shapeId="0" xr:uid="{E7CE7391-295A-4177-867E-5571BE3BB95F}">
      <text>
        <r>
          <rPr>
            <b/>
            <sz val="9"/>
            <color indexed="81"/>
            <rFont val="Tahoma"/>
            <family val="2"/>
          </rPr>
          <t>Max Arnson:</t>
        </r>
        <r>
          <rPr>
            <sz val="9"/>
            <color indexed="81"/>
            <rFont val="Tahoma"/>
            <family val="2"/>
          </rPr>
          <t xml:space="preserve">
anything with a heating value above 42.98 MJ/kg</t>
        </r>
      </text>
    </comment>
    <comment ref="PL39" authorId="10" shapeId="0" xr:uid="{2436BBB3-9729-4C18-9890-86CA1E47EE0D}">
      <text>
        <r>
          <rPr>
            <b/>
            <sz val="9"/>
            <color indexed="81"/>
            <rFont val="Tahoma"/>
            <family val="2"/>
          </rPr>
          <t>Max Arnson:</t>
        </r>
        <r>
          <rPr>
            <sz val="9"/>
            <color indexed="81"/>
            <rFont val="Tahoma"/>
            <family val="2"/>
          </rPr>
          <t xml:space="preserve">
Assumed based on density</t>
        </r>
      </text>
    </comment>
    <comment ref="ES40" authorId="2" shapeId="0" xr:uid="{D4433481-D197-49DD-B388-614CCA19EE82}">
      <text>
        <r>
          <rPr>
            <sz val="11"/>
            <color theme="1"/>
            <rFont val="Calibri"/>
            <family val="2"/>
            <scheme val="minor"/>
          </rPr>
          <t xml:space="preserve">Aljaber, Rawan:
Googled value
</t>
        </r>
      </text>
    </comment>
    <comment ref="JM40" authorId="22" shapeId="0" xr:uid="{F48FE3B5-7B34-4BFC-A4F5-57CA97F98833}">
      <text>
        <r>
          <rPr>
            <sz val="11"/>
            <color theme="1"/>
            <rFont val="Calibri"/>
            <family val="2"/>
            <scheme val="minor"/>
          </rPr>
          <t>Dwibhashyam, Neha:
"Adopted fuel density"</t>
        </r>
      </text>
    </comment>
    <comment ref="JN40" authorId="22" shapeId="0" xr:uid="{40021051-3A84-415D-86E2-89A9BF1C2EF2}">
      <text>
        <r>
          <rPr>
            <sz val="11"/>
            <color theme="1"/>
            <rFont val="Calibri"/>
            <family val="2"/>
            <scheme val="minor"/>
          </rPr>
          <t>Dwibhashyam, Neha:
"Adopted fuel density"</t>
        </r>
      </text>
    </comment>
    <comment ref="JO40" authorId="22" shapeId="0" xr:uid="{1C023D40-56C2-40BB-B36D-B5A924332BD9}">
      <text>
        <r>
          <rPr>
            <sz val="11"/>
            <color theme="1"/>
            <rFont val="Calibri"/>
            <family val="2"/>
            <scheme val="minor"/>
          </rPr>
          <t>Dwibhashyam, Neha:
"Adopted fuel density"</t>
        </r>
      </text>
    </comment>
    <comment ref="JP40" authorId="22" shapeId="0" xr:uid="{5F8B8D0D-B7A3-4523-948F-E42B2505BB4B}">
      <text>
        <r>
          <rPr>
            <sz val="11"/>
            <color theme="1"/>
            <rFont val="Calibri"/>
            <family val="2"/>
            <scheme val="minor"/>
          </rPr>
          <t>Dwibhashyam, Neha:
"Adopted fuel density"</t>
        </r>
      </text>
    </comment>
    <comment ref="KC40" authorId="22" shapeId="0" xr:uid="{BB0FD0D1-C7EF-4554-A74A-2C6E518E8183}">
      <text>
        <r>
          <rPr>
            <sz val="11"/>
            <color theme="1"/>
            <rFont val="Calibri"/>
            <family val="2"/>
            <scheme val="minor"/>
          </rPr>
          <t>Dwibhashyam, Neha:
"adopted fuel density"</t>
        </r>
      </text>
    </comment>
    <comment ref="KD40" authorId="22" shapeId="0" xr:uid="{0376E747-BCA6-459E-8038-724B6317E9D2}">
      <text>
        <r>
          <rPr>
            <sz val="11"/>
            <color theme="1"/>
            <rFont val="Calibri"/>
            <family val="2"/>
            <scheme val="minor"/>
          </rPr>
          <t>Dwibhashyam, Neha:
"adopted fuel density"</t>
        </r>
      </text>
    </comment>
    <comment ref="KG40" authorId="22" shapeId="0" xr:uid="{E34ABED8-4CDF-4F71-AA8E-B21D9E0FBD8F}">
      <text>
        <r>
          <rPr>
            <sz val="11"/>
            <color theme="1"/>
            <rFont val="Calibri"/>
            <family val="2"/>
            <scheme val="minor"/>
          </rPr>
          <t>Dwibhashyam, Neha:
"adopted fuel density"</t>
        </r>
      </text>
    </comment>
    <comment ref="KH40" authorId="22" shapeId="0" xr:uid="{174231C9-BC6B-4B33-A3CF-6507A26932D2}">
      <text>
        <r>
          <rPr>
            <sz val="11"/>
            <color theme="1"/>
            <rFont val="Calibri"/>
            <family val="2"/>
            <scheme val="minor"/>
          </rPr>
          <t>Dwibhashyam, Neha:
"adopted fuel density"</t>
        </r>
      </text>
    </comment>
    <comment ref="KI40" authorId="22" shapeId="0" xr:uid="{3A257618-9868-4A59-AB4E-CD8B3E132261}">
      <text>
        <r>
          <rPr>
            <sz val="11"/>
            <color theme="1"/>
            <rFont val="Calibri"/>
            <family val="2"/>
            <scheme val="minor"/>
          </rPr>
          <t>Dwibhashyam, Neha:
"adopted fuel density"</t>
        </r>
      </text>
    </comment>
    <comment ref="BS41" authorId="40" shapeId="0" xr:uid="{3BFEA1EB-FB09-453D-BB15-AF40FEE78582}">
      <text>
        <r>
          <rPr>
            <b/>
            <sz val="9"/>
            <color indexed="81"/>
            <rFont val="Tahoma"/>
            <family val="2"/>
          </rPr>
          <t>Paul Mokotoff:</t>
        </r>
        <r>
          <rPr>
            <sz val="9"/>
            <color indexed="81"/>
            <rFont val="Tahoma"/>
            <family val="2"/>
          </rPr>
          <t xml:space="preserve">
Assuming a 5 Tank Airplane</t>
        </r>
      </text>
    </comment>
    <comment ref="BT41" authorId="9" shapeId="0" xr:uid="{75031902-EAE9-4CBA-850A-7B87FB4D271E}">
      <text>
        <r>
          <rPr>
            <sz val="11"/>
            <color theme="1"/>
            <rFont val="Calibri"/>
            <family val="2"/>
            <scheme val="minor"/>
          </rPr>
          <t>Shine, Jayda:
3 tank airplane</t>
        </r>
      </text>
    </comment>
    <comment ref="BU41" authorId="9" shapeId="0" xr:uid="{A854035D-4F14-4113-96F0-64D65F430410}">
      <text>
        <r>
          <rPr>
            <sz val="11"/>
            <color theme="1"/>
            <rFont val="Calibri"/>
            <family val="2"/>
            <scheme val="minor"/>
          </rPr>
          <t>Shine, Jayda:
3 tank airplane</t>
        </r>
      </text>
    </comment>
    <comment ref="BV41" authorId="9" shapeId="0" xr:uid="{1B094778-DF6D-4F61-BC82-D19A47F0E206}">
      <text>
        <r>
          <rPr>
            <sz val="11"/>
            <color theme="1"/>
            <rFont val="Calibri"/>
            <family val="2"/>
            <scheme val="minor"/>
          </rPr>
          <t>Shine, Jayda:
3 tank airplane</t>
        </r>
      </text>
    </comment>
    <comment ref="BX41" authorId="9" shapeId="0" xr:uid="{BF6C5A6C-D717-4889-B90F-65025EC13B06}">
      <text>
        <r>
          <rPr>
            <sz val="11"/>
            <color theme="1"/>
            <rFont val="Calibri"/>
            <family val="2"/>
            <scheme val="minor"/>
          </rPr>
          <t>Shine, Jayda:
3 tank airplane</t>
        </r>
      </text>
    </comment>
    <comment ref="BY41" authorId="9" shapeId="0" xr:uid="{A678CA95-573A-4B74-8D22-17F6208068E7}">
      <text>
        <r>
          <rPr>
            <sz val="11"/>
            <color theme="1"/>
            <rFont val="Calibri"/>
            <family val="2"/>
            <scheme val="minor"/>
          </rPr>
          <t>Shine, Jayda:
3 tank airplane</t>
        </r>
      </text>
    </comment>
    <comment ref="BZ41" authorId="9" shapeId="0" xr:uid="{D3F39075-EC2A-45A9-B4DF-1BFF20795D1D}">
      <text>
        <r>
          <rPr>
            <sz val="11"/>
            <color theme="1"/>
            <rFont val="Calibri"/>
            <family val="2"/>
            <scheme val="minor"/>
          </rPr>
          <t>Shine, Jayda:
3 tank airplane</t>
        </r>
      </text>
    </comment>
    <comment ref="CA41" authorId="9" shapeId="0" xr:uid="{2A56CD95-C505-470E-B528-F8572D2B59FE}">
      <text>
        <r>
          <rPr>
            <sz val="11"/>
            <color theme="1"/>
            <rFont val="Calibri"/>
            <family val="2"/>
            <scheme val="minor"/>
          </rPr>
          <t>Shine, Jayda:
3 tank airplane</t>
        </r>
      </text>
    </comment>
    <comment ref="CB41" authorId="9" shapeId="0" xr:uid="{F745EDFC-AECC-41D7-A9C0-8B17BF3DB829}">
      <text>
        <r>
          <rPr>
            <sz val="11"/>
            <color theme="1"/>
            <rFont val="Calibri"/>
            <family val="2"/>
            <scheme val="minor"/>
          </rPr>
          <t>Shine, Jayda:
3 tank airplane</t>
        </r>
      </text>
    </comment>
    <comment ref="CC41" authorId="9" shapeId="0" xr:uid="{3C4AAB92-214F-49EB-AC46-FC56CB09DBE1}">
      <text>
        <r>
          <rPr>
            <sz val="11"/>
            <color theme="1"/>
            <rFont val="Calibri"/>
            <family val="2"/>
            <scheme val="minor"/>
          </rPr>
          <t>Shine, Jayda:
3 tank airplane</t>
        </r>
      </text>
    </comment>
    <comment ref="CD41" authorId="9" shapeId="0" xr:uid="{C149C248-A988-4BA5-B3C4-F1435D401FA2}">
      <text>
        <r>
          <rPr>
            <sz val="11"/>
            <color theme="1"/>
            <rFont val="Calibri"/>
            <family val="2"/>
            <scheme val="minor"/>
          </rPr>
          <t>Shine, Jayda:
3 tank airplane</t>
        </r>
      </text>
    </comment>
    <comment ref="CE41" authorId="9" shapeId="0" xr:uid="{347416A6-3BD3-4EBC-9FDA-12B1A7206DC2}">
      <text>
        <r>
          <rPr>
            <sz val="11"/>
            <color theme="1"/>
            <rFont val="Calibri"/>
            <family val="2"/>
            <scheme val="minor"/>
          </rPr>
          <t>Shine, Jayda:
3 tank airplane</t>
        </r>
      </text>
    </comment>
    <comment ref="CF41" authorId="9" shapeId="0" xr:uid="{2DB07A17-13E3-44CE-93AB-8E14CA1C301C}">
      <text>
        <r>
          <rPr>
            <sz val="11"/>
            <color theme="1"/>
            <rFont val="Calibri"/>
            <family val="2"/>
            <scheme val="minor"/>
          </rPr>
          <t>Shine, Jayda:
3 tank airplane</t>
        </r>
      </text>
    </comment>
    <comment ref="CG41" authorId="9" shapeId="0" xr:uid="{4C8696D6-2CBA-42CC-923C-C33E92B1D9AD}">
      <text>
        <r>
          <rPr>
            <sz val="11"/>
            <color theme="1"/>
            <rFont val="Calibri"/>
            <family val="2"/>
            <scheme val="minor"/>
          </rPr>
          <t>Shine, Jayda:
3 tank airplane</t>
        </r>
      </text>
    </comment>
    <comment ref="CH41" authorId="9" shapeId="0" xr:uid="{EF03119D-2956-4058-9393-FAA30797B61D}">
      <text>
        <r>
          <rPr>
            <sz val="11"/>
            <color theme="1"/>
            <rFont val="Calibri"/>
            <family val="2"/>
            <scheme val="minor"/>
          </rPr>
          <t xml:space="preserve">Shine, Jayda:
3 TANK AIRPLANE
</t>
        </r>
      </text>
    </comment>
    <comment ref="CI41" authorId="9" shapeId="0" xr:uid="{91C989AC-F77B-4989-A6FD-3EE3C262C044}">
      <text>
        <r>
          <rPr>
            <sz val="11"/>
            <color theme="1"/>
            <rFont val="Calibri"/>
            <family val="2"/>
            <scheme val="minor"/>
          </rPr>
          <t xml:space="preserve">Shine, Jayda:
3 TANK AIRPLANE
</t>
        </r>
      </text>
    </comment>
    <comment ref="CJ41" authorId="9" shapeId="0" xr:uid="{2163DA6C-CB90-46E0-BDF1-5AD5475DE209}">
      <text>
        <r>
          <rPr>
            <sz val="11"/>
            <color theme="1"/>
            <rFont val="Calibri"/>
            <family val="2"/>
            <scheme val="minor"/>
          </rPr>
          <t xml:space="preserve">Shine, Jayda:
3 TANK AIRPLANE
</t>
        </r>
      </text>
    </comment>
    <comment ref="CK41" authorId="9" shapeId="0" xr:uid="{F300AF82-6524-4667-AB4D-0766FF89900A}">
      <text>
        <r>
          <rPr>
            <sz val="11"/>
            <color theme="1"/>
            <rFont val="Calibri"/>
            <family val="2"/>
            <scheme val="minor"/>
          </rPr>
          <t xml:space="preserve">Shine, Jayda:
3 TANK AIRPLANE
</t>
        </r>
      </text>
    </comment>
    <comment ref="CL41" authorId="9" shapeId="0" xr:uid="{3F52F6A6-817F-469D-A436-13A945D1472F}">
      <text>
        <r>
          <rPr>
            <sz val="11"/>
            <color theme="1"/>
            <rFont val="Calibri"/>
            <family val="2"/>
            <scheme val="minor"/>
          </rPr>
          <t xml:space="preserve">Shine, Jayda:
3 TANK AIRPLANE
</t>
        </r>
      </text>
    </comment>
    <comment ref="CM41" authorId="9" shapeId="0" xr:uid="{8E8BC688-1045-447C-A9BF-BC15332F98C1}">
      <text>
        <r>
          <rPr>
            <sz val="11"/>
            <color theme="1"/>
            <rFont val="Calibri"/>
            <family val="2"/>
            <scheme val="minor"/>
          </rPr>
          <t xml:space="preserve">Shine, Jayda:
3 TANK AIRPLANE
</t>
        </r>
      </text>
    </comment>
    <comment ref="CN41" authorId="9" shapeId="0" xr:uid="{347A0E36-233D-4142-BAF5-F5865B40A06A}">
      <text>
        <r>
          <rPr>
            <sz val="11"/>
            <color theme="1"/>
            <rFont val="Calibri"/>
            <family val="2"/>
            <scheme val="minor"/>
          </rPr>
          <t xml:space="preserve">Shine, Jayda:
3 TANK AIRPLANE
</t>
        </r>
      </text>
    </comment>
    <comment ref="CO41" authorId="9" shapeId="0" xr:uid="{192062A1-B96A-46D0-9EE1-35146B3050F4}">
      <text>
        <r>
          <rPr>
            <sz val="11"/>
            <color theme="1"/>
            <rFont val="Calibri"/>
            <family val="2"/>
            <scheme val="minor"/>
          </rPr>
          <t xml:space="preserve">Shine, Jayda:
3 TANK AIRPLANE
</t>
        </r>
      </text>
    </comment>
    <comment ref="CP41" authorId="9" shapeId="0" xr:uid="{721375B6-BF05-4248-8029-787E1AF9C84C}">
      <text>
        <r>
          <rPr>
            <sz val="11"/>
            <color theme="1"/>
            <rFont val="Calibri"/>
            <family val="2"/>
            <scheme val="minor"/>
          </rPr>
          <t>Shine, Jayda:
3 TANK AIRPLANE</t>
        </r>
      </text>
    </comment>
    <comment ref="CQ41" authorId="9" shapeId="0" xr:uid="{A933820F-B842-40B2-A46A-54C09477745E}">
      <text>
        <r>
          <rPr>
            <sz val="11"/>
            <color theme="1"/>
            <rFont val="Calibri"/>
            <family val="2"/>
            <scheme val="minor"/>
          </rPr>
          <t>Shine, Jayda:
3 TANK AIRPLANE</t>
        </r>
      </text>
    </comment>
    <comment ref="CR41" authorId="9" shapeId="0" xr:uid="{A6AD86C6-BDA6-4045-9D46-1383191AB571}">
      <text>
        <r>
          <rPr>
            <sz val="11"/>
            <color theme="1"/>
            <rFont val="Calibri"/>
            <family val="2"/>
            <scheme val="minor"/>
          </rPr>
          <t>Shine, Jayda:
3 TANK AIRPLANE</t>
        </r>
      </text>
    </comment>
    <comment ref="CS41" authorId="9" shapeId="0" xr:uid="{DFB16603-891F-457C-A5A2-FED81988191E}">
      <text>
        <r>
          <rPr>
            <sz val="11"/>
            <color theme="1"/>
            <rFont val="Calibri"/>
            <family val="2"/>
            <scheme val="minor"/>
          </rPr>
          <t>Shine, Jayda:
3 TANK AIRPLANE</t>
        </r>
      </text>
    </comment>
    <comment ref="CT41" authorId="9" shapeId="0" xr:uid="{99234B86-DDE1-4FE6-905A-FFA3591EDB05}">
      <text>
        <r>
          <rPr>
            <sz val="11"/>
            <color theme="1"/>
            <rFont val="Calibri"/>
            <family val="2"/>
            <scheme val="minor"/>
          </rPr>
          <t>Shine, Jayda:
3 TANK AIRPLANE</t>
        </r>
      </text>
    </comment>
    <comment ref="CU41" authorId="9" shapeId="0" xr:uid="{6F268516-7D33-41CA-A16C-B51FA2450A26}">
      <text>
        <r>
          <rPr>
            <sz val="11"/>
            <color theme="1"/>
            <rFont val="Calibri"/>
            <family val="2"/>
            <scheme val="minor"/>
          </rPr>
          <t>Shine, Jayda:
3 TANK AIRPLANE</t>
        </r>
      </text>
    </comment>
    <comment ref="CV41" authorId="9" shapeId="0" xr:uid="{93869E09-55F5-41A2-B4FC-EB7B7DBC9D1F}">
      <text>
        <r>
          <rPr>
            <sz val="11"/>
            <color theme="1"/>
            <rFont val="Calibri"/>
            <family val="2"/>
            <scheme val="minor"/>
          </rPr>
          <t>Shine, Jayda:
3 TANK AIRPLANE</t>
        </r>
      </text>
    </comment>
    <comment ref="CW41" authorId="9" shapeId="0" xr:uid="{5149438E-EF66-4793-A7B1-B9C21070992D}">
      <text>
        <r>
          <rPr>
            <sz val="11"/>
            <color theme="1"/>
            <rFont val="Calibri"/>
            <family val="2"/>
            <scheme val="minor"/>
          </rPr>
          <t>Shine, Jayda:
3 TANK AIRPLANE</t>
        </r>
      </text>
    </comment>
    <comment ref="CX41" authorId="9" shapeId="0" xr:uid="{8287AA1C-692B-413E-9384-4B5A835E6C0D}">
      <text>
        <r>
          <rPr>
            <sz val="11"/>
            <color theme="1"/>
            <rFont val="Calibri"/>
            <family val="2"/>
            <scheme val="minor"/>
          </rPr>
          <t>Shine, Jayda:
3 TANK AIRPLANE</t>
        </r>
      </text>
    </comment>
    <comment ref="CY41" authorId="9" shapeId="0" xr:uid="{6F233CC7-1484-4F55-B904-2E06AF6380B4}">
      <text>
        <r>
          <rPr>
            <sz val="11"/>
            <color theme="1"/>
            <rFont val="Calibri"/>
            <family val="2"/>
            <scheme val="minor"/>
          </rPr>
          <t>Shine, Jayda:
3 TANK AIRPLANE</t>
        </r>
      </text>
    </comment>
    <comment ref="CZ41" authorId="9" shapeId="0" xr:uid="{5F3B9942-A192-4FF6-97C9-5CA674CEA3B7}">
      <text>
        <r>
          <rPr>
            <sz val="11"/>
            <color theme="1"/>
            <rFont val="Calibri"/>
            <family val="2"/>
            <scheme val="minor"/>
          </rPr>
          <t>Shine, Jayda:
3 TANK AIRPLANE</t>
        </r>
      </text>
    </comment>
    <comment ref="DA41" authorId="9" shapeId="0" xr:uid="{3D227A28-FF73-4611-BA09-5394A87100AF}">
      <text>
        <r>
          <rPr>
            <sz val="11"/>
            <color theme="1"/>
            <rFont val="Calibri"/>
            <family val="2"/>
            <scheme val="minor"/>
          </rPr>
          <t>Shine, Jayda:
3 TANK AIRPLANE</t>
        </r>
      </text>
    </comment>
    <comment ref="DB41" authorId="9" shapeId="0" xr:uid="{295AF01F-6A72-4649-B9DD-4F66763B9414}">
      <text>
        <r>
          <rPr>
            <sz val="11"/>
            <color theme="1"/>
            <rFont val="Calibri"/>
            <family val="2"/>
            <scheme val="minor"/>
          </rPr>
          <t>Shine, Jayda:
3 TANK AIRPLANE</t>
        </r>
      </text>
    </comment>
    <comment ref="DC41" authorId="9" shapeId="0" xr:uid="{5E727C3A-DE85-4917-A4AA-3D1140854846}">
      <text>
        <r>
          <rPr>
            <sz val="11"/>
            <color theme="1"/>
            <rFont val="Calibri"/>
            <family val="2"/>
            <scheme val="minor"/>
          </rPr>
          <t>Shine, Jayda:
3 TANK AIRPLANE</t>
        </r>
      </text>
    </comment>
    <comment ref="DD41" authorId="9" shapeId="0" xr:uid="{9B66B21E-C1C0-4A39-9562-7CDE0BA5A0B7}">
      <text>
        <r>
          <rPr>
            <sz val="11"/>
            <color theme="1"/>
            <rFont val="Calibri"/>
            <family val="2"/>
            <scheme val="minor"/>
          </rPr>
          <t>Shine, Jayda:
3 TANK AIRPLANE</t>
        </r>
      </text>
    </comment>
    <comment ref="DE41" authorId="9" shapeId="0" xr:uid="{D620FD36-1961-470C-864A-AF9ACDD6A371}">
      <text>
        <r>
          <rPr>
            <sz val="11"/>
            <color theme="1"/>
            <rFont val="Calibri"/>
            <family val="2"/>
            <scheme val="minor"/>
          </rPr>
          <t xml:space="preserve">Shine, Jayda:
2 TANK AIRPLANE
</t>
        </r>
      </text>
    </comment>
    <comment ref="DF41" authorId="9" shapeId="0" xr:uid="{C43664A1-315F-4A61-8081-2715C322B7F9}">
      <text>
        <r>
          <rPr>
            <sz val="11"/>
            <color theme="1"/>
            <rFont val="Calibri"/>
            <family val="2"/>
            <scheme val="minor"/>
          </rPr>
          <t xml:space="preserve">Shine, Jayda:
2 TANK AIRPLANE
</t>
        </r>
      </text>
    </comment>
    <comment ref="DG41" authorId="9" shapeId="0" xr:uid="{66940457-0571-4B22-8E26-D45693668F1C}">
      <text>
        <r>
          <rPr>
            <sz val="11"/>
            <color theme="1"/>
            <rFont val="Calibri"/>
            <family val="2"/>
            <scheme val="minor"/>
          </rPr>
          <t>Shine, Jayda:
2 TANK AEROPLANE</t>
        </r>
      </text>
    </comment>
    <comment ref="DH41" authorId="9" shapeId="0" xr:uid="{80AABA62-BFA1-4FBD-A3C4-BAA4B60583AF}">
      <text>
        <r>
          <rPr>
            <sz val="11"/>
            <color theme="1"/>
            <rFont val="Calibri"/>
            <family val="2"/>
            <scheme val="minor"/>
          </rPr>
          <t>Shine, Jayda:
2 TANK AEROPLANE</t>
        </r>
      </text>
    </comment>
    <comment ref="DI41" authorId="9" shapeId="0" xr:uid="{ABB87BD8-3399-49E5-AEF8-D40F0D3F2606}">
      <text>
        <r>
          <rPr>
            <sz val="11"/>
            <color theme="1"/>
            <rFont val="Calibri"/>
            <family val="2"/>
            <scheme val="minor"/>
          </rPr>
          <t>Shine, Jayda:
2 TANK AEROPLANE</t>
        </r>
      </text>
    </comment>
    <comment ref="DJ41" authorId="9" shapeId="0" xr:uid="{612772B4-AD9F-49EA-99D0-B7FAE82F0642}">
      <text>
        <r>
          <rPr>
            <sz val="11"/>
            <color theme="1"/>
            <rFont val="Calibri"/>
            <family val="2"/>
            <scheme val="minor"/>
          </rPr>
          <t>Shine, Jayda:
2 TANK AEROPLANE</t>
        </r>
      </text>
    </comment>
    <comment ref="DK41" authorId="9" shapeId="0" xr:uid="{E48B6FE5-E4DA-4C2A-BEDF-30B0C5D32473}">
      <text>
        <r>
          <rPr>
            <sz val="11"/>
            <color theme="1"/>
            <rFont val="Calibri"/>
            <family val="2"/>
            <scheme val="minor"/>
          </rPr>
          <t>Shine, Jayda:
2 TANK AEROPLANE</t>
        </r>
      </text>
    </comment>
    <comment ref="DL41" authorId="9" shapeId="0" xr:uid="{C78072DE-A5A3-4E82-B2CB-D108A4FF755F}">
      <text>
        <r>
          <rPr>
            <sz val="11"/>
            <color theme="1"/>
            <rFont val="Calibri"/>
            <family val="2"/>
            <scheme val="minor"/>
          </rPr>
          <t>Shine, Jayda:
2 TANK AEROPLANE</t>
        </r>
      </text>
    </comment>
    <comment ref="DM41" authorId="9" shapeId="0" xr:uid="{E162DD0C-6B4B-4888-8F02-8A97441D2EFB}">
      <text>
        <r>
          <rPr>
            <sz val="11"/>
            <color theme="1"/>
            <rFont val="Calibri"/>
            <family val="2"/>
            <scheme val="minor"/>
          </rPr>
          <t>Shine, Jayda:
2 TANK AEROPLANE</t>
        </r>
      </text>
    </comment>
    <comment ref="DN41" authorId="9" shapeId="0" xr:uid="{A31A89B6-9D63-4C30-BC07-B4934FAC038A}">
      <text>
        <r>
          <rPr>
            <sz val="11"/>
            <color theme="1"/>
            <rFont val="Calibri"/>
            <family val="2"/>
            <scheme val="minor"/>
          </rPr>
          <t>Shine, Jayda:
2 TANK AEROPLANE</t>
        </r>
      </text>
    </comment>
    <comment ref="DO41" authorId="9" shapeId="0" xr:uid="{29FF2863-A0BB-476C-AA17-3A6F37531FAC}">
      <text>
        <r>
          <rPr>
            <sz val="11"/>
            <color theme="1"/>
            <rFont val="Calibri"/>
            <family val="2"/>
            <scheme val="minor"/>
          </rPr>
          <t>Shine, Jayda:
2 TANK AEROPLANE</t>
        </r>
      </text>
    </comment>
    <comment ref="DP41" authorId="9" shapeId="0" xr:uid="{DA762AA7-7440-440B-85FF-A24123E485B9}">
      <text>
        <r>
          <rPr>
            <sz val="11"/>
            <color theme="1"/>
            <rFont val="Calibri"/>
            <family val="2"/>
            <scheme val="minor"/>
          </rPr>
          <t>Shine, Jayda:
3 TANK AEROPLANE</t>
        </r>
      </text>
    </comment>
    <comment ref="DQ41" authorId="9" shapeId="0" xr:uid="{07C5337E-4DD4-4935-A258-E5BEAFBDF8E5}">
      <text>
        <r>
          <rPr>
            <sz val="11"/>
            <color theme="1"/>
            <rFont val="Calibri"/>
            <family val="2"/>
            <scheme val="minor"/>
          </rPr>
          <t>Shine, Jayda:
3 TANK AEROPLANE</t>
        </r>
      </text>
    </comment>
    <comment ref="DR41" authorId="9" shapeId="0" xr:uid="{9BAE1D2B-1973-406E-A1AD-8D0DDCCB52F8}">
      <text>
        <r>
          <rPr>
            <sz val="11"/>
            <color theme="1"/>
            <rFont val="Calibri"/>
            <family val="2"/>
            <scheme val="minor"/>
          </rPr>
          <t xml:space="preserve">Shine, Jayda:
3 TANK AIRPLANE
</t>
        </r>
      </text>
    </comment>
    <comment ref="IO41" authorId="22" shapeId="0" xr:uid="{5DA007AC-643A-45C2-8DB5-2F5B30022D27}">
      <text>
        <r>
          <rPr>
            <sz val="11"/>
            <color theme="1"/>
            <rFont val="Calibri"/>
            <family val="2"/>
            <scheme val="minor"/>
          </rPr>
          <t xml:space="preserve">Dwibhashyam, Neha:
from TCDS, APM says 5300 for one CRJ 100/200 model </t>
        </r>
      </text>
    </comment>
    <comment ref="LK42" authorId="9" shapeId="0" xr:uid="{439FE691-CA69-49A4-85D2-E4E92E463CFF}">
      <text>
        <r>
          <rPr>
            <sz val="11"/>
            <color theme="1"/>
            <rFont val="Calibri"/>
            <family val="2"/>
            <scheme val="minor"/>
          </rPr>
          <t>Shine, Jayda:
based on 6.7lb per gal.</t>
        </r>
      </text>
    </comment>
    <comment ref="JL44" authorId="22" shapeId="0" xr:uid="{C5FF7BB2-F059-4C44-86ED-5C863890ACEA}">
      <text>
        <r>
          <rPr>
            <sz val="11"/>
            <color theme="1"/>
            <rFont val="Calibri"/>
            <family val="2"/>
            <scheme val="minor"/>
          </rPr>
          <t>Dwibhashyam, Neha:
span</t>
        </r>
      </text>
    </comment>
    <comment ref="JO44" authorId="22" shapeId="0" xr:uid="{C0EE97EA-59C0-4D94-88A0-8E6B7CD91942}">
      <text>
        <r>
          <rPr>
            <sz val="11"/>
            <color theme="1"/>
            <rFont val="Calibri"/>
            <family val="2"/>
            <scheme val="minor"/>
          </rPr>
          <t>Dwibhashyam, Neha:
span over winglets</t>
        </r>
      </text>
    </comment>
    <comment ref="JP44" authorId="22" shapeId="0" xr:uid="{56447D12-49E8-4FD3-93B8-EBC4EC291E2A}">
      <text>
        <r>
          <rPr>
            <sz val="11"/>
            <color theme="1"/>
            <rFont val="Calibri"/>
            <family val="2"/>
            <scheme val="minor"/>
          </rPr>
          <t>Dwibhashyam, Neha:
span over winglets</t>
        </r>
      </text>
    </comment>
    <comment ref="NA44" authorId="41" shapeId="0" xr:uid="{4D34E30C-69BE-41E9-8949-7D980AA9B8ED}">
      <text>
        <r>
          <rPr>
            <b/>
            <sz val="9"/>
            <color indexed="81"/>
            <rFont val="Tahoma"/>
            <family val="2"/>
          </rPr>
          <t>Jayda Shine:</t>
        </r>
        <r>
          <rPr>
            <sz val="9"/>
            <color indexed="81"/>
            <rFont val="Tahoma"/>
            <family val="2"/>
          </rPr>
          <t xml:space="preserve">
Based on Dimensions and Aerodynamic Specifcations from DC-9-15</t>
        </r>
      </text>
    </comment>
    <comment ref="NE44" authorId="41" shapeId="0" xr:uid="{1359EE34-0AD0-4122-A5C7-BC1706AE0C45}">
      <text>
        <r>
          <rPr>
            <b/>
            <sz val="9"/>
            <color indexed="81"/>
            <rFont val="Tahoma"/>
            <family val="2"/>
          </rPr>
          <t>Jayda Shine:</t>
        </r>
        <r>
          <rPr>
            <sz val="9"/>
            <color indexed="81"/>
            <rFont val="Tahoma"/>
            <family val="2"/>
          </rPr>
          <t xml:space="preserve">
The dimensions and Aerodynamic Specifactions are based on the DC-9-32</t>
        </r>
      </text>
    </comment>
    <comment ref="EM46" authorId="2" shapeId="0" xr:uid="{62949B67-3C44-423C-BF3B-35627D7FE181}">
      <text>
        <r>
          <rPr>
            <sz val="11"/>
            <color theme="1"/>
            <rFont val="Calibri"/>
            <family val="2"/>
            <scheme val="minor"/>
          </rPr>
          <t>Aljaber, Rawan:
11.23 max at OEW
11.33 min at MTW</t>
        </r>
      </text>
    </comment>
    <comment ref="EN46" authorId="2" shapeId="0" xr:uid="{DE0E3DCE-B0DF-4210-8BF3-05465BA9CA97}">
      <text>
        <r>
          <rPr>
            <sz val="11"/>
            <color theme="1"/>
            <rFont val="Calibri"/>
            <family val="2"/>
            <scheme val="minor"/>
          </rPr>
          <t>Aljaber, Rawan:
11.23 max at OEW
11.35 min at MTW</t>
        </r>
      </text>
    </comment>
    <comment ref="EO46" authorId="2" shapeId="0" xr:uid="{47CEF040-44D3-4E7B-9A0F-CEC4683A889A}">
      <text>
        <r>
          <rPr>
            <sz val="11"/>
            <color theme="1"/>
            <rFont val="Calibri"/>
            <family val="2"/>
            <scheme val="minor"/>
          </rPr>
          <t>Aljaber, Rawan:
11.23 max at OEW
11.35 min at MTW</t>
        </r>
      </text>
    </comment>
    <comment ref="EP46" authorId="2" shapeId="0" xr:uid="{3DCAEE2F-D979-4554-A61F-7F7933BE8FFF}">
      <text>
        <r>
          <rPr>
            <sz val="11"/>
            <color theme="1"/>
            <rFont val="Calibri"/>
            <family val="2"/>
            <scheme val="minor"/>
          </rPr>
          <t>Aljaber, Rawan:
11.07 min at OEW
11.15 max at MTW</t>
        </r>
      </text>
    </comment>
    <comment ref="EQ46" authorId="2" shapeId="0" xr:uid="{BEB683B0-5508-4331-92EA-3B5CF62164CF}">
      <text>
        <r>
          <rPr>
            <sz val="11"/>
            <color theme="1"/>
            <rFont val="Calibri"/>
            <family val="2"/>
            <scheme val="minor"/>
          </rPr>
          <t>Aljaber, Rawan:
11.07 min at OEW
11.15 max at MTW</t>
        </r>
      </text>
    </comment>
    <comment ref="ER46" authorId="2" shapeId="0" xr:uid="{6DA66712-56A0-464B-8BD0-72D0EA5069E8}">
      <text>
        <r>
          <rPr>
            <sz val="11"/>
            <color theme="1"/>
            <rFont val="Calibri"/>
            <family val="2"/>
            <scheme val="minor"/>
          </rPr>
          <t>Aljaber, Rawan:
11.07 min at OEW
11.15 max at MTW</t>
        </r>
      </text>
    </comment>
    <comment ref="ES46" authorId="2" shapeId="0" xr:uid="{CE4C8978-60D1-4459-8846-D44E823F5077}">
      <text>
        <r>
          <rPr>
            <sz val="11"/>
            <color theme="1"/>
            <rFont val="Calibri"/>
            <family val="2"/>
            <scheme val="minor"/>
          </rPr>
          <t>Aljaber, Rawan:
12.7 max at OEW
12.45 min at MTW</t>
        </r>
      </text>
    </comment>
    <comment ref="ET46" authorId="2" shapeId="0" xr:uid="{D6CCB8C4-02FC-42EE-A2F7-1601B44F41F7}">
      <text>
        <r>
          <rPr>
            <sz val="11"/>
            <color theme="1"/>
            <rFont val="Calibri"/>
            <family val="2"/>
            <scheme val="minor"/>
          </rPr>
          <t>Aljaber, Rawan:
12.67 max at OEW
12.45 min at MTW</t>
        </r>
      </text>
    </comment>
    <comment ref="EU46" authorId="2" shapeId="0" xr:uid="{8562222B-BE95-4552-ABCB-648F548BAE3A}">
      <text>
        <r>
          <rPr>
            <sz val="11"/>
            <color theme="1"/>
            <rFont val="Calibri"/>
            <family val="2"/>
            <scheme val="minor"/>
          </rPr>
          <t>Aljaber, Rawan:
12.67 max at OEW
12.45 min at MTW</t>
        </r>
      </text>
    </comment>
    <comment ref="EV46" authorId="2" shapeId="0" xr:uid="{847A53E9-EFD2-44DC-9740-BB479AF8F33E}">
      <text>
        <r>
          <rPr>
            <sz val="11"/>
            <color theme="1"/>
            <rFont val="Calibri"/>
            <family val="2"/>
            <scheme val="minor"/>
          </rPr>
          <t>Aljaber, Rawan:
12.67 max at OEW
12.45 min at MTW</t>
        </r>
      </text>
    </comment>
    <comment ref="EW46" authorId="2" shapeId="0" xr:uid="{80B9DF94-B9E0-4056-93DC-E021DC4CF0EE}">
      <text>
        <r>
          <rPr>
            <sz val="11"/>
            <color theme="1"/>
            <rFont val="Calibri"/>
            <family val="2"/>
            <scheme val="minor"/>
          </rPr>
          <t>Aljaber, Rawan:
12.62 max at OEW 
12.37 min at MTW</t>
        </r>
      </text>
    </comment>
    <comment ref="EX46" authorId="2" shapeId="0" xr:uid="{3E04E8F3-08F3-478A-9EC3-0F3B254D581E}">
      <text>
        <r>
          <rPr>
            <sz val="11"/>
            <color theme="1"/>
            <rFont val="Calibri"/>
            <family val="2"/>
            <scheme val="minor"/>
          </rPr>
          <t>Aljaber, Rawan:
12.62 max at OEW 
12.37 min at MTW</t>
        </r>
      </text>
    </comment>
    <comment ref="EY46" authorId="2" shapeId="0" xr:uid="{57C94BA4-B2C1-4AE6-81BB-F77971F65301}">
      <text>
        <r>
          <rPr>
            <sz val="11"/>
            <color theme="1"/>
            <rFont val="Calibri"/>
            <family val="2"/>
            <scheme val="minor"/>
          </rPr>
          <t xml:space="preserve">Aljaber, Rawan:
12.62 max at OEW
12.37 min at MTW </t>
        </r>
      </text>
    </comment>
    <comment ref="EZ46" authorId="2" shapeId="0" xr:uid="{CF1E3CBE-04F6-48DA-AF54-BF72BD9F7713}">
      <text>
        <r>
          <rPr>
            <sz val="11"/>
            <color theme="1"/>
            <rFont val="Calibri"/>
            <family val="2"/>
            <scheme val="minor"/>
          </rPr>
          <t xml:space="preserve">Aljaber, Rawan:
12.62 max at OEW
12.37 min at MTW </t>
        </r>
      </text>
    </comment>
    <comment ref="FA46" authorId="2" shapeId="0" xr:uid="{80057F84-393D-4A3A-8CC1-E6674A60030E}">
      <text>
        <r>
          <rPr>
            <sz val="11"/>
            <color theme="1"/>
            <rFont val="Calibri"/>
            <family val="2"/>
            <scheme val="minor"/>
          </rPr>
          <t>Aljaber, Rawan:
From diagram not list</t>
        </r>
      </text>
    </comment>
    <comment ref="FB46" authorId="2" shapeId="0" xr:uid="{1111D835-20FA-4270-8793-C366F91E8AFD}">
      <text>
        <r>
          <rPr>
            <sz val="11"/>
            <color theme="1"/>
            <rFont val="Calibri"/>
            <family val="2"/>
            <scheme val="minor"/>
          </rPr>
          <t>Aljaber, Rawan:
12.67 max at OEW
12.45 min at MTW</t>
        </r>
      </text>
    </comment>
    <comment ref="H48" authorId="0" shapeId="0" xr:uid="{2FC3A3B5-3700-4AEC-B407-22903DA32A01}">
      <text>
        <r>
          <rPr>
            <sz val="11"/>
            <color theme="1"/>
            <rFont val="Calibri"/>
            <family val="2"/>
            <scheme val="minor"/>
          </rPr>
          <t xml:space="preserve">Khailany, Nawa:
Wikipedia </t>
        </r>
      </text>
    </comment>
    <comment ref="I48" authorId="0" shapeId="0" xr:uid="{E7D0E652-267B-4EA1-A8DF-D3C8C3C66CDA}">
      <text>
        <r>
          <rPr>
            <sz val="11"/>
            <color theme="1"/>
            <rFont val="Calibri"/>
            <family val="2"/>
            <scheme val="minor"/>
          </rPr>
          <t xml:space="preserve">Khailany, Nawa:
Wikipedia </t>
        </r>
      </text>
    </comment>
    <comment ref="J48" authorId="0" shapeId="0" xr:uid="{BB8FA76E-7769-4E8B-99E9-96FF4E614AE9}">
      <text>
        <r>
          <rPr>
            <sz val="11"/>
            <color theme="1"/>
            <rFont val="Calibri"/>
            <family val="2"/>
            <scheme val="minor"/>
          </rPr>
          <t xml:space="preserve">Khailany, Nawa:
Wikipedia </t>
        </r>
      </text>
    </comment>
    <comment ref="EM48" authorId="2" shapeId="0" xr:uid="{0E3235D4-3041-44CE-B16E-DC6516A432D9}">
      <text>
        <r>
          <rPr>
            <sz val="11"/>
            <color theme="1"/>
            <rFont val="Calibri"/>
            <family val="2"/>
            <scheme val="minor"/>
          </rPr>
          <t xml:space="preserve">Aljaber, Rawan:
CAD for BG_100 unavailable
</t>
        </r>
      </text>
    </comment>
    <comment ref="NR48" authorId="41" shapeId="0" xr:uid="{E90CC38F-3811-45A5-99F6-9CAF14789A53}">
      <text>
        <r>
          <rPr>
            <b/>
            <sz val="9"/>
            <color indexed="81"/>
            <rFont val="Tahoma"/>
            <family val="2"/>
          </rPr>
          <t>Jayda Shine:</t>
        </r>
        <r>
          <rPr>
            <sz val="9"/>
            <color indexed="81"/>
            <rFont val="Tahoma"/>
            <family val="2"/>
          </rPr>
          <t xml:space="preserve">
Based on Dimensions and Aerodynamic Specifications for DC-10-30</t>
        </r>
      </text>
    </comment>
    <comment ref="NS48" authorId="41" shapeId="0" xr:uid="{363FB0B0-5D39-4E92-A3C5-0C49986B0262}">
      <text>
        <r>
          <rPr>
            <b/>
            <sz val="9"/>
            <color indexed="81"/>
            <rFont val="Tahoma"/>
            <family val="2"/>
          </rPr>
          <t>Jayda Shine:</t>
        </r>
        <r>
          <rPr>
            <sz val="9"/>
            <color indexed="81"/>
            <rFont val="Tahoma"/>
            <family val="2"/>
          </rPr>
          <t xml:space="preserve">
Based on dimensions and Aerodynamics Specifications from DC-10-10
</t>
        </r>
      </text>
    </comment>
    <comment ref="A49" authorId="2" shapeId="0" xr:uid="{25A3F863-5EE5-4AAA-9179-DE36B261AEB1}">
      <text>
        <r>
          <rPr>
            <sz val="11"/>
            <color theme="1"/>
            <rFont val="Calibri"/>
            <family val="2"/>
            <scheme val="minor"/>
          </rPr>
          <t xml:space="preserve">Aljaber, Rawan: 
Leading Edge Sweep
</t>
        </r>
      </text>
    </comment>
    <comment ref="AT49" authorId="40" shapeId="0" xr:uid="{D3EA9693-D928-4F6E-8EC1-D32BE050E6CC}">
      <text>
        <r>
          <rPr>
            <b/>
            <sz val="9"/>
            <color indexed="81"/>
            <rFont val="Tahoma"/>
            <family val="2"/>
          </rPr>
          <t>Paul Mokotoff:</t>
        </r>
        <r>
          <rPr>
            <sz val="9"/>
            <color indexed="81"/>
            <rFont val="Tahoma"/>
            <family val="2"/>
          </rPr>
          <t xml:space="preserve">
Approximated by digitizing an image from the Airport Planning Manual.</t>
        </r>
      </text>
    </comment>
    <comment ref="AU49" authorId="40" shapeId="0" xr:uid="{F9FCE4E5-FA45-4EC4-8D5D-36DE46076A7E}">
      <text>
        <r>
          <rPr>
            <b/>
            <sz val="9"/>
            <color indexed="81"/>
            <rFont val="Tahoma"/>
            <family val="2"/>
          </rPr>
          <t>Paul Mokotoff:</t>
        </r>
        <r>
          <rPr>
            <sz val="9"/>
            <color indexed="81"/>
            <rFont val="Tahoma"/>
            <family val="2"/>
          </rPr>
          <t xml:space="preserve">
Approximated by digitizing an image from the Airport Planning Manual.</t>
        </r>
      </text>
    </comment>
    <comment ref="AV49" authorId="40" shapeId="0" xr:uid="{E1029324-6B58-4C6B-AD81-59AF4EE5CA67}">
      <text>
        <r>
          <rPr>
            <b/>
            <sz val="9"/>
            <color indexed="81"/>
            <rFont val="Tahoma"/>
            <family val="2"/>
          </rPr>
          <t>Paul Mokotoff:</t>
        </r>
        <r>
          <rPr>
            <sz val="9"/>
            <color indexed="81"/>
            <rFont val="Tahoma"/>
            <family val="2"/>
          </rPr>
          <t xml:space="preserve">
Approximated by digitizing an image from the Airport Planning Manual.</t>
        </r>
      </text>
    </comment>
    <comment ref="AW49" authorId="40" shapeId="0" xr:uid="{C6B27ADD-3140-4898-A331-9E65F8B83EF5}">
      <text>
        <r>
          <rPr>
            <b/>
            <sz val="9"/>
            <color indexed="81"/>
            <rFont val="Tahoma"/>
            <family val="2"/>
          </rPr>
          <t>Paul Mokotoff:</t>
        </r>
        <r>
          <rPr>
            <sz val="9"/>
            <color indexed="81"/>
            <rFont val="Tahoma"/>
            <family val="2"/>
          </rPr>
          <t xml:space="preserve">
Approximated by digitizing an image from the Airport Planning Manual.</t>
        </r>
      </text>
    </comment>
    <comment ref="AX49" authorId="40" shapeId="0" xr:uid="{2939FB42-CDEB-46B9-AC62-A350DC432473}">
      <text>
        <r>
          <rPr>
            <b/>
            <sz val="9"/>
            <color indexed="81"/>
            <rFont val="Tahoma"/>
            <family val="2"/>
          </rPr>
          <t>Paul Mokotoff:</t>
        </r>
        <r>
          <rPr>
            <sz val="9"/>
            <color indexed="81"/>
            <rFont val="Tahoma"/>
            <family val="2"/>
          </rPr>
          <t xml:space="preserve">
Approximated by digitizing an image from the Airport Planning Manual.</t>
        </r>
      </text>
    </comment>
    <comment ref="AY49" authorId="40" shapeId="0" xr:uid="{3B06029F-DE56-4276-8AA6-805ECC446061}">
      <text>
        <r>
          <rPr>
            <b/>
            <sz val="9"/>
            <color indexed="81"/>
            <rFont val="Tahoma"/>
            <family val="2"/>
          </rPr>
          <t>Paul Mokotoff:</t>
        </r>
        <r>
          <rPr>
            <sz val="9"/>
            <color indexed="81"/>
            <rFont val="Tahoma"/>
            <family val="2"/>
          </rPr>
          <t xml:space="preserve">
Approximated by digitizing an image from the Airport Planning Manual.</t>
        </r>
      </text>
    </comment>
    <comment ref="AZ49" authorId="40" shapeId="0" xr:uid="{2032BDA2-60A5-45D4-8998-66446FC87BB5}">
      <text>
        <r>
          <rPr>
            <b/>
            <sz val="9"/>
            <color indexed="81"/>
            <rFont val="Tahoma"/>
            <family val="2"/>
          </rPr>
          <t>Paul Mokotoff:</t>
        </r>
        <r>
          <rPr>
            <sz val="9"/>
            <color indexed="81"/>
            <rFont val="Tahoma"/>
            <family val="2"/>
          </rPr>
          <t xml:space="preserve">
Approximated by digitizing an image from the Airport Planning Manual.</t>
        </r>
      </text>
    </comment>
    <comment ref="BA49" authorId="40" shapeId="0" xr:uid="{90545220-5E22-4E25-8DA6-300FB89A041E}">
      <text>
        <r>
          <rPr>
            <b/>
            <sz val="9"/>
            <color indexed="81"/>
            <rFont val="Tahoma"/>
            <family val="2"/>
          </rPr>
          <t>Paul Mokotoff:</t>
        </r>
        <r>
          <rPr>
            <sz val="9"/>
            <color indexed="81"/>
            <rFont val="Tahoma"/>
            <family val="2"/>
          </rPr>
          <t xml:space="preserve">
Approximated by digitizing an image from the Airport Planning Manual.</t>
        </r>
      </text>
    </comment>
    <comment ref="BB49" authorId="40" shapeId="0" xr:uid="{4101F074-2E4B-44EB-8C28-BEC9BB772B36}">
      <text>
        <r>
          <rPr>
            <b/>
            <sz val="9"/>
            <color indexed="81"/>
            <rFont val="Tahoma"/>
            <family val="2"/>
          </rPr>
          <t>Paul Mokotoff:</t>
        </r>
        <r>
          <rPr>
            <sz val="9"/>
            <color indexed="81"/>
            <rFont val="Tahoma"/>
            <family val="2"/>
          </rPr>
          <t xml:space="preserve">
Approximated by digitizing an image from the Airport Planning Manual.</t>
        </r>
      </text>
    </comment>
    <comment ref="BC49" authorId="40" shapeId="0" xr:uid="{C04B497E-3331-4A67-9D01-DC2E110DD0B6}">
      <text>
        <r>
          <rPr>
            <b/>
            <sz val="9"/>
            <color indexed="81"/>
            <rFont val="Tahoma"/>
            <family val="2"/>
          </rPr>
          <t>Paul Mokotoff:</t>
        </r>
        <r>
          <rPr>
            <sz val="9"/>
            <color indexed="81"/>
            <rFont val="Tahoma"/>
            <family val="2"/>
          </rPr>
          <t xml:space="preserve">
Approximated by digitizing an image from the Airport Planning Manual.</t>
        </r>
      </text>
    </comment>
    <comment ref="AT50" authorId="40" shapeId="0" xr:uid="{A42820D1-E911-49DC-B892-3D5BB5243C59}">
      <text>
        <r>
          <rPr>
            <b/>
            <sz val="9"/>
            <color indexed="81"/>
            <rFont val="Tahoma"/>
            <family val="2"/>
          </rPr>
          <t>Paul Mokotoff:</t>
        </r>
        <r>
          <rPr>
            <sz val="9"/>
            <color indexed="81"/>
            <rFont val="Tahoma"/>
            <family val="2"/>
          </rPr>
          <t xml:space="preserve">
Approximated by digitizing an image from the Airport Planning Manual.</t>
        </r>
      </text>
    </comment>
    <comment ref="AU50" authorId="40" shapeId="0" xr:uid="{9604DC74-39E2-4EF3-980B-4B6E14BF3BD8}">
      <text>
        <r>
          <rPr>
            <b/>
            <sz val="9"/>
            <color indexed="81"/>
            <rFont val="Tahoma"/>
            <family val="2"/>
          </rPr>
          <t>Paul Mokotoff:</t>
        </r>
        <r>
          <rPr>
            <sz val="9"/>
            <color indexed="81"/>
            <rFont val="Tahoma"/>
            <family val="2"/>
          </rPr>
          <t xml:space="preserve">
Approximated by digitizing an image from the Airport Planning Manual.</t>
        </r>
      </text>
    </comment>
    <comment ref="AV50" authorId="40" shapeId="0" xr:uid="{4FF3FB4F-C376-464D-9348-0DBB4F436F3F}">
      <text>
        <r>
          <rPr>
            <b/>
            <sz val="9"/>
            <color indexed="81"/>
            <rFont val="Tahoma"/>
            <family val="2"/>
          </rPr>
          <t>Paul Mokotoff:</t>
        </r>
        <r>
          <rPr>
            <sz val="9"/>
            <color indexed="81"/>
            <rFont val="Tahoma"/>
            <family val="2"/>
          </rPr>
          <t xml:space="preserve">
Approximated by digitizing an image from the Airport Planning Manual.</t>
        </r>
      </text>
    </comment>
    <comment ref="AW50" authorId="40" shapeId="0" xr:uid="{0E6BFC87-0213-4185-9BDC-753F16957F88}">
      <text>
        <r>
          <rPr>
            <b/>
            <sz val="9"/>
            <color indexed="81"/>
            <rFont val="Tahoma"/>
            <family val="2"/>
          </rPr>
          <t>Paul Mokotoff:</t>
        </r>
        <r>
          <rPr>
            <sz val="9"/>
            <color indexed="81"/>
            <rFont val="Tahoma"/>
            <family val="2"/>
          </rPr>
          <t xml:space="preserve">
Approximated by digitizing an image from the Airport Planning Manual.</t>
        </r>
      </text>
    </comment>
    <comment ref="AX50" authorId="40" shapeId="0" xr:uid="{452D4634-2771-478C-A2BC-C8F26804A62E}">
      <text>
        <r>
          <rPr>
            <b/>
            <sz val="9"/>
            <color indexed="81"/>
            <rFont val="Tahoma"/>
            <family val="2"/>
          </rPr>
          <t>Paul Mokotoff:</t>
        </r>
        <r>
          <rPr>
            <sz val="9"/>
            <color indexed="81"/>
            <rFont val="Tahoma"/>
            <family val="2"/>
          </rPr>
          <t xml:space="preserve">
Approximated by digitizing an image from the Airport Planning Manual.</t>
        </r>
      </text>
    </comment>
    <comment ref="AY50" authorId="40" shapeId="0" xr:uid="{51DF431D-961A-4C3A-8673-3D7443071152}">
      <text>
        <r>
          <rPr>
            <b/>
            <sz val="9"/>
            <color indexed="81"/>
            <rFont val="Tahoma"/>
            <family val="2"/>
          </rPr>
          <t>Paul Mokotoff:</t>
        </r>
        <r>
          <rPr>
            <sz val="9"/>
            <color indexed="81"/>
            <rFont val="Tahoma"/>
            <family val="2"/>
          </rPr>
          <t xml:space="preserve">
Approximated by digitizing an image from the Airport Planning Manual.</t>
        </r>
      </text>
    </comment>
    <comment ref="AZ50" authorId="40" shapeId="0" xr:uid="{EDA63210-D3B9-48B5-9A65-110462F758AC}">
      <text>
        <r>
          <rPr>
            <b/>
            <sz val="9"/>
            <color indexed="81"/>
            <rFont val="Tahoma"/>
            <family val="2"/>
          </rPr>
          <t>Paul Mokotoff:</t>
        </r>
        <r>
          <rPr>
            <sz val="9"/>
            <color indexed="81"/>
            <rFont val="Tahoma"/>
            <family val="2"/>
          </rPr>
          <t xml:space="preserve">
Approximated by digitizing an image from the Airport Planning Manual.</t>
        </r>
      </text>
    </comment>
    <comment ref="BA50" authorId="40" shapeId="0" xr:uid="{6F86AF98-F5FF-44CC-940A-C51058F97E2A}">
      <text>
        <r>
          <rPr>
            <b/>
            <sz val="9"/>
            <color indexed="81"/>
            <rFont val="Tahoma"/>
            <family val="2"/>
          </rPr>
          <t>Paul Mokotoff:</t>
        </r>
        <r>
          <rPr>
            <sz val="9"/>
            <color indexed="81"/>
            <rFont val="Tahoma"/>
            <family val="2"/>
          </rPr>
          <t xml:space="preserve">
Approximated by digitizing an image from the Airport Planning Manual.</t>
        </r>
      </text>
    </comment>
    <comment ref="BB50" authorId="40" shapeId="0" xr:uid="{4FA07CB7-6A1C-4384-BFD9-8996169F80CD}">
      <text>
        <r>
          <rPr>
            <b/>
            <sz val="9"/>
            <color indexed="81"/>
            <rFont val="Tahoma"/>
            <family val="2"/>
          </rPr>
          <t>Paul Mokotoff:</t>
        </r>
        <r>
          <rPr>
            <sz val="9"/>
            <color indexed="81"/>
            <rFont val="Tahoma"/>
            <family val="2"/>
          </rPr>
          <t xml:space="preserve">
Approximated by digitizing an image from the Airport Planning Manual.</t>
        </r>
      </text>
    </comment>
    <comment ref="BC50" authorId="40" shapeId="0" xr:uid="{1A1E183F-7BBF-498D-91C4-2C3176B89255}">
      <text>
        <r>
          <rPr>
            <b/>
            <sz val="9"/>
            <color indexed="81"/>
            <rFont val="Tahoma"/>
            <family val="2"/>
          </rPr>
          <t>Paul Mokotoff:</t>
        </r>
        <r>
          <rPr>
            <sz val="9"/>
            <color indexed="81"/>
            <rFont val="Tahoma"/>
            <family val="2"/>
          </rPr>
          <t xml:space="preserve">
Approximated by digitizing an image from the Airport Planning Manual.</t>
        </r>
      </text>
    </comment>
    <comment ref="AT51" authorId="40" shapeId="0" xr:uid="{35E90225-6CC6-4C83-8005-453335D97C36}">
      <text>
        <r>
          <rPr>
            <b/>
            <sz val="9"/>
            <color indexed="81"/>
            <rFont val="Tahoma"/>
            <family val="2"/>
          </rPr>
          <t>Paul Mokotoff:</t>
        </r>
        <r>
          <rPr>
            <sz val="9"/>
            <color indexed="81"/>
            <rFont val="Tahoma"/>
            <family val="2"/>
          </rPr>
          <t xml:space="preserve">
Approximated by digitizing an image from the Airport Planning Manual. Wing loading of this aircraft is outliner. I just changed wing loading to 219 based on Gunston, Bill (February 2010). Airbus: The Complete Story. Sparkford, Yeovil, Somerset, UK: Haynes Publishing, 2009. ISBN 978-1-84425-585-6.</t>
        </r>
      </text>
    </comment>
    <comment ref="AU51" authorId="40" shapeId="0" xr:uid="{9483A47E-FC91-4897-9DF8-3A1385E8894E}">
      <text>
        <r>
          <rPr>
            <b/>
            <sz val="9"/>
            <color indexed="81"/>
            <rFont val="Tahoma"/>
            <family val="2"/>
          </rPr>
          <t>Paul Mokotoff:</t>
        </r>
        <r>
          <rPr>
            <sz val="9"/>
            <color indexed="81"/>
            <rFont val="Tahoma"/>
            <family val="2"/>
          </rPr>
          <t xml:space="preserve">
Approximated by digitizing an image from the Airport Planning Manual.</t>
        </r>
      </text>
    </comment>
    <comment ref="AV51" authorId="40" shapeId="0" xr:uid="{6EDBE1F5-C41E-49C3-84F8-7C8BA3DC00F2}">
      <text>
        <r>
          <rPr>
            <b/>
            <sz val="9"/>
            <color indexed="81"/>
            <rFont val="Tahoma"/>
            <family val="2"/>
          </rPr>
          <t>Paul Mokotoff:</t>
        </r>
        <r>
          <rPr>
            <sz val="9"/>
            <color indexed="81"/>
            <rFont val="Tahoma"/>
            <family val="2"/>
          </rPr>
          <t xml:space="preserve">
Approximated by digitizing an image from the Airport Planning Manual.</t>
        </r>
      </text>
    </comment>
    <comment ref="AW51" authorId="40" shapeId="0" xr:uid="{CDE4D060-45BA-4524-8158-45CCD7AF72AA}">
      <text>
        <r>
          <rPr>
            <b/>
            <sz val="9"/>
            <color indexed="81"/>
            <rFont val="Tahoma"/>
            <family val="2"/>
          </rPr>
          <t>Paul Mokotoff:</t>
        </r>
        <r>
          <rPr>
            <sz val="9"/>
            <color indexed="81"/>
            <rFont val="Tahoma"/>
            <family val="2"/>
          </rPr>
          <t xml:space="preserve">
Approximated by digitizing an image from the Airport Planning Manual.</t>
        </r>
      </text>
    </comment>
    <comment ref="AX51" authorId="40" shapeId="0" xr:uid="{50B9D753-A6F1-4EA4-A968-E31BFBCC5833}">
      <text>
        <r>
          <rPr>
            <b/>
            <sz val="9"/>
            <color indexed="81"/>
            <rFont val="Tahoma"/>
            <family val="2"/>
          </rPr>
          <t>Paul Mokotoff:</t>
        </r>
        <r>
          <rPr>
            <sz val="9"/>
            <color indexed="81"/>
            <rFont val="Tahoma"/>
            <family val="2"/>
          </rPr>
          <t xml:space="preserve">
Approximated by digitizing an image from the Airport Planning Manual.</t>
        </r>
      </text>
    </comment>
    <comment ref="AY51" authorId="40" shapeId="0" xr:uid="{4B66A2A4-7A2C-4F63-9FE5-5FEB4D56B266}">
      <text>
        <r>
          <rPr>
            <b/>
            <sz val="9"/>
            <color indexed="81"/>
            <rFont val="Tahoma"/>
            <family val="2"/>
          </rPr>
          <t>Paul Mokotoff:</t>
        </r>
        <r>
          <rPr>
            <sz val="9"/>
            <color indexed="81"/>
            <rFont val="Tahoma"/>
            <family val="2"/>
          </rPr>
          <t xml:space="preserve">
Approximated by digitizing an image from the Airport Planning Manual.</t>
        </r>
      </text>
    </comment>
    <comment ref="AZ51" authorId="40" shapeId="0" xr:uid="{8AF78F3F-CC23-4B3D-8DE2-92E61859762B}">
      <text>
        <r>
          <rPr>
            <b/>
            <sz val="9"/>
            <color indexed="81"/>
            <rFont val="Tahoma"/>
            <family val="2"/>
          </rPr>
          <t>Paul Mokotoff:</t>
        </r>
        <r>
          <rPr>
            <sz val="9"/>
            <color indexed="81"/>
            <rFont val="Tahoma"/>
            <family val="2"/>
          </rPr>
          <t xml:space="preserve">
Approximated by digitizing an image from the Airport Planning Manual.</t>
        </r>
      </text>
    </comment>
    <comment ref="BA51" authorId="40" shapeId="0" xr:uid="{58ECE2B4-6A20-4811-BEE6-8F8BA2FFD5EB}">
      <text>
        <r>
          <rPr>
            <b/>
            <sz val="9"/>
            <color indexed="81"/>
            <rFont val="Tahoma"/>
            <family val="2"/>
          </rPr>
          <t>Paul Mokotoff:</t>
        </r>
        <r>
          <rPr>
            <sz val="9"/>
            <color indexed="81"/>
            <rFont val="Tahoma"/>
            <family val="2"/>
          </rPr>
          <t xml:space="preserve">
Approximated by digitizing an image from the Airport Planning Manual.</t>
        </r>
      </text>
    </comment>
    <comment ref="BB51" authorId="40" shapeId="0" xr:uid="{0A0C8A7F-09DA-4AA9-8BFF-FC9E07C6CA6D}">
      <text>
        <r>
          <rPr>
            <b/>
            <sz val="9"/>
            <color indexed="81"/>
            <rFont val="Tahoma"/>
            <family val="2"/>
          </rPr>
          <t>Paul Mokotoff:</t>
        </r>
        <r>
          <rPr>
            <sz val="9"/>
            <color indexed="81"/>
            <rFont val="Tahoma"/>
            <family val="2"/>
          </rPr>
          <t xml:space="preserve">
Approximated by digitizing an image from the Airport Planning Manual.</t>
        </r>
      </text>
    </comment>
    <comment ref="BC51" authorId="40" shapeId="0" xr:uid="{4E55A5AA-56A3-4BEC-9B58-9DBFFB04673E}">
      <text>
        <r>
          <rPr>
            <b/>
            <sz val="9"/>
            <color indexed="81"/>
            <rFont val="Tahoma"/>
            <family val="2"/>
          </rPr>
          <t>Paul Mokotoff:</t>
        </r>
        <r>
          <rPr>
            <sz val="9"/>
            <color indexed="81"/>
            <rFont val="Tahoma"/>
            <family val="2"/>
          </rPr>
          <t xml:space="preserve">
Approximated by digitizing an image from the Airport Planning Manual.</t>
        </r>
      </text>
    </comment>
    <comment ref="FC51" authorId="2" shapeId="0" xr:uid="{1BC0F8ED-F09E-441B-91F5-78616AEE48F2}">
      <text>
        <r>
          <rPr>
            <sz val="11"/>
            <color theme="1"/>
            <rFont val="Calibri"/>
            <family val="2"/>
            <scheme val="minor"/>
          </rPr>
          <t xml:space="preserve">Aljaber, Rawan:
schematic annoying to get area, will come back to later
</t>
        </r>
      </text>
    </comment>
    <comment ref="JK51" authorId="22" shapeId="0" xr:uid="{89DB6445-4032-4170-8A36-8C98AC4775A2}">
      <text>
        <r>
          <rPr>
            <sz val="11"/>
            <color theme="1"/>
            <rFont val="Calibri"/>
            <family val="2"/>
            <scheme val="minor"/>
          </rPr>
          <t>Dwibhashyam, Neha:
reference area</t>
        </r>
      </text>
    </comment>
    <comment ref="JL51" authorId="22" shapeId="0" xr:uid="{4DE7C4BB-1FCE-449A-872C-1A85C6CDD201}">
      <text>
        <r>
          <rPr>
            <sz val="11"/>
            <color theme="1"/>
            <rFont val="Calibri"/>
            <family val="2"/>
            <scheme val="minor"/>
          </rPr>
          <t>Dwibhashyam, Neha:
reference area</t>
        </r>
      </text>
    </comment>
    <comment ref="PO51" authorId="2" shapeId="0" xr:uid="{BF04996E-3924-4188-95FE-231A2D1CEC28}">
      <text>
        <r>
          <rPr>
            <sz val="11"/>
            <color theme="1"/>
            <rFont val="Calibri"/>
            <family val="2"/>
            <scheme val="minor"/>
          </rPr>
          <t xml:space="preserve">Aljaber, Rawan:
schematic annoying to get area, will come back to later
</t>
        </r>
      </text>
    </comment>
    <comment ref="B52" authorId="42" shapeId="0" xr:uid="{54723AB4-8535-40A8-B5CF-ECE0700F9545}">
      <text>
        <r>
          <rPr>
            <sz val="11"/>
            <color theme="1"/>
            <rFont val="Calibri"/>
            <family val="2"/>
            <scheme val="minor"/>
          </rPr>
          <t>Arnson, Maxfield:
Examples:
none
sharklet
winglet
raked
fence
etc.</t>
        </r>
      </text>
    </comment>
    <comment ref="FA52" authorId="2" shapeId="0" xr:uid="{506BA78E-AE3F-40B6-A8ED-8A7BE830FE95}">
      <text>
        <r>
          <rPr>
            <sz val="11"/>
            <color theme="1"/>
            <rFont val="Calibri"/>
            <family val="2"/>
            <scheme val="minor"/>
          </rPr>
          <t>Aljaber, Rawan:
winglets are optional</t>
        </r>
      </text>
    </comment>
    <comment ref="ED55" authorId="2" shapeId="0" xr:uid="{4F0EB0BA-BDEC-4600-8FCA-6625501C699C}">
      <text>
        <r>
          <rPr>
            <sz val="11"/>
            <color theme="1"/>
            <rFont val="Calibri"/>
            <family val="2"/>
            <scheme val="minor"/>
          </rPr>
          <t>Aljaber, Rawan:
two pilots and a flight engineer (FE) on the flight deck</t>
        </r>
      </text>
    </comment>
    <comment ref="OB56" authorId="10" shapeId="0" xr:uid="{0D655F47-A7D6-43D9-94C0-429DA61D276D}">
      <text>
        <r>
          <rPr>
            <b/>
            <sz val="9"/>
            <color indexed="81"/>
            <rFont val="Tahoma"/>
            <family val="2"/>
          </rPr>
          <t>Max Arnson:</t>
        </r>
        <r>
          <rPr>
            <sz val="9"/>
            <color indexed="81"/>
            <rFont val="Tahoma"/>
            <family val="2"/>
          </rPr>
          <t xml:space="preserve">
https://www.ecfr.gov/current/title-14/chapter-I/subchapter-F/part-91/subpart-F/section-91.533</t>
        </r>
      </text>
    </comment>
    <comment ref="PL56" authorId="10" shapeId="0" xr:uid="{9700F8BA-F5C0-44D5-AAD6-7D47E71DAB02}">
      <text>
        <r>
          <rPr>
            <b/>
            <sz val="9"/>
            <color indexed="81"/>
            <rFont val="Tahoma"/>
            <family val="2"/>
          </rPr>
          <t>Max Arnson:</t>
        </r>
        <r>
          <rPr>
            <sz val="9"/>
            <color indexed="81"/>
            <rFont val="Tahoma"/>
            <family val="2"/>
          </rPr>
          <t xml:space="preserve">
depending on number of installed seats. 18 is for max passengers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Aljaber, Rawan</author>
    <author>Microsoft Office User</author>
    <author>Max Arnson</author>
    <author>tc={B82DB471-EAA3-4F29-91C1-8AC7EA1E4FE8}</author>
    <author>tc={B9EB042A-9A6B-47DE-85FE-060E34AF6D0B}</author>
    <author>Dwibhashyam, Neha</author>
    <author>Arnson, Maxfield</author>
    <author>tc={B1E10341-8E5A-4785-ADA6-11F82B5F767C}</author>
    <author>tc={3241FFEB-0F90-4A53-80EE-889262EF9F9F}</author>
  </authors>
  <commentList>
    <comment ref="P2" authorId="0" shapeId="0" xr:uid="{25CD037C-9426-4423-B760-19F5288DC854}">
      <text>
        <r>
          <rPr>
            <sz val="11"/>
            <color theme="1"/>
            <rFont val="Calibri"/>
            <family val="2"/>
            <scheme val="minor"/>
          </rPr>
          <t>Aljaber, Rawan:
Bulk Freighter</t>
        </r>
      </text>
    </comment>
    <comment ref="BE2" authorId="0" shapeId="0" xr:uid="{C56D6276-C83D-4FD3-9134-53DB5A633378}">
      <text>
        <r>
          <rPr>
            <sz val="11"/>
            <color theme="1"/>
            <rFont val="Calibri"/>
            <family val="2"/>
            <scheme val="minor"/>
          </rPr>
          <t>Aljaber, Rawan:
extended range</t>
        </r>
      </text>
    </comment>
    <comment ref="BF2" authorId="0" shapeId="0" xr:uid="{91897DF0-A5A2-4045-AC52-1E8748670379}">
      <text>
        <r>
          <rPr>
            <sz val="11"/>
            <color theme="1"/>
            <rFont val="Calibri"/>
            <family val="2"/>
            <scheme val="minor"/>
          </rPr>
          <t xml:space="preserve">Aljaber, Rawan:
</t>
        </r>
      </text>
    </comment>
    <comment ref="BS4" authorId="1" shapeId="0" xr:uid="{C42F9748-5B62-0C40-81B0-F9E6C92103C8}">
      <text>
        <r>
          <rPr>
            <sz val="10"/>
            <color rgb="FF000000"/>
            <rFont val="Tahoma"/>
            <family val="2"/>
          </rPr>
          <t>Pending regulatory approval. Bought in 2020 from RUAG</t>
        </r>
      </text>
    </comment>
    <comment ref="A5" authorId="2" shapeId="0" xr:uid="{154D2DA5-E222-46F0-A06B-9FF18902D3E4}">
      <text>
        <r>
          <rPr>
            <b/>
            <sz val="9"/>
            <color rgb="FF000000"/>
            <rFont val="Tahoma"/>
            <family val="2"/>
          </rPr>
          <t>Max Arnson:</t>
        </r>
        <r>
          <rPr>
            <sz val="9"/>
            <color rgb="FF000000"/>
            <rFont val="Tahoma"/>
            <family val="2"/>
          </rPr>
          <t xml:space="preserve">
</t>
        </r>
        <r>
          <rPr>
            <sz val="9"/>
            <color rgb="FF000000"/>
            <rFont val="Tahoma"/>
            <family val="2"/>
          </rPr>
          <t>Date when the aircraft received its certification to fly from either the EASA or the FAA</t>
        </r>
      </text>
    </comment>
    <comment ref="CD5" authorId="1" shapeId="0" xr:uid="{8DAEA974-9DBE-8A40-93F0-1AC474B584B5}">
      <text>
        <r>
          <rPr>
            <sz val="10"/>
            <color rgb="FF000000"/>
            <rFont val="Tahoma"/>
            <family val="2"/>
          </rPr>
          <t>State of Design Authority Type Certificate Date</t>
        </r>
      </text>
    </comment>
    <comment ref="A6" authorId="2" shapeId="0" xr:uid="{41C34EA6-064F-4764-989E-3B3BA987D66C}">
      <text>
        <r>
          <rPr>
            <b/>
            <sz val="9"/>
            <color indexed="81"/>
            <rFont val="Tahoma"/>
            <family val="2"/>
          </rPr>
          <t>Max Arnson:</t>
        </r>
        <r>
          <rPr>
            <sz val="9"/>
            <color indexed="81"/>
            <rFont val="Tahoma"/>
            <family val="2"/>
          </rPr>
          <t xml:space="preserve">
Some aircraft may have been called by other names in the past depending on which company originally owned the rights to produce them. For example, the A220-100 used to be called the Bombardier CS100 before it was acquired by Airbus</t>
        </r>
      </text>
    </comment>
    <comment ref="A7" authorId="2" shapeId="0" xr:uid="{1817AD00-02BC-4646-9704-17E55D983E77}">
      <text>
        <r>
          <rPr>
            <b/>
            <sz val="9"/>
            <color indexed="81"/>
            <rFont val="Tahoma"/>
            <family val="2"/>
          </rPr>
          <t>Max Arnson:</t>
        </r>
        <r>
          <rPr>
            <sz val="9"/>
            <color indexed="81"/>
            <rFont val="Tahoma"/>
            <family val="2"/>
          </rPr>
          <t xml:space="preserve">
Nicknames such as "Dreamliner" or "Beluga"
</t>
        </r>
      </text>
    </comment>
    <comment ref="BZ7" authorId="1" shapeId="0" xr:uid="{9D0F01C4-257D-CC46-A3C1-576BDBB4794A}">
      <text>
        <r>
          <rPr>
            <sz val="10"/>
            <color rgb="FF000000"/>
            <rFont val="Calibri"/>
            <family val="2"/>
            <scheme val="minor"/>
          </rPr>
          <t>Metroliner</t>
        </r>
        <r>
          <rPr>
            <sz val="10"/>
            <color rgb="FF000000"/>
            <rFont val="Calibri"/>
            <family val="2"/>
            <scheme val="minor"/>
          </rPr>
          <t xml:space="preserve"> </t>
        </r>
      </text>
    </comment>
    <comment ref="CA7" authorId="1" shapeId="0" xr:uid="{3C4CAC84-DECF-2C40-BA60-1434AF651373}">
      <text>
        <r>
          <rPr>
            <sz val="10"/>
            <color rgb="FF000000"/>
            <rFont val="Calibri"/>
            <family val="2"/>
            <scheme val="minor"/>
          </rPr>
          <t>Metroliner</t>
        </r>
        <r>
          <rPr>
            <sz val="10"/>
            <color rgb="FF000000"/>
            <rFont val="Calibri"/>
            <family val="2"/>
            <scheme val="minor"/>
          </rPr>
          <t xml:space="preserve"> </t>
        </r>
      </text>
    </comment>
    <comment ref="CC7" authorId="1" shapeId="0" xr:uid="{99468771-CB3D-DC4A-8733-141890780E0C}">
      <text>
        <r>
          <rPr>
            <sz val="10"/>
            <color rgb="FF000000"/>
            <rFont val="Calibri"/>
            <family val="2"/>
            <scheme val="minor"/>
          </rPr>
          <t>Metroliner</t>
        </r>
        <r>
          <rPr>
            <sz val="10"/>
            <color rgb="FF000000"/>
            <rFont val="Calibri"/>
            <family val="2"/>
            <scheme val="minor"/>
          </rPr>
          <t xml:space="preserve"> </t>
        </r>
      </text>
    </comment>
    <comment ref="BI8" authorId="3" shapeId="0" xr:uid="{B82DB471-EAA3-4F29-91C1-8AC7EA1E4FE8}">
      <text>
        <t>[Threaded comment]
Your version of Excel allows you to read this threaded comment; however, any edits to it will get removed if the file is opened in a newer version of Excel. Learn more: https://go.microsoft.com/fwlink/?linkid=870924
Comment:
    Double check these engines</t>
      </text>
    </comment>
    <comment ref="CC8" authorId="0" shapeId="0" xr:uid="{79B8323D-41EF-451C-B042-AC151B0DC46E}">
      <text>
        <r>
          <rPr>
            <sz val="11"/>
            <color theme="1"/>
            <rFont val="Calibri"/>
            <family val="2"/>
            <scheme val="minor"/>
          </rPr>
          <t>Aljaber, Rawan:
Garrett</t>
        </r>
      </text>
    </comment>
    <comment ref="CH8" authorId="0" shapeId="0" xr:uid="{7912C0A5-E570-4B63-AB7C-308D0331C5A5}">
      <text>
        <r>
          <rPr>
            <sz val="11"/>
            <color rgb="FF000000"/>
            <rFont val="Calibri"/>
            <family val="2"/>
          </rPr>
          <t xml:space="preserve">Aljaber, Rawan:
</t>
        </r>
        <r>
          <rPr>
            <sz val="11"/>
            <color rgb="FF000000"/>
            <rFont val="Calibri"/>
            <family val="2"/>
          </rPr>
          <t>GE_T58</t>
        </r>
      </text>
    </comment>
    <comment ref="CK8" authorId="0" shapeId="0" xr:uid="{97FF456A-D814-4562-8A22-963B39D10867}">
      <text>
        <r>
          <rPr>
            <sz val="11"/>
            <color theme="1"/>
            <rFont val="Calibri"/>
            <family val="2"/>
            <scheme val="minor"/>
          </rPr>
          <t>Aljaber, Rawan:
per Beech Specification BS 23287</t>
        </r>
      </text>
    </comment>
    <comment ref="CL8" authorId="0" shapeId="0" xr:uid="{8049B5DA-10E8-46EA-8469-57D399A74AD6}">
      <text>
        <r>
          <rPr>
            <sz val="11"/>
            <color theme="1"/>
            <rFont val="Calibri"/>
            <family val="2"/>
            <scheme val="minor"/>
          </rPr>
          <t>Aljaber, Rawan:
per Beech Specification BS 24442</t>
        </r>
      </text>
    </comment>
    <comment ref="BD9" authorId="4" shapeId="0" xr:uid="{B9EB042A-9A6B-47DE-85FE-060E34AF6D0B}">
      <text>
        <t xml:space="preserve">[Threaded comment]
Your version of Excel allows you to read this threaded comment; however, any edits to it will get removed if the file is opened in a newer version of Excel. Learn more: https://go.microsoft.com/fwlink/?linkid=870924
Comment:
    The 115 was discontinued and no longer exists. It seems that that they started using the 118 </t>
      </text>
    </comment>
    <comment ref="BS9" authorId="1" shapeId="0" xr:uid="{ED1CB1DD-0451-5D4E-89E3-B9D6808735DC}">
      <text>
        <r>
          <rPr>
            <sz val="10"/>
            <color rgb="FF000000"/>
            <rFont val="Tahoma"/>
            <family val="2"/>
          </rPr>
          <t>Type 2</t>
        </r>
      </text>
    </comment>
    <comment ref="BU9" authorId="1" shapeId="0" xr:uid="{35241821-D652-3C4C-8AB5-92B7193B1030}">
      <text>
        <r>
          <rPr>
            <sz val="10"/>
            <color rgb="FF000000"/>
            <rFont val="Tahoma"/>
            <family val="2"/>
          </rPr>
          <t>Along with TPE 331-10T-511D and TPE 331-10P-511D</t>
        </r>
      </text>
    </comment>
    <comment ref="BZ9" authorId="1" shapeId="0" xr:uid="{8D038D61-43F5-EB4B-BD8B-39F399A2CA57}">
      <text>
        <r>
          <rPr>
            <sz val="10"/>
            <color rgb="FF000000"/>
            <rFont val="Tahoma"/>
            <family val="2"/>
          </rPr>
          <t xml:space="preserve">Also the -304G Turboprop
</t>
        </r>
      </text>
    </comment>
    <comment ref="CC9" authorId="1" shapeId="0" xr:uid="{1BE791F1-6374-7D45-B8D1-783C8BAA7A1C}">
      <text>
        <r>
          <rPr>
            <sz val="11"/>
            <color theme="1"/>
            <rFont val="Calibri"/>
            <family val="2"/>
            <scheme val="minor"/>
          </rPr>
          <t>-Garrett
-Also TPE331-12UHR-701G</t>
        </r>
      </text>
    </comment>
    <comment ref="A12" authorId="0" shapeId="0" xr:uid="{629D5662-C526-420F-B17A-72C6EE93FA35}">
      <text>
        <r>
          <rPr>
            <sz val="11"/>
            <color theme="1"/>
            <rFont val="Calibri"/>
            <family val="2"/>
            <scheme val="minor"/>
          </rPr>
          <t>Aljaber, Rawan:
(#_aisle, short/long/extended range, low/high capacity)</t>
        </r>
      </text>
    </comment>
    <comment ref="A15" authorId="0" shapeId="0" xr:uid="{49B692E2-B51B-4682-8FA1-7C0862B90EEA}">
      <text>
        <r>
          <rPr>
            <sz val="11"/>
            <color theme="1"/>
            <rFont val="Calibri"/>
            <family val="2"/>
            <scheme val="minor"/>
          </rPr>
          <t>Aljaber, Rawan:
P - Passenger
C - Cargo
M - Mix of Pax and Cargo</t>
        </r>
      </text>
    </comment>
    <comment ref="A16" authorId="2" shapeId="0" xr:uid="{D24E11BA-3A6B-4905-B0B5-CFAAE12A61F6}">
      <text>
        <r>
          <rPr>
            <b/>
            <sz val="9"/>
            <color indexed="81"/>
            <rFont val="Tahoma"/>
            <family val="2"/>
          </rPr>
          <t>Max Arnson:</t>
        </r>
        <r>
          <rPr>
            <sz val="9"/>
            <color indexed="81"/>
            <rFont val="Tahoma"/>
            <family val="2"/>
          </rPr>
          <t xml:space="preserve">
This does not need to be exact, but try to get  a rough number of how many of these planes were actually sold to airlines. This should give us a rough metric of how successful the aircraft were</t>
        </r>
      </text>
    </comment>
    <comment ref="AI16" authorId="5" shapeId="0" xr:uid="{E4C17AEE-96EB-4726-B26A-1A218692D333}">
      <text>
        <r>
          <rPr>
            <sz val="11"/>
            <color theme="1"/>
            <rFont val="Calibri"/>
            <family val="2"/>
            <scheme val="minor"/>
          </rPr>
          <t>Dwibhashyam, Neha:
Total for all DHC-7</t>
        </r>
      </text>
    </comment>
    <comment ref="AO16" authorId="5" shapeId="0" xr:uid="{F909C8D3-710D-48B9-9663-20C0176F0896}">
      <text>
        <r>
          <rPr>
            <sz val="11"/>
            <color theme="1"/>
            <rFont val="Calibri"/>
            <family val="2"/>
            <scheme val="minor"/>
          </rPr>
          <t>Dwibhashyam, Neha:
For all Q100</t>
        </r>
      </text>
    </comment>
    <comment ref="AS16" authorId="5" shapeId="0" xr:uid="{96BC4550-358D-416E-A967-B4E47757D660}">
      <text>
        <r>
          <rPr>
            <sz val="11"/>
            <color theme="1"/>
            <rFont val="Calibri"/>
            <family val="2"/>
            <scheme val="minor"/>
          </rPr>
          <t>Dwibhashyam, Neha:
For all Q200</t>
        </r>
      </text>
    </comment>
    <comment ref="AV16" authorId="5" shapeId="0" xr:uid="{2130C015-8698-401A-B27D-2211A098CFCB}">
      <text>
        <r>
          <rPr>
            <sz val="11"/>
            <color theme="1"/>
            <rFont val="Calibri"/>
            <family val="2"/>
            <scheme val="minor"/>
          </rPr>
          <t>Dwibhashyam, Neha:
for all Q300</t>
        </r>
      </text>
    </comment>
    <comment ref="BA16" authorId="5" shapeId="0" xr:uid="{79E75E3D-BB2D-40B0-AE31-DF1E7DB6F346}">
      <text>
        <r>
          <rPr>
            <sz val="11"/>
            <color theme="1"/>
            <rFont val="Calibri"/>
            <family val="2"/>
            <scheme val="minor"/>
          </rPr>
          <t>Dwibhashyam, Neha:
for all Q400</t>
        </r>
      </text>
    </comment>
    <comment ref="CL16" authorId="0" shapeId="0" xr:uid="{29AC4DBB-4C94-4974-978B-0A0E4BD69B34}">
      <text>
        <r>
          <rPr>
            <sz val="11"/>
            <color theme="1"/>
            <rFont val="Calibri"/>
            <family val="2"/>
            <scheme val="minor"/>
          </rPr>
          <t>Aljaber, Rawan:
439 BUILT, could not find sold</t>
        </r>
      </text>
    </comment>
    <comment ref="A18" authorId="6" shapeId="0" xr:uid="{EB8724C9-0D54-4CB2-80A9-9990F4D8BF7B}">
      <text>
        <r>
          <rPr>
            <sz val="11"/>
            <color rgb="FF000000"/>
            <rFont val="Calibri"/>
            <family val="2"/>
          </rPr>
          <t xml:space="preserve">Arnson, Maxfield: Also may be called "one class configuration." This is the maximum allowed passengers in the aircraft. often airlines will not fill the plane to this capacity as it is more economical to build first class seats into the cabin layout
</t>
        </r>
      </text>
    </comment>
    <comment ref="CH18" authorId="0" shapeId="0" xr:uid="{CA72E7A4-CD19-446E-91DC-FC8816F555AD}">
      <text>
        <r>
          <rPr>
            <sz val="11"/>
            <color rgb="FF000000"/>
            <rFont val="Calibri"/>
            <family val="2"/>
          </rPr>
          <t xml:space="preserve">Aljaber, Rawan:
</t>
        </r>
        <r>
          <rPr>
            <sz val="11"/>
            <color rgb="FF000000"/>
            <rFont val="Calibri"/>
            <family val="2"/>
          </rPr>
          <t>20 survivors or 12 stretchers</t>
        </r>
      </text>
    </comment>
    <comment ref="CK18" authorId="0" shapeId="0" xr:uid="{7E4FECBF-CD46-486E-8BA5-0995D9EEDD8D}">
      <text>
        <r>
          <rPr>
            <sz val="11"/>
            <color theme="1"/>
            <rFont val="Calibri"/>
            <family val="2"/>
            <scheme val="minor"/>
          </rPr>
          <t>Aljaber, Rawan:
21 including crew</t>
        </r>
      </text>
    </comment>
    <comment ref="A19" authorId="2" shapeId="0" xr:uid="{C5678F9F-91DC-4206-91DA-00743F19BB1D}">
      <text>
        <r>
          <rPr>
            <b/>
            <sz val="9"/>
            <color rgb="FF000000"/>
            <rFont val="Tahoma"/>
            <family val="2"/>
          </rPr>
          <t>Max Arnson:</t>
        </r>
        <r>
          <rPr>
            <sz val="9"/>
            <color rgb="FF000000"/>
            <rFont val="Tahoma"/>
            <family val="2"/>
          </rPr>
          <t xml:space="preserve">
</t>
        </r>
        <r>
          <rPr>
            <sz val="9"/>
            <color rgb="FF000000"/>
            <rFont val="Tahoma"/>
            <family val="2"/>
          </rPr>
          <t xml:space="preserve">May also be called "Design Passengers"
</t>
        </r>
      </text>
    </comment>
    <comment ref="A20" authorId="2" shapeId="0" xr:uid="{AD694E7F-F7C6-42B6-8AF5-9BC7D05E8AB3}">
      <text>
        <r>
          <rPr>
            <b/>
            <sz val="9"/>
            <color rgb="FF000000"/>
            <rFont val="Tahoma"/>
            <family val="2"/>
          </rPr>
          <t>Max Arnson:</t>
        </r>
        <r>
          <rPr>
            <sz val="9"/>
            <color rgb="FF000000"/>
            <rFont val="Tahoma"/>
            <family val="2"/>
          </rPr>
          <t xml:space="preserve">
</t>
        </r>
        <r>
          <rPr>
            <sz val="9"/>
            <color rgb="FF000000"/>
            <rFont val="Tahoma"/>
            <family val="2"/>
          </rPr>
          <t>max typical pax</t>
        </r>
      </text>
    </comment>
    <comment ref="H20" authorId="0" shapeId="0" xr:uid="{E03CB6B1-CD12-4C67-8A7F-0C09C77EE270}">
      <text>
        <r>
          <rPr>
            <sz val="11"/>
            <color theme="1"/>
            <rFont val="Calibri"/>
            <family val="2"/>
            <scheme val="minor"/>
          </rPr>
          <t>Aljaber, Rawan:
with max pax</t>
        </r>
      </text>
    </comment>
    <comment ref="I20" authorId="0" shapeId="0" xr:uid="{67720C06-5FC4-41B0-A0C4-A93AD6236C95}">
      <text>
        <r>
          <rPr>
            <sz val="11"/>
            <color theme="1"/>
            <rFont val="Calibri"/>
            <family val="2"/>
            <scheme val="minor"/>
          </rPr>
          <t>Aljaber, Rawan:
with max pax</t>
        </r>
      </text>
    </comment>
    <comment ref="J20" authorId="0" shapeId="0" xr:uid="{01F699FD-3B96-400F-8930-FD1C78E95922}">
      <text>
        <r>
          <rPr>
            <sz val="11"/>
            <color theme="1"/>
            <rFont val="Calibri"/>
            <family val="2"/>
            <scheme val="minor"/>
          </rPr>
          <t>Aljaber, Rawan:
with max pax</t>
        </r>
      </text>
    </comment>
    <comment ref="K20" authorId="0" shapeId="0" xr:uid="{132C5057-1722-4D99-A0CC-F881794A3D51}">
      <text>
        <r>
          <rPr>
            <sz val="11"/>
            <color theme="1"/>
            <rFont val="Calibri"/>
            <family val="2"/>
            <scheme val="minor"/>
          </rPr>
          <t>Aljaber, Rawan:
with max pax</t>
        </r>
      </text>
    </comment>
    <comment ref="L20" authorId="0" shapeId="0" xr:uid="{1A00DB57-4699-4CC9-8871-5E93039DFB14}">
      <text>
        <r>
          <rPr>
            <sz val="11"/>
            <color theme="1"/>
            <rFont val="Calibri"/>
            <family val="2"/>
            <scheme val="minor"/>
          </rPr>
          <t>Aljaber, Rawan:
with max pax</t>
        </r>
      </text>
    </comment>
    <comment ref="M20" authorId="0" shapeId="0" xr:uid="{CC6A77DC-9408-48AD-BEC7-17AC62D75B60}">
      <text>
        <r>
          <rPr>
            <sz val="11"/>
            <color theme="1"/>
            <rFont val="Calibri"/>
            <family val="2"/>
            <scheme val="minor"/>
          </rPr>
          <t xml:space="preserve">Aljaber, Rawan:
with max pax
</t>
        </r>
      </text>
    </comment>
    <comment ref="O20" authorId="0" shapeId="0" xr:uid="{C6D04C4E-D7B7-4674-BF64-DB60983076AF}">
      <text>
        <r>
          <rPr>
            <sz val="11"/>
            <color theme="1"/>
            <rFont val="Calibri"/>
            <family val="2"/>
            <scheme val="minor"/>
          </rPr>
          <t>Aljaber, Rawan:
with max pax</t>
        </r>
      </text>
    </comment>
    <comment ref="P20" authorId="0" shapeId="0" xr:uid="{86D910A5-4B9A-4B6F-9AB1-CCF9BE7A47B4}">
      <text>
        <r>
          <rPr>
            <sz val="11"/>
            <color theme="1"/>
            <rFont val="Calibri"/>
            <family val="2"/>
            <scheme val="minor"/>
          </rPr>
          <t>Aljaber, Rawan:
with max pax</t>
        </r>
      </text>
    </comment>
    <comment ref="Q20" authorId="0" shapeId="0" xr:uid="{A23C7158-F01A-4056-ACED-13BC0898F286}">
      <text>
        <r>
          <rPr>
            <sz val="11"/>
            <color theme="1"/>
            <rFont val="Calibri"/>
            <family val="2"/>
            <scheme val="minor"/>
          </rPr>
          <t>Aljaber, Rawan:
with max pax</t>
        </r>
      </text>
    </comment>
    <comment ref="R20" authorId="0" shapeId="0" xr:uid="{4342D7BD-35B9-4C7E-B917-6AFCA7D372B5}">
      <text>
        <r>
          <rPr>
            <sz val="11"/>
            <color theme="1"/>
            <rFont val="Calibri"/>
            <family val="2"/>
            <scheme val="minor"/>
          </rPr>
          <t>Aljaber, Rawan:
 with max pax</t>
        </r>
      </text>
    </comment>
    <comment ref="S20" authorId="0" shapeId="0" xr:uid="{D94968B7-6EA8-426C-B6E0-2C0E2A6BC9D5}">
      <text>
        <r>
          <rPr>
            <sz val="11"/>
            <color theme="1"/>
            <rFont val="Calibri"/>
            <family val="2"/>
            <scheme val="minor"/>
          </rPr>
          <t>Aljaber, Rawan:
with max pax</t>
        </r>
      </text>
    </comment>
    <comment ref="Y20" authorId="0" shapeId="0" xr:uid="{9CC8F109-D7A8-4F30-B957-76144677FD51}">
      <text>
        <r>
          <rPr>
            <sz val="11"/>
            <color theme="1"/>
            <rFont val="Calibri"/>
            <family val="2"/>
            <scheme val="minor"/>
          </rPr>
          <t>Aljaber, Rawan:
with max payload</t>
        </r>
      </text>
    </comment>
    <comment ref="Z20" authorId="0" shapeId="0" xr:uid="{5DEA11B7-0605-42AF-9CE9-C858C9254DBB}">
      <text>
        <r>
          <rPr>
            <sz val="11"/>
            <color theme="1"/>
            <rFont val="Calibri"/>
            <family val="2"/>
            <scheme val="minor"/>
          </rPr>
          <t>Aljaber, Rawan:
with 40,000lb/18143.695kg payload</t>
        </r>
      </text>
    </comment>
    <comment ref="AI20" authorId="5" shapeId="0" xr:uid="{D50D80BF-5B99-4720-A435-ABE463504EDD}">
      <text>
        <r>
          <rPr>
            <sz val="11"/>
            <color theme="1"/>
            <rFont val="Calibri"/>
            <family val="2"/>
            <scheme val="minor"/>
          </rPr>
          <t>Dwibhashyam, Neha:
From baesystems.com/en/heritage/de-havilland-canada-dhc-7-dash-7  (unreliable source)</t>
        </r>
      </text>
    </comment>
    <comment ref="AJ20" authorId="5" shapeId="0" xr:uid="{77558E13-D660-4DA8-9914-699AFD57F60B}">
      <text>
        <r>
          <rPr>
            <sz val="11"/>
            <color theme="1"/>
            <rFont val="Calibri"/>
            <family val="2"/>
            <scheme val="minor"/>
          </rPr>
          <t>Dwibhashyam, Neha:
From baesystems.com/en/heritage/de-havilland-canada-dhc-7-dash-7  (unreliable source)</t>
        </r>
      </text>
    </comment>
    <comment ref="AK20" authorId="5" shapeId="0" xr:uid="{9D47DEA2-055F-4B47-99E1-84EB8D656813}">
      <text>
        <r>
          <rPr>
            <sz val="11"/>
            <color theme="1"/>
            <rFont val="Calibri"/>
            <family val="2"/>
            <scheme val="minor"/>
          </rPr>
          <t>Dwibhashyam, Neha:
From baesystems.com/en/heritage/de-havilland-canada-dhc-7-dash-7  (unreliable source)</t>
        </r>
      </text>
    </comment>
    <comment ref="AL20" authorId="5" shapeId="0" xr:uid="{D6B77B62-8D62-459A-A792-9EEAA1AB7836}">
      <text>
        <r>
          <rPr>
            <sz val="11"/>
            <color theme="1"/>
            <rFont val="Calibri"/>
            <family val="2"/>
            <scheme val="minor"/>
          </rPr>
          <t>Dwibhashyam, Neha:
From baesystems.com/en/heritage/de-havilland-canada-dhc-7-dash-7  (unreliable source)</t>
        </r>
      </text>
    </comment>
    <comment ref="AM20" authorId="5" shapeId="0" xr:uid="{73C4F513-3302-40A7-8359-688335058D38}">
      <text>
        <r>
          <rPr>
            <sz val="11"/>
            <color theme="1"/>
            <rFont val="Calibri"/>
            <family val="2"/>
            <scheme val="minor"/>
          </rPr>
          <t>Dwibhashyam, Neha:
From baesystems.com/en/heritage/de-havilland-canada-dhc-7-dash-7  (unreliable source)</t>
        </r>
      </text>
    </comment>
    <comment ref="BE20" authorId="0" shapeId="0" xr:uid="{76D80F59-0B02-4E6A-A5A9-1E2493CD7E22}">
      <text>
        <r>
          <rPr>
            <sz val="11"/>
            <color theme="1"/>
            <rFont val="Calibri"/>
            <family val="2"/>
            <scheme val="minor"/>
          </rPr>
          <t>Aljaber, Rawan:
at max pax</t>
        </r>
      </text>
    </comment>
    <comment ref="BF20" authorId="0" shapeId="0" xr:uid="{1ACB204B-BF40-4647-B17C-F1FFFD2A8474}">
      <text>
        <r>
          <rPr>
            <sz val="11"/>
            <color theme="1"/>
            <rFont val="Calibri"/>
            <family val="2"/>
            <scheme val="minor"/>
          </rPr>
          <t>Aljaber, Rawan:
With 2250kg payload</t>
        </r>
      </text>
    </comment>
    <comment ref="BG20" authorId="0" shapeId="0" xr:uid="{B502E012-01BF-453D-817D-81ECB6A39388}">
      <text>
        <r>
          <rPr>
            <sz val="11"/>
            <color theme="1"/>
            <rFont val="Calibri"/>
            <family val="2"/>
            <scheme val="minor"/>
          </rPr>
          <t>Aljaber, Rawan:
at max pax</t>
        </r>
      </text>
    </comment>
    <comment ref="BI20" authorId="0" shapeId="0" xr:uid="{F0BA3909-6AF0-4C73-87A9-61E4ACB97F5E}">
      <text>
        <r>
          <rPr>
            <sz val="11"/>
            <color theme="1"/>
            <rFont val="Calibri"/>
            <family val="2"/>
            <scheme val="minor"/>
          </rPr>
          <t xml:space="preserve">Aljaber, Rawan:
400km at 1405 kg payload and FAR 135 regulations
</t>
        </r>
      </text>
    </comment>
    <comment ref="BJ20" authorId="0" shapeId="0" xr:uid="{17843814-5B26-4702-AD0C-D8A6CCF0AD36}">
      <text>
        <r>
          <rPr>
            <sz val="11"/>
            <color theme="1"/>
            <rFont val="Calibri"/>
            <family val="2"/>
            <scheme val="minor"/>
          </rPr>
          <t>Aljaber, Rawan:
400km at 1405 kg payload and FAR 135 regulations</t>
        </r>
      </text>
    </comment>
    <comment ref="BK20" authorId="0" shapeId="0" xr:uid="{E6AA699B-847C-45C8-9596-D22876B3320A}">
      <text>
        <r>
          <rPr>
            <sz val="11"/>
            <color theme="1"/>
            <rFont val="Calibri"/>
            <family val="2"/>
            <scheme val="minor"/>
          </rPr>
          <t>Aljaber, Rawan:
400km at 1405 kg payload and FAR 135 regulations</t>
        </r>
      </text>
    </comment>
    <comment ref="A22" authorId="2" shapeId="0" xr:uid="{22EAEBEA-1ED6-4E1D-B5C5-5AF8FF669EC9}">
      <text>
        <r>
          <rPr>
            <b/>
            <sz val="9"/>
            <color rgb="FF000000"/>
            <rFont val="Tahoma"/>
            <family val="2"/>
          </rPr>
          <t>Max Arnson:</t>
        </r>
        <r>
          <rPr>
            <sz val="9"/>
            <color rgb="FF000000"/>
            <rFont val="Tahoma"/>
            <family val="2"/>
          </rPr>
          <t xml:space="preserve">
</t>
        </r>
        <r>
          <rPr>
            <sz val="9"/>
            <color rgb="FF000000"/>
            <rFont val="Tahoma"/>
            <family val="2"/>
          </rPr>
          <t>Really these are masses, not weights, however aircraft convention is to still use the word 'weight' when describing these quantities</t>
        </r>
      </text>
    </comment>
    <comment ref="A23" authorId="2" shapeId="0" xr:uid="{CA88367A-538C-4805-8709-D0020335E809}">
      <text>
        <r>
          <rPr>
            <b/>
            <sz val="9"/>
            <color rgb="FF000000"/>
            <rFont val="Tahoma"/>
            <family val="2"/>
          </rPr>
          <t>Max Arnson:</t>
        </r>
        <r>
          <rPr>
            <sz val="9"/>
            <color rgb="FF000000"/>
            <rFont val="Tahoma"/>
            <family val="2"/>
          </rPr>
          <t xml:space="preserve">
</t>
        </r>
        <r>
          <rPr>
            <sz val="9"/>
            <color rgb="FF000000"/>
            <rFont val="Tahoma"/>
            <family val="2"/>
          </rPr>
          <t xml:space="preserve">Maximum Ramp Weight
</t>
        </r>
      </text>
    </comment>
    <comment ref="Z23" authorId="7" shapeId="0" xr:uid="{B1E10341-8E5A-4785-ADA6-11F82B5F767C}">
      <text>
        <t xml:space="preserve">[Threaded comment]
Your version of Excel allows you to read this threaded comment; however, any edits to it will get removed if the file is opened in a newer version of Excel. Learn more: https://go.microsoft.com/fwlink/?linkid=870924
Comment:
    Unclear weight MRW reported in TCDS, other weights are from TCDS(MLW) and LM-100J Brochure(MTOW, MZFW, OEW, Max Payload) @Arnson, Maxfield </t>
      </text>
    </comment>
    <comment ref="BZ23" authorId="1" shapeId="0" xr:uid="{3E32EFD5-3643-AD42-8BD0-0E2B7501C51F}">
      <text>
        <r>
          <rPr>
            <sz val="10"/>
            <color rgb="FF000000"/>
            <rFont val="Tahoma"/>
            <family val="2"/>
          </rPr>
          <t xml:space="preserve">Converted from pounds. 
</t>
        </r>
        <r>
          <rPr>
            <sz val="10"/>
            <color rgb="FF000000"/>
            <rFont val="Tahoma"/>
            <family val="2"/>
          </rPr>
          <t xml:space="preserve">
</t>
        </r>
        <r>
          <rPr>
            <sz val="10"/>
            <color rgb="FF000000"/>
            <rFont val="Tahoma"/>
            <family val="2"/>
          </rPr>
          <t xml:space="preserve">"Normal" Category.
</t>
        </r>
      </text>
    </comment>
    <comment ref="A24" authorId="2" shapeId="0" xr:uid="{4DABE3B8-907C-4733-950D-CFB828523F44}">
      <text>
        <r>
          <rPr>
            <b/>
            <sz val="9"/>
            <color rgb="FF000000"/>
            <rFont val="Tahoma"/>
            <family val="2"/>
          </rPr>
          <t>Max Arnson:</t>
        </r>
        <r>
          <rPr>
            <sz val="9"/>
            <color rgb="FF000000"/>
            <rFont val="Tahoma"/>
            <family val="2"/>
          </rPr>
          <t xml:space="preserve">
</t>
        </r>
        <r>
          <rPr>
            <sz val="9"/>
            <color rgb="FF000000"/>
            <rFont val="Tahoma"/>
            <family val="2"/>
          </rPr>
          <t xml:space="preserve">Maximum Takeoff Weight
</t>
        </r>
      </text>
    </comment>
    <comment ref="A25" authorId="2" shapeId="0" xr:uid="{76537782-4735-4DB3-A799-B716F0919947}">
      <text>
        <r>
          <rPr>
            <b/>
            <sz val="9"/>
            <color rgb="FF000000"/>
            <rFont val="Tahoma"/>
            <family val="2"/>
          </rPr>
          <t>Max Arnson:</t>
        </r>
        <r>
          <rPr>
            <sz val="9"/>
            <color rgb="FF000000"/>
            <rFont val="Tahoma"/>
            <family val="2"/>
          </rPr>
          <t xml:space="preserve">
</t>
        </r>
        <r>
          <rPr>
            <sz val="9"/>
            <color rgb="FF000000"/>
            <rFont val="Tahoma"/>
            <family val="2"/>
          </rPr>
          <t xml:space="preserve">Maximum Landing Weight
</t>
        </r>
      </text>
    </comment>
    <comment ref="BW25" authorId="1" shapeId="0" xr:uid="{5357238E-88B8-7341-BF1B-31683CC22436}">
      <text>
        <r>
          <rPr>
            <sz val="10"/>
            <color rgb="FF000000"/>
            <rFont val="Tahoma"/>
            <family val="2"/>
          </rPr>
          <t>Position UP (0)</t>
        </r>
      </text>
    </comment>
    <comment ref="A26" authorId="2" shapeId="0" xr:uid="{1466DF1E-6E26-4C64-9D63-21B7570B1645}">
      <text>
        <r>
          <rPr>
            <b/>
            <sz val="9"/>
            <color rgb="FF000000"/>
            <rFont val="Tahoma"/>
            <family val="2"/>
          </rPr>
          <t>Max Arnson:</t>
        </r>
        <r>
          <rPr>
            <sz val="9"/>
            <color rgb="FF000000"/>
            <rFont val="Tahoma"/>
            <family val="2"/>
          </rPr>
          <t xml:space="preserve">
</t>
        </r>
        <r>
          <rPr>
            <sz val="9"/>
            <color rgb="FF000000"/>
            <rFont val="Tahoma"/>
            <family val="2"/>
          </rPr>
          <t>Maximum Zero Fuel Weight</t>
        </r>
      </text>
    </comment>
    <comment ref="BX26" authorId="1" shapeId="0" xr:uid="{A6D77FE5-0716-C049-8CDC-7DA2FD60391E}">
      <text>
        <r>
          <rPr>
            <sz val="10"/>
            <color rgb="FF000000"/>
            <rFont val="Tahoma"/>
            <family val="2"/>
          </rPr>
          <t>5590 kg for 6200 kg TOW, but 5400 kg with 6400 kg TOW</t>
        </r>
      </text>
    </comment>
    <comment ref="A27" authorId="2" shapeId="0" xr:uid="{D00874A3-13C3-4B1E-A9E4-A7B984730E1E}">
      <text>
        <r>
          <rPr>
            <b/>
            <sz val="9"/>
            <color rgb="FF000000"/>
            <rFont val="Tahoma"/>
            <family val="2"/>
          </rPr>
          <t>Max Arnson:</t>
        </r>
        <r>
          <rPr>
            <sz val="9"/>
            <color rgb="FF000000"/>
            <rFont val="Tahoma"/>
            <family val="2"/>
          </rPr>
          <t xml:space="preserve">
</t>
        </r>
        <r>
          <rPr>
            <sz val="9"/>
            <color rgb="FF000000"/>
            <rFont val="Tahoma"/>
            <family val="2"/>
          </rPr>
          <t>Operational Empty Weight. Use typical in service if they specify</t>
        </r>
      </text>
    </comment>
    <comment ref="Z29" authorId="8" shapeId="0" xr:uid="{3241FFEB-0F90-4A53-80EE-889262EF9F9F}">
      <text>
        <t xml:space="preserve">[Threaded comment]
Your version of Excel allows you to read this threaded comment; however, any edits to it will get removed if the file is opened in a newer version of Excel. Learn more: https://go.microsoft.com/fwlink/?linkid=870924
Comment:
    This is not consistent with the literature. I get 38 klbf from the brochure
Reply:
    Would check other variants as well
</t>
      </text>
    </comment>
    <comment ref="CD29" authorId="1" shapeId="0" xr:uid="{E1457317-62E3-2740-B4C4-9D82BB97C896}">
      <text>
        <r>
          <rPr>
            <sz val="10"/>
            <color rgb="FF000000"/>
            <rFont val="Tahoma"/>
            <family val="2"/>
          </rPr>
          <t xml:space="preserve">Total usuable
</t>
        </r>
      </text>
    </comment>
    <comment ref="A31" authorId="2" shapeId="0" xr:uid="{CD89B0C0-E36B-4721-94C2-FA4A75EE211B}">
      <text>
        <r>
          <rPr>
            <b/>
            <sz val="9"/>
            <color rgb="FF000000"/>
            <rFont val="Tahoma"/>
            <family val="2"/>
          </rPr>
          <t>Max Arnson:</t>
        </r>
        <r>
          <rPr>
            <sz val="9"/>
            <color rgb="FF000000"/>
            <rFont val="Tahoma"/>
            <family val="2"/>
          </rPr>
          <t xml:space="preserve">
</t>
        </r>
        <r>
          <rPr>
            <sz val="9"/>
            <color rgb="FF000000"/>
            <rFont val="Tahoma"/>
            <family val="2"/>
          </rPr>
          <t>Maximum operating Mach Number</t>
        </r>
      </text>
    </comment>
    <comment ref="A32" authorId="2" shapeId="0" xr:uid="{4E3BB564-B362-4F40-8F07-D2057CB3C180}">
      <text>
        <r>
          <rPr>
            <b/>
            <sz val="9"/>
            <color rgb="FF000000"/>
            <rFont val="Tahoma"/>
            <family val="2"/>
          </rPr>
          <t>Max Arnson:</t>
        </r>
        <r>
          <rPr>
            <sz val="9"/>
            <color rgb="FF000000"/>
            <rFont val="Tahoma"/>
            <family val="2"/>
          </rPr>
          <t xml:space="preserve">
</t>
        </r>
        <r>
          <rPr>
            <sz val="9"/>
            <color rgb="FF000000"/>
            <rFont val="Tahoma"/>
            <family val="2"/>
          </rPr>
          <t>Cruise Mach Number</t>
        </r>
      </text>
    </comment>
    <comment ref="A33" authorId="2" shapeId="0" xr:uid="{E475BF05-D5EB-461E-9FF3-D120FFD5494F}">
      <text>
        <r>
          <rPr>
            <b/>
            <sz val="9"/>
            <color rgb="FF000000"/>
            <rFont val="Tahoma"/>
            <family val="2"/>
          </rPr>
          <t>Max Arnson:</t>
        </r>
        <r>
          <rPr>
            <sz val="9"/>
            <color rgb="FF000000"/>
            <rFont val="Tahoma"/>
            <family val="2"/>
          </rPr>
          <t xml:space="preserve">
</t>
        </r>
        <r>
          <rPr>
            <sz val="9"/>
            <color rgb="FF000000"/>
            <rFont val="Tahoma"/>
            <family val="2"/>
          </rPr>
          <t>Takeoff Velocity. Usually defined when the plane begins its rotation off of the ground</t>
        </r>
      </text>
    </comment>
    <comment ref="BI35" authorId="0" shapeId="0" xr:uid="{AAF1FF26-9A1E-4170-BA14-3E222521A0ED}">
      <text>
        <r>
          <rPr>
            <sz val="11"/>
            <color theme="1"/>
            <rFont val="Calibri"/>
            <family val="2"/>
            <scheme val="minor"/>
          </rPr>
          <t xml:space="preserve">Aljaber, Rawan:
SERVICE CIELING
</t>
        </r>
      </text>
    </comment>
    <comment ref="BM35" authorId="1" shapeId="0" xr:uid="{2AC9A3E6-4316-5E4D-A8D5-F7F73BE04683}">
      <text>
        <r>
          <rPr>
            <b/>
            <sz val="10"/>
            <color rgb="FF000000"/>
            <rFont val="Tahoma"/>
            <family val="2"/>
          </rPr>
          <t>Microsoft Office User:</t>
        </r>
        <r>
          <rPr>
            <sz val="10"/>
            <color rgb="FF000000"/>
            <rFont val="Tahoma"/>
            <family val="2"/>
          </rPr>
          <t xml:space="preserve">
</t>
        </r>
        <r>
          <rPr>
            <sz val="10"/>
            <color rgb="FF000000"/>
            <rFont val="Tahoma"/>
            <family val="2"/>
          </rPr>
          <t xml:space="preserve">Max Operating Altitude
</t>
        </r>
      </text>
    </comment>
    <comment ref="BQ35" authorId="1" shapeId="0" xr:uid="{0E99907B-7BEF-9A4E-A8E5-9645D354972A}">
      <text>
        <r>
          <rPr>
            <b/>
            <sz val="10"/>
            <color rgb="FF000000"/>
            <rFont val="Tahoma"/>
            <family val="2"/>
          </rPr>
          <t>Microsoft Office User:</t>
        </r>
        <r>
          <rPr>
            <sz val="10"/>
            <color rgb="FF000000"/>
            <rFont val="Tahoma"/>
            <family val="2"/>
          </rPr>
          <t xml:space="preserve">
</t>
        </r>
        <r>
          <rPr>
            <sz val="10"/>
            <color rgb="FF000000"/>
            <rFont val="Tahoma"/>
            <family val="2"/>
          </rPr>
          <t xml:space="preserve">Max Operating Altitude. Also listed two different altitudes. This was the highest
</t>
        </r>
      </text>
    </comment>
    <comment ref="BZ35" authorId="1" shapeId="0" xr:uid="{65536380-AC51-DF46-B02B-3E846A2CA8B2}">
      <text>
        <r>
          <rPr>
            <sz val="10"/>
            <color rgb="FF000000"/>
            <rFont val="Tahoma"/>
            <family val="2"/>
          </rPr>
          <t>Max altitude</t>
        </r>
      </text>
    </comment>
    <comment ref="CD35" authorId="1" shapeId="0" xr:uid="{E753EB3B-CBB4-6944-9256-1BD4DA804B69}">
      <text>
        <r>
          <rPr>
            <sz val="10"/>
            <color rgb="FF000000"/>
            <rFont val="Tahoma"/>
            <family val="2"/>
          </rPr>
          <t>Max Operating Altitude</t>
        </r>
      </text>
    </comment>
    <comment ref="A36" authorId="0" shapeId="0" xr:uid="{F89CCDD9-ADC9-485E-B1D8-0A75B662A5FB}">
      <text>
        <r>
          <rPr>
            <sz val="11"/>
            <color theme="1"/>
            <rFont val="Calibri"/>
            <family val="2"/>
            <scheme val="minor"/>
          </rPr>
          <t xml:space="preserve">Aljaber, Rawan:
Record MTOW Sea Level Takeoff distance </t>
        </r>
      </text>
    </comment>
    <comment ref="AI38" authorId="5" shapeId="0" xr:uid="{787BBB05-3FB1-4AE8-9F88-D58155315254}">
      <text>
        <r>
          <rPr>
            <sz val="11"/>
            <color theme="1"/>
            <rFont val="Calibri"/>
            <family val="2"/>
            <scheme val="minor"/>
          </rPr>
          <t>Dwibhashyam, Neha:
From dash7.at (unreliable source)</t>
        </r>
      </text>
    </comment>
    <comment ref="AJ38" authorId="5" shapeId="0" xr:uid="{C66F1578-1E42-4A23-811A-284E10F13846}">
      <text>
        <r>
          <rPr>
            <sz val="11"/>
            <color theme="1"/>
            <rFont val="Calibri"/>
            <family val="2"/>
            <scheme val="minor"/>
          </rPr>
          <t>Dwibhashyam, Neha:
From dash7.at (unreliable source)</t>
        </r>
      </text>
    </comment>
    <comment ref="AK38" authorId="5" shapeId="0" xr:uid="{FB72775F-C5BD-47FC-8973-35A823A60D08}">
      <text>
        <r>
          <rPr>
            <sz val="11"/>
            <color theme="1"/>
            <rFont val="Calibri"/>
            <family val="2"/>
            <scheme val="minor"/>
          </rPr>
          <t>Dwibhashyam, Neha:
From dash7.at (unreliable source)</t>
        </r>
      </text>
    </comment>
    <comment ref="AL38" authorId="5" shapeId="0" xr:uid="{622271FF-6C78-48D0-85B5-CC69061B17B4}">
      <text>
        <r>
          <rPr>
            <sz val="11"/>
            <color theme="1"/>
            <rFont val="Calibri"/>
            <family val="2"/>
            <scheme val="minor"/>
          </rPr>
          <t>Dwibhashyam, Neha:
From dash7.at (unreliable source)</t>
        </r>
      </text>
    </comment>
    <comment ref="AM38" authorId="5" shapeId="0" xr:uid="{17D4324B-26ED-4058-91C6-00F3DB2CC37A}">
      <text>
        <r>
          <rPr>
            <sz val="11"/>
            <color theme="1"/>
            <rFont val="Calibri"/>
            <family val="2"/>
            <scheme val="minor"/>
          </rPr>
          <t>Dwibhashyam, Neha:
From dash7.at (unreliable source)</t>
        </r>
      </text>
    </comment>
    <comment ref="BZ38" authorId="1" shapeId="0" xr:uid="{E9535E75-23DD-FB48-9FD2-D80613438222}">
      <text>
        <r>
          <rPr>
            <sz val="10"/>
            <color rgb="FF000000"/>
            <rFont val="Tahoma"/>
            <family val="2"/>
          </rPr>
          <t xml:space="preserve">Wet run. Dry-static run is 617.819 kW
</t>
        </r>
      </text>
    </comment>
    <comment ref="CK38" authorId="0" shapeId="0" xr:uid="{72B9B2CE-5239-4C5B-9BC2-68C6AD1BAB0D}">
      <text>
        <r>
          <rPr>
            <sz val="11"/>
            <color theme="1"/>
            <rFont val="Calibri"/>
            <family val="2"/>
            <scheme val="minor"/>
          </rPr>
          <t xml:space="preserve">Aljaber, Rawan:
Reverse thrust 900 hp
</t>
        </r>
      </text>
    </comment>
    <comment ref="CL38" authorId="0" shapeId="0" xr:uid="{3C0B7BF2-86E1-4DB8-9907-35E2A90C48B3}">
      <text>
        <r>
          <rPr>
            <sz val="11"/>
            <color theme="1"/>
            <rFont val="Calibri"/>
            <family val="2"/>
            <scheme val="minor"/>
          </rPr>
          <t xml:space="preserve">Aljaber, Rawan:
Reverse thrust 900 hp
</t>
        </r>
      </text>
    </comment>
    <comment ref="AI39" authorId="5" shapeId="0" xr:uid="{045CB64A-9EFD-499E-B9CA-A620BFD68396}">
      <text>
        <r>
          <rPr>
            <sz val="11"/>
            <color theme="1"/>
            <rFont val="Calibri"/>
            <family val="2"/>
            <scheme val="minor"/>
          </rPr>
          <t>Dwibhashyam, Neha:
From dash7.at (unreliable source)</t>
        </r>
      </text>
    </comment>
    <comment ref="AJ39" authorId="5" shapeId="0" xr:uid="{099B1BE6-F799-41F3-B5D2-A96A21CC1D7E}">
      <text>
        <r>
          <rPr>
            <sz val="11"/>
            <color theme="1"/>
            <rFont val="Calibri"/>
            <family val="2"/>
            <scheme val="minor"/>
          </rPr>
          <t>Dwibhashyam, Neha:
From dash7.at (unreliable source)</t>
        </r>
      </text>
    </comment>
    <comment ref="AK39" authorId="5" shapeId="0" xr:uid="{F7E65F8B-F6C6-4EC1-9258-03BBA15FA9FB}">
      <text>
        <r>
          <rPr>
            <sz val="11"/>
            <color theme="1"/>
            <rFont val="Calibri"/>
            <family val="2"/>
            <scheme val="minor"/>
          </rPr>
          <t>Dwibhashyam, Neha:
From dash7.at (unreliable source)</t>
        </r>
      </text>
    </comment>
    <comment ref="AL39" authorId="5" shapeId="0" xr:uid="{78BBF0E8-0AFD-4789-BD30-707558C79618}">
      <text>
        <r>
          <rPr>
            <sz val="11"/>
            <color theme="1"/>
            <rFont val="Calibri"/>
            <family val="2"/>
            <scheme val="minor"/>
          </rPr>
          <t>Dwibhashyam, Neha:
From dash7.at (unreliable source)</t>
        </r>
      </text>
    </comment>
    <comment ref="AM39" authorId="5" shapeId="0" xr:uid="{19DAAC5C-1E4D-4EB7-BDA9-42377FBBF3B6}">
      <text>
        <r>
          <rPr>
            <sz val="11"/>
            <color theme="1"/>
            <rFont val="Calibri"/>
            <family val="2"/>
            <scheme val="minor"/>
          </rPr>
          <t>Dwibhashyam, Neha:
From dash7.at (unreliable source)</t>
        </r>
      </text>
    </comment>
    <comment ref="AI40" authorId="5" shapeId="0" xr:uid="{50DD1F54-5B00-48E0-A6F3-62CD103D20A1}">
      <text>
        <r>
          <rPr>
            <sz val="11"/>
            <color theme="1"/>
            <rFont val="Calibri"/>
            <family val="2"/>
            <scheme val="minor"/>
          </rPr>
          <t>Dwibhashyam, Neha:
From dash7.at (unreliable source)</t>
        </r>
      </text>
    </comment>
    <comment ref="AJ40" authorId="5" shapeId="0" xr:uid="{286A041A-92A1-4A16-A9E7-0F1221D4A335}">
      <text>
        <r>
          <rPr>
            <sz val="11"/>
            <color theme="1"/>
            <rFont val="Calibri"/>
            <family val="2"/>
            <scheme val="minor"/>
          </rPr>
          <t>Dwibhashyam, Neha:
From dash7.at (unreliable source)</t>
        </r>
      </text>
    </comment>
    <comment ref="AK40" authorId="5" shapeId="0" xr:uid="{ABBC1AF9-DDCC-47D5-B3C0-B3197883DA5B}">
      <text>
        <r>
          <rPr>
            <sz val="11"/>
            <color theme="1"/>
            <rFont val="Calibri"/>
            <family val="2"/>
            <scheme val="minor"/>
          </rPr>
          <t>Dwibhashyam, Neha:
From dash7.at (unreliable source)</t>
        </r>
      </text>
    </comment>
    <comment ref="AL40" authorId="5" shapeId="0" xr:uid="{2177F32A-CA5B-4025-872A-F1C17582CB57}">
      <text>
        <r>
          <rPr>
            <sz val="11"/>
            <color theme="1"/>
            <rFont val="Calibri"/>
            <family val="2"/>
            <scheme val="minor"/>
          </rPr>
          <t>Dwibhashyam, Neha:
From dash7.at (unreliable source)</t>
        </r>
      </text>
    </comment>
    <comment ref="AM40" authorId="5" shapeId="0" xr:uid="{E21F3186-9BE5-452F-A641-127299E4E1BC}">
      <text>
        <r>
          <rPr>
            <sz val="11"/>
            <color theme="1"/>
            <rFont val="Calibri"/>
            <family val="2"/>
            <scheme val="minor"/>
          </rPr>
          <t>Dwibhashyam, Neha:
From dash7.at (unreliable source)</t>
        </r>
      </text>
    </comment>
    <comment ref="AI41" authorId="5" shapeId="0" xr:uid="{12DBDF8C-466A-4623-8C97-26E78C6F92B6}">
      <text>
        <r>
          <rPr>
            <sz val="11"/>
            <color theme="1"/>
            <rFont val="Calibri"/>
            <family val="2"/>
            <scheme val="minor"/>
          </rPr>
          <t>Dwibhashyam, Neha:
From dash7.at (unreliable source)</t>
        </r>
      </text>
    </comment>
    <comment ref="AJ41" authorId="5" shapeId="0" xr:uid="{1CD39EC5-F18B-4E1F-B116-DE743A0200B9}">
      <text>
        <r>
          <rPr>
            <sz val="11"/>
            <color theme="1"/>
            <rFont val="Calibri"/>
            <family val="2"/>
            <scheme val="minor"/>
          </rPr>
          <t>Dwibhashyam, Neha:
From dash7.at (unreliable source)</t>
        </r>
      </text>
    </comment>
    <comment ref="AK41" authorId="5" shapeId="0" xr:uid="{37E600B2-3220-4201-A000-CBBF2CA3D275}">
      <text>
        <r>
          <rPr>
            <sz val="11"/>
            <color theme="1"/>
            <rFont val="Calibri"/>
            <family val="2"/>
            <scheme val="minor"/>
          </rPr>
          <t>Dwibhashyam, Neha:
From dash7.at (unreliable source)</t>
        </r>
      </text>
    </comment>
    <comment ref="AL41" authorId="5" shapeId="0" xr:uid="{0886803C-E533-427B-B55D-7540B327AFD3}">
      <text>
        <r>
          <rPr>
            <sz val="11"/>
            <color theme="1"/>
            <rFont val="Calibri"/>
            <family val="2"/>
            <scheme val="minor"/>
          </rPr>
          <t>Dwibhashyam, Neha:
From dash7.at (unreliable source)</t>
        </r>
      </text>
    </comment>
    <comment ref="AM41" authorId="5" shapeId="0" xr:uid="{B2DE2271-2284-4EC8-B654-5DA5C4B50D8D}">
      <text>
        <r>
          <rPr>
            <sz val="11"/>
            <color theme="1"/>
            <rFont val="Calibri"/>
            <family val="2"/>
            <scheme val="minor"/>
          </rPr>
          <t>Dwibhashyam, Neha:
From dash7.at (unreliable source)</t>
        </r>
      </text>
    </comment>
    <comment ref="BZ43" authorId="1" shapeId="0" xr:uid="{FBEE5703-3D5A-6847-892B-CE379BBE9A45}">
      <text>
        <r>
          <rPr>
            <sz val="10"/>
            <color rgb="FF000000"/>
            <rFont val="Tahoma"/>
            <family val="2"/>
          </rPr>
          <t>Also Jet A-1, and B. JP-1, JP-4, and JP-5 conforming.</t>
        </r>
      </text>
    </comment>
    <comment ref="CA43" authorId="1" shapeId="0" xr:uid="{1D1F4BD9-AB81-2840-87B2-E879420769C6}">
      <text>
        <r>
          <rPr>
            <sz val="10"/>
            <color rgb="FF000000"/>
            <rFont val="Tahoma"/>
            <family val="2"/>
          </rPr>
          <t xml:space="preserve">Also Type A-1, A-JP4 and B-Type B, JP-5, and JP-8 </t>
        </r>
      </text>
    </comment>
    <comment ref="CB43" authorId="1" shapeId="0" xr:uid="{476C4CF6-37EA-AC43-9EAB-598EAA96B18A}">
      <text>
        <r>
          <rPr>
            <sz val="10"/>
            <color rgb="FF000000"/>
            <rFont val="Tahoma"/>
            <family val="2"/>
          </rPr>
          <t>Also Jet A-1, Jet B, JP-5, JP-8, and 100LL Avgas</t>
        </r>
      </text>
    </comment>
    <comment ref="CC43" authorId="1" shapeId="0" xr:uid="{07EBC7DE-92F2-F641-9684-4F49B6874E50}">
      <text>
        <r>
          <rPr>
            <sz val="10"/>
            <color rgb="FF000000"/>
            <rFont val="Tahoma"/>
            <family val="2"/>
          </rPr>
          <t>Jet A-1, Class A-JP4 and B-type B, JP-5, and JP-8</t>
        </r>
      </text>
    </comment>
    <comment ref="U45" authorId="0" shapeId="0" xr:uid="{1B0DB0A0-896C-49AD-813A-38AC9B831003}">
      <text>
        <r>
          <rPr>
            <sz val="11"/>
            <color theme="1"/>
            <rFont val="Calibri"/>
            <family val="2"/>
            <scheme val="minor"/>
          </rPr>
          <t>Aljaber, Rawan:
Usable Fuel/Fuel Density</t>
        </r>
      </text>
    </comment>
    <comment ref="V45" authorId="0" shapeId="0" xr:uid="{FD23AB65-50CC-4EDA-8865-8DCCBD3786D6}">
      <text>
        <r>
          <rPr>
            <sz val="11"/>
            <color theme="1"/>
            <rFont val="Calibri"/>
            <family val="2"/>
            <scheme val="minor"/>
          </rPr>
          <t>Aljaber, Rawan:
Usable Fuel/Fuel Density</t>
        </r>
      </text>
    </comment>
    <comment ref="W45" authorId="0" shapeId="0" xr:uid="{C2DAB429-CC09-4E91-8303-422DE90FC39A}">
      <text>
        <r>
          <rPr>
            <sz val="11"/>
            <color theme="1"/>
            <rFont val="Calibri"/>
            <family val="2"/>
            <scheme val="minor"/>
          </rPr>
          <t>Aljaber, Rawan:
Usable Fuel/Fuel Density</t>
        </r>
      </text>
    </comment>
    <comment ref="X45" authorId="0" shapeId="0" xr:uid="{58D54A9D-1A4A-4D83-BBAC-91876BCD3E82}">
      <text>
        <r>
          <rPr>
            <sz val="11"/>
            <color theme="1"/>
            <rFont val="Calibri"/>
            <family val="2"/>
            <scheme val="minor"/>
          </rPr>
          <t>Aljaber, Rawan:
Usable Fuel/Fuel Density</t>
        </r>
      </text>
    </comment>
    <comment ref="Y45" authorId="0" shapeId="0" xr:uid="{24DEE883-59B8-456B-9205-6034E535E58E}">
      <text>
        <r>
          <rPr>
            <sz val="11"/>
            <color theme="1"/>
            <rFont val="Calibri"/>
            <family val="2"/>
            <scheme val="minor"/>
          </rPr>
          <t>Aljaber, Rawan:
Usable Fuel/Fuel Density</t>
        </r>
      </text>
    </comment>
    <comment ref="Z45" authorId="0" shapeId="0" xr:uid="{C16B37C3-EAA0-4D4D-8A52-A8283D96B930}">
      <text>
        <r>
          <rPr>
            <sz val="11"/>
            <color theme="1"/>
            <rFont val="Calibri"/>
            <family val="2"/>
            <scheme val="minor"/>
          </rPr>
          <t>Aljaber, Rawan:
Usable Fuel/Fuel Density</t>
        </r>
      </text>
    </comment>
    <comment ref="U46" authorId="0" shapeId="0" xr:uid="{F3ECD30E-7CEC-4106-80E7-2C23D796D8D6}">
      <text>
        <r>
          <rPr>
            <sz val="11"/>
            <color theme="1"/>
            <rFont val="Calibri"/>
            <family val="2"/>
            <scheme val="minor"/>
          </rPr>
          <t>Aljaber, Rawan:
(Total - usable fuel)/fuel density 
(67,406lb - 66,598lb)/(6.9lb/gal)</t>
        </r>
      </text>
    </comment>
    <comment ref="V46" authorId="0" shapeId="0" xr:uid="{847F8F25-018D-4D4D-BE53-6400626CFCB3}">
      <text>
        <r>
          <rPr>
            <sz val="11"/>
            <color theme="1"/>
            <rFont val="Calibri"/>
            <family val="2"/>
            <scheme val="minor"/>
          </rPr>
          <t>Aljaber, Rawan:
(Total - usable fuel)/fuel density 
(67,406lb - 66,598lb)/(6.9lb/gal)</t>
        </r>
      </text>
    </comment>
    <comment ref="W46" authorId="0" shapeId="0" xr:uid="{C6110B58-652D-47C9-96A6-C2D8D70FD2ED}">
      <text>
        <r>
          <rPr>
            <sz val="11"/>
            <color theme="1"/>
            <rFont val="Calibri"/>
            <family val="2"/>
            <scheme val="minor"/>
          </rPr>
          <t>Aljaber, Rawan:
(Total - usable fuel)/fuel density 
(67,406lb - 66,598lb)/(6.9lb/gal)</t>
        </r>
      </text>
    </comment>
    <comment ref="X46" authorId="0" shapeId="0" xr:uid="{01AA84DE-C6E3-4484-89F2-B43BD233A94B}">
      <text>
        <r>
          <rPr>
            <sz val="11"/>
            <color theme="1"/>
            <rFont val="Calibri"/>
            <family val="2"/>
            <scheme val="minor"/>
          </rPr>
          <t>Aljaber, Rawan:
(Total - usable fuel)/fuel density 
(67,406lb - 66,598lb)/(6.9lb/gal)</t>
        </r>
      </text>
    </comment>
    <comment ref="Y46" authorId="0" shapeId="0" xr:uid="{EB1BDEE5-1748-4934-8ADF-BC4E5FD44126}">
      <text>
        <r>
          <rPr>
            <sz val="11"/>
            <color theme="1"/>
            <rFont val="Calibri"/>
            <family val="2"/>
            <scheme val="minor"/>
          </rPr>
          <t>Aljaber, Rawan:
(Total - usable fuel)/fuel density 
(47058lb - 46368b)/(6.9lb/gal)</t>
        </r>
      </text>
    </comment>
    <comment ref="Z46" authorId="0" shapeId="0" xr:uid="{E7A7F1F0-5924-4CF1-BDC2-E321B703EE7B}">
      <text>
        <r>
          <rPr>
            <sz val="11"/>
            <color theme="1"/>
            <rFont val="Calibri"/>
            <family val="2"/>
            <scheme val="minor"/>
          </rPr>
          <t>Aljaber, Rawan:
(Total - usable fuel)/fuel density 
(47058lb - 46368b)/(6.9lb/gal)</t>
        </r>
      </text>
    </comment>
    <comment ref="AI48" authorId="5" shapeId="0" xr:uid="{2738C758-10C2-4FD5-AAD6-79ACF1DBCE56}">
      <text>
        <r>
          <rPr>
            <sz val="11"/>
            <color theme="1"/>
            <rFont val="Calibri"/>
            <family val="2"/>
            <scheme val="minor"/>
          </rPr>
          <t>Dwibhashyam, Neha:
From dash7.at (unreliable source)</t>
        </r>
      </text>
    </comment>
    <comment ref="AJ48" authorId="5" shapeId="0" xr:uid="{C8ED5F1C-9912-48EB-AF61-402ED799CD7D}">
      <text>
        <r>
          <rPr>
            <sz val="11"/>
            <color theme="1"/>
            <rFont val="Calibri"/>
            <family val="2"/>
            <scheme val="minor"/>
          </rPr>
          <t>Dwibhashyam, Neha:
From dash7.at (unreliable source)</t>
        </r>
      </text>
    </comment>
    <comment ref="AK48" authorId="5" shapeId="0" xr:uid="{DC1F5828-F7EA-4DB3-BE0B-F297EBF14598}">
      <text>
        <r>
          <rPr>
            <sz val="11"/>
            <color theme="1"/>
            <rFont val="Calibri"/>
            <family val="2"/>
            <scheme val="minor"/>
          </rPr>
          <t>Dwibhashyam, Neha:
From dash7.at (unreliable source)</t>
        </r>
      </text>
    </comment>
    <comment ref="AL48" authorId="5" shapeId="0" xr:uid="{84BB85FE-99DF-4B9C-B6E6-2BEAE4A6986C}">
      <text>
        <r>
          <rPr>
            <sz val="11"/>
            <color theme="1"/>
            <rFont val="Calibri"/>
            <family val="2"/>
            <scheme val="minor"/>
          </rPr>
          <t>Dwibhashyam, Neha:
From dash7.at (unreliable source)</t>
        </r>
      </text>
    </comment>
    <comment ref="AM48" authorId="5" shapeId="0" xr:uid="{BFA4A983-0FA7-4F42-AFDE-E010E0232A80}">
      <text>
        <r>
          <rPr>
            <sz val="11"/>
            <color theme="1"/>
            <rFont val="Calibri"/>
            <family val="2"/>
            <scheme val="minor"/>
          </rPr>
          <t>Dwibhashyam, Neha:
From dash7.at (unreliable source)</t>
        </r>
      </text>
    </comment>
    <comment ref="U49" authorId="0" shapeId="0" xr:uid="{1E6CA3C6-5C6A-47AF-9CAE-1C76076319A1}">
      <text>
        <r>
          <rPr>
            <sz val="11"/>
            <color theme="1"/>
            <rFont val="Calibri"/>
            <family val="2"/>
            <scheme val="minor"/>
          </rPr>
          <t>Aljaber, Rawan:
reported as 2.54m shorter than LM-100-20 in the international directory of civil aircraft 2003/200</t>
        </r>
      </text>
    </comment>
    <comment ref="V49" authorId="0" shapeId="0" xr:uid="{27068FED-F856-4722-9046-8ADF05B78F03}">
      <text>
        <r>
          <rPr>
            <sz val="11"/>
            <color theme="1"/>
            <rFont val="Calibri"/>
            <family val="2"/>
            <scheme val="minor"/>
          </rPr>
          <t>Aljaber, Rawan:
reported as 2.54m shorter than LM-100-20 in the international directory of civil aircraft 2003/200</t>
        </r>
      </text>
    </comment>
    <comment ref="W49" authorId="0" shapeId="0" xr:uid="{AE320A31-4BF9-4233-948D-9BB5A5B666DB}">
      <text>
        <r>
          <rPr>
            <sz val="11"/>
            <color theme="1"/>
            <rFont val="Calibri"/>
            <family val="2"/>
            <scheme val="minor"/>
          </rPr>
          <t>Aljaber, Rawan:
reported as 2.03m shorter than LM-100-30 in the international directory of civil aircraft 2003/200</t>
        </r>
      </text>
    </comment>
    <comment ref="X49" authorId="0" shapeId="0" xr:uid="{4D2E8D9D-4E74-4973-873C-970819F02BF0}">
      <text>
        <r>
          <rPr>
            <sz val="11"/>
            <color theme="1"/>
            <rFont val="Calibri"/>
            <family val="2"/>
            <scheme val="minor"/>
          </rPr>
          <t>Aljaber, Rawan:
reported as 2.03m shorter than LM-100-30 in the international directory of civil aircraft 2003/200</t>
        </r>
      </text>
    </comment>
    <comment ref="AI49" authorId="5" shapeId="0" xr:uid="{D5D2B3CE-F3D3-4964-89F6-94C31FE57A46}">
      <text>
        <r>
          <rPr>
            <sz val="11"/>
            <color theme="1"/>
            <rFont val="Calibri"/>
            <family val="2"/>
            <scheme val="minor"/>
          </rPr>
          <t>Dwibhashyam, Neha:
From dash7.at (unreliable source)</t>
        </r>
      </text>
    </comment>
    <comment ref="AJ49" authorId="5" shapeId="0" xr:uid="{8CFC36E8-2C65-4654-80A5-1F7508FF7B24}">
      <text>
        <r>
          <rPr>
            <sz val="11"/>
            <color theme="1"/>
            <rFont val="Calibri"/>
            <family val="2"/>
            <scheme val="minor"/>
          </rPr>
          <t>Dwibhashyam, Neha:
From dash7.at (unreliable source)</t>
        </r>
      </text>
    </comment>
    <comment ref="AK49" authorId="5" shapeId="0" xr:uid="{2DC18438-3999-4E0B-BEE1-B41F47A0E474}">
      <text>
        <r>
          <rPr>
            <sz val="11"/>
            <color theme="1"/>
            <rFont val="Calibri"/>
            <family val="2"/>
            <scheme val="minor"/>
          </rPr>
          <t>Dwibhashyam, Neha:
From dash7.at (unreliable source)</t>
        </r>
      </text>
    </comment>
    <comment ref="AL49" authorId="5" shapeId="0" xr:uid="{717F7C8A-9153-43A1-8867-2CBAE2ADE079}">
      <text>
        <r>
          <rPr>
            <sz val="11"/>
            <color theme="1"/>
            <rFont val="Calibri"/>
            <family val="2"/>
            <scheme val="minor"/>
          </rPr>
          <t>Dwibhashyam, Neha:
From dash7.at (unreliable source)</t>
        </r>
      </text>
    </comment>
    <comment ref="AM49" authorId="5" shapeId="0" xr:uid="{F9A8352B-AB70-482E-B98B-CB988773D390}">
      <text>
        <r>
          <rPr>
            <sz val="11"/>
            <color theme="1"/>
            <rFont val="Calibri"/>
            <family val="2"/>
            <scheme val="minor"/>
          </rPr>
          <t>Dwibhashyam, Neha:
From dash7.at (unreliable source)</t>
        </r>
      </text>
    </comment>
    <comment ref="AI50" authorId="5" shapeId="0" xr:uid="{F1C337A7-5EBF-4207-ADE4-6B38600BE520}">
      <text>
        <r>
          <rPr>
            <sz val="11"/>
            <color theme="1"/>
            <rFont val="Calibri"/>
            <family val="2"/>
            <scheme val="minor"/>
          </rPr>
          <t>Dwibhashyam, Neha:
From dash7.at (unreliable source)</t>
        </r>
      </text>
    </comment>
    <comment ref="AJ50" authorId="5" shapeId="0" xr:uid="{A9AC350D-4B7D-4DAD-9CE8-C1F8CA676E12}">
      <text>
        <r>
          <rPr>
            <sz val="11"/>
            <color theme="1"/>
            <rFont val="Calibri"/>
            <family val="2"/>
            <scheme val="minor"/>
          </rPr>
          <t>Dwibhashyam, Neha:
From dash7.at (unreliable source)</t>
        </r>
      </text>
    </comment>
    <comment ref="AK50" authorId="5" shapeId="0" xr:uid="{6F6122A5-5622-4E90-AB13-D0768EA3CB14}">
      <text>
        <r>
          <rPr>
            <sz val="11"/>
            <color theme="1"/>
            <rFont val="Calibri"/>
            <family val="2"/>
            <scheme val="minor"/>
          </rPr>
          <t>Dwibhashyam, Neha:
From dash7.at (unreliable source)</t>
        </r>
      </text>
    </comment>
    <comment ref="AL50" authorId="5" shapeId="0" xr:uid="{07128337-421A-4D09-91A7-341205890851}">
      <text>
        <r>
          <rPr>
            <sz val="11"/>
            <color theme="1"/>
            <rFont val="Calibri"/>
            <family val="2"/>
            <scheme val="minor"/>
          </rPr>
          <t>Dwibhashyam, Neha:
From dash7.at (unreliable source)</t>
        </r>
      </text>
    </comment>
    <comment ref="AM50" authorId="5" shapeId="0" xr:uid="{0EF266EF-338F-4AF3-972A-E29F3568F14D}">
      <text>
        <r>
          <rPr>
            <sz val="11"/>
            <color theme="1"/>
            <rFont val="Calibri"/>
            <family val="2"/>
            <scheme val="minor"/>
          </rPr>
          <t>Dwibhashyam, Neha:
From dash7.at (unreliable source)</t>
        </r>
      </text>
    </comment>
    <comment ref="A53" authorId="0" shapeId="0" xr:uid="{AF16C59C-1080-46BB-B096-0D5F4148EE53}">
      <text>
        <r>
          <rPr>
            <sz val="11"/>
            <color rgb="FF000000"/>
            <rFont val="Calibri"/>
            <family val="2"/>
          </rPr>
          <t xml:space="preserve">Aljaber, Rawan: 
</t>
        </r>
        <r>
          <rPr>
            <sz val="11"/>
            <color rgb="FF000000"/>
            <rFont val="Calibri"/>
            <family val="2"/>
          </rPr>
          <t xml:space="preserve">Leading Edge Sweep
</t>
        </r>
      </text>
    </comment>
    <comment ref="AI55" authorId="5" shapeId="0" xr:uid="{016F35E6-A2D0-40EA-875C-0B3B16422A86}">
      <text>
        <r>
          <rPr>
            <sz val="11"/>
            <color theme="1"/>
            <rFont val="Calibri"/>
            <family val="2"/>
            <scheme val="minor"/>
          </rPr>
          <t>Dwibhashyam, Neha:
From dash7.at (unreliable source)</t>
        </r>
      </text>
    </comment>
    <comment ref="AJ55" authorId="5" shapeId="0" xr:uid="{9FB26F21-0764-43D1-B18D-40D16EA6FEE1}">
      <text>
        <r>
          <rPr>
            <sz val="11"/>
            <color theme="1"/>
            <rFont val="Calibri"/>
            <family val="2"/>
            <scheme val="minor"/>
          </rPr>
          <t>Dwibhashyam, Neha:
From dash7.at (unreliable source)</t>
        </r>
      </text>
    </comment>
    <comment ref="AK55" authorId="5" shapeId="0" xr:uid="{7E2C4767-997F-44E4-8E1B-8C363837BFD4}">
      <text>
        <r>
          <rPr>
            <sz val="11"/>
            <color theme="1"/>
            <rFont val="Calibri"/>
            <family val="2"/>
            <scheme val="minor"/>
          </rPr>
          <t>Dwibhashyam, Neha:
From dash7.at (unreliable source)</t>
        </r>
      </text>
    </comment>
    <comment ref="AL55" authorId="5" shapeId="0" xr:uid="{037CD32A-D06C-4738-9391-65D662EBDA31}">
      <text>
        <r>
          <rPr>
            <sz val="11"/>
            <color theme="1"/>
            <rFont val="Calibri"/>
            <family val="2"/>
            <scheme val="minor"/>
          </rPr>
          <t>Dwibhashyam, Neha:
From dash7.at (unreliable source)</t>
        </r>
      </text>
    </comment>
    <comment ref="AM55" authorId="5" shapeId="0" xr:uid="{4FF9AA18-1022-4B18-AFE3-AEC3B97CAAD2}">
      <text>
        <r>
          <rPr>
            <sz val="11"/>
            <color theme="1"/>
            <rFont val="Calibri"/>
            <family val="2"/>
            <scheme val="minor"/>
          </rPr>
          <t>Dwibhashyam, Neha:
From dash7.at (unreliable source)</t>
        </r>
      </text>
    </comment>
    <comment ref="B56" authorId="6" shapeId="0" xr:uid="{26877F7A-2C44-4E0B-A214-EAFD217C8D51}">
      <text>
        <r>
          <rPr>
            <sz val="11"/>
            <color rgb="FF000000"/>
            <rFont val="Calibri"/>
            <family val="2"/>
          </rPr>
          <t xml:space="preserve">Arnson, Maxfield:
</t>
        </r>
        <r>
          <rPr>
            <sz val="11"/>
            <color rgb="FF000000"/>
            <rFont val="Calibri"/>
            <family val="2"/>
          </rPr>
          <t xml:space="preserve">Examples:
</t>
        </r>
        <r>
          <rPr>
            <sz val="11"/>
            <color rgb="FF000000"/>
            <rFont val="Calibri"/>
            <family val="2"/>
          </rPr>
          <t xml:space="preserve">none
</t>
        </r>
        <r>
          <rPr>
            <sz val="11"/>
            <color rgb="FF000000"/>
            <rFont val="Calibri"/>
            <family val="2"/>
          </rPr>
          <t xml:space="preserve">sharklet
</t>
        </r>
        <r>
          <rPr>
            <sz val="11"/>
            <color rgb="FF000000"/>
            <rFont val="Calibri"/>
            <family val="2"/>
          </rPr>
          <t xml:space="preserve">winglet
</t>
        </r>
        <r>
          <rPr>
            <sz val="11"/>
            <color rgb="FF000000"/>
            <rFont val="Calibri"/>
            <family val="2"/>
          </rPr>
          <t xml:space="preserve">raked
</t>
        </r>
        <r>
          <rPr>
            <sz val="11"/>
            <color rgb="FF000000"/>
            <rFont val="Calibri"/>
            <family val="2"/>
          </rPr>
          <t xml:space="preserve">fence
</t>
        </r>
        <r>
          <rPr>
            <sz val="11"/>
            <color rgb="FF000000"/>
            <rFont val="Calibri"/>
            <family val="2"/>
          </rPr>
          <t>etc.</t>
        </r>
      </text>
    </comment>
    <comment ref="BS58" authorId="1" shapeId="0" xr:uid="{59C4A048-9DB9-7E42-8F86-F2CA2E451046}">
      <text>
        <r>
          <rPr>
            <sz val="10"/>
            <color rgb="FF000000"/>
            <rFont val="Tahoma"/>
            <family val="2"/>
          </rPr>
          <t xml:space="preserve">Also listed </t>
        </r>
        <r>
          <rPr>
            <sz val="10"/>
            <color rgb="FF000000"/>
            <rFont val="Calibri"/>
            <family val="2"/>
          </rPr>
          <t xml:space="preserve">MT-Propeller Entwicklung GmH MTV-27-1-E-C-F-R(G)/CFRL250-55b  with 5 blades and 2.5m diameter
</t>
        </r>
        <r>
          <rPr>
            <sz val="10"/>
            <color rgb="FF000000"/>
            <rFont val="Calibri"/>
            <family val="2"/>
          </rPr>
          <t xml:space="preserve">
</t>
        </r>
        <r>
          <rPr>
            <sz val="10"/>
            <color rgb="FF000000"/>
            <rFont val="Calibri"/>
            <family val="2"/>
          </rPr>
          <t xml:space="preserve">
</t>
        </r>
        <r>
          <rPr>
            <sz val="10"/>
            <color rgb="FF000000"/>
            <rFont val="Calibri"/>
            <family val="2"/>
          </rPr>
          <t xml:space="preserve">
</t>
        </r>
      </text>
    </comment>
    <comment ref="CA58" authorId="1" shapeId="0" xr:uid="{83454D85-E9F0-4C40-8149-3CDC19E867EF}">
      <text>
        <r>
          <rPr>
            <sz val="10"/>
            <color rgb="FF000000"/>
            <rFont val="Tahoma"/>
            <family val="2"/>
          </rPr>
          <t xml:space="preserve">McCauley </t>
        </r>
        <r>
          <rPr>
            <sz val="10"/>
            <color rgb="FF000000"/>
            <rFont val="Calibri"/>
            <family val="2"/>
            <scheme val="minor"/>
          </rPr>
          <t>4HFR34C652()/()-L106LA-0, with 2.6924 m</t>
        </r>
      </text>
    </comment>
    <comment ref="CE58" authorId="1" shapeId="0" xr:uid="{0BEC9949-47E8-5C4C-B934-69A9B6974586}">
      <text>
        <r>
          <rPr>
            <sz val="10"/>
            <color rgb="FF000000"/>
            <rFont val="Tahoma"/>
            <family val="2"/>
          </rPr>
          <t>Also Hamilton Standard 14RF-19 with 4 blades and diameter of 3.35m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Shine, Jayda</author>
    <author>tc={B955F27E-2908-4B2F-AE23-778E959F5ADF}</author>
    <author>tc={8352C930-DB81-41A3-AD6B-3B3C228CEACC}</author>
    <author>tc={21E296F9-C51B-41DF-AF79-80F072D4A667}</author>
    <author>tc={35B2E685-BD30-472B-99B1-747FC8080740}</author>
    <author>Max Arnson</author>
    <author>tc={B6EE5513-BA67-4A31-B20A-AC30A05DC791}</author>
    <author>tc={01EDCCA3-96C9-4F5B-905D-8AA5EB030060}</author>
    <author>Microsoft Office User</author>
    <author>Aljaber, Rawan</author>
    <author>Michael Tsai</author>
    <author>tc={9288DF79-E294-4AE7-8028-0925519993F3}</author>
    <author>tc={6D5CE7BD-040B-49E5-BE64-30F1902CF05C}</author>
    <author>tc={EF2610AE-B77F-4098-9764-FE008FCBA74B}</author>
    <author>tc={026E74DF-8A86-4FB9-AB1B-E61C284F6FE6}</author>
    <author>tc={5B446FE4-2990-4289-9541-3A14126FA87B}</author>
    <author>tc={537E8828-F395-464F-846F-0C7F8B74C350}</author>
    <author>Joaquin Rey</author>
    <author>tc={5D7FBE7D-B9FE-4EE4-8D42-F3BFF8FB200A}</author>
  </authors>
  <commentList>
    <comment ref="CV2" authorId="0" shapeId="0" xr:uid="{D05E8B0D-E6C3-43C8-9D85-8D457DED26A4}">
      <text>
        <r>
          <rPr>
            <sz val="11"/>
            <color theme="1"/>
            <rFont val="Calibri"/>
            <family val="2"/>
            <scheme val="minor"/>
          </rPr>
          <t>Shine, Jayda:
Is JT9D_7A (wet)</t>
        </r>
      </text>
    </comment>
    <comment ref="DB2" authorId="0" shapeId="0" xr:uid="{B87FE9CD-6F6A-4204-A5F4-796A201C9C4F}">
      <text>
        <r>
          <rPr>
            <sz val="11"/>
            <color theme="1"/>
            <rFont val="Calibri"/>
            <family val="2"/>
            <scheme val="minor"/>
          </rPr>
          <t>Shine, Jayda:
This is JTD_7F (wet)</t>
        </r>
      </text>
    </comment>
    <comment ref="DM2" authorId="1" shapeId="0" xr:uid="{B955F27E-2908-4B2F-AE23-778E959F5ADF}">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@Rey, Joaquin </t>
      </text>
    </comment>
    <comment ref="DN2" authorId="2" shapeId="0" xr:uid="{8352C930-DB81-41A3-AD6B-3B3C228CEACC}">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@Rey, Joaquin </t>
      </text>
    </comment>
    <comment ref="DT2" authorId="3" shapeId="0" xr:uid="{21E296F9-C51B-41DF-AF79-80F072D4A667}">
      <text>
        <t>[Threaded comment]
Your version of Excel allows you to read this threaded comment; however, any edits to it will get removed if the file is opened in a newer version of Excel. Learn more: https://go.microsoft.com/fwlink/?linkid=870924
Comment:
    Used CF6_80C2_B7F
Reply:
    Thats fine.</t>
      </text>
    </comment>
    <comment ref="EA2" authorId="4" shapeId="0" xr:uid="{35B2E685-BD30-472B-99B1-747FC8080740}">
      <text>
        <t>[Threaded comment]
Your version of Excel allows you to read this threaded comment; however, any edits to it will get removed if the file is opened in a newer version of Excel. Learn more: https://go.microsoft.com/fwlink/?linkid=870924
Comment:
    @max arnson double check the purple columns (GE90s)</t>
      </text>
    </comment>
    <comment ref="A5" authorId="5" shapeId="0" xr:uid="{BB741F8A-6AB9-495C-9B4F-9B336892CE83}">
      <text>
        <r>
          <rPr>
            <b/>
            <sz val="9"/>
            <color indexed="81"/>
            <rFont val="Tahoma"/>
            <family val="2"/>
          </rPr>
          <t>Max Arnson:</t>
        </r>
        <r>
          <rPr>
            <sz val="9"/>
            <color indexed="81"/>
            <rFont val="Tahoma"/>
            <family val="2"/>
          </rPr>
          <t xml:space="preserve">
Date when the engine received its certification to fly from either the EASA or the FAA</t>
        </r>
      </text>
    </comment>
    <comment ref="CH5" authorId="0" shapeId="0" xr:uid="{F9C6D9CA-C19A-4092-8B5F-5E890939C4B7}">
      <text>
        <r>
          <rPr>
            <sz val="11"/>
            <color theme="1"/>
            <rFont val="Calibri"/>
            <family val="2"/>
            <scheme val="minor"/>
          </rPr>
          <t xml:space="preserve">Shine, Jayda:
1966 in Roux </t>
        </r>
      </text>
    </comment>
    <comment ref="GF5" authorId="0" shapeId="0" xr:uid="{6A2C1CA7-4C82-42CF-8036-6DC3C1448AD8}">
      <text>
        <r>
          <rPr>
            <sz val="11"/>
            <color theme="1"/>
            <rFont val="Calibri"/>
            <family val="2"/>
            <scheme val="minor"/>
          </rPr>
          <t>Shine, Jayda:
This is the certification of DC-10-15 because this engine is only designated to this model aircraft</t>
        </r>
      </text>
    </comment>
    <comment ref="A6" authorId="5" shapeId="0" xr:uid="{BF230D56-000D-4656-B05E-9D8B3B66D308}">
      <text>
        <r>
          <rPr>
            <b/>
            <sz val="9"/>
            <color indexed="81"/>
            <rFont val="Tahoma"/>
            <family val="2"/>
          </rPr>
          <t>Max Arnson:</t>
        </r>
        <r>
          <rPr>
            <sz val="9"/>
            <color indexed="81"/>
            <rFont val="Tahoma"/>
            <family val="2"/>
          </rPr>
          <t xml:space="preserve">
Nicknames such as "Dreamliner" or "Beluga"
</t>
        </r>
      </text>
    </comment>
    <comment ref="DT6" authorId="6" shapeId="0" xr:uid="{B6EE5513-BA67-4A31-B20A-AC30A05DC791}">
      <text>
        <t>[Threaded comment]
Your version of Excel allows you to read this threaded comment; however, any edits to it will get removed if the file is opened in a newer version of Excel. Learn more: https://go.microsoft.com/fwlink/?linkid=870924
Comment:
    Used CF6_80C2_B7F
Reply:
    Thats fine.</t>
      </text>
    </comment>
    <comment ref="EV6" authorId="5" shapeId="0" xr:uid="{896F25DC-D0A7-487C-BBF4-325339031128}">
      <text>
        <r>
          <rPr>
            <b/>
            <sz val="9"/>
            <color indexed="81"/>
            <rFont val="Tahoma"/>
            <family val="2"/>
          </rPr>
          <t>Max Arnson:</t>
        </r>
        <r>
          <rPr>
            <sz val="9"/>
            <color indexed="81"/>
            <rFont val="Tahoma"/>
            <family val="2"/>
          </rPr>
          <t xml:space="preserve">
the 1900s are technically classified in the 1500 family
</t>
        </r>
      </text>
    </comment>
    <comment ref="EW6" authorId="5" shapeId="0" xr:uid="{3DCC0B2A-AA2F-4986-BD74-FA0AB0A1DC9B}">
      <text>
        <r>
          <rPr>
            <b/>
            <sz val="9"/>
            <color indexed="81"/>
            <rFont val="Tahoma"/>
            <family val="2"/>
          </rPr>
          <t>Max Arnson:</t>
        </r>
        <r>
          <rPr>
            <sz val="9"/>
            <color indexed="81"/>
            <rFont val="Tahoma"/>
            <family val="2"/>
          </rPr>
          <t xml:space="preserve">
the 1900s are technically classified in the 1500 family
</t>
        </r>
      </text>
    </comment>
    <comment ref="CV10" authorId="0" shapeId="0" xr:uid="{8E520D79-C443-47C5-B98B-3F69F727AD25}">
      <text>
        <r>
          <rPr>
            <sz val="11"/>
            <color theme="1"/>
            <rFont val="Calibri"/>
            <family val="2"/>
            <scheme val="minor"/>
          </rPr>
          <t>Shine, Jayda:
208843 N in Roux</t>
        </r>
      </text>
    </comment>
    <comment ref="CW10" authorId="0" shapeId="0" xr:uid="{E5DE2F7F-E503-436E-BDF5-46540589B170}">
      <text>
        <r>
          <rPr>
            <sz val="11"/>
            <color theme="1"/>
            <rFont val="Calibri"/>
            <family val="2"/>
            <scheme val="minor"/>
          </rPr>
          <t>Shine, Jayda:
222410 N in Roux</t>
        </r>
      </text>
    </comment>
    <comment ref="DB10" authorId="0" shapeId="0" xr:uid="{CBD0D0B1-4DF7-412C-9713-11CCA881C3E5}">
      <text>
        <r>
          <rPr>
            <sz val="11"/>
            <color theme="1"/>
            <rFont val="Calibri"/>
            <family val="2"/>
            <scheme val="minor"/>
          </rPr>
          <t>Shine, Jayda:
213514 N in Roux</t>
        </r>
      </text>
    </comment>
    <comment ref="DC10" authorId="0" shapeId="0" xr:uid="{C2C95C1F-358E-45CA-A852-D9E1E19A818B}">
      <text>
        <r>
          <rPr>
            <sz val="11"/>
            <color theme="1"/>
            <rFont val="Calibri"/>
            <family val="2"/>
            <scheme val="minor"/>
          </rPr>
          <t>Shine, Jayda:
235755 N in Roux</t>
        </r>
      </text>
    </comment>
    <comment ref="GC10" authorId="0" shapeId="0" xr:uid="{FC65362E-1881-4811-BD59-F95F15E5C152}">
      <text>
        <r>
          <rPr>
            <sz val="11"/>
            <color theme="1"/>
            <rFont val="Calibri"/>
            <family val="2"/>
            <scheme val="minor"/>
          </rPr>
          <t>Shine, Jayda:
82292 N in Roux</t>
        </r>
      </text>
    </comment>
    <comment ref="AU11" authorId="7" shapeId="0" xr:uid="{01EDCCA3-96C9-4F5B-905D-8AA5EB03006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Are these missing zeros? @Aljaber, Rawan 
Reply:
    Yes, my bad I just fixed them, I'll double check all the other ones to make sure they're good </t>
      </text>
    </comment>
    <comment ref="DF11" authorId="5" shapeId="0" xr:uid="{C507D3B1-2037-493B-A602-D21F2D3AFADA}">
      <text>
        <r>
          <rPr>
            <b/>
            <sz val="9"/>
            <color indexed="81"/>
            <rFont val="Tahoma"/>
            <family val="2"/>
          </rPr>
          <t>Max Arnson:</t>
        </r>
        <r>
          <rPr>
            <sz val="9"/>
            <color indexed="81"/>
            <rFont val="Tahoma"/>
            <family val="2"/>
          </rPr>
          <t xml:space="preserve">
rated for B767. value is 213380 for B747</t>
        </r>
      </text>
    </comment>
    <comment ref="W14" authorId="5" shapeId="0" xr:uid="{01673FB7-D85E-498E-9227-394B2BA3A66B}">
      <text>
        <r>
          <rPr>
            <b/>
            <sz val="9"/>
            <color indexed="81"/>
            <rFont val="Tahoma"/>
            <family val="2"/>
          </rPr>
          <t>Max Arnson:</t>
        </r>
        <r>
          <rPr>
            <sz val="9"/>
            <color indexed="81"/>
            <rFont val="Tahoma"/>
            <family val="2"/>
          </rPr>
          <t xml:space="preserve">
probably… from factsheet. Is an estimate</t>
        </r>
      </text>
    </comment>
    <comment ref="H15" authorId="5" shapeId="0" xr:uid="{EC2611F4-8758-4714-80FA-72783E73896E}">
      <text>
        <r>
          <rPr>
            <b/>
            <sz val="9"/>
            <color indexed="81"/>
            <rFont val="Tahoma"/>
            <family val="2"/>
          </rPr>
          <t>Max Arnson:</t>
        </r>
        <r>
          <rPr>
            <sz val="9"/>
            <color indexed="81"/>
            <rFont val="Tahoma"/>
            <family val="2"/>
          </rPr>
          <t xml:space="preserve">
at cruise thrust. 7.5 at SLS</t>
        </r>
      </text>
    </comment>
    <comment ref="I15" authorId="5" shapeId="0" xr:uid="{A6109B43-C1F4-4125-91BE-F4DA55C83C2F}">
      <text>
        <r>
          <rPr>
            <b/>
            <sz val="9"/>
            <color indexed="81"/>
            <rFont val="Tahoma"/>
            <family val="2"/>
          </rPr>
          <t>Max Arnson:</t>
        </r>
        <r>
          <rPr>
            <sz val="9"/>
            <color indexed="81"/>
            <rFont val="Tahoma"/>
            <family val="2"/>
          </rPr>
          <t xml:space="preserve">
at cruise thrust. 7.5 at SLS</t>
        </r>
      </text>
    </comment>
    <comment ref="J15" authorId="5" shapeId="0" xr:uid="{B523E718-0F70-4CB2-B78E-0B7883E0AF82}">
      <text>
        <r>
          <rPr>
            <b/>
            <sz val="9"/>
            <color indexed="81"/>
            <rFont val="Tahoma"/>
            <family val="2"/>
          </rPr>
          <t>Max Arnson:</t>
        </r>
        <r>
          <rPr>
            <sz val="9"/>
            <color indexed="81"/>
            <rFont val="Tahoma"/>
            <family val="2"/>
          </rPr>
          <t xml:space="preserve">
at cruise thrust. 7.5 at SLS</t>
        </r>
      </text>
    </comment>
    <comment ref="K15" authorId="5" shapeId="0" xr:uid="{070D252E-A537-4CBB-ABBE-5899255AFB44}">
      <text>
        <r>
          <rPr>
            <b/>
            <sz val="9"/>
            <color indexed="81"/>
            <rFont val="Tahoma"/>
            <family val="2"/>
          </rPr>
          <t>Max Arnson:</t>
        </r>
        <r>
          <rPr>
            <sz val="9"/>
            <color indexed="81"/>
            <rFont val="Tahoma"/>
            <family val="2"/>
          </rPr>
          <t xml:space="preserve">
at cruise thrust. 7.5 at SLS</t>
        </r>
      </text>
    </comment>
    <comment ref="DK15" authorId="8" shapeId="0" xr:uid="{CA6B10F6-E5F1-584F-BF5A-317BB4A68E83}">
      <text>
        <r>
          <rPr>
            <b/>
            <sz val="10"/>
            <color rgb="FF000000"/>
            <rFont val="Tahoma"/>
            <family val="2"/>
          </rPr>
          <t>Microsoft Office User:</t>
        </r>
        <r>
          <rPr>
            <sz val="10"/>
            <color rgb="FF000000"/>
            <rFont val="Tahoma"/>
            <family val="2"/>
          </rPr>
          <t xml:space="preserve">
</t>
        </r>
        <r>
          <rPr>
            <sz val="10"/>
            <color rgb="FF000000"/>
            <rFont val="Tahoma"/>
            <family val="2"/>
          </rPr>
          <t xml:space="preserve">7.4 TOC
</t>
        </r>
      </text>
    </comment>
    <comment ref="BZ16" authorId="5" shapeId="0" xr:uid="{2C540271-C692-4EEE-9922-FCB433A19EB8}">
      <text>
        <r>
          <rPr>
            <b/>
            <sz val="9"/>
            <color indexed="81"/>
            <rFont val="Tahoma"/>
            <family val="2"/>
          </rPr>
          <t>Max Arnson:</t>
        </r>
        <r>
          <rPr>
            <sz val="9"/>
            <color indexed="81"/>
            <rFont val="Tahoma"/>
            <family val="2"/>
          </rPr>
          <t xml:space="preserve">
From trent 1000 infographic</t>
        </r>
      </text>
    </comment>
    <comment ref="BZ19" authorId="5" shapeId="0" xr:uid="{B18C7A64-4C44-4267-B6EF-3F7303147684}">
      <text>
        <r>
          <rPr>
            <b/>
            <sz val="9"/>
            <color indexed="81"/>
            <rFont val="Tahoma"/>
            <family val="2"/>
          </rPr>
          <t>Max Arnson:</t>
        </r>
        <r>
          <rPr>
            <sz val="9"/>
            <color indexed="81"/>
            <rFont val="Tahoma"/>
            <family val="2"/>
          </rPr>
          <t xml:space="preserve">
from 330Neo wiki</t>
        </r>
      </text>
    </comment>
    <comment ref="BZ20" authorId="5" shapeId="0" xr:uid="{17951D86-122D-4827-8F1A-2F149F93E98E}">
      <text>
        <r>
          <rPr>
            <b/>
            <sz val="9"/>
            <color indexed="81"/>
            <rFont val="Tahoma"/>
            <family val="2"/>
          </rPr>
          <t>Max Arnson:</t>
        </r>
        <r>
          <rPr>
            <sz val="9"/>
            <color indexed="81"/>
            <rFont val="Tahoma"/>
            <family val="2"/>
          </rPr>
          <t xml:space="preserve">
from 330Neo wiki. This is max alt. probably cruises around 10km</t>
        </r>
      </text>
    </comment>
    <comment ref="AR22" authorId="9" shapeId="0" xr:uid="{4EF35978-E497-4A38-85BD-B4D809265E80}">
      <text>
        <r>
          <rPr>
            <sz val="11"/>
            <color theme="1"/>
            <rFont val="Calibri"/>
            <family val="2"/>
            <scheme val="minor"/>
          </rPr>
          <t>Aljaber, Rawan:
WET WEIGHT</t>
        </r>
      </text>
    </comment>
    <comment ref="AS22" authorId="9" shapeId="0" xr:uid="{6CBF9171-5FA5-4380-A77C-2F40990E5E46}">
      <text>
        <r>
          <rPr>
            <sz val="11"/>
            <color theme="1"/>
            <rFont val="Calibri"/>
            <family val="2"/>
            <scheme val="minor"/>
          </rPr>
          <t>Aljaber, Rawan:
WET WEIGHT</t>
        </r>
      </text>
    </comment>
    <comment ref="BD22" authorId="9" shapeId="0" xr:uid="{63C90AF5-6CC8-4058-A77A-576E310D22DB}">
      <text>
        <r>
          <rPr>
            <sz val="11"/>
            <color theme="1"/>
            <rFont val="Calibri"/>
            <family val="2"/>
            <scheme val="minor"/>
          </rPr>
          <t>Aljaber, Rawan:
WET WEIGHT</t>
        </r>
      </text>
    </comment>
    <comment ref="BL22" authorId="9" shapeId="0" xr:uid="{7633B24E-BF2C-42D3-BC73-589B82C2B85F}">
      <text>
        <r>
          <rPr>
            <sz val="11"/>
            <color theme="1"/>
            <rFont val="Calibri"/>
            <family val="2"/>
            <scheme val="minor"/>
          </rPr>
          <t>Aljaber, Rawan:
WET WEIGHT</t>
        </r>
      </text>
    </comment>
    <comment ref="BM22" authorId="9" shapeId="0" xr:uid="{C8075170-82A8-4C4C-939E-F7F5EAE96DDA}">
      <text>
        <r>
          <rPr>
            <sz val="11"/>
            <color theme="1"/>
            <rFont val="Calibri"/>
            <family val="2"/>
            <scheme val="minor"/>
          </rPr>
          <t>Aljaber, Rawan:
WET WEIGHT</t>
        </r>
      </text>
    </comment>
    <comment ref="BO22" authorId="9" shapeId="0" xr:uid="{2B086E4A-D28E-4F0D-A382-6A96CBFE03B5}">
      <text>
        <r>
          <rPr>
            <sz val="11"/>
            <color theme="1"/>
            <rFont val="Calibri"/>
            <family val="2"/>
            <scheme val="minor"/>
          </rPr>
          <t>Aljaber, Rawan:
WET WEIGHT</t>
        </r>
      </text>
    </comment>
    <comment ref="DE22" authorId="10" shapeId="0" xr:uid="{8F762F2D-BE72-4C68-9A4D-D507DC0748FB}">
      <text>
        <r>
          <rPr>
            <b/>
            <sz val="9"/>
            <color indexed="81"/>
            <rFont val="Tahoma"/>
            <family val="2"/>
          </rPr>
          <t xml:space="preserve">Michael Tsai:
</t>
        </r>
        <r>
          <rPr>
            <sz val="9"/>
            <color indexed="81"/>
            <rFont val="Tahoma"/>
            <family val="2"/>
          </rPr>
          <t>EASA TCDS different from Roux</t>
        </r>
      </text>
    </comment>
    <comment ref="DL22" authorId="11" shapeId="0" xr:uid="{9288DF79-E294-4AE7-8028-0925519993F3}">
      <text>
        <t>[Threaded comment]
Your version of Excel allows you to read this threaded comment; however, any edits to it will get removed if the file is opened in a newer version of Excel. Learn more: https://go.microsoft.com/fwlink/?linkid=870924
Comment:
    Excluding a lot of things… this is likely higher in reality. Applies to E4B-37 too
Reply:
    Cell DO22</t>
      </text>
    </comment>
    <comment ref="GD22" authorId="0" shapeId="0" xr:uid="{88995902-95CF-4BCA-8E0D-550619D53250}">
      <text>
        <r>
          <rPr>
            <sz val="11"/>
            <color theme="1"/>
            <rFont val="Calibri"/>
            <family val="2"/>
            <scheme val="minor"/>
          </rPr>
          <t xml:space="preserve">Shine, Jayda:
21224.63 kg is for MD80 installations 
2107.39 kg is for Super 27 installations 
2154.56 kg is for Boeing 707 installations </t>
        </r>
      </text>
    </comment>
    <comment ref="BP27" authorId="0" shapeId="0" xr:uid="{999213A7-8295-4482-B505-6E07EDE22729}">
      <text>
        <r>
          <rPr>
            <sz val="11"/>
            <color theme="1"/>
            <rFont val="Calibri"/>
            <family val="2"/>
            <scheme val="minor"/>
          </rPr>
          <t>Shine, Jayda:
4.343 m in ROux</t>
        </r>
      </text>
    </comment>
    <comment ref="BQ27" authorId="0" shapeId="0" xr:uid="{B27345E5-43D2-4BAD-9B00-11F0E829BA0D}">
      <text>
        <r>
          <rPr>
            <sz val="11"/>
            <color theme="1"/>
            <rFont val="Calibri"/>
            <family val="2"/>
            <scheme val="minor"/>
          </rPr>
          <t>Shine, Jayda:
4.343m in Roux</t>
        </r>
      </text>
    </comment>
    <comment ref="BR27" authorId="0" shapeId="0" xr:uid="{5FE4C024-1111-4C41-B615-6611107E3805}">
      <text>
        <r>
          <rPr>
            <sz val="11"/>
            <color theme="1"/>
            <rFont val="Calibri"/>
            <family val="2"/>
            <scheme val="minor"/>
          </rPr>
          <t>Shine, Jayda:
4.343m in Roux</t>
        </r>
      </text>
    </comment>
    <comment ref="FW27" authorId="0" shapeId="0" xr:uid="{9BAB4A61-49D6-44A6-9934-0A202E2BB9DE}">
      <text>
        <r>
          <rPr>
            <sz val="11"/>
            <color theme="1"/>
            <rFont val="Calibri"/>
            <family val="2"/>
            <scheme val="minor"/>
          </rPr>
          <t>Shine, Jayda:
4.796 in the TCDS states the maximum length is 4.796</t>
        </r>
      </text>
    </comment>
    <comment ref="GG27" authorId="0" shapeId="0" xr:uid="{0D64F645-20F7-40FC-BEA3-D9B37F38408A}">
      <text>
        <r>
          <rPr>
            <sz val="11"/>
            <color theme="1"/>
            <rFont val="Calibri"/>
            <family val="2"/>
            <scheme val="minor"/>
          </rPr>
          <t>Shine, Jayda:
4.087m in Roux</t>
        </r>
      </text>
    </comment>
    <comment ref="CQ29" authorId="9" shapeId="0" xr:uid="{00CD1580-AE87-492E-802A-3E11D2E198E1}">
      <text>
        <r>
          <rPr>
            <sz val="11"/>
            <color theme="1"/>
            <rFont val="Calibri"/>
            <family val="2"/>
            <scheme val="minor"/>
          </rPr>
          <t>Aljaber, Rawan:
-15% fuel efficient compared to the CFM56-7B</t>
        </r>
      </text>
    </comment>
    <comment ref="DK29" authorId="8" shapeId="0" xr:uid="{4E8F5657-E94A-B943-8E0A-7656CB05756E}">
      <text>
        <r>
          <rPr>
            <b/>
            <sz val="10"/>
            <color rgb="FF000000"/>
            <rFont val="Tahoma"/>
            <family val="2"/>
          </rPr>
          <t>Microsoft Office User:</t>
        </r>
        <r>
          <rPr>
            <sz val="10"/>
            <color rgb="FF000000"/>
            <rFont val="Tahoma"/>
            <family val="2"/>
          </rPr>
          <t xml:space="preserve">
</t>
        </r>
        <r>
          <rPr>
            <sz val="10"/>
            <color rgb="FF000000"/>
            <rFont val="Tahoma"/>
            <family val="2"/>
          </rPr>
          <t xml:space="preserve">15% better than CF6
</t>
        </r>
      </text>
    </comment>
    <comment ref="H30" authorId="5" shapeId="0" xr:uid="{A2E1E598-BFA8-4EB8-8409-DA8A4D482FF7}">
      <text>
        <r>
          <rPr>
            <b/>
            <sz val="9"/>
            <color indexed="81"/>
            <rFont val="Tahoma"/>
            <family val="2"/>
          </rPr>
          <t>Max Arnson:</t>
        </r>
        <r>
          <rPr>
            <sz val="9"/>
            <color indexed="81"/>
            <rFont val="Tahoma"/>
            <family val="2"/>
          </rPr>
          <t xml:space="preserve">
Roux Reports 0.58</t>
        </r>
      </text>
    </comment>
    <comment ref="L30" authorId="5" shapeId="0" xr:uid="{0641B8DD-B7A2-4987-9EE7-00831568D268}">
      <text>
        <r>
          <rPr>
            <b/>
            <sz val="9"/>
            <color indexed="81"/>
            <rFont val="Tahoma"/>
            <family val="2"/>
          </rPr>
          <t>Max Arnson:</t>
        </r>
        <r>
          <rPr>
            <sz val="9"/>
            <color indexed="81"/>
            <rFont val="Tahoma"/>
            <family val="2"/>
          </rPr>
          <t xml:space="preserve">
"Reducing fuel consumption by 15% compared to the first trent engine [Trent 768]"</t>
        </r>
      </text>
    </comment>
    <comment ref="BZ30" authorId="5" shapeId="0" xr:uid="{6CBF8385-7E76-42B0-8A4A-19941E0F7F13}">
      <text>
        <r>
          <rPr>
            <b/>
            <sz val="9"/>
            <color indexed="81"/>
            <rFont val="Tahoma"/>
            <family val="2"/>
          </rPr>
          <t>Max Arnson:</t>
        </r>
        <r>
          <rPr>
            <sz val="9"/>
            <color indexed="81"/>
            <rFont val="Tahoma"/>
            <family val="2"/>
          </rPr>
          <t xml:space="preserve">
claim from RR that they get 10% better fuel efficiency than leading trent 700 engine</t>
        </r>
      </text>
    </comment>
    <comment ref="CQ30" authorId="9" shapeId="0" xr:uid="{C586EB5D-278C-4667-B4FB-54239D66820C}">
      <text>
        <r>
          <rPr>
            <sz val="11"/>
            <color theme="1"/>
            <rFont val="Calibri"/>
            <family val="2"/>
            <scheme val="minor"/>
          </rPr>
          <t>Aljaber, Rawan:
-15% fuel efficient compared to the CFM56-7B</t>
        </r>
      </text>
    </comment>
    <comment ref="DY30" authorId="5" shapeId="0" xr:uid="{86A6C645-F22B-4C55-A418-579287161D58}">
      <text>
        <r>
          <rPr>
            <b/>
            <sz val="9"/>
            <color indexed="81"/>
            <rFont val="Tahoma"/>
            <family val="2"/>
          </rPr>
          <t>Max Arnson:</t>
        </r>
        <r>
          <rPr>
            <sz val="9"/>
            <color indexed="81"/>
            <rFont val="Tahoma"/>
            <family val="2"/>
          </rPr>
          <t xml:space="preserve">
Janes… :(</t>
        </r>
      </text>
    </comment>
    <comment ref="DZ30" authorId="5" shapeId="0" xr:uid="{9EAE42AB-2AF9-403B-B75A-D7766413BEB0}">
      <text>
        <r>
          <rPr>
            <b/>
            <sz val="9"/>
            <color indexed="81"/>
            <rFont val="Tahoma"/>
            <family val="2"/>
          </rPr>
          <t>Max Arnson:</t>
        </r>
        <r>
          <rPr>
            <sz val="9"/>
            <color indexed="81"/>
            <rFont val="Tahoma"/>
            <family val="2"/>
          </rPr>
          <t xml:space="preserve">
Janes… :(</t>
        </r>
      </text>
    </comment>
    <comment ref="EC30" authorId="5" shapeId="0" xr:uid="{D655D215-A940-42AE-8175-F939866A09D4}">
      <text>
        <r>
          <rPr>
            <b/>
            <sz val="9"/>
            <color indexed="81"/>
            <rFont val="Tahoma"/>
            <family val="2"/>
          </rPr>
          <t>Max Arnson:</t>
        </r>
        <r>
          <rPr>
            <sz val="9"/>
            <color indexed="81"/>
            <rFont val="Tahoma"/>
            <family val="2"/>
          </rPr>
          <t xml:space="preserve">
Janes… :(</t>
        </r>
      </text>
    </comment>
    <comment ref="EF30" authorId="5" shapeId="0" xr:uid="{8509569C-54A1-4752-A58E-1FA49363DAE7}">
      <text>
        <r>
          <rPr>
            <b/>
            <sz val="9"/>
            <color indexed="81"/>
            <rFont val="Tahoma"/>
            <family val="2"/>
          </rPr>
          <t>Max Arnson:</t>
        </r>
        <r>
          <rPr>
            <sz val="9"/>
            <color indexed="81"/>
            <rFont val="Tahoma"/>
            <family val="2"/>
          </rPr>
          <t xml:space="preserve">
GT Engines Weekly</t>
        </r>
      </text>
    </comment>
    <comment ref="GL32" authorId="12" shapeId="0" xr:uid="{6D5CE7BD-040B-49E5-BE64-30F1902CF05C}">
      <text>
        <t>[Threaded comment]
Your version of Excel allows you to read this threaded comment; however, any edits to it will get removed if the file is opened in a newer version of Excel. Learn more: https://go.microsoft.com/fwlink/?linkid=870924
Comment:
    aft</t>
      </text>
    </comment>
    <comment ref="GM32" authorId="13" shapeId="0" xr:uid="{EF2610AE-B77F-4098-9764-FE008FCBA74B}">
      <text>
        <t xml:space="preserve">[Threaded comment]
Your version of Excel allows you to read this threaded comment; however, any edits to it will get removed if the file is opened in a newer version of Excel. Learn more: https://go.microsoft.com/fwlink/?linkid=870924
Comment:
    Aft
</t>
      </text>
    </comment>
    <comment ref="AT33" authorId="14" shapeId="0" xr:uid="{026E74DF-8A86-4FB9-AB1B-E61C284F6FE6}">
      <text>
        <t>[Threaded comment]
Your version of Excel allows you to read this threaded comment; however, any edits to it will get removed if the file is opened in a newer version of Excel. Learn more: https://go.microsoft.com/fwlink/?linkid=870924
Comment:
    Gear ratio 1:3.0625</t>
      </text>
    </comment>
    <comment ref="BB33" authorId="5" shapeId="0" xr:uid="{5D687B04-5A24-441C-A79F-11923D1AE11B}">
      <text>
        <r>
          <rPr>
            <b/>
            <sz val="9"/>
            <color indexed="81"/>
            <rFont val="Tahoma"/>
            <family val="2"/>
          </rPr>
          <t>Max Arnson:</t>
        </r>
        <r>
          <rPr>
            <sz val="9"/>
            <color indexed="81"/>
            <rFont val="Tahoma"/>
            <family val="2"/>
          </rPr>
          <t xml:space="preserve">
1:3.0625</t>
        </r>
      </text>
    </comment>
    <comment ref="BC33" authorId="5" shapeId="0" xr:uid="{793620F9-B725-4143-8B66-50156FD7ECB7}">
      <text>
        <r>
          <rPr>
            <b/>
            <sz val="9"/>
            <color indexed="81"/>
            <rFont val="Tahoma"/>
            <family val="2"/>
          </rPr>
          <t>Max Arnson:</t>
        </r>
        <r>
          <rPr>
            <sz val="9"/>
            <color indexed="81"/>
            <rFont val="Tahoma"/>
            <family val="2"/>
          </rPr>
          <t xml:space="preserve">
1:3.0625</t>
        </r>
      </text>
    </comment>
    <comment ref="BE33" authorId="5" shapeId="0" xr:uid="{D313F7A2-BAB6-4FA4-B9D2-0C5D9A60C5BB}">
      <text>
        <r>
          <rPr>
            <b/>
            <sz val="9"/>
            <color indexed="81"/>
            <rFont val="Tahoma"/>
            <family val="2"/>
          </rPr>
          <t>Max Arnson:</t>
        </r>
        <r>
          <rPr>
            <sz val="9"/>
            <color indexed="81"/>
            <rFont val="Tahoma"/>
            <family val="2"/>
          </rPr>
          <t xml:space="preserve">
1:3.0625</t>
        </r>
      </text>
    </comment>
    <comment ref="BK33" authorId="5" shapeId="0" xr:uid="{4B2256BF-B65F-4939-BE16-18F0200B693A}">
      <text>
        <r>
          <rPr>
            <b/>
            <sz val="9"/>
            <color indexed="81"/>
            <rFont val="Tahoma"/>
            <family val="2"/>
          </rPr>
          <t>Max Arnson:</t>
        </r>
        <r>
          <rPr>
            <sz val="9"/>
            <color indexed="81"/>
            <rFont val="Tahoma"/>
            <family val="2"/>
          </rPr>
          <t xml:space="preserve">
1:3.0625</t>
        </r>
      </text>
    </comment>
    <comment ref="BN33" authorId="5" shapeId="0" xr:uid="{392448F3-F2DB-45EE-989B-857E8259B8C2}">
      <text>
        <r>
          <rPr>
            <b/>
            <sz val="9"/>
            <color indexed="81"/>
            <rFont val="Tahoma"/>
            <family val="2"/>
          </rPr>
          <t>Max Arnson:</t>
        </r>
        <r>
          <rPr>
            <sz val="9"/>
            <color indexed="81"/>
            <rFont val="Tahoma"/>
            <family val="2"/>
          </rPr>
          <t xml:space="preserve">
1:3.0625</t>
        </r>
      </text>
    </comment>
    <comment ref="ET33" authorId="5" shapeId="0" xr:uid="{95FC3247-4B75-4868-BD4B-FC28E1E52A45}">
      <text>
        <r>
          <rPr>
            <b/>
            <sz val="9"/>
            <color indexed="81"/>
            <rFont val="Tahoma"/>
            <family val="2"/>
          </rPr>
          <t>Max Arnson:</t>
        </r>
        <r>
          <rPr>
            <sz val="9"/>
            <color indexed="81"/>
            <rFont val="Tahoma"/>
            <family val="2"/>
          </rPr>
          <t xml:space="preserve">
1:3.0625</t>
        </r>
      </text>
    </comment>
    <comment ref="EU33" authorId="5" shapeId="0" xr:uid="{5C511766-7F64-4681-98A6-883C24DEE354}">
      <text>
        <r>
          <rPr>
            <b/>
            <sz val="9"/>
            <color indexed="81"/>
            <rFont val="Tahoma"/>
            <family val="2"/>
          </rPr>
          <t>Max Arnson:</t>
        </r>
        <r>
          <rPr>
            <sz val="9"/>
            <color indexed="81"/>
            <rFont val="Tahoma"/>
            <family val="2"/>
          </rPr>
          <t xml:space="preserve">
1:3.0625</t>
        </r>
      </text>
    </comment>
    <comment ref="EV33" authorId="5" shapeId="0" xr:uid="{AD16C264-0787-45B2-940C-DA99DD824E56}">
      <text>
        <r>
          <rPr>
            <b/>
            <sz val="9"/>
            <color indexed="81"/>
            <rFont val="Tahoma"/>
            <family val="2"/>
          </rPr>
          <t>Max Arnson:</t>
        </r>
        <r>
          <rPr>
            <sz val="9"/>
            <color indexed="81"/>
            <rFont val="Tahoma"/>
            <family val="2"/>
          </rPr>
          <t xml:space="preserve">
1:3.0625</t>
        </r>
      </text>
    </comment>
    <comment ref="EW33" authorId="5" shapeId="0" xr:uid="{117D13B4-C3CD-4754-89A4-3706DD59AE69}">
      <text>
        <r>
          <rPr>
            <b/>
            <sz val="9"/>
            <color indexed="81"/>
            <rFont val="Tahoma"/>
            <family val="2"/>
          </rPr>
          <t>Max Arnson:</t>
        </r>
        <r>
          <rPr>
            <sz val="9"/>
            <color indexed="81"/>
            <rFont val="Tahoma"/>
            <family val="2"/>
          </rPr>
          <t xml:space="preserve">
1:3.0625</t>
        </r>
      </text>
    </comment>
    <comment ref="A42" authorId="5" shapeId="0" xr:uid="{C4B8904F-FBDF-4AC1-A0F1-CB9A9198A76F}">
      <text>
        <r>
          <rPr>
            <b/>
            <sz val="9"/>
            <color indexed="81"/>
            <rFont val="Tahoma"/>
            <family val="2"/>
          </rPr>
          <t>Max Arnson:</t>
        </r>
        <r>
          <rPr>
            <sz val="9"/>
            <color indexed="81"/>
            <rFont val="Tahoma"/>
            <family val="2"/>
          </rPr>
          <t xml:space="preserve">
RPMS recorded for maximum continuous thrust</t>
        </r>
      </text>
    </comment>
    <comment ref="CH43" authorId="0" shapeId="0" xr:uid="{C9AFAE0B-35CC-4356-AF5F-29E8421D646C}">
      <text>
        <r>
          <rPr>
            <sz val="11"/>
            <color theme="1"/>
            <rFont val="Calibri"/>
            <family val="2"/>
            <scheme val="minor"/>
          </rPr>
          <t>Shine, Jayda:
Normal takeoff rpm</t>
        </r>
      </text>
    </comment>
    <comment ref="CI43" authorId="0" shapeId="0" xr:uid="{52E93F90-F62C-4E61-909C-E5C10EE08C46}">
      <text>
        <r>
          <rPr>
            <sz val="11"/>
            <color theme="1"/>
            <rFont val="Calibri"/>
            <family val="2"/>
            <scheme val="minor"/>
          </rPr>
          <t>Shine, Jayda:
Normal takeoff rpm</t>
        </r>
      </text>
    </comment>
    <comment ref="CJ43" authorId="0" shapeId="0" xr:uid="{21418CAA-0626-4992-ACF4-A878B4C55CAA}">
      <text>
        <r>
          <rPr>
            <sz val="11"/>
            <color theme="1"/>
            <rFont val="Calibri"/>
            <family val="2"/>
            <scheme val="minor"/>
          </rPr>
          <t>Shine, Jayda:
Normal takeoff rpm</t>
        </r>
      </text>
    </comment>
    <comment ref="CK43" authorId="0" shapeId="0" xr:uid="{35584D65-2D41-4CBF-B92F-2D197B171D55}">
      <text>
        <r>
          <rPr>
            <sz val="11"/>
            <color theme="1"/>
            <rFont val="Calibri"/>
            <family val="2"/>
            <scheme val="minor"/>
          </rPr>
          <t>Shine, Jayda:
Normal takeoff rpm</t>
        </r>
      </text>
    </comment>
    <comment ref="GB43" authorId="0" shapeId="0" xr:uid="{BAF4F605-3865-43FA-988C-F9556A84B81A}">
      <text>
        <r>
          <rPr>
            <sz val="11"/>
            <color theme="1"/>
            <rFont val="Calibri"/>
            <family val="2"/>
            <scheme val="minor"/>
          </rPr>
          <t>Shine, Jayda:
Normal takeoff rpm</t>
        </r>
      </text>
    </comment>
    <comment ref="GC43" authorId="0" shapeId="0" xr:uid="{89E8637A-8325-4BEF-A3D9-11A798022E05}">
      <text>
        <r>
          <rPr>
            <sz val="11"/>
            <color theme="1"/>
            <rFont val="Calibri"/>
            <family val="2"/>
            <scheme val="minor"/>
          </rPr>
          <t>Shine, Jayda:
rpm for all other operating conditions</t>
        </r>
      </text>
    </comment>
    <comment ref="GD43" authorId="0" shapeId="0" xr:uid="{BB834AFF-5CB5-43B8-9030-84C07364A116}">
      <text>
        <r>
          <rPr>
            <sz val="11"/>
            <color theme="1"/>
            <rFont val="Calibri"/>
            <family val="2"/>
            <scheme val="minor"/>
          </rPr>
          <t>Shine, Jayda:
rpm for all other operating conditions</t>
        </r>
      </text>
    </comment>
    <comment ref="GH43" authorId="0" shapeId="0" xr:uid="{C3363620-8B3D-45C0-BAF6-DE84F68C12D8}">
      <text>
        <r>
          <rPr>
            <sz val="11"/>
            <color theme="1"/>
            <rFont val="Calibri"/>
            <family val="2"/>
            <scheme val="minor"/>
          </rPr>
          <t>Shine, Jayda:
rpm for all other operating conditions</t>
        </r>
      </text>
    </comment>
    <comment ref="CH45" authorId="0" shapeId="0" xr:uid="{9341A5BF-568B-431E-A2E3-B6E6492959EF}">
      <text>
        <r>
          <rPr>
            <sz val="11"/>
            <color theme="1"/>
            <rFont val="Calibri"/>
            <family val="2"/>
            <scheme val="minor"/>
          </rPr>
          <t>Shine, Jayda:
Normal takeoff rpm</t>
        </r>
      </text>
    </comment>
    <comment ref="CI45" authorId="0" shapeId="0" xr:uid="{DB14C7B5-9B46-4090-BEA9-72673F2C320A}">
      <text>
        <r>
          <rPr>
            <sz val="11"/>
            <color theme="1"/>
            <rFont val="Calibri"/>
            <family val="2"/>
            <scheme val="minor"/>
          </rPr>
          <t>Shine, Jayda:
Normal takeoff rpm</t>
        </r>
      </text>
    </comment>
    <comment ref="CJ45" authorId="0" shapeId="0" xr:uid="{C47B64BC-50D1-4D2F-ADC5-E5CC8139C2C2}">
      <text>
        <r>
          <rPr>
            <sz val="11"/>
            <color theme="1"/>
            <rFont val="Calibri"/>
            <family val="2"/>
            <scheme val="minor"/>
          </rPr>
          <t>Shine, Jayda:
Normal takeoff rpm</t>
        </r>
      </text>
    </comment>
    <comment ref="CK45" authorId="0" shapeId="0" xr:uid="{6A4697D5-E3E1-460A-BCF7-9C33E53E35C4}">
      <text>
        <r>
          <rPr>
            <sz val="11"/>
            <color theme="1"/>
            <rFont val="Calibri"/>
            <family val="2"/>
            <scheme val="minor"/>
          </rPr>
          <t>Shine, Jayda:
Normal takeoff rpm</t>
        </r>
      </text>
    </comment>
    <comment ref="GB45" authorId="0" shapeId="0" xr:uid="{7DE12852-9C88-4572-B6EA-B4FA7B815B7A}">
      <text>
        <r>
          <rPr>
            <sz val="11"/>
            <color theme="1"/>
            <rFont val="Calibri"/>
            <family val="2"/>
            <scheme val="minor"/>
          </rPr>
          <t>Shine, Jayda:
Normal takeoff rpm</t>
        </r>
      </text>
    </comment>
    <comment ref="GC45" authorId="0" shapeId="0" xr:uid="{511BB1AB-CB79-4447-A14A-3EE8DF194F4F}">
      <text>
        <r>
          <rPr>
            <sz val="11"/>
            <color theme="1"/>
            <rFont val="Calibri"/>
            <family val="2"/>
            <scheme val="minor"/>
          </rPr>
          <t>Shine, Jayda:
rpm for all other operating conditions</t>
        </r>
      </text>
    </comment>
    <comment ref="GD45" authorId="0" shapeId="0" xr:uid="{2B7EACC2-BB83-4F19-920D-038E1619E59B}">
      <text>
        <r>
          <rPr>
            <sz val="11"/>
            <color theme="1"/>
            <rFont val="Calibri"/>
            <family val="2"/>
            <scheme val="minor"/>
          </rPr>
          <t>Shine, Jayda:
rpm for all other operating conditions</t>
        </r>
      </text>
    </comment>
    <comment ref="GH45" authorId="0" shapeId="0" xr:uid="{7AB2C326-2C69-422C-8273-6899C80BC2E7}">
      <text>
        <r>
          <rPr>
            <sz val="11"/>
            <color theme="1"/>
            <rFont val="Calibri"/>
            <family val="2"/>
            <scheme val="minor"/>
          </rPr>
          <t>Shine, Jayda:
rpm for all other operating conditions</t>
        </r>
      </text>
    </comment>
    <comment ref="O46" authorId="10" shapeId="0" xr:uid="{7305A969-0E14-471D-A0BB-FD611E4580E7}">
      <text>
        <r>
          <rPr>
            <b/>
            <sz val="9"/>
            <color indexed="81"/>
            <rFont val="Tahoma"/>
            <family val="2"/>
          </rPr>
          <t>Michael Tsai:</t>
        </r>
        <r>
          <rPr>
            <sz val="9"/>
            <color indexed="81"/>
            <rFont val="Tahoma"/>
            <family val="2"/>
          </rPr>
          <t xml:space="preserve">
Max Permissible</t>
        </r>
      </text>
    </comment>
    <comment ref="P46" authorId="10" shapeId="0" xr:uid="{58927046-6C87-4385-AF54-24E797A378C1}">
      <text>
        <r>
          <rPr>
            <b/>
            <sz val="9"/>
            <color indexed="81"/>
            <rFont val="Tahoma"/>
            <family val="2"/>
          </rPr>
          <t>Michael Tsai:</t>
        </r>
        <r>
          <rPr>
            <sz val="9"/>
            <color indexed="81"/>
            <rFont val="Tahoma"/>
            <family val="2"/>
          </rPr>
          <t xml:space="preserve">
Max Permissible</t>
        </r>
      </text>
    </comment>
    <comment ref="Q46" authorId="10" shapeId="0" xr:uid="{0B896C01-563B-44F2-9675-07D640D085FC}">
      <text>
        <r>
          <rPr>
            <b/>
            <sz val="9"/>
            <color indexed="81"/>
            <rFont val="Tahoma"/>
            <family val="2"/>
          </rPr>
          <t>Michael Tsai:</t>
        </r>
        <r>
          <rPr>
            <sz val="9"/>
            <color indexed="81"/>
            <rFont val="Tahoma"/>
            <family val="2"/>
          </rPr>
          <t xml:space="preserve">
Max Permissible</t>
        </r>
      </text>
    </comment>
    <comment ref="R46" authorId="10" shapeId="0" xr:uid="{8825F064-CFCE-417D-9E49-C0BF686148C1}">
      <text>
        <r>
          <rPr>
            <b/>
            <sz val="9"/>
            <color indexed="81"/>
            <rFont val="Tahoma"/>
            <family val="2"/>
          </rPr>
          <t>Michael Tsai:</t>
        </r>
        <r>
          <rPr>
            <sz val="9"/>
            <color indexed="81"/>
            <rFont val="Tahoma"/>
            <family val="2"/>
          </rPr>
          <t xml:space="preserve">
Max Permissible</t>
        </r>
      </text>
    </comment>
    <comment ref="T46" authorId="10" shapeId="0" xr:uid="{BD2B2CFA-BA54-4DE7-97FF-EB05FCC24DD1}">
      <text>
        <r>
          <rPr>
            <b/>
            <sz val="9"/>
            <color indexed="81"/>
            <rFont val="Tahoma"/>
            <family val="2"/>
          </rPr>
          <t>Michael Tsai:</t>
        </r>
        <r>
          <rPr>
            <sz val="9"/>
            <color indexed="81"/>
            <rFont val="Tahoma"/>
            <family val="2"/>
          </rPr>
          <t xml:space="preserve">
Max Permissible</t>
        </r>
      </text>
    </comment>
    <comment ref="U46" authorId="10" shapeId="0" xr:uid="{F1E94F2C-7497-4078-B4AC-7F5ED311665C}">
      <text>
        <r>
          <rPr>
            <b/>
            <sz val="9"/>
            <color indexed="81"/>
            <rFont val="Tahoma"/>
            <family val="2"/>
          </rPr>
          <t>Michael Tsai:</t>
        </r>
        <r>
          <rPr>
            <sz val="9"/>
            <color indexed="81"/>
            <rFont val="Tahoma"/>
            <family val="2"/>
          </rPr>
          <t xml:space="preserve">
Max Permissible</t>
        </r>
      </text>
    </comment>
    <comment ref="X46" authorId="10" shapeId="0" xr:uid="{92280223-C2E9-4F08-A473-FE2C67A2D620}">
      <text>
        <r>
          <rPr>
            <b/>
            <sz val="9"/>
            <color indexed="81"/>
            <rFont val="Tahoma"/>
            <family val="2"/>
          </rPr>
          <t>Michael Tsai:</t>
        </r>
        <r>
          <rPr>
            <sz val="9"/>
            <color indexed="81"/>
            <rFont val="Tahoma"/>
            <family val="2"/>
          </rPr>
          <t xml:space="preserve">
Max Permissible</t>
        </r>
      </text>
    </comment>
    <comment ref="Y46" authorId="10" shapeId="0" xr:uid="{9FF22502-11E4-410A-9082-BFF4ED480074}">
      <text>
        <r>
          <rPr>
            <b/>
            <sz val="9"/>
            <color indexed="81"/>
            <rFont val="Tahoma"/>
            <family val="2"/>
          </rPr>
          <t>Michael Tsai:</t>
        </r>
        <r>
          <rPr>
            <sz val="9"/>
            <color indexed="81"/>
            <rFont val="Tahoma"/>
            <family val="2"/>
          </rPr>
          <t xml:space="preserve">
Max Permissible</t>
        </r>
      </text>
    </comment>
    <comment ref="Z46" authorId="10" shapeId="0" xr:uid="{17A46D76-3A80-43E5-97EA-2F2FE5382155}">
      <text>
        <r>
          <rPr>
            <b/>
            <sz val="9"/>
            <color indexed="81"/>
            <rFont val="Tahoma"/>
            <family val="2"/>
          </rPr>
          <t>Michael Tsai:</t>
        </r>
        <r>
          <rPr>
            <sz val="9"/>
            <color indexed="81"/>
            <rFont val="Tahoma"/>
            <family val="2"/>
          </rPr>
          <t xml:space="preserve">
Max Permissible</t>
        </r>
      </text>
    </comment>
    <comment ref="AC46" authorId="10" shapeId="0" xr:uid="{F2A620D6-30D3-48CB-8637-48DAEA0C36D2}">
      <text>
        <r>
          <rPr>
            <b/>
            <sz val="9"/>
            <color indexed="81"/>
            <rFont val="Tahoma"/>
            <family val="2"/>
          </rPr>
          <t>Michael Tsai:</t>
        </r>
        <r>
          <rPr>
            <sz val="9"/>
            <color indexed="81"/>
            <rFont val="Tahoma"/>
            <family val="2"/>
          </rPr>
          <t xml:space="preserve">
Max Permissible</t>
        </r>
      </text>
    </comment>
    <comment ref="DE46" authorId="10" shapeId="0" xr:uid="{1FA7C081-1305-472E-A54E-1AE4B6EC3746}">
      <text>
        <r>
          <rPr>
            <b/>
            <sz val="9"/>
            <color indexed="81"/>
            <rFont val="Tahoma"/>
            <family val="2"/>
          </rPr>
          <t>Michael Tsai:</t>
        </r>
        <r>
          <rPr>
            <sz val="9"/>
            <color indexed="81"/>
            <rFont val="Tahoma"/>
            <family val="2"/>
          </rPr>
          <t xml:space="preserve">
Max Permissible</t>
        </r>
      </text>
    </comment>
    <comment ref="DQ46" authorId="10" shapeId="0" xr:uid="{1A7C4DC3-8391-41B4-9DA9-22BB7849D24A}">
      <text>
        <r>
          <rPr>
            <b/>
            <sz val="9"/>
            <color indexed="81"/>
            <rFont val="Tahoma"/>
            <family val="2"/>
          </rPr>
          <t>Michael Tsai:</t>
        </r>
        <r>
          <rPr>
            <sz val="9"/>
            <color indexed="81"/>
            <rFont val="Tahoma"/>
            <family val="2"/>
          </rPr>
          <t xml:space="preserve">
Max Permissible</t>
        </r>
      </text>
    </comment>
    <comment ref="HA46" authorId="5" shapeId="0" xr:uid="{0B64ED56-8D7E-4F38-AAD1-A1CDEB983880}">
      <text>
        <r>
          <rPr>
            <b/>
            <sz val="9"/>
            <color indexed="81"/>
            <rFont val="Tahoma"/>
            <family val="2"/>
          </rPr>
          <t>Max Arnson:</t>
        </r>
        <r>
          <rPr>
            <sz val="9"/>
            <color indexed="81"/>
            <rFont val="Tahoma"/>
            <family val="2"/>
          </rPr>
          <t xml:space="preserve">
assumed. Not mentioned in tcds
</t>
        </r>
      </text>
    </comment>
    <comment ref="X47" authorId="15" shapeId="0" xr:uid="{5B446FE4-2990-4289-9541-3A14126FA87B}">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If they only list max permissibly then set the max continuous percentages to 100. if the rpms listed are for max permissible, divide the rpms by these percentages and then enter that number in the 100% rpm fields @Tsai, Michael </t>
      </text>
    </comment>
    <comment ref="O48" authorId="10" shapeId="0" xr:uid="{AB78ACEE-1470-4D7B-BE31-5B45AE83ABEE}">
      <text>
        <r>
          <rPr>
            <b/>
            <sz val="9"/>
            <color indexed="81"/>
            <rFont val="Tahoma"/>
            <family val="2"/>
          </rPr>
          <t>Michael Tsai:</t>
        </r>
        <r>
          <rPr>
            <sz val="9"/>
            <color indexed="81"/>
            <rFont val="Tahoma"/>
            <family val="2"/>
          </rPr>
          <t xml:space="preserve">
Max Permissible</t>
        </r>
      </text>
    </comment>
    <comment ref="P48" authorId="10" shapeId="0" xr:uid="{B1613E96-D74B-4745-8FC7-B6B5F4678338}">
      <text>
        <r>
          <rPr>
            <b/>
            <sz val="9"/>
            <color indexed="81"/>
            <rFont val="Tahoma"/>
            <family val="2"/>
          </rPr>
          <t>Michael Tsai:</t>
        </r>
        <r>
          <rPr>
            <sz val="9"/>
            <color indexed="81"/>
            <rFont val="Tahoma"/>
            <family val="2"/>
          </rPr>
          <t xml:space="preserve">
Max Permissible</t>
        </r>
      </text>
    </comment>
    <comment ref="Q48" authorId="10" shapeId="0" xr:uid="{C78A6782-13F8-4371-B7E2-1F42DCC367E3}">
      <text>
        <r>
          <rPr>
            <b/>
            <sz val="9"/>
            <color indexed="81"/>
            <rFont val="Tahoma"/>
            <family val="2"/>
          </rPr>
          <t>Michael Tsai:</t>
        </r>
        <r>
          <rPr>
            <sz val="9"/>
            <color indexed="81"/>
            <rFont val="Tahoma"/>
            <family val="2"/>
          </rPr>
          <t xml:space="preserve">
Max Permissible</t>
        </r>
      </text>
    </comment>
    <comment ref="R48" authorId="10" shapeId="0" xr:uid="{99479440-A34C-444E-B634-FCA99F2EB69B}">
      <text>
        <r>
          <rPr>
            <b/>
            <sz val="9"/>
            <color indexed="81"/>
            <rFont val="Tahoma"/>
            <family val="2"/>
          </rPr>
          <t>Michael Tsai:</t>
        </r>
        <r>
          <rPr>
            <sz val="9"/>
            <color indexed="81"/>
            <rFont val="Tahoma"/>
            <family val="2"/>
          </rPr>
          <t xml:space="preserve">
Max Permissible</t>
        </r>
      </text>
    </comment>
    <comment ref="T48" authorId="10" shapeId="0" xr:uid="{4C0B3DA6-0F60-408D-B3D2-95D0CE1B9FB6}">
      <text>
        <r>
          <rPr>
            <b/>
            <sz val="9"/>
            <color indexed="81"/>
            <rFont val="Tahoma"/>
            <family val="2"/>
          </rPr>
          <t>Michael Tsai:</t>
        </r>
        <r>
          <rPr>
            <sz val="9"/>
            <color indexed="81"/>
            <rFont val="Tahoma"/>
            <family val="2"/>
          </rPr>
          <t xml:space="preserve">
Max Permissible</t>
        </r>
      </text>
    </comment>
    <comment ref="U48" authorId="10" shapeId="0" xr:uid="{E41A0286-EFBF-483E-BD99-55176A28CFC6}">
      <text>
        <r>
          <rPr>
            <b/>
            <sz val="9"/>
            <color indexed="81"/>
            <rFont val="Tahoma"/>
            <family val="2"/>
          </rPr>
          <t>Michael Tsai:</t>
        </r>
        <r>
          <rPr>
            <sz val="9"/>
            <color indexed="81"/>
            <rFont val="Tahoma"/>
            <family val="2"/>
          </rPr>
          <t xml:space="preserve">
Max Permissible</t>
        </r>
      </text>
    </comment>
    <comment ref="X48" authorId="10" shapeId="0" xr:uid="{B1ECC140-2D65-4D7D-8232-0F8A77654605}">
      <text>
        <r>
          <rPr>
            <b/>
            <sz val="9"/>
            <color indexed="81"/>
            <rFont val="Tahoma"/>
            <family val="2"/>
          </rPr>
          <t>Michael Tsai:</t>
        </r>
        <r>
          <rPr>
            <sz val="9"/>
            <color indexed="81"/>
            <rFont val="Tahoma"/>
            <family val="2"/>
          </rPr>
          <t xml:space="preserve">
Max Permissible</t>
        </r>
      </text>
    </comment>
    <comment ref="Y48" authorId="10" shapeId="0" xr:uid="{EC6A8F32-E457-4A6C-8C4F-4E08BEE17565}">
      <text>
        <r>
          <rPr>
            <b/>
            <sz val="9"/>
            <color indexed="81"/>
            <rFont val="Tahoma"/>
            <family val="2"/>
          </rPr>
          <t>Michael Tsai:</t>
        </r>
        <r>
          <rPr>
            <sz val="9"/>
            <color indexed="81"/>
            <rFont val="Tahoma"/>
            <family val="2"/>
          </rPr>
          <t xml:space="preserve">
Max Permissible</t>
        </r>
      </text>
    </comment>
    <comment ref="Z48" authorId="10" shapeId="0" xr:uid="{557327A8-18D1-4488-A491-454ABE3D1724}">
      <text>
        <r>
          <rPr>
            <b/>
            <sz val="9"/>
            <color indexed="81"/>
            <rFont val="Tahoma"/>
            <family val="2"/>
          </rPr>
          <t>Michael Tsai:</t>
        </r>
        <r>
          <rPr>
            <sz val="9"/>
            <color indexed="81"/>
            <rFont val="Tahoma"/>
            <family val="2"/>
          </rPr>
          <t xml:space="preserve">
Max Permissible</t>
        </r>
      </text>
    </comment>
    <comment ref="AC48" authorId="10" shapeId="0" xr:uid="{AC896D73-FCF9-408F-A288-B699EEA0BB07}">
      <text>
        <r>
          <rPr>
            <b/>
            <sz val="9"/>
            <color indexed="81"/>
            <rFont val="Tahoma"/>
            <family val="2"/>
          </rPr>
          <t>Michael Tsai:</t>
        </r>
        <r>
          <rPr>
            <sz val="9"/>
            <color indexed="81"/>
            <rFont val="Tahoma"/>
            <family val="2"/>
          </rPr>
          <t xml:space="preserve">
Max Permissible</t>
        </r>
      </text>
    </comment>
    <comment ref="DE48" authorId="10" shapeId="0" xr:uid="{700FEC00-3691-432F-A029-D9C995D328B4}">
      <text>
        <r>
          <rPr>
            <b/>
            <sz val="9"/>
            <color indexed="81"/>
            <rFont val="Tahoma"/>
            <family val="2"/>
          </rPr>
          <t>Michael Tsai:</t>
        </r>
        <r>
          <rPr>
            <sz val="9"/>
            <color indexed="81"/>
            <rFont val="Tahoma"/>
            <family val="2"/>
          </rPr>
          <t xml:space="preserve">
Max Permissible</t>
        </r>
      </text>
    </comment>
    <comment ref="DQ48" authorId="10" shapeId="0" xr:uid="{5A2B685A-32E2-4E09-938C-13A3CAB9FBF9}">
      <text>
        <r>
          <rPr>
            <b/>
            <sz val="9"/>
            <color indexed="81"/>
            <rFont val="Tahoma"/>
            <family val="2"/>
          </rPr>
          <t>Michael Tsai:</t>
        </r>
        <r>
          <rPr>
            <sz val="9"/>
            <color indexed="81"/>
            <rFont val="Tahoma"/>
            <family val="2"/>
          </rPr>
          <t xml:space="preserve">
Max Permissible</t>
        </r>
      </text>
    </comment>
    <comment ref="CL50" authorId="9" shapeId="0" xr:uid="{3820D5E2-E0B8-429D-A9E0-93B1C5782566}">
      <text>
        <r>
          <rPr>
            <sz val="11"/>
            <color theme="1"/>
            <rFont val="Calibri"/>
            <family val="2"/>
            <scheme val="minor"/>
          </rPr>
          <t>Aljaber, Rawan:
range of 
289.392 - 297.103</t>
        </r>
      </text>
    </comment>
    <comment ref="CQ50" authorId="16" shapeId="0" xr:uid="{537E8828-F395-464F-846F-0C7F8B74C350}">
      <text>
        <t xml:space="preserve">[Threaded comment]
Your version of Excel allows you to read this threaded comment; however, any edits to it will get removed if the file is opened in a newer version of Excel. Learn more: https://go.microsoft.com/fwlink/?linkid=870924
Comment:
    Approx = 1000 lmb
</t>
      </text>
    </comment>
    <comment ref="A53" authorId="5" shapeId="0" xr:uid="{8A32BBA1-097B-46E1-9D5E-849CB645F2AA}">
      <text>
        <r>
          <rPr>
            <b/>
            <sz val="9"/>
            <color indexed="81"/>
            <rFont val="Tahoma"/>
            <family val="2"/>
          </rPr>
          <t>Max Arnson:</t>
        </r>
        <r>
          <rPr>
            <sz val="9"/>
            <color indexed="81"/>
            <rFont val="Tahoma"/>
            <family val="2"/>
          </rPr>
          <t xml:space="preserve">
Maximum continuous</t>
        </r>
      </text>
    </comment>
    <comment ref="EE53" authorId="17" shapeId="0" xr:uid="{6F65A322-42DA-423C-8061-66AABDC05C1C}">
      <text>
        <r>
          <rPr>
            <b/>
            <sz val="9"/>
            <color indexed="81"/>
            <rFont val="Tahoma"/>
            <family val="2"/>
          </rPr>
          <t>Joaquin Rey:</t>
        </r>
        <r>
          <rPr>
            <sz val="9"/>
            <color indexed="81"/>
            <rFont val="Tahoma"/>
            <family val="2"/>
          </rPr>
          <t xml:space="preserve">
Doesn't list the maximum
safe to assume it’s the same as the 110 -Max</t>
        </r>
      </text>
    </comment>
    <comment ref="GX53" authorId="10" shapeId="0" xr:uid="{37C211DD-F5C0-4628-A8D3-E7327BEDBF71}">
      <text>
        <r>
          <rPr>
            <b/>
            <sz val="9"/>
            <color indexed="81"/>
            <rFont val="Tahoma"/>
            <family val="2"/>
          </rPr>
          <t>Michael Tsai:</t>
        </r>
        <r>
          <rPr>
            <sz val="9"/>
            <color indexed="81"/>
            <rFont val="Tahoma"/>
            <family val="2"/>
          </rPr>
          <t xml:space="preserve">
Indicated Turbine Exhaust Gas Temperature
</t>
        </r>
      </text>
    </comment>
    <comment ref="L54" authorId="5" shapeId="0" xr:uid="{7344F572-3485-4F36-AC40-29A0D8ED8365}">
      <text>
        <r>
          <rPr>
            <b/>
            <sz val="9"/>
            <color indexed="81"/>
            <rFont val="Tahoma"/>
            <family val="2"/>
          </rPr>
          <t>Max Arnson:</t>
        </r>
        <r>
          <rPr>
            <sz val="9"/>
            <color indexed="81"/>
            <rFont val="Tahoma"/>
            <family val="2"/>
          </rPr>
          <t xml:space="preserve">
from infographic. Bragging about high Tt4
</t>
        </r>
      </text>
    </comment>
    <comment ref="BZ54" authorId="5" shapeId="0" xr:uid="{71FFAE59-BE5B-4DBC-8A1D-527F1C1F6591}">
      <text>
        <r>
          <rPr>
            <b/>
            <sz val="9"/>
            <color indexed="81"/>
            <rFont val="Tahoma"/>
            <family val="2"/>
          </rPr>
          <t>Max Arnson:</t>
        </r>
        <r>
          <rPr>
            <sz val="9"/>
            <color indexed="81"/>
            <rFont val="Tahoma"/>
            <family val="2"/>
          </rPr>
          <t xml:space="preserve">
maximum temp listed for air bleeds, above this seems to be "redline"
</t>
        </r>
      </text>
    </comment>
    <comment ref="FY56" authorId="18" shapeId="0" xr:uid="{5D7FBE7D-B9FE-4EE4-8D42-F3BFF8FB200A}">
      <text>
        <t>[Threaded comment]
Your version of Excel allows you to read this threaded comment; however, any edits to it will get removed if the file is opened in a newer version of Excel. Learn more: https://go.microsoft.com/fwlink/?linkid=870924
Comment:
    This is literally the first turbofan ever lol</t>
      </text>
    </comment>
    <comment ref="GY56" authorId="5" shapeId="0" xr:uid="{5628EA64-BF8C-4F99-83BD-AF84DA68191B}">
      <text>
        <r>
          <rPr>
            <b/>
            <sz val="9"/>
            <color indexed="81"/>
            <rFont val="Tahoma"/>
            <family val="2"/>
          </rPr>
          <t>Max Arnson:</t>
        </r>
        <r>
          <rPr>
            <sz val="9"/>
            <color indexed="81"/>
            <rFont val="Tahoma"/>
            <family val="2"/>
          </rPr>
          <t xml:space="preserve">
Roux values used for 900 series in general. I believe it is meant to cover all 900 series engines
</t>
        </r>
      </text>
    </comment>
    <comment ref="GZ56" authorId="5" shapeId="0" xr:uid="{58414B3C-E134-4B06-9FF3-9C2D0E7B0B5F}">
      <text>
        <r>
          <rPr>
            <b/>
            <sz val="9"/>
            <color indexed="81"/>
            <rFont val="Tahoma"/>
            <family val="2"/>
          </rPr>
          <t>Max Arnson:</t>
        </r>
        <r>
          <rPr>
            <sz val="9"/>
            <color indexed="81"/>
            <rFont val="Tahoma"/>
            <family val="2"/>
          </rPr>
          <t xml:space="preserve">
Roux values used for 900 series in general. I believe it is meant to cover all 900 series engines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Max Arnson</author>
    <author>tc={19D2851C-A8ED-4253-8CC9-22CD7ACB3293}</author>
    <author>tc={8DC68BCD-7626-401F-8862-3EC8F3E03040}</author>
    <author>tc={29499CAF-E7A7-435C-99ED-24ADEBD134B4}</author>
    <author>tc={1578470B-3FB8-4825-87F7-F13822058320}</author>
    <author>tc={94AB23C4-4A48-47AF-A4C9-2635787629A8}</author>
    <author>tc={D7D57AD5-C347-46E3-A9C4-5567D12BC19D}</author>
    <author>tc={94287153-E527-4F1C-A319-FED8FFFCB604}</author>
    <author>tc={1F58A833-E01A-4738-B753-AC52E4C0EB87}</author>
    <author>tc={8BF75608-4402-41DF-8D10-B786C423032D}</author>
  </authors>
  <commentList>
    <comment ref="A5" authorId="0" shapeId="0" xr:uid="{F983BEB2-198B-4401-AB93-41C519029BF3}">
      <text>
        <r>
          <rPr>
            <b/>
            <sz val="9"/>
            <color indexed="81"/>
            <rFont val="Tahoma"/>
            <family val="2"/>
          </rPr>
          <t>Max Arnson:</t>
        </r>
        <r>
          <rPr>
            <sz val="9"/>
            <color indexed="81"/>
            <rFont val="Tahoma"/>
            <family val="2"/>
          </rPr>
          <t xml:space="preserve">
Date when the engine received its certification to fly from either the EASA or the FAA</t>
        </r>
      </text>
    </comment>
    <comment ref="A6" authorId="0" shapeId="0" xr:uid="{D1F07966-CB54-4379-9FDB-E6153B92916C}">
      <text>
        <r>
          <rPr>
            <b/>
            <sz val="9"/>
            <color indexed="81"/>
            <rFont val="Tahoma"/>
            <family val="2"/>
          </rPr>
          <t>Max Arnson:</t>
        </r>
        <r>
          <rPr>
            <sz val="9"/>
            <color indexed="81"/>
            <rFont val="Tahoma"/>
            <family val="2"/>
          </rPr>
          <t xml:space="preserve">
Nicknames such as "Dreamliner" or "Beluga"
</t>
        </r>
      </text>
    </comment>
    <comment ref="U18" authorId="0" shapeId="0" xr:uid="{44300F94-0BA8-46C8-A7D5-B503724ABEDA}">
      <text>
        <r>
          <rPr>
            <b/>
            <sz val="9"/>
            <color indexed="81"/>
            <rFont val="Tahoma"/>
            <charset val="1"/>
          </rPr>
          <t>Max Arnson:</t>
        </r>
        <r>
          <rPr>
            <sz val="9"/>
            <color indexed="81"/>
            <rFont val="Tahoma"/>
            <charset val="1"/>
          </rPr>
          <t xml:space="preserve">
not a typo. Its 13.8 (Roux)
</t>
        </r>
      </text>
    </comment>
    <comment ref="R24" authorId="1" shapeId="0" xr:uid="{19D2851C-A8ED-4253-8CC9-22CD7ACB3293}">
      <text>
        <t xml:space="preserve">[Threaded comment]
Your version of Excel allows you to read this threaded comment; however, any edits to it will get removed if the file is opened in a newer version of Excel. Learn more: https://go.microsoft.com/fwlink/?linkid=870924
Comment:
    EASA FAA discrepancy
</t>
      </text>
    </comment>
    <comment ref="S24" authorId="2" shapeId="0" xr:uid="{8DC68BCD-7626-401F-8862-3EC8F3E03040}">
      <text>
        <t>[Threaded comment]
Your version of Excel allows you to read this threaded comment; however, any edits to it will get removed if the file is opened in a newer version of Excel. Learn more: https://go.microsoft.com/fwlink/?linkid=870924
Comment:
    FAA EASA Discrepancy</t>
      </text>
    </comment>
    <comment ref="T24" authorId="3" shapeId="0" xr:uid="{29499CAF-E7A7-435C-99ED-24ADEBD134B4}">
      <text>
        <t xml:space="preserve">[Threaded comment]
Your version of Excel allows you to read this threaded comment; however, any edits to it will get removed if the file is opened in a newer version of Excel. Learn more: https://go.microsoft.com/fwlink/?linkid=870924
Comment:
    FAA EASA Discrepancy
</t>
      </text>
    </comment>
    <comment ref="U24" authorId="4" shapeId="0" xr:uid="{1578470B-3FB8-4825-87F7-F13822058320}">
      <text>
        <t>[Threaded comment]
Your version of Excel allows you to read this threaded comment; however, any edits to it will get removed if the file is opened in a newer version of Excel. Learn more: https://go.microsoft.com/fwlink/?linkid=870924
Comment:
    FAA EASA Discrepancy</t>
      </text>
    </comment>
    <comment ref="V24" authorId="5" shapeId="0" xr:uid="{94AB23C4-4A48-47AF-A4C9-2635787629A8}">
      <text>
        <t>[Threaded comment]
Your version of Excel allows you to read this threaded comment; however, any edits to it will get removed if the file is opened in a newer version of Excel. Learn more: https://go.microsoft.com/fwlink/?linkid=870924
Comment:
    FAA EASA Discrepancy</t>
      </text>
    </comment>
    <comment ref="W24" authorId="6" shapeId="0" xr:uid="{D7D57AD5-C347-46E3-A9C4-5567D12BC19D}">
      <text>
        <t>[Threaded comment]
Your version of Excel allows you to read this threaded comment; however, any edits to it will get removed if the file is opened in a newer version of Excel. Learn more: https://go.microsoft.com/fwlink/?linkid=870924
Comment:
    FAA EASA Discrepancy</t>
      </text>
    </comment>
    <comment ref="Y24" authorId="7" shapeId="0" xr:uid="{94287153-E527-4F1C-A319-FED8FFFCB604}">
      <text>
        <t xml:space="preserve">[Threaded comment]
Your version of Excel allows you to read this threaded comment; however, any edits to it will get removed if the file is opened in a newer version of Excel. Learn more: https://go.microsoft.com/fwlink/?linkid=870924
Comment:
    FAA EASA Discrepancy
</t>
      </text>
    </comment>
    <comment ref="AA24" authorId="8" shapeId="0" xr:uid="{1F58A833-E01A-4738-B753-AC52E4C0EB87}">
      <text>
        <t xml:space="preserve">[Threaded comment]
Your version of Excel allows you to read this threaded comment; however, any edits to it will get removed if the file is opened in a newer version of Excel. Learn more: https://go.microsoft.com/fwlink/?linkid=870924
Comment:
    FAA EASA Discrepancy
</t>
      </text>
    </comment>
    <comment ref="AB24" authorId="9" shapeId="0" xr:uid="{8BF75608-4402-41DF-8D10-B786C423032D}">
      <text>
        <t xml:space="preserve">[Threaded comment]
Your version of Excel allows you to read this threaded comment; however, any edits to it will get removed if the file is opened in a newer version of Excel. Learn more: https://go.microsoft.com/fwlink/?linkid=870924
Comment:
    FAA EASA Discrepancy
</t>
      </text>
    </comment>
    <comment ref="A42" authorId="0" shapeId="0" xr:uid="{93AF0C97-F13E-462D-AD4F-8EC9CF12FDF8}">
      <text>
        <r>
          <rPr>
            <b/>
            <sz val="9"/>
            <color indexed="81"/>
            <rFont val="Tahoma"/>
            <family val="2"/>
          </rPr>
          <t>Max Arnson:</t>
        </r>
        <r>
          <rPr>
            <sz val="9"/>
            <color indexed="81"/>
            <rFont val="Tahoma"/>
            <family val="2"/>
          </rPr>
          <t xml:space="preserve">
RPMS recorded for maximum continuous thrust</t>
        </r>
      </text>
    </comment>
    <comment ref="A56" authorId="0" shapeId="0" xr:uid="{B36ABDE0-C684-47C7-9E10-FBBE4896DCE0}">
      <text>
        <r>
          <rPr>
            <b/>
            <sz val="9"/>
            <color indexed="81"/>
            <rFont val="Tahoma"/>
            <family val="2"/>
          </rPr>
          <t>Max Arnson:</t>
        </r>
        <r>
          <rPr>
            <sz val="9"/>
            <color indexed="81"/>
            <rFont val="Tahoma"/>
            <family val="2"/>
          </rPr>
          <t xml:space="preserve">
Maximum continuous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Patel, Janki</author>
    <author>Max Arnson</author>
    <author>Tsai, Michael</author>
    <author>Arnson, Maxfield</author>
    <author>tc={FFC10899-72A6-4C33-AA82-5B048F4612B3}</author>
    <author>tc={389BF4C0-FCE2-49BD-88D5-1A040C0B87E4}</author>
    <author>tc={99126E9E-E2FD-4A85-BD26-12DD764D94F2}</author>
    <author>tc={BD2F098C-69A8-4F4B-B34E-D8F10B5084E5}</author>
  </authors>
  <commentList>
    <comment ref="A1" authorId="0" shapeId="0" xr:uid="{AD7C3946-BC7D-45CE-8950-0177C047CBE2}">
      <text>
        <r>
          <rPr>
            <sz val="11"/>
            <color theme="1"/>
            <rFont val="Calibri"/>
            <family val="2"/>
            <scheme val="minor"/>
          </rPr>
          <t xml:space="preserve">Patel, Janki:
Peach = in SOW
Dark Orange = added aircraft
Light Blue = repeated planes with slight variation (either in engine or weight variant). 
</t>
        </r>
      </text>
    </comment>
    <comment ref="AS1" authorId="0" shapeId="0" xr:uid="{3580EA0F-6AD7-46BF-A328-48FB00378D41}">
      <text>
        <r>
          <rPr>
            <sz val="11"/>
            <color theme="1"/>
            <rFont val="Calibri"/>
            <family val="2"/>
            <scheme val="minor"/>
          </rPr>
          <t>Patel, Janki:
for serial numbers 7440001 - 7640065 and 7640067 - 7640071</t>
        </r>
      </text>
    </comment>
    <comment ref="AT1" authorId="0" shapeId="0" xr:uid="{4D71739B-27EA-4D4B-9D5D-8338AD4F0F87}">
      <text>
        <r>
          <rPr>
            <sz val="11"/>
            <color theme="1"/>
            <rFont val="Calibri"/>
            <family val="2"/>
            <scheme val="minor"/>
          </rPr>
          <t>Patel, Janki:
for serial numbers 7640066 and 7640072 and up</t>
        </r>
      </text>
    </comment>
    <comment ref="AU1" authorId="0" shapeId="0" xr:uid="{574FC769-2252-4392-826C-DC75E91E9A8B}">
      <text>
        <r>
          <rPr>
            <sz val="11"/>
            <color theme="1"/>
            <rFont val="Calibri"/>
            <family val="2"/>
            <scheme val="minor"/>
          </rPr>
          <t xml:space="preserve">Patel, Janki:
POH not available anymore
</t>
        </r>
      </text>
    </comment>
    <comment ref="AV1" authorId="0" shapeId="0" xr:uid="{8FE60BC1-9546-491A-AA4A-4B1D4339EB3A}">
      <text>
        <r>
          <rPr>
            <sz val="11"/>
            <color theme="1"/>
            <rFont val="Calibri"/>
            <family val="2"/>
            <scheme val="minor"/>
          </rPr>
          <t xml:space="preserve">Patel, Janki:
POH not available anymore
</t>
        </r>
      </text>
    </comment>
    <comment ref="BU1" authorId="1" shapeId="0" xr:uid="{5AC612A9-E73C-4879-85A8-32AE5ECF7B1A}">
      <text>
        <r>
          <rPr>
            <b/>
            <sz val="9"/>
            <color indexed="81"/>
            <rFont val="Tahoma"/>
            <family val="2"/>
          </rPr>
          <t>Max Arnson:</t>
        </r>
        <r>
          <rPr>
            <sz val="9"/>
            <color indexed="81"/>
            <rFont val="Tahoma"/>
            <family val="2"/>
          </rPr>
          <t xml:space="preserve">
not a lot of info on this one besides this website which I found in the references from a wikipedia article: https://web.archive.org/web/20161006005926/http://www2.bombardier.com/q400/en/specifications.jsp</t>
        </r>
      </text>
    </comment>
    <comment ref="DV1" authorId="2" shapeId="0" xr:uid="{FAF98AEC-4F0A-4D78-A027-4DC5D35AAB7E}">
      <text>
        <r>
          <rPr>
            <sz val="11"/>
            <color theme="1"/>
            <rFont val="Calibri"/>
            <family val="2"/>
            <scheme val="minor"/>
          </rPr>
          <t xml:space="preserve">Tsai, Michael:
There is a Freighter Version  </t>
        </r>
      </text>
    </comment>
    <comment ref="DW1" authorId="2" shapeId="0" xr:uid="{8550436C-8843-4C45-9222-42FCC8D88F8C}">
      <text>
        <r>
          <rPr>
            <sz val="11"/>
            <color theme="1"/>
            <rFont val="Calibri"/>
            <family val="2"/>
            <scheme val="minor"/>
          </rPr>
          <t>Tsai, Michael:
There is a Freighter Version</t>
        </r>
      </text>
    </comment>
    <comment ref="DX1" authorId="2" shapeId="0" xr:uid="{83707740-0697-46D0-A496-FB15F54B51AA}">
      <text>
        <r>
          <rPr>
            <sz val="11"/>
            <color theme="1"/>
            <rFont val="Calibri"/>
            <family val="2"/>
            <scheme val="minor"/>
          </rPr>
          <t>Tsai, Michael:
There is a Freighter Version</t>
        </r>
      </text>
    </comment>
    <comment ref="DY1" authorId="2" shapeId="0" xr:uid="{2F6A6160-03EC-413B-8AA6-1BCAF1A51555}">
      <text>
        <r>
          <rPr>
            <sz val="11"/>
            <color theme="1"/>
            <rFont val="Calibri"/>
            <family val="2"/>
            <scheme val="minor"/>
          </rPr>
          <t>Tsai, Michael:
There is a Freighter Version</t>
        </r>
      </text>
    </comment>
    <comment ref="DZ1" authorId="2" shapeId="0" xr:uid="{20DD3BB9-3BAA-402D-96BE-9ECA3F66CE17}">
      <text>
        <r>
          <rPr>
            <sz val="11"/>
            <color theme="1"/>
            <rFont val="Calibri"/>
            <family val="2"/>
            <scheme val="minor"/>
          </rPr>
          <t>Tsai, Michael:
There is a Freighter Version</t>
        </r>
      </text>
    </comment>
    <comment ref="EA1" authorId="2" shapeId="0" xr:uid="{28D8216E-E036-44FF-8B26-0968DFB42A7A}">
      <text>
        <r>
          <rPr>
            <sz val="11"/>
            <color theme="1"/>
            <rFont val="Calibri"/>
            <family val="2"/>
            <scheme val="minor"/>
          </rPr>
          <t>Tsai, Michael:
There is a Freighter Version</t>
        </r>
      </text>
    </comment>
    <comment ref="EB1" authorId="2" shapeId="0" xr:uid="{D0E014C0-E0C4-4808-8B67-0333BF6E4C04}">
      <text>
        <r>
          <rPr>
            <sz val="11"/>
            <color theme="1"/>
            <rFont val="Calibri"/>
            <family val="2"/>
            <scheme val="minor"/>
          </rPr>
          <t>Tsai, Michael:
There is a Freighter Version</t>
        </r>
      </text>
    </comment>
    <comment ref="EU1" authorId="2" shapeId="0" xr:uid="{CAC33700-D663-4168-88BE-32F1EDF70684}">
      <text>
        <r>
          <rPr>
            <sz val="11"/>
            <color theme="1"/>
            <rFont val="Calibri"/>
            <family val="2"/>
            <scheme val="minor"/>
          </rPr>
          <t>Tsai, Michael:
5 Abreast</t>
        </r>
      </text>
    </comment>
    <comment ref="EV1" authorId="2" shapeId="0" xr:uid="{C9480F0F-5BE1-428A-8C6C-9F701C273400}">
      <text>
        <r>
          <rPr>
            <sz val="11"/>
            <color theme="1"/>
            <rFont val="Calibri"/>
            <family val="2"/>
            <scheme val="minor"/>
          </rPr>
          <t xml:space="preserve">Tsai, Michael:
6 Abreast
</t>
        </r>
      </text>
    </comment>
    <comment ref="EW1" authorId="2" shapeId="0" xr:uid="{7DBB61AC-DC1F-4349-8875-A752F6FD3179}">
      <text>
        <r>
          <rPr>
            <sz val="11"/>
            <color theme="1"/>
            <rFont val="Calibri"/>
            <family val="2"/>
            <scheme val="minor"/>
          </rPr>
          <t>Tsai, Michael:
5 Abreast</t>
        </r>
      </text>
    </comment>
    <comment ref="EX1" authorId="2" shapeId="0" xr:uid="{C614536B-15A1-44E3-A5DA-C1E6FC9BA1EE}">
      <text>
        <r>
          <rPr>
            <sz val="11"/>
            <color theme="1"/>
            <rFont val="Calibri"/>
            <family val="2"/>
            <scheme val="minor"/>
          </rPr>
          <t>Tsai, Michael:
6 Abreast</t>
        </r>
      </text>
    </comment>
    <comment ref="EY1" authorId="2" shapeId="0" xr:uid="{17D7CDFC-B962-494D-8A4A-B909B0231698}">
      <text>
        <r>
          <rPr>
            <sz val="11"/>
            <color theme="1"/>
            <rFont val="Calibri"/>
            <family val="2"/>
            <scheme val="minor"/>
          </rPr>
          <t>Tsai, Michael:
5 Abreast</t>
        </r>
      </text>
    </comment>
    <comment ref="EZ1" authorId="2" shapeId="0" xr:uid="{A7298454-55F9-4591-A238-BECB8DD9B6E7}">
      <text>
        <r>
          <rPr>
            <sz val="11"/>
            <color theme="1"/>
            <rFont val="Calibri"/>
            <family val="2"/>
            <scheme val="minor"/>
          </rPr>
          <t>Tsai, Michael:
6 Abreast</t>
        </r>
      </text>
    </comment>
    <comment ref="FA1" authorId="2" shapeId="0" xr:uid="{31CCFAED-D92F-4BFF-8EC2-8E9A0B1CEF0B}">
      <text>
        <r>
          <rPr>
            <sz val="11"/>
            <color theme="1"/>
            <rFont val="Calibri"/>
            <family val="2"/>
            <scheme val="minor"/>
          </rPr>
          <t xml:space="preserve">Tsai, Michael:
5 Abreast
C for combi (Faster conversion between passenger and cargo)
</t>
        </r>
      </text>
    </comment>
    <comment ref="FB1" authorId="2" shapeId="0" xr:uid="{B2EF08FC-1CDC-400F-82A9-1FA95BA53B83}">
      <text>
        <r>
          <rPr>
            <sz val="11"/>
            <color theme="1"/>
            <rFont val="Calibri"/>
            <family val="2"/>
            <scheme val="minor"/>
          </rPr>
          <t xml:space="preserve">Tsai, Michael:
6 Abreast
NOTE: has executive version
</t>
        </r>
      </text>
    </comment>
    <comment ref="FM1" authorId="2" shapeId="0" xr:uid="{39F58F40-8654-4E92-92D3-95654352B258}">
      <text>
        <r>
          <rPr>
            <sz val="11"/>
            <color theme="1"/>
            <rFont val="Calibri"/>
            <family val="2"/>
            <scheme val="minor"/>
          </rPr>
          <t xml:space="preserve">Tsai, Michael:
Business Jet from 737-700 </t>
        </r>
      </text>
    </comment>
    <comment ref="FN1" authorId="2" shapeId="0" xr:uid="{9CC390A5-F218-4C27-9CE2-D0E00E0A5692}">
      <text>
        <r>
          <rPr>
            <sz val="11"/>
            <color theme="1"/>
            <rFont val="Calibri"/>
            <family val="2"/>
            <scheme val="minor"/>
          </rPr>
          <t xml:space="preserve">Tsai, Michael:
Business Jet from 737-800
</t>
        </r>
      </text>
    </comment>
    <comment ref="FQ1" authorId="2" shapeId="0" xr:uid="{242E1D01-3D26-43BB-97D3-BC58DEC39AE6}">
      <text>
        <r>
          <rPr>
            <sz val="11"/>
            <color theme="1"/>
            <rFont val="Calibri"/>
            <family val="2"/>
            <scheme val="minor"/>
          </rPr>
          <t>Tsai, Michael:
Higher Passenger Capacity MAX 8 model 200+ passenger</t>
        </r>
      </text>
    </comment>
    <comment ref="FS1" authorId="2" shapeId="0" xr:uid="{9B9D636C-9625-42CE-A7C0-2BB086F70DEB}">
      <text>
        <r>
          <rPr>
            <sz val="11"/>
            <color theme="1"/>
            <rFont val="Calibri"/>
            <family val="2"/>
            <scheme val="minor"/>
          </rPr>
          <t>Tsai, Michael:
Information on 737-10 is preliminary</t>
        </r>
      </text>
    </comment>
    <comment ref="FV1" authorId="2" shapeId="0" xr:uid="{BE65BD8C-5BAF-4F70-A294-DC59345237AD}">
      <text>
        <r>
          <rPr>
            <sz val="11"/>
            <color theme="1"/>
            <rFont val="Calibri"/>
            <family val="2"/>
            <scheme val="minor"/>
          </rPr>
          <t>Tsai, Michael:
Pratt and Whitney Engine</t>
        </r>
      </text>
    </comment>
    <comment ref="FW1" authorId="2" shapeId="0" xr:uid="{EE038C38-B9F4-4BA3-B527-2008E3D13DE2}">
      <text>
        <r>
          <rPr>
            <sz val="11"/>
            <color theme="1"/>
            <rFont val="Calibri"/>
            <family val="2"/>
            <scheme val="minor"/>
          </rPr>
          <t>Tsai, Michael:
Pratt and Whitney Engine</t>
        </r>
      </text>
    </comment>
    <comment ref="FX1" authorId="2" shapeId="0" xr:uid="{9C3BEE4C-C47A-4725-9B24-6313CEDEA5A5}">
      <text>
        <r>
          <rPr>
            <sz val="11"/>
            <color theme="1"/>
            <rFont val="Calibri"/>
            <family val="2"/>
            <scheme val="minor"/>
          </rPr>
          <t>Tsai, Michael:
Roll Royce Engine</t>
        </r>
      </text>
    </comment>
    <comment ref="FY1" authorId="2" shapeId="0" xr:uid="{B29AE309-E7AF-4158-A3A1-2150A0001285}">
      <text>
        <r>
          <rPr>
            <sz val="11"/>
            <color theme="1"/>
            <rFont val="Calibri"/>
            <family val="2"/>
            <scheme val="minor"/>
          </rPr>
          <t>Tsai, Michael:
Roll Royce Engine</t>
        </r>
      </text>
    </comment>
    <comment ref="FZ1" authorId="2" shapeId="0" xr:uid="{3B5DD0E9-CD7E-4CBF-9FC1-BE8C19311798}">
      <text>
        <r>
          <rPr>
            <sz val="11"/>
            <color theme="1"/>
            <rFont val="Calibri"/>
            <family val="2"/>
            <scheme val="minor"/>
          </rPr>
          <t>Tsai, Michael:
Pratt and Whitney Engine</t>
        </r>
      </text>
    </comment>
    <comment ref="GA1" authorId="2" shapeId="0" xr:uid="{CB05FA15-C3CA-45C2-9C8B-CC07CD1A0A3E}">
      <text>
        <r>
          <rPr>
            <sz val="11"/>
            <color theme="1"/>
            <rFont val="Calibri"/>
            <family val="2"/>
            <scheme val="minor"/>
          </rPr>
          <t>Tsai, Michael:
Pratt and Whitney Engine</t>
        </r>
      </text>
    </comment>
    <comment ref="GB1" authorId="2" shapeId="0" xr:uid="{D41E922C-6D4C-4047-9234-6AD7015347BC}">
      <text>
        <r>
          <rPr>
            <sz val="11"/>
            <color theme="1"/>
            <rFont val="Calibri"/>
            <family val="2"/>
            <scheme val="minor"/>
          </rPr>
          <t>Tsai, Michael:
Pratt and Whitney</t>
        </r>
      </text>
    </comment>
    <comment ref="GC1" authorId="2" shapeId="0" xr:uid="{FA9E87E8-1EF2-4242-9710-D73C2D2F063D}">
      <text>
        <r>
          <rPr>
            <sz val="11"/>
            <color theme="1"/>
            <rFont val="Calibri"/>
            <family val="2"/>
            <scheme val="minor"/>
          </rPr>
          <t>Tsai, Michael:
Pratt and Whitney</t>
        </r>
      </text>
    </comment>
    <comment ref="GD1" authorId="2" shapeId="0" xr:uid="{B51766BA-3BB3-48E3-B9B5-AAF73A69890C}">
      <text>
        <r>
          <rPr>
            <sz val="11"/>
            <color theme="1"/>
            <rFont val="Calibri"/>
            <family val="2"/>
            <scheme val="minor"/>
          </rPr>
          <t>Tsai, Michael:
Pratt and Whitney</t>
        </r>
      </text>
    </comment>
    <comment ref="GE1" authorId="2" shapeId="0" xr:uid="{E089B946-7CEA-433E-BE1C-44F82B20EC77}">
      <text>
        <r>
          <rPr>
            <sz val="11"/>
            <color theme="1"/>
            <rFont val="Calibri"/>
            <family val="2"/>
            <scheme val="minor"/>
          </rPr>
          <t>Tsai, Michael:
Pratt and Whitney</t>
        </r>
      </text>
    </comment>
    <comment ref="HA1" authorId="2" shapeId="0" xr:uid="{4E73E1FD-9080-479E-8DBC-12AFC8354ED0}">
      <text>
        <r>
          <rPr>
            <sz val="11"/>
            <color theme="1"/>
            <rFont val="Calibri"/>
            <family val="2"/>
            <scheme val="minor"/>
          </rPr>
          <t xml:space="preserve">Tsai, Michael:
Has Business Jet Version (ACJ) </t>
        </r>
      </text>
    </comment>
    <comment ref="HB1" authorId="2" shapeId="0" xr:uid="{3686C023-6C9D-440E-95D4-59B6BFE350E9}">
      <text>
        <r>
          <rPr>
            <sz val="11"/>
            <color theme="1"/>
            <rFont val="Calibri"/>
            <family val="2"/>
            <scheme val="minor"/>
          </rPr>
          <t xml:space="preserve">Tsai, Michael:
Has Business Jet Version (ACJ) </t>
        </r>
      </text>
    </comment>
    <comment ref="HE1" authorId="2" shapeId="0" xr:uid="{3C2E2C28-D644-443D-BC13-537460433D85}">
      <text>
        <r>
          <rPr>
            <sz val="11"/>
            <color theme="1"/>
            <rFont val="Calibri"/>
            <family val="2"/>
            <scheme val="minor"/>
          </rPr>
          <t>Tsai, Michael:
- With Sharklet
- Has ACJ version</t>
        </r>
      </text>
    </comment>
    <comment ref="HG1" authorId="2" shapeId="0" xr:uid="{A6BC10E7-149D-4ADA-A714-CAC5297BA599}">
      <text>
        <r>
          <rPr>
            <sz val="11"/>
            <color theme="1"/>
            <rFont val="Calibri"/>
            <family val="2"/>
            <scheme val="minor"/>
          </rPr>
          <t>Tsai, Michael:
With Sharklet</t>
        </r>
      </text>
    </comment>
    <comment ref="HI1" authorId="2" shapeId="0" xr:uid="{72AA70A0-1093-4CE5-A972-EF1382C18E36}">
      <text>
        <r>
          <rPr>
            <sz val="11"/>
            <color theme="1"/>
            <rFont val="Calibri"/>
            <family val="2"/>
            <scheme val="minor"/>
          </rPr>
          <t>Tsai, Michael:
Has ACJ version</t>
        </r>
      </text>
    </comment>
    <comment ref="HN1" authorId="2" shapeId="0" xr:uid="{D7C7BE9B-0D15-485C-BF76-0F05DCF782A4}">
      <text>
        <r>
          <rPr>
            <sz val="11"/>
            <color theme="1"/>
            <rFont val="Calibri"/>
            <family val="2"/>
            <scheme val="minor"/>
          </rPr>
          <t>Tsai, Michael:
with Sharklet</t>
        </r>
      </text>
    </comment>
    <comment ref="HO1" authorId="2" shapeId="0" xr:uid="{0C4FA297-AC49-47E4-A488-383AB90DCAC9}">
      <text>
        <r>
          <rPr>
            <sz val="11"/>
            <color theme="1"/>
            <rFont val="Calibri"/>
            <family val="2"/>
            <scheme val="minor"/>
          </rPr>
          <t>Tsai, Michael:
with Sharklet</t>
        </r>
      </text>
    </comment>
    <comment ref="HQ1" authorId="2" shapeId="0" xr:uid="{D6021457-C5C9-48B9-A9CF-DDDD00745ACE}">
      <text>
        <r>
          <rPr>
            <sz val="11"/>
            <color theme="1"/>
            <rFont val="Calibri"/>
            <family val="2"/>
            <scheme val="minor"/>
          </rPr>
          <t>Tsai, Michael:
Has ACJ version</t>
        </r>
      </text>
    </comment>
    <comment ref="HT1" authorId="2" shapeId="0" xr:uid="{1E781813-A83F-4A3F-A93B-C30C01C98D86}">
      <text>
        <r>
          <rPr>
            <sz val="11"/>
            <color theme="1"/>
            <rFont val="Calibri"/>
            <family val="2"/>
            <scheme val="minor"/>
          </rPr>
          <t>Tsai, Michael:
Has ACJ version</t>
        </r>
      </text>
    </comment>
    <comment ref="HU1" authorId="2" shapeId="0" xr:uid="{94C9D32C-0E86-4CBD-B1AD-D172AC4BD3D4}">
      <text>
        <r>
          <rPr>
            <sz val="11"/>
            <color theme="1"/>
            <rFont val="Calibri"/>
            <family val="2"/>
            <scheme val="minor"/>
          </rPr>
          <t xml:space="preserve">Tsai, Michael:
Has ACJ version
</t>
        </r>
      </text>
    </comment>
    <comment ref="HV1" authorId="2" shapeId="0" xr:uid="{7182EB22-C147-4527-ADFE-7A90BF7A91BA}">
      <text>
        <r>
          <rPr>
            <sz val="11"/>
            <color theme="1"/>
            <rFont val="Calibri"/>
            <family val="2"/>
            <scheme val="minor"/>
          </rPr>
          <t>Tsai, Michael:
-100 vs -200: 
-200 higher MTOW +350 nm more range</t>
        </r>
      </text>
    </comment>
    <comment ref="HW1" authorId="2" shapeId="0" xr:uid="{79781419-E1D6-45F1-BD72-517E5CD541D8}">
      <text>
        <r>
          <rPr>
            <sz val="11"/>
            <color theme="1"/>
            <rFont val="Calibri"/>
            <family val="2"/>
            <scheme val="minor"/>
          </rPr>
          <t>Tsai, Michael:
with Sharklet</t>
        </r>
      </text>
    </comment>
    <comment ref="HZ1" authorId="2" shapeId="0" xr:uid="{B1EB33AB-5A98-47AD-ABCC-2D396885A7FB}">
      <text>
        <r>
          <rPr>
            <sz val="11"/>
            <color theme="1"/>
            <rFont val="Calibri"/>
            <family val="2"/>
            <scheme val="minor"/>
          </rPr>
          <t>Tsai, Michael:
Sharklet</t>
        </r>
      </text>
    </comment>
    <comment ref="ID1" authorId="2" shapeId="0" xr:uid="{008DDBD2-FF07-4EC1-9F68-E9398DCF42F4}">
      <text>
        <r>
          <rPr>
            <sz val="11"/>
            <color theme="1"/>
            <rFont val="Calibri"/>
            <family val="2"/>
            <scheme val="minor"/>
          </rPr>
          <t>Tsai, Michael:
has ACF
2act</t>
        </r>
      </text>
    </comment>
    <comment ref="B2" authorId="0" shapeId="0" xr:uid="{B3C42419-F8B1-4480-BC55-04177D549173}">
      <text>
        <r>
          <rPr>
            <sz val="11"/>
            <color theme="1"/>
            <rFont val="Calibri"/>
            <family val="2"/>
            <scheme val="minor"/>
          </rPr>
          <t xml:space="preserve">Patel, Janki:
https://reaa.ru/attachments/o300d-pdf.160219/
http://www.monticellofc.org/aircraft/C172F%20POH.pdf
https://customer-janes-com.proxy.lib.umich.edu/explorer/Equipment_6954?bc=7f7247e9-0c8f-465e-b0bb-8c89bc4e1130
</t>
        </r>
      </text>
    </comment>
    <comment ref="C2" authorId="0" shapeId="0" xr:uid="{DCBCFA50-A977-4C48-B7B0-10120CA61F20}">
      <text>
        <r>
          <rPr>
            <sz val="11"/>
            <color theme="1"/>
            <rFont val="Calibri"/>
            <family val="2"/>
            <scheme val="minor"/>
          </rPr>
          <t xml:space="preserve">Patel, Janki:
https://reaa.ru/attachments/o300d-pdf.160219/
http://www.monticellofc.org/aircraft/C172F%20POH.pdf
https://customer-janes-com.proxy.lib.umich.edu/explorer/Equipment_6954?bc=7f7247e9-0c8f-465e-b0bb-8c89bc4e1130
</t>
        </r>
      </text>
    </comment>
    <comment ref="D2" authorId="0" shapeId="0" xr:uid="{B9177F0D-333A-47DE-A3F3-DA734D9BE56C}">
      <text>
        <r>
          <rPr>
            <sz val="11"/>
            <color theme="1"/>
            <rFont val="Calibri"/>
            <family val="2"/>
            <scheme val="minor"/>
          </rPr>
          <t>Patel, Janki:
https://www.lycoming.com/sites/default/files/O-320%20Operator%20Manual%2060297-30.pdf
https://www.befa.org/wp-content/uploads/2019/12/POH-Cessna-172P.pdf</t>
        </r>
      </text>
    </comment>
    <comment ref="E2" authorId="0" shapeId="0" xr:uid="{6FF0099C-D451-45B9-B6EC-E2964ED2BFD4}">
      <text>
        <r>
          <rPr>
            <sz val="11"/>
            <color theme="1"/>
            <rFont val="Calibri"/>
            <family val="2"/>
            <scheme val="minor"/>
          </rPr>
          <t xml:space="preserve">Patel, Janki:
https://www.flygoodyear.com/images/downloads/Cessna%20CE-172SP%20POH.pdf
https://www.easa.europa.eu/downloads/7741/en
https://customer-janes-com.proxy.lib.umich.edu/explorer/Equipment_6954?bc=b5257297-a95f-432f-9186-f98c38125b04&amp;explorerState=7d242b38-f5de-4e4a-a571-bdd45b034d04
</t>
        </r>
      </text>
    </comment>
    <comment ref="F2" authorId="0" shapeId="0" xr:uid="{C6FC13DD-E30B-464B-9336-D0631466B62F}">
      <text>
        <r>
          <rPr>
            <sz val="11"/>
            <color theme="1"/>
            <rFont val="Calibri"/>
            <family val="2"/>
            <scheme val="minor"/>
          </rPr>
          <t xml:space="preserve">Patel, Janki:
https://wayman.edu/files/172R-POH.pdf
https://www.easa.europa.eu/downloads/7741/en
https://customer-janes-com.proxy.lib.umich.edu/Janes/Display/JAE_A095-JAE_
</t>
        </r>
      </text>
    </comment>
    <comment ref="G2" authorId="0" shapeId="0" xr:uid="{7363EBBD-0E45-4ED0-8B19-73F083B41E4D}">
      <text>
        <r>
          <rPr>
            <sz val="11"/>
            <color theme="1"/>
            <rFont val="Calibri"/>
            <family val="2"/>
            <scheme val="minor"/>
          </rPr>
          <t xml:space="preserve">Patel, Janki:
https://www.continental.aero/engines/500.aspx
http://kirtlandflightcenter.org/wp-content/uploads/T-41_POH.pdf
</t>
        </r>
      </text>
    </comment>
    <comment ref="H2" authorId="0" shapeId="0" xr:uid="{A7F2BCC3-5BDE-4C1F-9C62-7D25D2B1E977}">
      <text>
        <r>
          <rPr>
            <sz val="11"/>
            <color theme="1"/>
            <rFont val="Calibri"/>
            <family val="2"/>
            <scheme val="minor"/>
          </rPr>
          <t xml:space="preserve">Patel, Janki:
https://rgl.faa.gov/REGULATORY_AND_GUIDANCE_LIBRARY/RGMAKEMODEL.NSF/0/3f839365ab8ff3e68525670e0047b644/$FILE/E8ce.pdf
https://customer-janes-com.proxy.lib.umich.edu/explorer/Equipment_14922?bc=5c3fbf81-ebf8-496a-8406-2561c7c11c61
</t>
        </r>
      </text>
    </comment>
    <comment ref="I2" authorId="0" shapeId="0" xr:uid="{DD7FFAAE-104F-491D-B068-ECE2EDB484C7}">
      <text>
        <r>
          <rPr>
            <sz val="11"/>
            <color theme="1"/>
            <rFont val="Calibri"/>
            <family val="2"/>
            <scheme val="minor"/>
          </rPr>
          <t xml:space="preserve">Patel, Janki:
https://aeroresourcesinc.com/proj98-ci/WebContent/uploads/198303-1983%20Cessna%20T-303%20Crusader.pdf
https://rgl.faa.gov/Regulatory_and_Guidance_Library/rgMakeModel.nsf/0/7bfb5a7ace53d4c486257085006e9e7b/$FILE/E-274.pdf
https://customer-janes-com.proxy.lib.umich.edu/explorer/Equipment_13276?bc=57823ea8-69d8-450d-947b-c3b433a9207f&amp;explorerState=eb2bddd3-4420-4fd0-ab1a-ff01d2616474
</t>
        </r>
      </text>
    </comment>
    <comment ref="J2" authorId="0" shapeId="0" xr:uid="{FE7E1795-7C1E-4E22-8C90-21768D53CCBB}">
      <text>
        <r>
          <rPr>
            <sz val="11"/>
            <color theme="1"/>
            <rFont val="Calibri"/>
            <family val="2"/>
            <scheme val="minor"/>
          </rPr>
          <t xml:space="preserve">Patel, Janki:
https://aerowoodaviation.com/site/wp-content/uploads/2022/06/172M-POH-1973.pdf
https://rgl.faa.gov/Regulatory_and_Guidance_Library/rgMakeModel.nsf/0/7bfb5a7ace53d4c486257085006e9e7b/$FILE/E-274.pdf
https://customer-janes-com.proxy.lib.umich.edu/explorer/Equipment_6960?bc=03d85392-0f5a-4f36-9ad6-bc11d7e9862f&amp;explorerState=21b3b564-900a-4106-a361-283ee190a831
</t>
        </r>
      </text>
    </comment>
    <comment ref="K2" authorId="0" shapeId="0" xr:uid="{7467E24E-A5CF-4A8E-BDCB-8AFCA3583E93}">
      <text>
        <r>
          <rPr>
            <sz val="11"/>
            <color theme="1"/>
            <rFont val="Calibri"/>
            <family val="2"/>
            <scheme val="minor"/>
          </rPr>
          <t xml:space="preserve">Patel, Janki:
https://aerowoodaviation.com/site/wp-content/uploads/2022/06/Cessna-150G-Owners-Manual.pdf
https://www.continental.aero/uploadedFiles/Content/Engines/Gasoline_engines/200AvGas-SpecSheet.pdf
https://customer-janes-com.proxy.lib.umich.edu/Janes/Display/JAU_9060-JAU_
</t>
        </r>
      </text>
    </comment>
    <comment ref="L2" authorId="0" shapeId="0" xr:uid="{1CA93D4B-92F7-4167-B63C-5E8CA7BDD4D1}">
      <text>
        <r>
          <rPr>
            <sz val="11"/>
            <color theme="1"/>
            <rFont val="Calibri"/>
            <family val="2"/>
            <scheme val="minor"/>
          </rPr>
          <t xml:space="preserve">Patel, Janki:
https://www.continental.aero/uploadedFiles/Content/Engines/Gasoline_engines/200AvGas-SpecSheet.pdf
https://aerowoodaviation.com/site/wp-content/uploads/2019/11/N19289_POH.pdf
https://customer-janes-com.proxy.lib.umich.edu/Janes/Display/JAU_9060-JAU_
</t>
        </r>
      </text>
    </comment>
    <comment ref="M2" authorId="0" shapeId="0" xr:uid="{E6647CBB-71E0-463D-86DA-16755EF2207A}">
      <text>
        <r>
          <rPr>
            <sz val="11"/>
            <color theme="1"/>
            <rFont val="Calibri"/>
            <family val="2"/>
            <scheme val="minor"/>
          </rPr>
          <t xml:space="preserve">Patel, Janki:
http://www.continental.aero/uploadedFiles/Content/xHome/Billboards/500series_032012.pdf
https://static1.squarespace.com/static/5a99aa44506fbed0986eea14/t/5a9a1dc8e2c48369e0efaaba/1520049616086/C207POH_part1.pdf
https://customer-janes-com.proxy.lib.umich.edu/explorer/Equipment_11225?bc=55e06a77-280d-42c1-ae1b-b2a8eb2d020c&amp;explorerState=aea8f1ed-aa88-4820-b8b5-33ddcb93c512
</t>
        </r>
      </text>
    </comment>
    <comment ref="N2" authorId="0" shapeId="0" xr:uid="{02D33B7E-8AF1-4921-9BEE-4DE5AE971638}">
      <text>
        <r>
          <rPr>
            <sz val="11"/>
            <color theme="1"/>
            <rFont val="Calibri"/>
            <family val="2"/>
            <scheme val="minor"/>
          </rPr>
          <t xml:space="preserve">Patel, Janki:
https://www.bidnet.com/bneattachments?/356166363.pdf
https://caravannation.com/208BG1000POH.pdf
https://customer-janes-com.proxy.lib.umich.edu/explorer/Equipment_13766?bc=b52eb2c5-2c21-43e1-aed1-7066d1625ba2&amp;explorerState=c614d572-21e9-4644-8e68-f297005c1e2c
</t>
        </r>
      </text>
    </comment>
    <comment ref="O2" authorId="0" shapeId="0" xr:uid="{CF3DDE72-E4A5-4715-80B7-D58CA59E47E9}">
      <text>
        <r>
          <rPr>
            <sz val="11"/>
            <color theme="1"/>
            <rFont val="Calibri"/>
            <family val="2"/>
            <scheme val="minor"/>
          </rPr>
          <t xml:space="preserve">Patel, Janki:
https://takeflightsandiego.com/assets/documents/Cessna%20205%20POH.pdf
https://www.continental.aero/engines/400/
</t>
        </r>
      </text>
    </comment>
    <comment ref="P2" authorId="0" shapeId="0" xr:uid="{C5135698-0D8A-4C5F-B7A1-7381C21D9C83}">
      <text>
        <r>
          <rPr>
            <sz val="11"/>
            <color theme="1"/>
            <rFont val="Calibri"/>
            <family val="2"/>
            <scheme val="minor"/>
          </rPr>
          <t xml:space="preserve">Patel, Janki:
https://jasonblair.net/wp-content/uploads/2015/09/Cessna-310K-POH.pdf
https://www.continental.aero/engines/400/
https://customer-janes-com.proxy.lib.umich.edu/explorer/Equipment_13277?bc=566defb0-eaf6-44ab-8920-c230eea7faca&amp;explorerState=4b839a28-6a73-4cde-aa37-451374086b92
</t>
        </r>
      </text>
    </comment>
    <comment ref="Q2" authorId="0" shapeId="0" xr:uid="{4551FC6B-E314-432C-93C5-BC19A89EAB93}">
      <text>
        <r>
          <rPr>
            <sz val="11"/>
            <color theme="1"/>
            <rFont val="Calibri"/>
            <family val="2"/>
            <scheme val="minor"/>
          </rPr>
          <t xml:space="preserve">Patel, Janki:
https://www.redcliffeaeroclub.com.au/files/aircraft/C310R_POH.pdf
http://www.continental.aero/uploadedFiles/Content/xHome/Billboards/500series_032012.pdf
https://customer-janes-com.proxy.lib.umich.edu/explorer/Equipment_13307?bc=749ca6e8-a8a9-4855-a872-5e822f31800e&amp;explorerState=c2560584-612a-42cf-9362-9ddbe5812900
</t>
        </r>
      </text>
    </comment>
    <comment ref="R2" authorId="0" shapeId="0" xr:uid="{BC4D2B50-B282-4340-8AD9-B28120DD6750}">
      <text>
        <r>
          <rPr>
            <sz val="11"/>
            <color theme="1"/>
            <rFont val="Calibri"/>
            <family val="2"/>
            <scheme val="minor"/>
          </rPr>
          <t xml:space="preserve">Patel, Janki:
http://www.continental.aero/uploadedFiles/Content/xHome/Billboards/300series_032012.pdf
https://jasonblair.net/wp-content/uploads/2015/06/Cessna-1971-Super-Skymaster-337-POH.pdf
</t>
        </r>
      </text>
    </comment>
    <comment ref="S2" authorId="0" shapeId="0" xr:uid="{616787DF-8520-43C6-9840-469ACCA4CDCD}">
      <text>
        <r>
          <rPr>
            <sz val="11"/>
            <color theme="1"/>
            <rFont val="Calibri"/>
            <family val="2"/>
            <scheme val="minor"/>
          </rPr>
          <t xml:space="preserve">Patel, Janki:
http://www.continental.aero/uploadedFiles/Content/xHome/Billboards/300series_032012.pdf
https://jasonblair.net/wp-content/uploads/2015/06/Cessna-1971-Super-Skymaster-337-POH.pdf
https://customer-janes-com.proxy.lib.umich.edu/explorer/Equipment_10721?bc=c0f68f45-7d5a-4d04-b12d-c028130b158a&amp;explorerState=fb8bdd0e-0738-4871-95be-a2914cfb5b6c
</t>
        </r>
      </text>
    </comment>
    <comment ref="T2" authorId="0" shapeId="0" xr:uid="{50D5632F-DCED-48EE-8624-07AACB8F237D}">
      <text>
        <r>
          <rPr>
            <sz val="11"/>
            <color theme="1"/>
            <rFont val="Calibri"/>
            <family val="2"/>
            <scheme val="minor"/>
          </rPr>
          <t xml:space="preserve">Patel, Janki:
http://www.continental.aero/uploadedFiles/Content/xHome/Billboards/500series_032012.pdf
https://takeflightsandiego.com/assets/documents/1972%20Cessna%20210L%20POH.pdf
https://customer-janes-com.proxy.lib.umich.edu/explorer/Equipment_4708?bc=5d326089-e829-4dbe-99ef-e6f7f04929dc&amp;explorerState=6496893b-dc3c-440d-9246-9ade63b06b80
</t>
        </r>
      </text>
    </comment>
    <comment ref="U2" authorId="0" shapeId="0" xr:uid="{C33F44E9-3529-47B1-907F-46F0724FAA49}">
      <text>
        <r>
          <rPr>
            <sz val="11"/>
            <color theme="1"/>
            <rFont val="Calibri"/>
            <family val="2"/>
            <scheme val="minor"/>
          </rPr>
          <t xml:space="preserve">Patel, Janki:
http://www.continental.aero/uploadedFiles/Content/xHome/Billboards/500series_032012.pdf
https://takeflightsandiego.com/assets/documents/1972%20Cessna%20210L%20POH.pdf
https://customer-janes-com.proxy.lib.umich.edu/explorer/Equipment_13265?bc=80083f61-3aed-481c-a18c-75c0f5b51113&amp;explorerState=a99d30ed-620a-4bb8-a955-96b5145a9258
</t>
        </r>
      </text>
    </comment>
    <comment ref="V2" authorId="0" shapeId="0" xr:uid="{B8F03528-32C9-4295-B84F-1B3E6E06A318}">
      <text>
        <r>
          <rPr>
            <sz val="11"/>
            <color theme="1"/>
            <rFont val="Calibri"/>
            <family val="2"/>
            <scheme val="minor"/>
          </rPr>
          <t xml:space="preserve">Patel, Janki:
http://www.redcliffeaeroclub.com.au/files/aircraft/C206G_POH.pdf
http://www.continental.aero/uploadedFiles/Content/xHome/Billboards/500series_032012.pdf
https://customer-janes-com.proxy.lib.umich.edu/explorer/Equipment_6966?bc=f423fc63-b046-47a1-b4e1-6b58cb41768a&amp;explorerState=5c00bec9-5ac1-49ea-b67e-ca23f9e6af84
</t>
        </r>
      </text>
    </comment>
    <comment ref="W2" authorId="0" shapeId="0" xr:uid="{326E2774-089A-4A00-B227-713A9A7D816E}">
      <text>
        <r>
          <rPr>
            <sz val="11"/>
            <color theme="1"/>
            <rFont val="Calibri"/>
            <family val="2"/>
            <scheme val="minor"/>
          </rPr>
          <t xml:space="preserve">Patel, Janki:
https://www.malibuaerospace.com/application/files/5615/1844/3403/TC_Data_-_e14ea.pdf
http://blueskyaviation.cz/wp-content/uploads/2016/11/POH_T206H-OK-MCP.pdf
https://customer-janes-com.proxy.lib.umich.edu/explorer/Equipment_6970?bc=deb4173c-82c8-473c-9887-3edb0872cbaf&amp;explorerState=98ce8b6e-a4ff-4f78-8923-5dea97580c39
</t>
        </r>
      </text>
    </comment>
    <comment ref="X2" authorId="0" shapeId="0" xr:uid="{DB2C7DB0-12BB-4860-BC05-1BD78AAD3E3C}">
      <text>
        <r>
          <rPr>
            <sz val="11"/>
            <color theme="1"/>
            <rFont val="Calibri"/>
            <family val="2"/>
            <scheme val="minor"/>
          </rPr>
          <t xml:space="preserve">Patel, Janki:
https://www.rainierflightservice.com/aircraftdocs/182-poh.pdf
https://www.lycoming.com/sites/default/files/O%20%26%20IO-540%20Oper%20Manual%2060297-10.pdf
https://customer-janes-com.proxy.lib.umich.edu/explorer/Equipment_14880?bc=e7c29543-cefc-44b4-8acf-27953fcb9c8d&amp;explorerState=7bfdadc2-35d3-4f95-83bf-d178b310e464
</t>
        </r>
      </text>
    </comment>
    <comment ref="Y2" authorId="0" shapeId="0" xr:uid="{20876EE6-5245-4260-B3F1-D8ADB3A20575}">
      <text>
        <r>
          <rPr>
            <sz val="11"/>
            <color theme="1"/>
            <rFont val="Calibri"/>
            <family val="2"/>
            <scheme val="minor"/>
          </rPr>
          <t xml:space="preserve">Patel, Janki:
https://www.continental.aero/engines/200.aspx#:~:text=The%20O%2D200%2DD%20lightweight,continuous%20horsepower%20at%202750%20RPM.
https://cessnaflighttraining.kingschools.com/secure/ccf/ccfppv1/documents/162PHUS%20111110.pdf
</t>
        </r>
      </text>
    </comment>
    <comment ref="Z2" authorId="0" shapeId="0" xr:uid="{512EAF63-5685-4B3D-A471-B9882CA8D9AC}">
      <text>
        <r>
          <rPr>
            <sz val="11"/>
            <color theme="1"/>
            <rFont val="Calibri"/>
            <family val="2"/>
            <scheme val="minor"/>
          </rPr>
          <t xml:space="preserve">Patel, Janki:
http://www.iascanada.com/engmodels.html
https://www.globalair.com/aircraft-for-sale/specifications?specid=195
https://aeroresourcesinc.com/uploads/201202-1981%20Cessna%20425%20Conquest%20I.pdf
</t>
        </r>
      </text>
    </comment>
    <comment ref="AA2" authorId="0" shapeId="0" xr:uid="{91FEAB29-C1F3-40B0-A614-8CFC39996FF0}">
      <text>
        <r>
          <rPr>
            <sz val="11"/>
            <color theme="1"/>
            <rFont val="Calibri"/>
            <family val="2"/>
            <scheme val="minor"/>
          </rPr>
          <t xml:space="preserve">Patel, Janki:
https://www.lycoming.com/sites/default/files/O-320%20Operator%20Manual%2060297-30.pdf
https://www.sunshinecoastflyingschool.com.au/wp-content/uploads/2019/03/R2160-Robin-Flight-Manual.pdf
</t>
        </r>
      </text>
    </comment>
    <comment ref="AB2" authorId="0" shapeId="0" xr:uid="{E943BD11-D204-4B1F-8A8F-8713B1EE894E}">
      <text>
        <r>
          <rPr>
            <sz val="11"/>
            <color theme="1"/>
            <rFont val="Calibri"/>
            <family val="2"/>
            <scheme val="minor"/>
          </rPr>
          <t xml:space="preserve">Patel, Janki:
https://stpeteair.org/wp-content/uploads/cirrus-sr20-poh.pdf
https://www.continental.aero/engines/300.aspx
https://customer-janes-com.proxy.lib.umich.edu/explorer/Equipment_72873?bc=2b6693fd-1e5c-4d3e-8e65-c619e8558daf&amp;explorerState=26dba936-45a3-4366-9a6d-c2a94e4f3bc3
</t>
        </r>
      </text>
    </comment>
    <comment ref="AC2" authorId="0" shapeId="0" xr:uid="{34F0AC35-D97A-4EA7-ACBB-9CD81B270CAB}">
      <text>
        <r>
          <rPr>
            <sz val="11"/>
            <color theme="1"/>
            <rFont val="Calibri"/>
            <family val="2"/>
            <scheme val="minor"/>
          </rPr>
          <t xml:space="preserve">Patel, Janki:
https://cirrusaircraft.com/aircraft/sr22/
https://www.continental.aero/engines/500.aspx
https://jasonblair.net/wp-content/uploads/2015/06/Cirrus-SR22-POH.pdf
https://customer-janes-com.proxy.lib.umich.edu/explorer/Equipment_7599?bc=da40c877-e54b-42ba-a952-9e118f3ca5d5&amp;explorerState=3a51a5a3-d41a-4f55-bf4e-5ec10045482f
</t>
        </r>
      </text>
    </comment>
    <comment ref="AD2" authorId="0" shapeId="0" xr:uid="{2F50C40B-B3CF-414E-A428-A4EAD9C1808D}">
      <text>
        <r>
          <rPr>
            <sz val="11"/>
            <color theme="1"/>
            <rFont val="Calibri"/>
            <family val="2"/>
            <scheme val="minor"/>
          </rPr>
          <t xml:space="preserve">Patel, Janki:
https://www.continental.aero/uploadedFiles/Content/Engines/Gasoline_engines/550AvGas-SpecSheet.pdf
https://takeflightsandiego.com/assets/documents/SR22T%20G5%20POH.pdf
https://customer-janes-com.proxy.lib.umich.edu/explorer/Equipment_7600?bc=b6e7243a-7f67-423d-b544-1bf79dbcf582&amp;explorerState=9b4d1a05-a72c-450d-91c5-34d4c7caca44
https://cirrusaircraft.com/aircraft/sr22t/
</t>
        </r>
      </text>
    </comment>
    <comment ref="AE2" authorId="0" shapeId="0" xr:uid="{88E67C73-A4BE-4A4E-94A4-9F23933A129C}">
      <text>
        <r>
          <rPr>
            <sz val="11"/>
            <color theme="1"/>
            <rFont val="Calibri"/>
            <family val="2"/>
            <scheme val="minor"/>
          </rPr>
          <t xml:space="preserve">Patel, Janki:
https://www.diamondaircraft.com/fileadmin/diamondaircraft/documents/da20/DA20_Factsheet.pdf
https://www.continental.aero/uploadedFiles/Content/Engines/Gasoline_engines/200AvGas-SpecSheet.pdf
https://customer-janes-com.proxy.lib.umich.edu/explorer/Equipment_5808?bc=578c8f92-fa07-43eb-9bed-7410ea2b4895&amp;explorerState=b1de5536-d585-4f02-bba1-9880aa2952d4
</t>
        </r>
      </text>
    </comment>
    <comment ref="AF2" authorId="0" shapeId="0" xr:uid="{FC6A0630-A805-4C6E-B483-2D2F1110BB75}">
      <text>
        <r>
          <rPr>
            <sz val="11"/>
            <color theme="1"/>
            <rFont val="Calibri"/>
            <family val="2"/>
            <scheme val="minor"/>
          </rPr>
          <t xml:space="preserve">Patel, Janki:
https://www.diamondaircraft.com/en/private-owners/aircraft/da50/tech-specs/
https://www.continental.aero/diesel/engines/cd300.aspx
https://customer-janes-com.proxy.lib.umich.edu/explorer/Equipment_8264?bc=2bafe9d0-e2a5-415d-940d-10bccddc3709&amp;explorerState=cc848dc9-7274-4d85-bd60-023d5f4d680a
</t>
        </r>
      </text>
    </comment>
    <comment ref="AG2" authorId="0" shapeId="0" xr:uid="{015A1C31-DFDB-4982-82E1-E5955405985F}">
      <text>
        <r>
          <rPr>
            <sz val="11"/>
            <color theme="1"/>
            <rFont val="Calibri"/>
            <family val="2"/>
            <scheme val="minor"/>
          </rPr>
          <t xml:space="preserve">Patel, Janki:
https://www.austroengine.at/uploads/pdf/mod_products9/AE330FactSheet.pdf
https://www.diamondaircraft.com/en/private-owners/aircraft/da40/tech-specs/
https://customer-janes-com.proxy.lib.umich.edu/explorer/Equipment_18187?bc=4aafdd14-fd84-4f11-bef4-0340c1e330e1&amp;explorerState=4f2f2d63-83c7-454a-8046-2ced136a4839
http://www.airmart.com/sites/default/files/DIAMOND%20DA40%20NG%20PERFORMANCE%20AND%20SPECS.pdf
</t>
        </r>
      </text>
    </comment>
    <comment ref="AH2" authorId="0" shapeId="0" xr:uid="{9080D9DE-4730-4402-8EC3-030CE994D4DF}">
      <text>
        <r>
          <rPr>
            <sz val="11"/>
            <color theme="1"/>
            <rFont val="Calibri"/>
            <family val="2"/>
            <scheme val="minor"/>
          </rPr>
          <t xml:space="preserve">Patel, Janki:
https://www.lycoming.com/sites/default/files/%28L%29IO-360-M1A%20Oper%20%26%20Install%20Manual%2060297-36.pdf
https://www.diamondaircraft.com/en/private-owners/aircraft/da40/tech-specs/
http://www.airmart.com/sites/default/files/DIAMOND%20DA40%20NG%20PERFORMANCE%20AND%20SPECS.pdf
https://customer-janes-com.proxy.lib.umich.edu/explorer/Equipment_18187?bc=4aafdd14-fd84-4f11-bef4-0340c1e330e1&amp;explorerState=4f2f2d63-83c7-454a-8046-2ced136a4839
</t>
        </r>
      </text>
    </comment>
    <comment ref="AI2" authorId="0" shapeId="0" xr:uid="{DF7D9C91-83BB-4FD4-B6B1-F1B157F5BF66}">
      <text>
        <r>
          <rPr>
            <sz val="11"/>
            <color theme="1"/>
            <rFont val="Calibri"/>
            <family val="2"/>
            <scheme val="minor"/>
          </rPr>
          <t>Patel, Janki:
https://www.comco-ikarus.de/wp-content/uploads/2019/11/POH-C42-Series-Issue-4-Rev._5_23.08.2019.pdf</t>
        </r>
      </text>
    </comment>
    <comment ref="AJ2" authorId="0" shapeId="0" xr:uid="{0F459908-3548-42EF-9042-C2193E7911D0}">
      <text>
        <r>
          <rPr>
            <sz val="11"/>
            <color theme="1"/>
            <rFont val="Calibri"/>
            <family val="2"/>
            <scheme val="minor"/>
          </rPr>
          <t xml:space="preserve">Patel, Janki:
https://www.rotax.com/en/products/rotax-powertrains/details/rotax-582-ul.html
https://www.aeromarine-lsa.com/wp-content/uploads/2020/03/Merlin-Pilot-handbook.pdf
https://customer-janes-com.proxy.lib.umich.edu/explorer/Equipment_95540?bc=832d1960-05e6-49bf-aa2e-df0784500f3c&amp;explorerState=6ad206a7-a200-47ff-b3b1-096c2ad25398
</t>
        </r>
      </text>
    </comment>
    <comment ref="AK2" authorId="0" shapeId="0" xr:uid="{4A8ECA1D-C00F-41BD-8724-04A251DC1A9C}">
      <text>
        <r>
          <rPr>
            <sz val="11"/>
            <color theme="1"/>
            <rFont val="Calibri"/>
            <family val="2"/>
            <scheme val="minor"/>
          </rPr>
          <t xml:space="preserve">Patel, Janki:
https://www.easa.europa.eu/downloads/7787/en
https://www.pilatus-aircraft.com/data/document/Pilatus-Aircraft-Ltd-PC-12NGX-Factsheet.pdf
https://customer-janes-com.proxy.lib.umich.edu/explorer/Equipment_106199?explorerState=c2d319ee-0d4c-4d82-b11f-3ca2890816cf
</t>
        </r>
      </text>
    </comment>
    <comment ref="AL2" authorId="0" shapeId="0" xr:uid="{83B82BD2-3812-49A4-8107-243BF331D77F}">
      <text>
        <r>
          <rPr>
            <sz val="11"/>
            <color theme="1"/>
            <rFont val="Calibri"/>
            <family val="2"/>
            <scheme val="minor"/>
          </rPr>
          <t xml:space="preserve">Patel, Janki:
https://www.lycoming.com/sites/default/files/TIO-540-AE2A%20Operator%20Manual%2060297-27.pdf
https://planephd.com/wizard/details/839/PIPER-M350-specifications-performance-operating-cost-valuation
https://www.piper.com/wp-content/uploads/2019/05/M350-Aircraft-Brochure-2019.pdf
</t>
        </r>
      </text>
    </comment>
    <comment ref="AM2" authorId="0" shapeId="0" xr:uid="{8AEEA51D-1414-4AE3-BC97-DE1A4C4BB7EC}">
      <text>
        <r>
          <rPr>
            <sz val="11"/>
            <color theme="1"/>
            <rFont val="Calibri"/>
            <family val="2"/>
            <scheme val="minor"/>
          </rPr>
          <t xml:space="preserve">Patel, Janki:
https://www.regionflyers.com/wp-content/uploads/2017/06/Piper-Arrow-II-Specs.pdf
https://aerowoodaviation.com/site/wp-content/uploads/2020/12/12-5-20-N98JG-Owners-Handbook.pdf
https://customer-janes-com.proxy.lib.umich.edu/Janes/Display/JAWA1392-JAWA
</t>
        </r>
      </text>
    </comment>
    <comment ref="AN2" authorId="0" shapeId="0" xr:uid="{026BE008-8167-4939-98DA-E78C4BED980D}">
      <text>
        <r>
          <rPr>
            <sz val="11"/>
            <color theme="1"/>
            <rFont val="Calibri"/>
            <family val="2"/>
            <scheme val="minor"/>
          </rPr>
          <t xml:space="preserve">Patel, Janki:
http://www.iascanada.com/engmodels.html
http://www.redcliffeaeroclub.com.au/files/aircraft/Kodiak100_POH.pdf
https://kodiak.aero/kodiak/
https://customer-janes-com.proxy.lib.umich.edu/Janes/Display/JAWAA123-JAWA#Description%20%E2%80%93%20in%20service-Kodiak%20100
https://customer-janes-com.proxy.lib.umich.edu/Janes/Display/JAE_0481-JAE_#Description%20%E2%80%93%20in%20service-PT6A-34
</t>
        </r>
      </text>
    </comment>
    <comment ref="AO2" authorId="0" shapeId="0" xr:uid="{6820F804-DC67-4965-922C-2C9403646398}">
      <text>
        <r>
          <rPr>
            <sz val="11"/>
            <color theme="1"/>
            <rFont val="Calibri"/>
            <family val="2"/>
            <scheme val="minor"/>
          </rPr>
          <t xml:space="preserve">Patel, Janki:
https://documents.lancair.com/aircraft_documents/Legacy/legRG_POH_2008_WM.pdf
https://lancair.com/legacy/
https://customer-janes-com.proxy.lib.umich.edu/Janes/Display/jawa5117-jawa
</t>
        </r>
      </text>
    </comment>
    <comment ref="AP2" authorId="0" shapeId="0" xr:uid="{F02B81DE-61C8-4F4E-B13B-9030871F3619}">
      <text>
        <r>
          <rPr>
            <sz val="11"/>
            <color theme="1"/>
            <rFont val="Calibri"/>
            <family val="2"/>
            <scheme val="minor"/>
          </rPr>
          <t xml:space="preserve">Patel, Janki:
https://www.lycoming.com/sites/default/files/O-320%20Operator%20Manual%2060297-30.pdf
https://www.montereynavyflyingclub.org/Other%20Docs/Piper-PA-28-161-Cherokee-Warrior-II-POH.pdf
https://customer-janes-com.proxy.lib.umich.edu/Janes/Display/JAU_1630-JAU_
</t>
        </r>
      </text>
    </comment>
    <comment ref="AQ2" authorId="0" shapeId="0" xr:uid="{612FF7C7-ED85-4F67-876B-7D9FEE45CCCB}">
      <text>
        <r>
          <rPr>
            <sz val="11"/>
            <color theme="1"/>
            <rFont val="Calibri"/>
            <family val="2"/>
            <scheme val="minor"/>
          </rPr>
          <t xml:space="preserve">Patel, Janki:
https://www.lycoming.com/sites/default/files/O-320%20Operator%20Manual%2060297-30.pdf
https://assets.website-files.com/5cd9f35707d65349921db6bf/5cfa581763d027196b6737c8_POH%20%20PA%2028%20-%20140%20HK-1791-G%2012%20JULIO%202018.pdf
</t>
        </r>
      </text>
    </comment>
    <comment ref="AR2" authorId="0" shapeId="0" xr:uid="{F753E8D4-6EE5-4EA8-8F51-8678520031A3}">
      <text>
        <r>
          <rPr>
            <sz val="11"/>
            <color theme="1"/>
            <rFont val="Calibri"/>
            <family val="2"/>
            <scheme val="minor"/>
          </rPr>
          <t xml:space="preserve">Patel, Janki:
http://www.airmart.com/sites/default/files/Piper%20Archer%20II%20Performance%20and%20Specifications.pdf
https://img1.wsimg.com/blobby/go/7bcbfb3a-90d8-4b8d-961b-6ec6bac4d62d/downloads/VB-2960_thru_R01_5.5x8.5_doublesided_color.pdf?ver=1636507390098
https://www.easa.europa.eu/downloads/7741/en
</t>
        </r>
      </text>
    </comment>
    <comment ref="AS2" authorId="0" shapeId="0" xr:uid="{BAD4838C-01C2-44BC-80B0-948D7136714C}">
      <text>
        <r>
          <rPr>
            <sz val="11"/>
            <color theme="1"/>
            <rFont val="Calibri"/>
            <family val="2"/>
            <scheme val="minor"/>
          </rPr>
          <t>Patel, Janki:
https://jasonblair.net/wp-content/uploads/2015/06/Piper-PA-32-300POH.pdf
https://customer-janes-com.proxy.lib.umich.edu/Janes/Display/JAU_1637-JAU_</t>
        </r>
      </text>
    </comment>
    <comment ref="AT2" authorId="0" shapeId="0" xr:uid="{0B70E42B-F43F-4F51-96EA-471AE89839AD}">
      <text>
        <r>
          <rPr>
            <sz val="11"/>
            <color theme="1"/>
            <rFont val="Calibri"/>
            <family val="2"/>
            <scheme val="minor"/>
          </rPr>
          <t>Patel, Janki:
https://jasonblair.net/wp-content/uploads/2015/06/Piper-PA-32-300POH.pdf
https://customer-janes-com.proxy.lib.umich.edu/Janes/Display/JAU_1637-JAU_</t>
        </r>
      </text>
    </comment>
    <comment ref="AU2" authorId="0" shapeId="0" xr:uid="{4ED2AF12-EE5E-450C-8999-3CF69C974722}">
      <text>
        <r>
          <rPr>
            <sz val="11"/>
            <color theme="1"/>
            <rFont val="Calibri"/>
            <family val="2"/>
            <scheme val="minor"/>
          </rPr>
          <t xml:space="preserve">Patel, Janki:
http://www.airmart.com/sites/default/files/Piper%20Lance%20II%20-%20Turbo%20Lance%20II%20Performance.pdf
https://www.lycoming.com/sites/default/files/O%20%26%20IO-540%20Oper%20Manual%2060297-10.pdf
</t>
        </r>
      </text>
    </comment>
    <comment ref="AV2" authorId="0" shapeId="0" xr:uid="{AAF75239-65EF-426C-A672-CEB6E4A32CE7}">
      <text>
        <r>
          <rPr>
            <sz val="11"/>
            <color theme="1"/>
            <rFont val="Calibri"/>
            <family val="2"/>
            <scheme val="minor"/>
          </rPr>
          <t xml:space="preserve">Patel, Janki:
https://www.lycoming.com/sites/default/files/60297-23A.pdf
http://www.airmart.com/sites/default/files/Piper%20Lance%20II%20-%20Turbo%20Lance%20II%20Performance.pdf
</t>
        </r>
      </text>
    </comment>
    <comment ref="AW2" authorId="0" shapeId="0" xr:uid="{4EA20CE3-B50F-4B2D-B580-731BCA85682F}">
      <text>
        <r>
          <rPr>
            <sz val="11"/>
            <color theme="1"/>
            <rFont val="Calibri"/>
            <family val="2"/>
            <scheme val="minor"/>
          </rPr>
          <t xml:space="preserve">Patel, Janki:
https://desertflying.club/wp-content/uploads/2018/06/Piper-Aztec-POH.pdf
https://www.aopa.org/go-fly/aircraft-and-ownership/aircraft-fact-sheets/piper-aztec
https://www.lycoming.com/sites/default/files/60297-23P.pdf
https://customer-janes-com.proxy.lib.umich.edu/Janes/Display/JAU_9247-JAU_
</t>
        </r>
      </text>
    </comment>
    <comment ref="AX2" authorId="0" shapeId="0" xr:uid="{9217D946-693E-4D37-B7FC-73268E1A7335}">
      <text>
        <r>
          <rPr>
            <sz val="11"/>
            <color theme="1"/>
            <rFont val="Calibri"/>
            <family val="2"/>
            <scheme val="minor"/>
          </rPr>
          <t xml:space="preserve">Patel, Janki:
https://www.easa.europa.eu/downloads/7741/en
http://www.ameacademy.com/pdf/piper/Piper-Seneca-Information-Manual-PA34-200.pdf
</t>
        </r>
      </text>
    </comment>
    <comment ref="AY2" authorId="0" shapeId="0" xr:uid="{99BEFF7B-28FC-41CD-8654-B17423A8E0B1}">
      <text>
        <r>
          <rPr>
            <sz val="11"/>
            <color theme="1"/>
            <rFont val="Calibri"/>
            <family val="2"/>
            <scheme val="minor"/>
          </rPr>
          <t xml:space="preserve">Patel, Janki:
https://www.rochesterair.com/documents/Piper-Seneca-II-POH.pdf
https://customer-janes-com.proxy.lib.umich.edu/explorer/Equipment_4886?bc=0c364af5-77d6-47d6-9180-905455bd70e7&amp;explorerState=3587b2c9-cd33-40e6-a56a-9f540fc8ac16
</t>
        </r>
      </text>
    </comment>
    <comment ref="AZ2" authorId="0" shapeId="0" xr:uid="{F37DC7E9-97FF-4516-8251-15DC4220E84C}">
      <text>
        <r>
          <rPr>
            <sz val="11"/>
            <color theme="1"/>
            <rFont val="Calibri"/>
            <family val="2"/>
            <scheme val="minor"/>
          </rPr>
          <t xml:space="preserve">Patel, Janki:
https://mmopa.com/wp-content/uploads/2019/02/MMOPA-Fact-Sheet-Specs-Comparison.pdf
https://rwrpilottraining.com/uploads/3/0/3/7/3037605/767-045_pa46-500tp_meridian-avidn_2006-2009_sn4697198216-398_less-340.pdf
https://www.easa.europa.eu/downloads/7669/en
https://customer-janes-com.proxy.lib.umich.edu/Janes/Display/JAE_0481-JAE_
</t>
        </r>
      </text>
    </comment>
    <comment ref="BA2" authorId="0" shapeId="0" xr:uid="{56F339EA-C172-4B18-9801-A80AAD2EDA53}">
      <text>
        <r>
          <rPr>
            <sz val="11"/>
            <color theme="1"/>
            <rFont val="Calibri"/>
            <family val="2"/>
            <scheme val="minor"/>
          </rPr>
          <t xml:space="preserve">Patel, Janki:
http://www.iascanada.com/engmodels.html
https://www.globalair.com/aircraft-for-sale/specifications?specid=118
https://www.aeroresourcesinc.com/uploads/198706-1987%20Piper%20PA-42-720%20Cheyenne%20IIIA.pdf
https://customer-janes-com.proxy.lib.umich.edu/Janes/Display/JAE_0481-JAE_
</t>
        </r>
      </text>
    </comment>
    <comment ref="BB2" authorId="0" shapeId="0" xr:uid="{BB8751ED-91E5-475D-9C0D-62D43D7B582D}">
      <text>
        <r>
          <rPr>
            <sz val="11"/>
            <color theme="1"/>
            <rFont val="Calibri"/>
            <family val="2"/>
            <scheme val="minor"/>
          </rPr>
          <t xml:space="preserve">Patel, Janki:
http://www.jasonblair.net/wp-content/uploads/2015/11/Piper-PA44-180-POH.pdf
https://www.globalair.com/aircraft-for-sale/specifications?specid=453
https://www.lycoming.com/sites/default/files/O-HO-IO-HIO-AIO%20%26%20TIO-360%20Oper%20Manual%2060297-12.pdf
https://customer-janes-com.proxy.lib.umich.edu/Janes/Display/JAWA1396-JAWA
</t>
        </r>
      </text>
    </comment>
    <comment ref="BC2" authorId="0" shapeId="0" xr:uid="{4DF55FC4-D462-4F90-95E2-61BA7E9E5670}">
      <text>
        <r>
          <rPr>
            <sz val="11"/>
            <color theme="1"/>
            <rFont val="Calibri"/>
            <family val="2"/>
            <scheme val="minor"/>
          </rPr>
          <t xml:space="preserve">Patel, Janki:
https://www.lycoming.com/sites/default/files/TO-360%20%2876%20Series%29%20Operator%20Manual%2060297-26.pdf
https://www.globalair.com/aircraft-for-sale/specifications?specid=439
https://salt.aero/wp-content/uploads/2016/04/POH-PA-44-180T-1.pdf
</t>
        </r>
      </text>
    </comment>
    <comment ref="BD2" authorId="0" shapeId="0" xr:uid="{D30F0037-7D2E-48CE-801E-6F9BBB6727EC}">
      <text>
        <r>
          <rPr>
            <sz val="11"/>
            <color theme="1"/>
            <rFont val="Calibri"/>
            <family val="2"/>
            <scheme val="minor"/>
          </rPr>
          <t xml:space="preserve">Patel, Janki:
http://support.diamond-air.at/fileadmin/uploads/files/after_sales_support/DA62/Airplane_Flight_Manual/Basic_Manual/70125e-r4-complete.pdf
https://www.austroengine.at/uploads/pdf/mod_products1/AustroEngineBrochure.pdf
https://www.flyingmag.com/we-fly-diamond-da62/
</t>
        </r>
      </text>
    </comment>
    <comment ref="BE2" authorId="0" shapeId="0" xr:uid="{E00B00B6-CD34-4918-A4E4-6142881D4BE7}">
      <text>
        <r>
          <rPr>
            <sz val="11"/>
            <color theme="1"/>
            <rFont val="Calibri"/>
            <family val="2"/>
            <scheme val="minor"/>
          </rPr>
          <t xml:space="preserve">Patel, Janki:
https://aviaforum.ams3.cdn.digitaloceanspaces.com/data/attachment-files/2015/06/687782_84bb0b46fa721d371a9e5388cfb37d0e.pdf
https://www.vikingair.com/sites/default/files/Viking-Twin-Otter-Series-400-Technical-Specifications-R-01-2018.pdf
http://www.iascanada.com/engmodels.html
https://customer-janes-com.proxy.lib.umich.edu/Janes/Display/JAE_0481-JAE_#Description%20%E2%80%93%20in%20service-PT6A-34
https://customer-janes-com.proxy.lib.umich.edu/Janes/Display/JAWAA417-JAWA
</t>
        </r>
      </text>
    </comment>
    <comment ref="BF2" authorId="0" shapeId="0" xr:uid="{C7B9657B-D5F3-4117-966C-BDA1388129D5}">
      <text>
        <r>
          <rPr>
            <sz val="11"/>
            <color theme="1"/>
            <rFont val="Calibri"/>
            <family val="2"/>
            <scheme val="minor"/>
          </rPr>
          <t>Patel, Janki:
http://www.iascanada.com/engmodels.html
https://www.globalair.com/aircraft-for-sale/specifications?specid=156
https://www.manualslib.com/manual/1614650/Daher-Socata-Tbm-700-Series.html?page=339&amp;term=range&amp;selected=1#manual
https://customer-janes-com.proxy.lib.umich.edu/Janes/Display/JAE_0481-JAE_#Description%20%E2%80%93%20in%20service-PT6A-34
https://customer-janes-com.proxy.lib.umich.edu/Janes/Display/JAWAA275-JAWA</t>
        </r>
      </text>
    </comment>
    <comment ref="BG2" authorId="0" shapeId="0" xr:uid="{43F9CFDE-B7FB-40D9-8C42-FA115C3496CC}">
      <text>
        <r>
          <rPr>
            <sz val="11"/>
            <color theme="1"/>
            <rFont val="Calibri"/>
            <family val="2"/>
            <scheme val="minor"/>
          </rPr>
          <t xml:space="preserve">Patel, Janki:
https://www.easa.europa.eu/downloads/7787/en
https://www.smartcockpit.com/docs/P180_Avanti-Specification_and_Description.pdf
https://customer-janes-com.proxy.lib.umich.edu/Janes/Display/JAWA0562-JAWA
</t>
        </r>
      </text>
    </comment>
    <comment ref="BH2" authorId="0" shapeId="0" xr:uid="{75E05DF1-F7A8-4171-BE88-42F4E5D21561}">
      <text>
        <r>
          <rPr>
            <sz val="11"/>
            <color theme="1"/>
            <rFont val="Calibri"/>
            <family val="2"/>
            <scheme val="minor"/>
          </rPr>
          <t xml:space="preserve">Patel, Janki:
https://www.continental.aero/engines/500.aspx
https://beechcraft.txtav.com/en/baron-g58#specs
https://customer-janes-com.proxy.lib.umich.edu/Janes/Display/JAWA1415-JAWA
</t>
        </r>
      </text>
    </comment>
    <comment ref="BI2" authorId="0" shapeId="0" xr:uid="{838928D4-7AF6-4DF1-AE32-6E7B97951BC2}">
      <text>
        <r>
          <rPr>
            <sz val="11"/>
            <color theme="1"/>
            <rFont val="Calibri"/>
            <family val="2"/>
            <scheme val="minor"/>
          </rPr>
          <t xml:space="preserve">Patel, Janki:
https://www.lycoming.com/sites/default/files/TIO-541%20Operator%20Manual%2060297-13.pdf
https://www.aeroresourcesinc.com/uploads/198302-1983%20Beech%20Duke%20B60.pdf
</t>
        </r>
      </text>
    </comment>
    <comment ref="BJ2" authorId="0" shapeId="0" xr:uid="{72766449-677F-4227-A1A3-9384AB86413F}">
      <text>
        <r>
          <rPr>
            <sz val="11"/>
            <color theme="1"/>
            <rFont val="Calibri"/>
            <family val="2"/>
            <scheme val="minor"/>
          </rPr>
          <t xml:space="preserve">Patel, Janki:
https://www.lycoming.com/sites/default/files/O-235%26O-290%20Operator%20Manual%2060297-9.pdf
https://www.globalair.com/aircraft-for-sale/specifications?specid=677
https://pathfinderaviation.com.au/wp-content/uploads/2020/12/beechcraft-skipper-pilot-operating-handbook.pdf
</t>
        </r>
      </text>
    </comment>
    <comment ref="BK2" authorId="0" shapeId="0" xr:uid="{C4F83696-80BA-48D2-8AB7-9E673266A70C}">
      <text>
        <r>
          <rPr>
            <sz val="11"/>
            <color theme="1"/>
            <rFont val="Calibri"/>
            <family val="2"/>
            <scheme val="minor"/>
          </rPr>
          <t>Patel, Janki:
https://beechcraft.txtav.com/king-air-360
https://beechcraft.txtav.com/-/media/beechcraft/files/brochure/ka360_brochure.ashx
https://www.globalair.com/aircraft-for-sale/specifications?specid=1682
https://customer-janes-com.proxy.lib.umich.edu/Janes/Display/JAE_0481-JAE_#Description%20%E2%80%93%20in%20service-PT6A-34</t>
        </r>
      </text>
    </comment>
    <comment ref="BL2" authorId="0" shapeId="0" xr:uid="{7951A999-6E8B-4860-8CCD-95E53F1B14B3}">
      <text>
        <r>
          <rPr>
            <sz val="11"/>
            <color theme="1"/>
            <rFont val="Calibri"/>
            <family val="2"/>
            <scheme val="minor"/>
          </rPr>
          <t xml:space="preserve">Patel, Janki:
https://beechcraft.txtav.com/en/king-air-360er#specs
https://customer-janes-com.proxy.lib.umich.edu/Janes/Display/JAE_0481-JAE_#Description%20%E2%80%93%20in%20service-PT6A-34
</t>
        </r>
      </text>
    </comment>
    <comment ref="BM2" authorId="0" shapeId="0" xr:uid="{7B620BE6-240E-401D-89E1-CFDFCEB4C98B}">
      <text>
        <r>
          <rPr>
            <sz val="11"/>
            <color theme="1"/>
            <rFont val="Calibri"/>
            <family val="2"/>
            <scheme val="minor"/>
          </rPr>
          <t xml:space="preserve">Patel, Janki:
https://beechcraft.txtav.com/king-air-260
http://www.iascanada.com/engmodels.html
https://customer-janes-com.proxy.lib.umich.edu/Janes/Display/JAWAC145-JAWA
</t>
        </r>
      </text>
    </comment>
    <comment ref="BN2" authorId="0" shapeId="0" xr:uid="{F976A054-2410-4374-92BF-E7C082F2D45B}">
      <text>
        <r>
          <rPr>
            <sz val="11"/>
            <color theme="1"/>
            <rFont val="Calibri"/>
            <family val="2"/>
            <scheme val="minor"/>
          </rPr>
          <t xml:space="preserve">Patel, Janki:
https://beechcraft.txtav.com/-/media/beechcraft/files/brochure/king_air_250_brochure.ashx
https://www.easa.europa.eu/downloads/7669/en 
http://www.africair.com/wp-content/uploads/2016/03/SD-KA250-Unit-250-to-TBD-2015-Oct.pdf
</t>
        </r>
      </text>
    </comment>
    <comment ref="BO2" authorId="0" shapeId="0" xr:uid="{AD951ED3-325D-40F2-9751-414C32FD1B4B}">
      <text>
        <r>
          <rPr>
            <sz val="11"/>
            <color theme="1"/>
            <rFont val="Calibri"/>
            <family val="2"/>
            <scheme val="minor"/>
          </rPr>
          <t xml:space="preserve">Patel, Janki:
https://www.jubilantenpro.com/aerospace/king-air-350er
https://www.beechcraft.com/assets/files/beechcraft_ain_0114.pdf
http://www.iascanada.com/engmodels.html
https://customer-janes-com.proxy.lib.umich.edu/Janes/Display/JAE_0481-JAE_#Description%20%E2%80%93%20in%20service-PT6A-34
</t>
        </r>
      </text>
    </comment>
    <comment ref="BP2" authorId="0" shapeId="0" xr:uid="{EF036519-6B26-4F14-ADCF-A8CC41B3098C}">
      <text>
        <r>
          <rPr>
            <sz val="11"/>
            <color theme="1"/>
            <rFont val="Calibri"/>
            <family val="2"/>
            <scheme val="minor"/>
          </rPr>
          <t xml:space="preserve">Patel, Janki:
https://rps3.com/Files/Starship/Flight%20Deck%20Publications/Starship%20Pilot's%20Operating%20Manual.pdf
http://www.iascanada.com/engmodels.html
https://rps3.com/Pages/Starship-FAQ.htm#:~:text=The%20Starship%20was%20supposed%20to,knots%20and%201%2C575%20nm%20respectively.
https://customer-janes-com.proxy.lib.umich.edu/Janes/Display/JAE_0481-JAE_#Description%20%E2%80%93%20in%20service-PT6A-34
</t>
        </r>
      </text>
    </comment>
    <comment ref="BQ2" authorId="0" shapeId="0" xr:uid="{011888D6-587D-46A9-BF30-6767663646CF}">
      <text>
        <r>
          <rPr>
            <sz val="11"/>
            <color theme="1"/>
            <rFont val="Calibri"/>
            <family val="2"/>
            <scheme val="minor"/>
          </rPr>
          <t>Patel, Janki:
https://www.continental.aero/uploadedFiles/Content/Engines/Gasoline_engines/550AvGas-SpecSheet.pdf
https://beechcraft.txtav.com/-/media/beechcraft/files/brochure/bonanza_g36_brochure.ashx
https://beechcraft.txtav.com/en/bonanza-g36
http://airmart.com/sites/default/files/Beechcraft%20G36%20Bonanza%20Performance%20and%20Specs.pdf</t>
        </r>
      </text>
    </comment>
    <comment ref="BR2" authorId="0" shapeId="0" xr:uid="{8CABA998-384F-4648-AF70-4544027B4F80}">
      <text>
        <r>
          <rPr>
            <sz val="11"/>
            <color theme="1"/>
            <rFont val="Calibri"/>
            <family val="2"/>
            <scheme val="minor"/>
          </rPr>
          <t xml:space="preserve">Patel, Janki:
http://www.fairchild-dornier.com/resources/Dornier_328TP_page+2.pdf
https://skybrary.aero/aircraft/d328
https://www.easa.europa.eu/downloads/7725/en
</t>
        </r>
      </text>
    </comment>
    <comment ref="BS2" authorId="0" shapeId="0" xr:uid="{7A773824-8941-41B3-B78C-9788125D197A}">
      <text>
        <r>
          <rPr>
            <sz val="11"/>
            <color theme="1"/>
            <rFont val="Calibri"/>
            <family val="2"/>
            <scheme val="minor"/>
          </rPr>
          <t xml:space="preserve">Patel, Janki:
https://hangar.flights/aircraft/bombardier-q200/#description
https://airandspace.si.edu/collection-objects/pratt--whitney-canada-pw123-turboprop-engine/nasm_A19900255000
https://customer.aero.bombardier.com/webd/BAG/CustSite/BRAD/RACSDocument.nsf/51aae8b2b3bfdf6685256c300045ff31/ec63f8639ff3ab9d85257c1500635bd8/$FILE/ATTYXCO6.pdf/D8200-APM.pdf
</t>
        </r>
      </text>
    </comment>
    <comment ref="BT2" authorId="0" shapeId="0" xr:uid="{C094F8A5-E97D-45C0-8D1B-EDDC71CE5CE0}">
      <text>
        <r>
          <rPr>
            <sz val="11"/>
            <color theme="1"/>
            <rFont val="Calibri"/>
            <family val="2"/>
            <scheme val="minor"/>
          </rPr>
          <t>Patel, Janki:
https://customer.aero.bombardier.com/webd/BAG/CustSite/BRAD/RACSDocument.nsf/51aae8b2b3bfdf6685256c300045ff31/ec63f8639ff3ab9d85257c1500635bd8/$FILE/ATT3MP36.pdf/D8300-APM.pdf
https://www.aerospace-technology.com/projects/bombardier_q300/
https://www.easa.europa.eu/sites/default/files/dfu/EASA-TCDS-E.041_(IM)_Pratt_and_Whitney_Canada_PW100_series_engines-02-06062008.pdf
https://www.airlines-inform.com/commercial-aircraft/dash-8q300.html</t>
        </r>
      </text>
    </comment>
    <comment ref="BU2" authorId="0" shapeId="0" xr:uid="{93063504-6E3B-4450-8EB6-663C605CD609}">
      <text>
        <r>
          <rPr>
            <sz val="11"/>
            <color theme="1"/>
            <rFont val="Calibri"/>
            <family val="2"/>
            <scheme val="minor"/>
          </rPr>
          <t xml:space="preserve">Patel, Janki:
https://www.globalair.com/aircraft-for-sale/specifications?specid=1151
https://www.aerospace-technology.com/projects/dash8/#:~:text=Dash%208%20Q400%20cabin,with%20limited%20ground%20support%20facilities.
https://customer.aero.bombardier.com/webd/BAG/CustSite/BRAD/RACSDocument.nsf/51aae8b2b3bfdf6685256c300045ff31/ec63f8639ff3ab9d85257c1500635bd8/$FILE/ATTNBEOB.pdf/D8400-APM.pdf
</t>
        </r>
      </text>
    </comment>
    <comment ref="BV2" authorId="0" shapeId="0" xr:uid="{E661106D-AA4B-4898-B6BC-4C1B8F5F8273}">
      <text>
        <r>
          <rPr>
            <sz val="11"/>
            <color theme="1"/>
            <rFont val="Calibri"/>
            <family val="2"/>
            <scheme val="minor"/>
          </rPr>
          <t>Patel, Janki:
https://www.easa.europa.eu/downloads/7725/en
https://customer.aero.bombardier.com/webd/BAG/CustSite/BRAD/RACSDocument.nsf/51aae8b2b3bfdf6685256c300045ff31/ec63f8639ff3ab9d85257c1500635bd8/$FILE/ATT19ELL.pdf/D8100-APM.pdf
https://hangar.flights/aircraft/bombardier-q100-dash-8-100/#specifications</t>
        </r>
      </text>
    </comment>
    <comment ref="BW2" authorId="0" shapeId="0" xr:uid="{18BB4BF3-9532-4174-A928-3FF8D7A676ED}">
      <text>
        <r>
          <rPr>
            <sz val="11"/>
            <color theme="1"/>
            <rFont val="Calibri"/>
            <family val="2"/>
            <scheme val="minor"/>
          </rPr>
          <t xml:space="preserve">Patel, Janki:
https://www.easa.europa.eu/downloads/7725/en
https://customer.aero.bombardier.com/webd/BAG/CustSite/BRAD/RACSDocument.nsf/51aae8b2b3bfdf6685256c300045ff31/ec63f8639ff3ab9d85257c1500635bd8/$FILE/ATT19ELL.pdf/D8100-APM.pdf
https://hangar.flights/aircraft/bombardier-q100-dash-8-100/#specifications
</t>
        </r>
      </text>
    </comment>
    <comment ref="BX2" authorId="0" shapeId="0" xr:uid="{D456F294-8E11-4D16-A0C5-D3491E90661F}">
      <text>
        <r>
          <rPr>
            <sz val="11"/>
            <color theme="1"/>
            <rFont val="Calibri"/>
            <family val="2"/>
            <scheme val="minor"/>
          </rPr>
          <t xml:space="preserve">Patel, Janki:
https://www.saab.com/products/saab-340
https://www.saab.com/globalassets/products/support-and-services/saab-3402000-support/saab-regional-aircraft.pdf
https://www.easa.europa.eu/downloads/7783/en
https://flightsafety.org/ap/ap_oct01.pdf
</t>
        </r>
      </text>
    </comment>
    <comment ref="BY2" authorId="0" shapeId="0" xr:uid="{3FEEC43F-81F7-4EAD-8532-746786C2071F}">
      <text>
        <r>
          <rPr>
            <sz val="11"/>
            <color theme="1"/>
            <rFont val="Calibri"/>
            <family val="2"/>
            <scheme val="minor"/>
          </rPr>
          <t xml:space="preserve">Patel, Janki:
https://skybrary.aero/aircraft/e120
https://www.easa.europa.eu/downloads/7725/en
https://www.flyembraer.com/irj/go/km/docs/download_center/Anonymous/Ergonomia/Home%20Page/Documents/APM_120.pdf
</t>
        </r>
      </text>
    </comment>
    <comment ref="BZ2" authorId="0" shapeId="0" xr:uid="{45E0E18F-902A-42BA-B492-52AE03FACDB0}">
      <text>
        <r>
          <rPr>
            <sz val="11"/>
            <color theme="1"/>
            <rFont val="Calibri"/>
            <family val="2"/>
            <scheme val="minor"/>
          </rPr>
          <t xml:space="preserve">Patel, Janki:
https://skybrary.aero/aircraft/e120
https://www.easa.europa.eu/downloads/7725/en
https://www.flyembraer.com/irj/go/km/docs/download_center/Anonymous/Ergonomia/Home%20Page/Documents/APM_120.pdf
</t>
        </r>
      </text>
    </comment>
    <comment ref="CA2" authorId="0" shapeId="0" xr:uid="{D5089E94-D020-4844-B075-E2DD46EC493E}">
      <text>
        <r>
          <rPr>
            <sz val="11"/>
            <color theme="1"/>
            <rFont val="Calibri"/>
            <family val="2"/>
            <scheme val="minor"/>
          </rPr>
          <t xml:space="preserve">Patel, Janki:
https://skybrary.aero/aircraft/e120
https://www.easa.europa.eu/downloads/7725/en
https://www.flyembraer.com/irj/go/km/docs/download_center/Anonymous/Ergonomia/Home%20Page/Documents/APM_120.pdf
</t>
        </r>
      </text>
    </comment>
    <comment ref="CB2" authorId="0" shapeId="0" xr:uid="{BFD45869-BEF9-474C-85EF-64F3FEEE9D84}">
      <text>
        <r>
          <rPr>
            <sz val="11"/>
            <color theme="1"/>
            <rFont val="Calibri"/>
            <family val="2"/>
            <scheme val="minor"/>
          </rPr>
          <t xml:space="preserve">Patel, Janki:
https://skybrary.aero/aircraft/e120
https://www.easa.europa.eu/downloads/7725/en
https://www.flyembraer.com/irj/go/km/docs/download_center/Anonymous/Ergonomia/Home%20Page/Documents/APM_120.pdf
</t>
        </r>
      </text>
    </comment>
    <comment ref="CC2" authorId="0" shapeId="0" xr:uid="{01CFE612-2B95-41F4-B80B-67CB5C80F5AC}">
      <text>
        <r>
          <rPr>
            <sz val="11"/>
            <color theme="1"/>
            <rFont val="Calibri"/>
            <family val="2"/>
            <scheme val="minor"/>
          </rPr>
          <t xml:space="preserve">Patel, Janki:
https://www.atr-aircraft.com/our-aircraft/atr-42-600/
https://skybrary.aero/sites/default/files/bookshelf/3695.pdf
https://www.easa.europa.eu/downloads/7725/en
</t>
        </r>
      </text>
    </comment>
    <comment ref="CD2" authorId="0" shapeId="0" xr:uid="{16D73FF5-5568-490E-A1A8-924DA85CB328}">
      <text>
        <r>
          <rPr>
            <sz val="11"/>
            <color theme="1"/>
            <rFont val="Calibri"/>
            <family val="2"/>
            <scheme val="minor"/>
          </rPr>
          <t xml:space="preserve">Patel, Janki:
https://www.easa.europa.eu/downloads/7725/en
http://www.atr-aircraft.com/wp-content/uploads/2020/07/42-300.pdf
</t>
        </r>
      </text>
    </comment>
    <comment ref="CE2" authorId="0" shapeId="0" xr:uid="{B9104A88-5F96-4651-8083-D348781FAC62}">
      <text>
        <r>
          <rPr>
            <sz val="11"/>
            <color theme="1"/>
            <rFont val="Calibri"/>
            <family val="2"/>
            <scheme val="minor"/>
          </rPr>
          <t xml:space="preserve">Patel, Janki:
http://www.feamtechnicaltraining.com/files/ATR%2042%20REFRESHER.pdf
http://www.atr-aircraft.com/wp-content/uploads/2020/07/42-320.pdf
https://www.easa.europa.eu/downloads/7725/en
</t>
        </r>
      </text>
    </comment>
    <comment ref="CF2" authorId="0" shapeId="0" xr:uid="{C2B55E98-D235-4F66-8872-A6BFC6E43A05}">
      <text>
        <r>
          <rPr>
            <sz val="11"/>
            <color theme="1"/>
            <rFont val="Calibri"/>
            <family val="2"/>
            <scheme val="minor"/>
          </rPr>
          <t xml:space="preserve">Patel, Janki:
https://www.easa.europa.eu/downloads/7725/en
https://skybrary.aero/sites/default/files/bookshelf/3694.pdf
</t>
        </r>
      </text>
    </comment>
    <comment ref="CG2" authorId="0" shapeId="0" xr:uid="{6CD5CAA3-60A4-46FB-910E-52535EECD08B}">
      <text>
        <r>
          <rPr>
            <sz val="11"/>
            <color theme="1"/>
            <rFont val="Calibri"/>
            <family val="2"/>
            <scheme val="minor"/>
          </rPr>
          <t xml:space="preserve">Patel, Janki:
https://www.easa.europa.eu/downloads/7725/en
http://www.aeropolis.it/workshop2018/Seminario%202018%20-9%20giugno/DocumentazionePresentazioni/ATR%20FAMILY%20-%20Livret%20ATR%202011.pdf
</t>
        </r>
      </text>
    </comment>
    <comment ref="CH2" authorId="0" shapeId="0" xr:uid="{A64A4410-9CCE-40C1-A9A0-4BFF919AA2B1}">
      <text>
        <r>
          <rPr>
            <sz val="11"/>
            <color theme="1"/>
            <rFont val="Calibri"/>
            <family val="2"/>
            <scheme val="minor"/>
          </rPr>
          <t xml:space="preserve">Patel, Janki:
https://skybrary.aero/sites/default/files/bookshelf/3696.pdf
https://www.atr-aircraft.com/our-aircraft/atr-72-600/
https://www.easa.europa.eu/downloads/7725/en
</t>
        </r>
      </text>
    </comment>
    <comment ref="CI2" authorId="0" shapeId="0" xr:uid="{52A5E5C5-B1A1-400C-8737-F3261185877D}">
      <text>
        <r>
          <rPr>
            <sz val="11"/>
            <color theme="1"/>
            <rFont val="Calibri"/>
            <family val="2"/>
            <scheme val="minor"/>
          </rPr>
          <t xml:space="preserve">Patel, Janki:
https://www.atr-aircraft.com/wp-content/uploads/2020/07/72-500.pdf
https://www.easa.europa.eu/downloads/7725/en
</t>
        </r>
      </text>
    </comment>
    <comment ref="CJ2" authorId="0" shapeId="0" xr:uid="{2A10FF88-134E-4F07-9212-9298225CA139}">
      <text>
        <r>
          <rPr>
            <sz val="11"/>
            <color theme="1"/>
            <rFont val="Calibri"/>
            <family val="2"/>
            <scheme val="minor"/>
          </rPr>
          <t xml:space="preserve">Patel, Janki:
https://www.atr-aircraft.com/wp-content/uploads/2020/07/72-200.pdf
https://www.easa.europa.eu/downloads/7725/en
</t>
        </r>
      </text>
    </comment>
    <comment ref="CK2" authorId="0" shapeId="0" xr:uid="{C218EC60-BDE4-4931-8615-710B6B4B5208}">
      <text>
        <r>
          <rPr>
            <sz val="11"/>
            <color theme="1"/>
            <rFont val="Calibri"/>
            <family val="2"/>
            <scheme val="minor"/>
          </rPr>
          <t xml:space="preserve">Patel, Janki:
https://www.easa.europa.eu/downloads/7725/en
https://www.atr-aircraft.com/wp-content/uploads/2020/07/72-210.pdf
</t>
        </r>
      </text>
    </comment>
    <comment ref="CL2" authorId="0" shapeId="0" xr:uid="{10065E10-AD26-4875-9EAE-D46FA670B3CC}">
      <text>
        <r>
          <rPr>
            <sz val="11"/>
            <color theme="1"/>
            <rFont val="Calibri"/>
            <family val="2"/>
            <scheme val="minor"/>
          </rPr>
          <t xml:space="preserve">Patel, Janki:
https://skybrary.aero/aircraft/b772
https://www.boeing.com/resources/boeingdotcom/commercial/airports/acaps/777_23.pdf
https://aircraft-database.com/database/engine-models/pw4077
https://customer-janes-com.proxy.lib.umich.edu/Janes/Display/JAWA1209-JAWA
https://customer-janes-com.proxy.lib.umich.edu/Janes/Display/JAE_A020-JAE_
</t>
        </r>
      </text>
    </comment>
    <comment ref="CM2" authorId="0" shapeId="0" xr:uid="{86268AD9-CBCE-451B-A32F-BCBC8A62A553}">
      <text>
        <r>
          <rPr>
            <sz val="11"/>
            <color theme="1"/>
            <rFont val="Calibri"/>
            <family val="2"/>
            <scheme val="minor"/>
          </rPr>
          <t>Patel, Janki:
https://rgl.faa.gov/Regulatory_and_Guidance_Library/rgMakeModel.nsf/0/69c65e492f1588bd862579a00066f840/$FILE/E46NE%20Rev%208.pdf
https://www.jet-engine.net/civtfspec.htm
https://www.flightdeckfriend.com/ask-a-pilot/what-speed-does-a-boeing-777-takeoff-and-land/
https://modernairliners.com/boeing-777/boeing-777-specs/
https://customer-janes-com.proxy.lib.umich.edu/Janes/Display/JAWA1209-JAWA
https://customer-janes-com.proxy.lib.umich.edu/Janes/Display/JAE_A020-JAE_</t>
        </r>
      </text>
    </comment>
    <comment ref="CN2" authorId="0" shapeId="0" xr:uid="{1E37CAFA-486D-486C-B7A3-8D587086DC0B}">
      <text>
        <r>
          <rPr>
            <sz val="11"/>
            <color theme="1"/>
            <rFont val="Calibri"/>
            <family val="2"/>
            <scheme val="minor"/>
          </rPr>
          <t xml:space="preserve">Patel, Janki:
https://www.flightdeckfriend.com/ask-a-pilot/what-speed-does-a-boeing-777-takeoff-and-land/#:~:text=The%20Boeing%20777%2D200ER%20take,which%20is%20approximately%20165%20mph.
https://modernairliners.com/boeing-777/boeing-777-specs/
https://www.easa.europa.eu/downloads/7799/en
http://www.ameacademy.com/pdf/boeing/777_2lr3er.pdf
https://customer-janes-com.proxy.lib.umich.edu/janes/search?q=%20777&amp;pg=1
https://customer-janes-com.proxy.lib.umich.edu/Janes/Display/JAE_0735-JAE_
</t>
        </r>
      </text>
    </comment>
    <comment ref="CO2" authorId="0" shapeId="0" xr:uid="{849E7D3F-6265-4CCB-BE1C-041BA4A5CE15}">
      <text>
        <r>
          <rPr>
            <sz val="11"/>
            <color theme="1"/>
            <rFont val="Calibri"/>
            <family val="2"/>
            <scheme val="minor"/>
          </rPr>
          <t>Patel, Janki:
https://www.airbus.com/sites/g/files/jlcbta136/files/2021-11/Airbus-Commercial-Aircraft-AC-A340-500_600.pdf
https://www.easa.europa.eu/downloads/7701/en
https://customer-janes-com.proxy.lib.umich.edu/Janes/Display/JAU_A165-JAU_
https://customer-janes-com.proxy.lib.umich.edu/Janes/Display/JAE_A003-JAE_</t>
        </r>
      </text>
    </comment>
    <comment ref="CP2" authorId="0" shapeId="0" xr:uid="{B38B25A6-E34A-4A7C-8D47-0AA78D7CADDB}">
      <text>
        <r>
          <rPr>
            <sz val="11"/>
            <color theme="1"/>
            <rFont val="Calibri"/>
            <family val="2"/>
            <scheme val="minor"/>
          </rPr>
          <t>Patel, Janki:
https://www.easa.europa.eu/sites/default/files/dfu/EASA-TCDS-E.060_Rolls--Royce_plc_RB211_Trent_500_series_engines-01-26102007.pdf
https://www.airbus.com/sites/g/files/jlcbta136/files/2021-11/Airbus-Commercial-Aircraft-AC-A340-500_600.pdf
https://skybrary.aero/aircraft/a346
https://customer-janes-com.proxy.lib.umich.edu/Janes/Display/JAU_A165-JAU_
https://customer-janes-com.proxy.lib.umich.edu/Janes/Display/JAE_A003-JAE_</t>
        </r>
      </text>
    </comment>
    <comment ref="CQ2" authorId="0" shapeId="0" xr:uid="{A255D14D-2639-44FB-AD34-B45B0B1CD600}">
      <text>
        <r>
          <rPr>
            <sz val="11"/>
            <color theme="1"/>
            <rFont val="Calibri"/>
            <family val="2"/>
            <scheme val="minor"/>
          </rPr>
          <t>Patel, Janki:
https://www.easa.europa.eu/downloads/7797/en
https://www.airbus.com/sites/g/files/jlcbta136/files/2021-11/Airbus-Commercial-Aircraft-AC-A340-200-300.pdf
https://customer-janes-com.proxy.lib.umich.edu/Janes/Display/JAE_0631-JAE_#Description%20-%20in%20service-CFM56-5C2
https://skybrary.aero/aircraft/a343
https://customer-janes-com.proxy.lib.umich.edu/Janes/Display/JAU_A165-JAU_?highlights=#Description%20%E2%80%93%20in%20service-A340-200</t>
        </r>
      </text>
    </comment>
    <comment ref="CR2" authorId="0" shapeId="0" xr:uid="{D378E48E-BE9A-4211-9A20-2C10D0302342}">
      <text>
        <r>
          <rPr>
            <sz val="11"/>
            <color theme="1"/>
            <rFont val="Calibri"/>
            <family val="2"/>
            <scheme val="minor"/>
          </rPr>
          <t>Patel, Janki:
https://www.easa.europa.eu/downloads/7797/en
https://www.airbus.com/sites/g/files/jlcbta136/files/2021-11/Airbus-Commercial-Aircraft-AC-A340-200-300.pdf
https://customer-janes-com.proxy.lib.umich.edu/Janes/Display/JAE_0631-JAE_#Description%20-%20in%20service-CFM56-5C2
https://skybrary.aero/aircraft/a343
https://customer-janes-com.proxy.lib.umich.edu/Janes/Display/JAU_A165-JAU_?highlights=#Description%20%E2%80%93%20in%20service-A340-200</t>
        </r>
      </text>
    </comment>
    <comment ref="CS2" authorId="0" shapeId="0" xr:uid="{E31CB65E-4563-4D7F-A650-B928601F1469}">
      <text>
        <r>
          <rPr>
            <sz val="11"/>
            <color theme="1"/>
            <rFont val="Calibri"/>
            <family val="2"/>
            <scheme val="minor"/>
          </rPr>
          <t>Patel, Janki:
https://www.easa.europa.eu/downloads/7797/en
https://www.airbus.com/sites/g/files/jlcbta136/files/2021-11/Airbus-Commercial-Aircraft-AC-A340-200-300.pdf
https://customer-janes-com.proxy.lib.umich.edu/Janes/Display/JAE_0631-JAE_#Description%20-%20in%20service-CFM56-5C2
https://skybrary.aero/aircraft/a343
https://customer-janes-com.proxy.lib.umich.edu/Janes/Display/JAU_A165-JAU_?highlights=#Description%20%E2%80%93%20in%20service-A340-200</t>
        </r>
      </text>
    </comment>
    <comment ref="CT2" authorId="0" shapeId="0" xr:uid="{579C53D9-7A09-49A2-94C6-4CE02A90EA9C}">
      <text>
        <r>
          <rPr>
            <sz val="11"/>
            <color theme="1"/>
            <rFont val="Calibri"/>
            <family val="2"/>
            <scheme val="minor"/>
          </rPr>
          <t>Patel, Janki:
https://www.easa.europa.eu/downloads/7797/en
https://www.airbus.com/sites/g/files/jlcbta136/files/2021-11/Airbus-Commercial-Aircraft-AC-A340-200-300.pdf
https://customer-janes-com.proxy.lib.umich.edu/Janes/Display/JAU_A165-JAU_?highlights=#Description%20%E2%80%93%20in%20service-A340-200
https://skybrary.aero/aircraft/a342</t>
        </r>
      </text>
    </comment>
    <comment ref="CU2" authorId="0" shapeId="0" xr:uid="{1249B3DD-8A82-4F20-99EF-CF9DB13CE667}">
      <text>
        <r>
          <rPr>
            <sz val="11"/>
            <color theme="1"/>
            <rFont val="Calibri"/>
            <family val="2"/>
            <scheme val="minor"/>
          </rPr>
          <t>Patel, Janki:
https://www.easa.europa.eu/downloads/7797/en
https://www.airbus.com/sites/g/files/jlcbta136/files/2021-11/Airbus-Commercial-Aircraft-AC-A340-200-300.pdf
https://customer-janes-com.proxy.lib.umich.edu/Janes/Display/JAE_0631-JAE_#Description%20-%20in%20service-CFM56-5C2
https://customer-janes-com.proxy.lib.umich.edu/Janes/Display/JAU_A165-JAU_?highlights=#Description%20%E2%80%93%20in%20service-A340-200
https://skybrary.aero/aircraft/a342</t>
        </r>
      </text>
    </comment>
    <comment ref="CV2" authorId="0" shapeId="0" xr:uid="{5B0ECEDA-085A-448F-B695-114A1DC447BA}">
      <text>
        <r>
          <rPr>
            <sz val="11"/>
            <color theme="1"/>
            <rFont val="Calibri"/>
            <family val="2"/>
            <scheme val="minor"/>
          </rPr>
          <t>Patel, Janki:
https://www.easa.europa.eu/downloads/7797/en
https://www.airbus.com/sites/g/files/jlcbta136/files/2021-11/Airbus-Commercial-Aircraft-AC-A340-200-300.pdf
https://customer-janes-com.proxy.lib.umich.edu/Janes/Display/JAU_A165-JAU_?highlights=#Description%20%E2%80%93%20in%20service-A340-200
https://customer-janes-com.proxy.lib.umich.edu/Janes/Display/JAE_0631-JAE_#Description%20-%20in%20service-CFM56-5C2
https://skybrary.aero/aircraft/a342</t>
        </r>
      </text>
    </comment>
    <comment ref="CW2" authorId="0" shapeId="0" xr:uid="{3D2158D8-7AFC-4C98-8CCA-DDCB60ECB073}">
      <text>
        <r>
          <rPr>
            <sz val="11"/>
            <color theme="1"/>
            <rFont val="Calibri"/>
            <family val="2"/>
            <scheme val="minor"/>
          </rPr>
          <t>Patel, Janki:
https://www.boeing.com/assets/pdf/commercial/airports/acaps/747_4.pdf
https://www.boeing.com/resources/boeingdotcom/company/about_bca/startup/pdf/historical/747-400-passenger.pdf
https://www.easa.europa.eu/downloads/136365/en
https://kingla.files.wordpress.com/2011/07/boeing747-400flightmanual.pdf
https://customer-janes-com.proxy.lib.umich.edu/Janes/Display/JAE_0731-JAE_
http://wpage.unina.it/fabrnico/DIDATTICA/PGV/Specifiche_Esercitazioni/B747-8/Manuale%20747_4.pdf</t>
        </r>
      </text>
    </comment>
    <comment ref="CX2" authorId="0" shapeId="0" xr:uid="{E0B39D5C-36C8-4074-A784-B5DAAB880C1E}">
      <text>
        <r>
          <rPr>
            <sz val="11"/>
            <color theme="1"/>
            <rFont val="Calibri"/>
            <family val="2"/>
            <scheme val="minor"/>
          </rPr>
          <t xml:space="preserve">Patel, Janki:
https://www.easa.europa.eu/downloads/7713/en
https://www.boeing.com/assets/pdf/commercial/airports/acaps/747_4.pdf
http://wpage.unina.it/fabrnico/DIDATTICA/PGV/Specifiche_Esercitazioni/B747-8/Manuale%20747_4.pdf
https://customer-janes-com.proxy.lib.umich.edu/Janes/Display/JAE_A018-JAE_
</t>
        </r>
      </text>
    </comment>
    <comment ref="CY2" authorId="0" shapeId="0" xr:uid="{49C47BFE-98BC-461D-BD0F-F5EC88A735E9}">
      <text>
        <r>
          <rPr>
            <sz val="11"/>
            <color theme="1"/>
            <rFont val="Calibri"/>
            <family val="2"/>
            <scheme val="minor"/>
          </rPr>
          <t xml:space="preserve">Patel, Janki:
https://www.easa.europa.eu/downloads/22523/en
https://www.boeing.com/assets/pdf/commercial/airports/acaps/747_4.pdf
http://wpage.unina.it/fabrnico/DIDATTICA/PGV/Specifiche_Esercitazioni/B747-8/Manuale%20747_4.pdf
</t>
        </r>
      </text>
    </comment>
    <comment ref="CZ2" authorId="0" shapeId="0" xr:uid="{3C32F732-4E5B-43DE-9925-85981A5F4104}">
      <text>
        <r>
          <rPr>
            <sz val="11"/>
            <color theme="1"/>
            <rFont val="Calibri"/>
            <family val="2"/>
            <scheme val="minor"/>
          </rPr>
          <t>Patel, Janki:
https://www.smartcockpit.com/docs/A330_Flight_Deck_and_Systems_Briefing_For_Pilots.pdf
https://www.airbus.com/sites/g/files/jlcbta136/files/2021-11/Airbus-Commercial-Aircraft-AC-A330.pdf
https://www.delta.com/us/en/aircraft/airbus/a330-300
https://customer-janes-com.proxy.lib.umich.edu/Janes/Display/jawa0422-jawa?highlights=
https://customer-janes-com.proxy.lib.umich.edu/Janes/Display/JAE_0446-JAE_#Description%20%E2%80%93%20in%20service-CF6-80E1A3</t>
        </r>
      </text>
    </comment>
    <comment ref="DA2" authorId="0" shapeId="0" xr:uid="{A54356DC-902D-4FF0-9F5D-03F7565A1128}">
      <text>
        <r>
          <rPr>
            <sz val="11"/>
            <color theme="1"/>
            <rFont val="Calibri"/>
            <family val="2"/>
            <scheme val="minor"/>
          </rPr>
          <t>Patel, Janki:
https://rgl.faa.gov/Regulatory_and_Guidance_Library/rgMakeModel.nsf/0/2a822313bea2157886257f060055beb1/$FILE/E24NE_Rev_13.pdf
https://www.boeing.com/resources/boeingdotcom/commercial/airports/acaps/767.pdf
https://www.united.com/ual/en/us/fly/travel/inflight/aircraft/767-300er.html
https://skybrary.aero/aircraft/b763
https://customer-janes-com.proxy.lib.umich.edu/Janes/Display/JAE_A018-JAE_#Description%20-%20in%20service-PW4062
https://customer-janes-com.proxy.lib.umich.edu/Janes/Display/JAWA1207-JAWA</t>
        </r>
      </text>
    </comment>
    <comment ref="DB2" authorId="0" shapeId="0" xr:uid="{F6F1AF7B-BEFB-4313-811C-FE86E2DD2FD4}">
      <text>
        <r>
          <rPr>
            <sz val="11"/>
            <color theme="1"/>
            <rFont val="Calibri"/>
            <family val="2"/>
            <scheme val="minor"/>
          </rPr>
          <t>Patel, Janki:
https://rgl.faa.gov/Regulatory_and_Guidance_Library/rgMakeModel.nsf/0/2a822313bea2157886257f060055beb1/$FILE/E24NE_Rev_13.pdf
https://www.boeing.com/resources/boeingdotcom/commercial/airports/acaps/767.pdf
https://skybrary.aero/aircraft/b763</t>
        </r>
      </text>
    </comment>
    <comment ref="DC2" authorId="0" shapeId="0" xr:uid="{2D776DF8-B288-447C-921E-BAE4447C2F18}">
      <text>
        <r>
          <rPr>
            <sz val="11"/>
            <color theme="1"/>
            <rFont val="Calibri"/>
            <family val="2"/>
            <scheme val="minor"/>
          </rPr>
          <t xml:space="preserve">Patel, Janki:
https://www.easa.europa.eu/downloads/136365/en
https://www.boeing.com/resources/boeingdotcom/commercial/airports/acaps/767.pdf
https://customer-janes-com.proxy.lib.umich.edu/Janes/Display/JAWA1207-JAWA
https://customer-janes-com.proxy.lib.umich.edu/Janes/Display/JAE_0731-JAE_#Description%20-%20out%20of%20service-CF6-80C2B7F
</t>
        </r>
      </text>
    </comment>
    <comment ref="DD2" authorId="0" shapeId="0" xr:uid="{05F0B1C6-F0D3-4D47-859F-63D92691F71C}">
      <text>
        <r>
          <rPr>
            <sz val="11"/>
            <color theme="1"/>
            <rFont val="Calibri"/>
            <family val="2"/>
            <scheme val="minor"/>
          </rPr>
          <t>Patel, Janki:
https://rgl.faa.gov/Regulatory_and_Guidance_Library/rgMakeModel.nsf/0/2a822313bea2157886257f060055beb1/$FILE/E24NE_Rev_13.pdf
https://www.boeing.com/resources/boeingdotcom/commercial/airports/acaps/767.pdf
https://skybrary.aero/aircraft/b764
https://customer-janes-com.proxy.lib.umich.edu/Janes/Display/JAE_A018-JAE_#Description%20-%20in%20service-PW4060
https://customer-janes-com.proxy.lib.umich.edu/Janes/Display/JAWA1207-JAWA</t>
        </r>
      </text>
    </comment>
    <comment ref="DE2" authorId="0" shapeId="0" xr:uid="{4891B438-0CA9-4828-AF56-C1826112AE9C}">
      <text>
        <r>
          <rPr>
            <sz val="11"/>
            <color theme="1"/>
            <rFont val="Calibri"/>
            <family val="2"/>
            <scheme val="minor"/>
          </rPr>
          <t>Patel, Janki:
https://rgl.faa.gov/Regulatory_and_Guidance_Library/rgMakeModel.nsf/0/2a822313bea2157886257f060055beb1/$FILE/E24NE_Rev_13.pdf
https://www.boeing.com/resources/boeingdotcom/commercial/airports/acaps/767.pdf
https://skybrary.aero/aircraft/b764
https://customer-janes-com.proxy.lib.umich.edu/Janes/Display/JAWA1207-JAWA
https://customer-janes-com.proxy.lib.umich.edu/Janes/Display/JAE_0731-JAE_#Description%20-%20in%20service-CF6-80C2B8F</t>
        </r>
      </text>
    </comment>
    <comment ref="DF2" authorId="0" shapeId="0" xr:uid="{1BFA1381-AE9D-46D6-9D58-1F7065AAA50F}">
      <text>
        <r>
          <rPr>
            <sz val="11"/>
            <color theme="1"/>
            <rFont val="Calibri"/>
            <family val="2"/>
            <scheme val="minor"/>
          </rPr>
          <t xml:space="preserve">Patel, Janki:
https://www.easa.europa.eu/downloads/7635/en
https://skybrary.aero/aircraft/a359
https://www.airbus.com/sites/g/files/jlcbta136/files/2021-11/Airbus-Commercial-Aircraft-AC-A350-900-1000.pdf
https://customer-janes-com.proxy.lib.umich.edu/Janes/Display/JAWAA054-JAWA
https://customer-janes-com.proxy.lib.umich.edu/Janes/Display/JAE_A008-JAE_
https://sites.google.com/site/starkincforces/home/airbus/information/a350-900-1
</t>
        </r>
      </text>
    </comment>
    <comment ref="DG2" authorId="0" shapeId="0" xr:uid="{2ED34E1B-CE09-4BE0-AB10-1A1F6ACCBDA2}">
      <text>
        <r>
          <rPr>
            <sz val="11"/>
            <color theme="1"/>
            <rFont val="Calibri"/>
            <family val="2"/>
            <scheme val="minor"/>
          </rPr>
          <t>Patel, Janki:
https://www.easa.europa.eu/downloads/7635/en
https://www.airbus.com/sites/g/files/jlcbta136/files/2021-11/Airbus-Commercial-Aircraft-AC-A350-900-1000.pdf
https://customer-janes-com.proxy.lib.umich.edu/Janes/Display/JAWAA054-JAWA
https://customer-janes-com.proxy.lib.umich.edu/Janes/Display/JAE_A008-JAE_
https://sites.google.com/site/starkincforces/home/airbus/information/a350-900-1</t>
        </r>
      </text>
    </comment>
    <comment ref="DH2" authorId="0" shapeId="0" xr:uid="{3D5088BB-7F29-4354-B5DB-1CF313982B54}">
      <text>
        <r>
          <rPr>
            <sz val="11"/>
            <color theme="1"/>
            <rFont val="Calibri"/>
            <family val="2"/>
            <scheme val="minor"/>
          </rPr>
          <t xml:space="preserve">Patel, Janki:
https://www.jet-engine.net/civtfspec.htm
http://wpage.unina.it/fabrnico/DIDATTICA/PGV/Specifiche_Esercitazioni/TRIM_MD11/Manuale%20dc10.pdf
https://skybrary.aero/aircraft/dc10
https://customer-janes-com.proxy.lib.umich.edu/Janes/Display/JAU_1430-JAU_
https://customer-janes-com.proxy.lib.umich.edu/Janes/Display/JAE_0281-JAE_
</t>
        </r>
      </text>
    </comment>
    <comment ref="DI2" authorId="0" shapeId="0" xr:uid="{8E4BF449-2DBD-4DD7-B297-A7FD7852E651}">
      <text>
        <r>
          <rPr>
            <sz val="11"/>
            <color theme="1"/>
            <rFont val="Calibri"/>
            <family val="2"/>
            <scheme val="minor"/>
          </rPr>
          <t xml:space="preserve">Patel, Janki:
https://www.jet-engine.net/civtfspec.htm
http://wpage.unina.it/fabrnico/DIDATTICA/PGV/Specifiche_Esercitazioni/TRIM_MD11/Manuale%20dc10.pdf
https://customer-janes-com.proxy.lib.umich.edu/Janes/Display/JAE_0281-JAE_
https://customer-janes-com.proxy.lib.umich.edu/Janes/Display/JAU_1430-JAU_
</t>
        </r>
      </text>
    </comment>
    <comment ref="DJ2" authorId="0" shapeId="0" xr:uid="{5C8A4707-DF36-4C43-9010-F61BFCBAAD11}">
      <text>
        <r>
          <rPr>
            <sz val="11"/>
            <color theme="1"/>
            <rFont val="Calibri"/>
            <family val="2"/>
            <scheme val="minor"/>
          </rPr>
          <t xml:space="preserve">Patel, Janki:
https://www.jet-engine.net/civtfspec.htm
http://wpage.unina.it/fabrnico/DIDATTICA/PGV/Specifiche_Esercitazioni/TRIM_MD11/Manuale%20dc10.pdf
https://customer-janes-com.proxy.lib.umich.edu/Janes/Display/jau_1430-jau_?highlights=
https://customer-janes-com.proxy.lib.umich.edu/Janes/Display/JAE_0281-JAE_
</t>
        </r>
      </text>
    </comment>
    <comment ref="DK2" authorId="0" shapeId="0" xr:uid="{FD2A27E7-8373-4F14-B569-7C84D1B589C0}">
      <text>
        <r>
          <rPr>
            <sz val="11"/>
            <color theme="1"/>
            <rFont val="Calibri"/>
            <family val="2"/>
            <scheme val="minor"/>
          </rPr>
          <t xml:space="preserve">Patel, Janki:
https://www.jet-engine.net/civtfspec.htm
http://wpage.unina.it/fabrnico/DIDATTICA/PGV/Specifiche_Esercitazioni/TRIM_MD11/Manuale%20dc10.pdf
https://customer-janes-com.proxy.lib.umich.edu/Janes/Display/jau_1430-jau_?highlights=
https://customer-janes-com.proxy.lib.umich.edu/Janes/Display/JAE_0281-JAE_
</t>
        </r>
      </text>
    </comment>
    <comment ref="DL2" authorId="0" shapeId="0" xr:uid="{9192AE5D-BFFB-4A58-8293-B5F4ECF92185}">
      <text>
        <r>
          <rPr>
            <sz val="11"/>
            <color theme="1"/>
            <rFont val="Calibri"/>
            <family val="2"/>
            <scheme val="minor"/>
          </rPr>
          <t xml:space="preserve">Patel, Janki:
https://www.jet-engine.net/civtfspec.htm
http://wpage.unina.it/fabrnico/DIDATTICA/PGV/Specifiche_Esercitazioni/TRIM_MD11/Manuale%20dc10.pdf
https://customer-janes-com.proxy.lib.umich.edu/Janes/Display/jau_1430-jau_?highlights=
https://customer-janes-com.proxy.lib.umich.edu/Janes/Display/JAE_0747-JAE_
</t>
        </r>
      </text>
    </comment>
    <comment ref="DM2" authorId="0" shapeId="0" xr:uid="{38AA5FDA-088B-4ED8-984E-F66DFF6AF1B5}">
      <text>
        <r>
          <rPr>
            <sz val="11"/>
            <color theme="1"/>
            <rFont val="Calibri"/>
            <family val="2"/>
            <scheme val="minor"/>
          </rPr>
          <t xml:space="preserve">Patel, Janki:
https://www.jet-engine.net/civtfspec.htm
http://wpage.unina.it/fabrnico/DIDATTICA/PGV/Specifiche_Esercitazioni/TRIM_MD11/Manuale%20dc10.pdf
https://customer-janes-com.proxy.lib.umich.edu/Janes/Display/jau_1430-jau_?highlights=
https://customer-janes-com.proxy.lib.umich.edu/Janes/Display/JAE_0747-JAE_#Description%20%E2%80%93%20in%20service-JT9D-59A,%20-70A
</t>
        </r>
      </text>
    </comment>
    <comment ref="DN2" authorId="0" shapeId="0" xr:uid="{C54B5D29-3EE6-42DF-9657-311C4AE9C60A}">
      <text>
        <r>
          <rPr>
            <sz val="11"/>
            <color theme="1"/>
            <rFont val="Calibri"/>
            <family val="2"/>
            <scheme val="minor"/>
          </rPr>
          <t xml:space="preserve">Patel, Janki:
https://skybrary.aero/aircraft/a388
http://webserver.dmt.upm.es/~isidoro/bk3/c17/Aerospace%20engine%20data.pdf
https://modernairliners.com/airbus-a380/airbus-a380-specs/
https://www.airbus.com/sites/g/files/jlcbta136/files/2021-11/Airbus-Aircraft-AC-A380.pdf
https://customer-janes-com.proxy.lib.umich.edu/Janes/Display/JAE_A006-JAE_
https://customer-janes-com.proxy.lib.umich.edu/Janes/Display/JAWA5306-JAWA
</t>
        </r>
      </text>
    </comment>
    <comment ref="DO2" authorId="0" shapeId="0" xr:uid="{01904351-CE80-4883-B1C9-77DEDE4038B4}">
      <text>
        <r>
          <rPr>
            <sz val="11"/>
            <color theme="1"/>
            <rFont val="Calibri"/>
            <family val="2"/>
            <scheme val="minor"/>
          </rPr>
          <t xml:space="preserve">Patel, Janki:
https://rgl.faa.gov/Regulatory_and_Guidance_Library/rgMakeModel.nsf/0/2a822313bea2157886257f060055beb1/$FILE/E24NE_Rev_13.pdf
https://www.boeing.com/commercial/aeromagazine/aero_21/747ER.pdf
https://www.topspeed.com/aviation/aviation-reviews/boeing/2002-2010-boeing-747-400er-ar85833.html
https://customer-janes-com.proxy.lib.umich.edu/Janes/Display/jae_0536-jae_?highlights=#Description%20%E2%80%93%20in%20service-RB211-524G/H-T
http://wpage.unina.it/fabrnico/DIDATTICA/PGV/Specifiche_Esercitazioni/B747-8/Manuale%20747_4.pdf
</t>
        </r>
      </text>
    </comment>
    <comment ref="DP2" authorId="0" shapeId="0" xr:uid="{CAC62179-85D2-49F8-9A2D-A10F7DF37FBE}">
      <text>
        <r>
          <rPr>
            <sz val="11"/>
            <color theme="1"/>
            <rFont val="Calibri"/>
            <family val="2"/>
            <scheme val="minor"/>
          </rPr>
          <t xml:space="preserve">Patel, Janki:
https://www.easa.europa.eu/downloads/22523/en
https://www.boeing.com/commercial/aeromagazine/aero_21/747ER.pdf
https://www.topspeed.com/aviation/aviation-reviews/boeing/2002-2010-boeing-747-400er-ar85833.html
.umich.edu/Janes/Display/jae_0536-jae_?highlights=#Description%20–%20in%20service-RB211-524G/H-T
http://wpage.unina.it/fabrnico/DIDATTICA/PGV/Specifiche_Esercitazioni/B747-8/Manuale%20747_4.pdf
</t>
        </r>
      </text>
    </comment>
    <comment ref="DQ2" authorId="0" shapeId="0" xr:uid="{3DA84666-FE45-4D95-A24A-EBC010721CEA}">
      <text>
        <r>
          <rPr>
            <sz val="11"/>
            <color theme="1"/>
            <rFont val="Calibri"/>
            <family val="2"/>
            <scheme val="minor"/>
          </rPr>
          <t xml:space="preserve">Patel, Janki:
https://www.easa.europa.eu/downloads/136365/en
https://www.boeing.com/commercial/aeromagazine/aero_21/747ER.pdf
https://www.topspeed.com/aviation/aviation-reviews/boeing/2002-2010-boeing-747-400er-ar85833.html
http://wpage.unina.it/fabrnico/DIDATTICA/PGV/Specifiche_Esercitazioni/B747-8/Manuale%20747_4.pdf
https://customer-janes-com.proxy.lib.umich.edu/Janes/Display/JAE_0731-JAE_#Description%20-%20in%20service-CF6-80C2B5F
</t>
        </r>
      </text>
    </comment>
    <comment ref="DR2" authorId="2" shapeId="0" xr:uid="{52B39647-1961-4567-8843-CC204F3D1EE4}">
      <text>
        <r>
          <rPr>
            <sz val="11"/>
            <color theme="1"/>
            <rFont val="Calibri"/>
            <family val="2"/>
            <scheme val="minor"/>
          </rPr>
          <t xml:space="preserve">Tsai, Michael:
1.  Use fuel capacity 53,183.94 kg MTOW 123800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chrome-extension://efaidnbmnnnibpcajpcglclefindmkaj/https://rgl.faa.gov/Regulatory_and_Guidance_Library/rgMakeModel.nsf/0/14218f17e8459a128525670d0061ae8d/$FILE/E-290.pdf
5. 
https://customer.janes.com/Janes/Display/JAU_1426-JAU_
6. 
</t>
        </r>
      </text>
    </comment>
    <comment ref="DS2" authorId="2" shapeId="0" xr:uid="{FF4D101A-40B6-4A6F-8B46-87944DE519F2}">
      <text>
        <r>
          <rPr>
            <sz val="11"/>
            <color theme="1"/>
            <rFont val="Calibri"/>
            <family val="2"/>
            <scheme val="minor"/>
          </rPr>
          <t>Tsai, Michael:
1.  Use fuel capacity 53,183.94 kg MTOW 125200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chrome-extension://efaidnbmnnnibpcajpcglclefindmkaj/https://rgl.faa.gov/Regulatory_and_Guidance_Library/rgMakeModel.nsf/0/14218f17e8459a128525670d0061ae8d/$FILE/E-290.pdf
5. 
https://customer.janes.com/Janes/Display/jae_0323-jae_
6.
https://customer.janes.com/Janes/Display/JAU_1426-JAU_</t>
        </r>
      </text>
    </comment>
    <comment ref="DT2" authorId="2" shapeId="0" xr:uid="{6EB70D20-0105-45CC-BC7C-84F9CC99213A}">
      <text>
        <r>
          <rPr>
            <sz val="11"/>
            <color theme="1"/>
            <rFont val="Calibri"/>
            <family val="2"/>
            <scheme val="minor"/>
          </rPr>
          <t xml:space="preserve">Tsai, Michael:
1.  Use fuel capacity 53,183.94 kg MTOW 142884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chrome-extension://efaidnbmnnnibpcajpcglclefindmkaj/https://rgl.faa.gov/Regulatory_and_Guidance_Library/rgMakeModel.nsf/0/14218f17e8459a128525670d0061ae8d/$FILE/E-290.pdf
5. 
</t>
        </r>
      </text>
    </comment>
    <comment ref="DU2" authorId="2" shapeId="0" xr:uid="{C69C05D9-9748-48E9-B3D0-015BF01007AB}">
      <text>
        <r>
          <rPr>
            <sz val="11"/>
            <color theme="1"/>
            <rFont val="Calibri"/>
            <family val="2"/>
            <scheme val="minor"/>
          </rPr>
          <t xml:space="preserve">Tsai, Michael:
1.  Use fuel capacity 71093 kg MTOW 142884 kg Weight Variant 
chrome-extension://efaidnbmnnnibpcajpcglclefindmkaj/https://www.boeing.com/resources/boeingdotcom/commercial/airports/acaps/dc8.pdf
2.
https://modernairliners.com/douglas-dc8/
3.
https://manualzz.com/doc/6893004/-707-captain--flight-manual-part-iii-%E2%80%93-operations
4.
https://www.thisdayinaviation.com/tag/rolls-royce-conway-508/
5. 
https://www.enginehistory.org/members/Conway.php
</t>
        </r>
      </text>
    </comment>
    <comment ref="DV2" authorId="2" shapeId="0" xr:uid="{F72F69C0-BF8E-45B7-BCA0-25E8E946C000}">
      <text>
        <r>
          <rPr>
            <sz val="11"/>
            <color theme="1"/>
            <rFont val="Calibri"/>
            <family val="2"/>
            <scheme val="minor"/>
          </rPr>
          <t xml:space="preserve">Tsai, Michael:
1.  Use fuel capacity 71,093 kg MTOW 147420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chrome-extension://efaidnbmnnnibpcajpcglclefindmkaj/https://rgl.faa.gov/Regulatory_and_Guidance_Library/rgMakeModel.nsf/0/4f009e533a182a5e8525670d0062cfc6/$FILE/1e8.pdf
5. 
https://skybrary.aero/aircraft/dc85
6. 
https://customer.janes.com/Janes/Display/JAE_0745-JAE_
</t>
        </r>
      </text>
    </comment>
    <comment ref="DW2" authorId="2" shapeId="0" xr:uid="{063EC651-D89E-406C-B1D7-58EF2AC3756C}">
      <text>
        <r>
          <rPr>
            <sz val="11"/>
            <color theme="1"/>
            <rFont val="Calibri"/>
            <family val="2"/>
            <scheme val="minor"/>
          </rPr>
          <t xml:space="preserve">Tsai, Michael:
1.  Use fuel capacity 71,093 kg MTOW 147420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chrome-extension://efaidnbmnnnibpcajpcglclefindmkaj/https://rgl.faa.gov/Regulatory_and_Guidance_Library/rgMakeModel.nsf/0/4f009e533a182a5e8525670d0062cfc6/$FILE/1e8.pdf
5. 
https://skybrary.aero/aircraft/dc86
</t>
        </r>
      </text>
    </comment>
    <comment ref="DX2" authorId="2" shapeId="0" xr:uid="{CC551CD5-463B-4C4C-A2EA-8294EF0D7A70}">
      <text>
        <r>
          <rPr>
            <sz val="11"/>
            <color theme="1"/>
            <rFont val="Calibri"/>
            <family val="2"/>
            <scheme val="minor"/>
          </rPr>
          <t xml:space="preserve">Tsai, Michael:
1.  Use fuel capacity 73,774 kg MTOW 158760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chrome-extension://efaidnbmnnnibpcajpcglclefindmkaj/https://rgl.faa.gov/Regulatory_and_Guidance_Library/rgMakeModel.nsf/0/4f009e533a182a5e8525670d0062cfc6/$FILE/1e8.pdf
5. 
https://skybrary.aero/aircraft/dc86
</t>
        </r>
      </text>
    </comment>
    <comment ref="DY2" authorId="2" shapeId="0" xr:uid="{CAF1C106-3032-4C0D-88F5-F5A6DA9D5047}">
      <text>
        <r>
          <rPr>
            <sz val="11"/>
            <color theme="1"/>
            <rFont val="Calibri"/>
            <family val="2"/>
            <scheme val="minor"/>
          </rPr>
          <t xml:space="preserve">Tsai, Michael:
1.  Use fuel capacity kg MTOW 161028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chrome-extension://efaidnbmnnnibpcajpcglclefindmkaj/https://rgl.faa.gov/Regulatory_and_Guidance_Library/rgMakeModel.nsf/0/4f009e533a182a5e8525670d0062cfc6/$FILE/1e8.pdf
5. 
https://skybrary.aero/aircraft/dc86
</t>
        </r>
      </text>
    </comment>
    <comment ref="DZ2" authorId="2" shapeId="0" xr:uid="{E577A853-DF43-4352-A84B-457D79431104}">
      <text>
        <r>
          <rPr>
            <sz val="11"/>
            <color theme="1"/>
            <rFont val="Calibri"/>
            <family val="2"/>
            <scheme val="minor"/>
          </rPr>
          <t xml:space="preserve">Tsai, Michael:
1.  Use fuel capacity kg MTOW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chrome-extension://efaidnbmnnnibpcajpcglclefindmkaj/https://rgl.faa.gov/Regulatory_and_Guidance_Library/rgMakeModel.nsf/0/962114acaa05711c862587f300570fc1/$FILE/E21EU%20Revision%2013.pdf
5. 
https://skybrary.aero/aircraft/dc86
</t>
        </r>
      </text>
    </comment>
    <comment ref="EA2" authorId="2" shapeId="0" xr:uid="{78CC11FC-AA0D-4913-9122-A21C3FF1FE63}">
      <text>
        <r>
          <rPr>
            <sz val="11"/>
            <color theme="1"/>
            <rFont val="Calibri"/>
            <family val="2"/>
            <scheme val="minor"/>
          </rPr>
          <t xml:space="preserve">Tsai, Michael:
1.  Use fuel capacity kg MTOW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chrome-extension://efaidnbmnnnibpcajpcglclefindmkaj/https://rgl.faa.gov/Regulatory_and_Guidance_Library/rgMakeModel.nsf/0/962114acaa05711c862587f300570fc1/$FILE/E21EU%20Revision%2013.pdf
5. 
https://skybrary.aero/aircraft/dc86
</t>
        </r>
      </text>
    </comment>
    <comment ref="EB2" authorId="2" shapeId="0" xr:uid="{CCA7E291-0892-4D92-8382-B0766AFF9A53}">
      <text>
        <r>
          <rPr>
            <sz val="11"/>
            <color theme="1"/>
            <rFont val="Calibri"/>
            <family val="2"/>
            <scheme val="minor"/>
          </rPr>
          <t xml:space="preserve">Tsai, Michael:
1.  Use fuel capacity kg MTOW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chrome-extension://efaidnbmnnnibpcajpcglclefindmkaj/https://rgl.faa.gov/Regulatory_and_Guidance_Library/rgMakeModel.nsf/0/962114acaa05711c862587f300570fc1/$FILE/E21EU%20Revision%2013.pdf
5. 
https://skybrary.aero/aircraft/dc86
</t>
        </r>
      </text>
    </comment>
    <comment ref="EC2" authorId="2" shapeId="0" xr:uid="{87AD6A75-AD0B-4BF9-88F7-07D6F473B1E7}">
      <text>
        <r>
          <rPr>
            <sz val="11"/>
            <color theme="1"/>
            <rFont val="Calibri"/>
            <family val="2"/>
            <scheme val="minor"/>
          </rPr>
          <t xml:space="preserve">Tsai, Michael:
1.  Use fuel capacity 52,658.08 kg MTOW 117000 kg Weight Variant 
chrome-extension://efaidnbmnnnibpcajpcglclefindmkaj/https://www.boeing.com/resources/boeingdotcom/commercial/airports/acaps/707.pdf
2.
https://skybrary.aero/aircraft/b701
3.
https://modernairliners.com/boeing-707/
4.
chrome-extension://efaidnbmnnnibpcajpcglclefindmkaj/https://rgl.faa.gov/Regulatory_and_Guidance_Library/rgMakeModel.nsf/0/14218f17e8459a128525670d0061ae8d/$FILE/E-290.pdf
5. 
https://manualzz.com/doc/6893004/-707-captain--flight-manual-part-iii-%E2%80%93-operations
6.
https://customer.janes.com/Janes/Display/jau_1413-jau_
7. 
</t>
        </r>
      </text>
    </comment>
    <comment ref="ED2" authorId="2" shapeId="0" xr:uid="{36015B62-39D4-4EA5-854C-9B7528A6E2AA}">
      <text>
        <r>
          <rPr>
            <sz val="11"/>
            <color theme="1"/>
            <rFont val="Calibri"/>
            <family val="2"/>
            <scheme val="minor"/>
          </rPr>
          <t xml:space="preserve">Tsai, Michael:
1.  Use fuel capacity 52,658.08 kg MTOW 117000 kg Weight Variant 
chrome-extension://efaidnbmnnnibpcajpcglclefindmkaj/https://www.boeing.com/resources/boeingdotcom/commercial/airports/acaps/707.pdf
2.
https://skybrary.aero/aircraft/b701
3.
https://modernairliners.com/boeing-707/
4.
chrome-extension://efaidnbmnnnibpcajpcglclefindmkaj/https://rgl.faa.gov/Regulatory_and_Guidance_Library/rgMakeModel.nsf/0/4f009e533a182a5e8525670d0062cfc6/$FILE/1e8.pdf
5. 
https://manualzz.com/doc/6893004/-707-captain--flight-manual-part-iii-%E2%80%93-operations
6.
http://www.all-aero.com/index.php/contactus/64-engines-power/13428-pratt-whitney-jt3d-tf33
</t>
        </r>
      </text>
    </comment>
    <comment ref="EE2" authorId="2" shapeId="0" xr:uid="{459C3CFD-51FF-4B79-A8AB-8DB3FD7F66CD}">
      <text>
        <r>
          <rPr>
            <sz val="11"/>
            <color theme="1"/>
            <rFont val="Calibri"/>
            <family val="2"/>
            <scheme val="minor"/>
          </rPr>
          <t xml:space="preserve">Tsai, Michael:
1.  Use fuel capacity 52,658.08 kg MTOW 117000 kg Weight Variant 
chrome-extension://efaidnbmnnnibpcajpcglclefindmkaj/https://www.boeing.com/resources/boeingdotcom/commercial/airports/acaps/707.pdf
2.
https://skybrary.aero/aircraft/b701
3.
https://modernairliners.com/boeing-707/
4.
chrome-extension://efaidnbmnnnibpcajpcglclefindmkaj/https://rgl.faa.gov/Regulatory_and_Guidance_Library/rgMakeModel.nsf/0/4f009e533a182a5e8525670d0062cfc6/$FILE/1e8.pdf
5. 
https://manualzz.com/doc/6893004/-707-captain--flight-manual-part-iii-%E2%80%93-operations
6. 
https://customer.janes.com/Janes/DisplayFile/JAU_1412
</t>
        </r>
      </text>
    </comment>
    <comment ref="EF2" authorId="2" shapeId="0" xr:uid="{F590D9DE-B4C6-4FDC-84A9-39D8C14406AA}">
      <text>
        <r>
          <rPr>
            <sz val="11"/>
            <color theme="1"/>
            <rFont val="Calibri"/>
            <family val="2"/>
            <scheme val="minor"/>
          </rPr>
          <t xml:space="preserve">Tsai, Michael:
1.  Use fuel capacity 72384 kg MTOW 141700 kg Weight Variant 
chrome-extension://efaidnbmnnnibpcajpcglclefindmkaj/https://www.boeing.com/resources/boeingdotcom/commercial/airports/acaps/707.pdf
2.
https://skybrary.aero/aircraft/b703
3.
https://modernairliners.com/boeing-707/
4.
chrome-extension://efaidnbmnnnibpcajpcglclefindmkaj/https://rgl.faa.gov/Regulatory_and_Guidance_Library/rgMakeModel.nsf/0/9b73f02385ceaed28525670d0061c80e/$FILE/E-291.pdf
5. 
https://manualzz.com/doc/6893004/-707-captain--flight-manual-part-iii-%E2%80%93-operations
</t>
        </r>
      </text>
    </comment>
    <comment ref="EG2" authorId="2" shapeId="0" xr:uid="{1164F1FC-6BC5-4398-9D54-274C9EA64B1E}">
      <text>
        <r>
          <rPr>
            <sz val="11"/>
            <color theme="1"/>
            <rFont val="Calibri"/>
            <family val="2"/>
            <scheme val="minor"/>
          </rPr>
          <t xml:space="preserve">Tsai, Michael:
1.  Use fuel capacity 72384 kg MTOW 141700 kg Weight Variant 
chrome-extension://efaidnbmnnnibpcajpcglclefindmkaj/https://www.boeing.com/resources/boeingdotcom/commercial/airports/acaps/707.pdf
2.
https://skybrary.aero/aircraft/b703
3.
https://modernairliners.com/boeing-707/
4.
https://www.thisdayinaviation.com/tag/rolls-royce-conway-508/
5. 
https://manualzz.com/doc/6893004/-707-captain--flight-manual-part-iii-%E2%80%93-operations
</t>
        </r>
      </text>
    </comment>
    <comment ref="EH2" authorId="2" shapeId="0" xr:uid="{7042B496-29D0-44C1-BC49-4AFA24288F86}">
      <text>
        <r>
          <rPr>
            <sz val="11"/>
            <color theme="1"/>
            <rFont val="Calibri"/>
            <family val="2"/>
            <scheme val="minor"/>
          </rPr>
          <t xml:space="preserve">Tsai, Michael:
1.  Use fuel capacity  72,488.16 kg MTOW 148500 kg Weight Variant 
chrome-extension://efaidnbmnnnibpcajpcglclefindmkaj/https://www.boeing.com/resources/boeingdotcom/commercial/airports/acaps/707.pdf
2.
https://skybrary.aero/aircraft/b703
3.
https://modernairliners.com/boeing-707/
4.
chrome-extension://efaidnbmnnnibpcajpcglclefindmkaj/https://rgl.faa.gov/Regulatory_and_Guidance_Library/rgMakeModel.nsf/0/4f009e533a182a5e8525670d0062cfc6/$FILE/1e8.pdf
5. 
https://manualzz.com/doc/6893004/-707-captain--flight-manual-part-iii-%E2%80%93-operations
</t>
        </r>
      </text>
    </comment>
    <comment ref="EI2" authorId="2" shapeId="0" xr:uid="{6D813CBC-204E-45F2-8B68-1DF630F5F1A0}">
      <text>
        <r>
          <rPr>
            <sz val="11"/>
            <color theme="1"/>
            <rFont val="Calibri"/>
            <family val="2"/>
            <scheme val="minor"/>
          </rPr>
          <t xml:space="preserve">Tsai, Michael:
1.  Use fuel capacity kg MTOW kg Weight Variant 
chrome-extension://efaidnbmnnnibpcajpcglclefindmkaj/https://www.boeing.com/resources/boeingdotcom/commercial/airports/acaps/707.pdf
2.
https://skybrary.aero/aircraft/b703
3.
https://modernairliners.com/boeing-707/
4.
chrome-extension://efaidnbmnnnibpcajpcglclefindmkaj/https://rgl.faa.gov/Regulatory_and_Guidance_Library/rgMakeModel.nsf/0/4f009e533a182a5e8525670d0062cfc6/$FILE/1e8.pdf
5. 
https://manualzz.com/doc/6893004/-707-captain--flight-manual-part-iii-%E2%80%93-operations
6.
https://aircraft-database.com/database/engine-models/jt3d-7
7.
chrome-extension://efaidnbmnnnibpcajpcglclefindmkaj/https://link.springer.com/content/pdf/bbm:978-1-4614-3532-7/1.pdf
</t>
        </r>
      </text>
    </comment>
    <comment ref="EJ2" authorId="2" shapeId="0" xr:uid="{115AE00F-1B6D-40EF-8549-7215422C0B67}">
      <text>
        <r>
          <rPr>
            <sz val="11"/>
            <color theme="1"/>
            <rFont val="Calibri"/>
            <family val="2"/>
            <scheme val="minor"/>
          </rPr>
          <t xml:space="preserve">Tsai, Michael:
1.  Use fuel capacity 11163 kg MTOW 53524 kg Weight Variant 
chrome-extension://efaidnbmnnnibpcajpcglclefindmkaj/https://www.boeing.com/resources/boeingdotcom/commercial/airports/acaps/717.pdf
2.
https://skybrary.aero/aircraft/b712
3.
https://modernairliners.com/boeing-717-and-boeing-717-specs/
4.
chrome-extension://efaidnbmnnnibpcajpcglclefindmkaj/https://rgl.faa.gov/Regulatory_and_Guidance_Library/rgMakeModel.nsf/0/96de5f9c8d8dc161862572a60049bc9b/$FILE/E00061EN.pdf
5. 
</t>
        </r>
      </text>
    </comment>
    <comment ref="EK2" authorId="2" shapeId="0" xr:uid="{065021D1-DAEF-407A-9726-FFA14490311E}">
      <text>
        <r>
          <rPr>
            <sz val="11"/>
            <color theme="1"/>
            <rFont val="Calibri"/>
            <family val="2"/>
            <scheme val="minor"/>
          </rPr>
          <t xml:space="preserve">Tsai, Michael:
1.  Use fuel capacity 13382 kg MTOW 54884 kg Weight Variant 
chrome-extension://efaidnbmnnnibpcajpcglclefindmkaj/https://www.boeing.com/resources/boeingdotcom/commercial/airports/acaps/717.pdf
2.
https://skybrary.aero/aircraft/b712
3.
https://modernairliners.com/boeing-717-and-boeing-717-specs/
4.
chrome-extension://efaidnbmnnnibpcajpcglclefindmkaj/https://rgl.faa.gov/Regulatory_and_Guidance_Library/rgMakeModel.nsf/0/96de5f9c8d8dc161862572a60049bc9b/$FILE/E00061EN.pdf
5. 
</t>
        </r>
      </text>
    </comment>
    <comment ref="EL2" authorId="2" shapeId="0" xr:uid="{31AA2E92-54C5-4295-9392-DCA0961480D0}">
      <text>
        <r>
          <rPr>
            <sz val="11"/>
            <color theme="1"/>
            <rFont val="Calibri"/>
            <family val="2"/>
            <scheme val="minor"/>
          </rPr>
          <t xml:space="preserve">Tsai, Michael:
1.  Use fuel capacity 23360 kg MTOW 72600 kg Weight Variant 
chrome-extension://efaidnbmnnnibpcajpcglclefindmkaj/https://www.boeing.com/resources/boeingdotcom/commercial/airports/acaps/727.pdf
2.
https://skybrary.aero/aircraft/b721
3.
https://modernairliners.com/boeing-727-and-boeing-727-specs/
4.
chrome-extension://efaidnbmnnnibpcajpcglclefindmkaj/https://rgl.faa.gov/Regulatory_and_Guidance_Library/rgMakeModel.nsf/0/d63b4dd4434fdace862586b80050164d/$FILE/E2EA.pdf
5. (Takeoff Reference)
https://www.boeing-727.com/Data/fly%20odds/thumb.html
</t>
        </r>
      </text>
    </comment>
    <comment ref="EM2" authorId="2" shapeId="0" xr:uid="{A7A22C75-ADF9-41B8-A558-C81E81A97051}">
      <text>
        <r>
          <rPr>
            <sz val="11"/>
            <color theme="1"/>
            <rFont val="Calibri"/>
            <family val="2"/>
            <scheme val="minor"/>
          </rPr>
          <t xml:space="preserve">Tsai, Michael:
1.  Use fuel capacity 23360 kg MTOW 76700 kg Weight Variant 
chrome-extension://efaidnbmnnnibpcajpcglclefindmkaj/https://www.boeing.com/resources/boeingdotcom/commercial/airports/acaps/727.pdf
2.
https://skybrary.aero/aircraft/b721
3.
https://modernairliners.com/boeing-727-and-boeing-727-specs/
4.
chrome-extension://efaidnbmnnnibpcajpcglclefindmkaj/https://rgl.faa.gov/Regulatory_and_Guidance_Library/rgMakeModel.nsf/0/d63b4dd4434fdace862586b80050164d/$FILE/E2EA.pdf
</t>
        </r>
      </text>
    </comment>
    <comment ref="EN2" authorId="2" shapeId="0" xr:uid="{AC0F9DE1-2E59-4BBA-AEC0-D8BA308A13E4}">
      <text>
        <r>
          <rPr>
            <sz val="11"/>
            <color theme="1"/>
            <rFont val="Calibri"/>
            <family val="2"/>
            <scheme val="minor"/>
          </rPr>
          <t xml:space="preserve">Tsai, Michael:
1.  Use fuel capacity 23360 kg MTOW 72600 kg Weight Variant 
chrome-extension://efaidnbmnnnibpcajpcglclefindmkaj/https://www.boeing.com/resources/boeingdotcom/commercial/airports/acaps/727.pdf
2.
https://skybrary.aero/aircraft/b721
3.
https://modernairliners.com/boeing-727-and-boeing-727-specs/
4.
chrome-extension://efaidnbmnnnibpcajpcglclefindmkaj/https://rgl.faa.gov/Regulatory_and_Guidance_Library/rgMakeModel.nsf/0/d63b4dd4434fdace862586b80050164d/$FILE/E2EA.pdf
</t>
        </r>
      </text>
    </comment>
    <comment ref="EO2" authorId="2" shapeId="0" xr:uid="{D7E892E2-2FB6-495A-B760-4C6C24E889CB}">
      <text>
        <r>
          <rPr>
            <sz val="11"/>
            <color theme="1"/>
            <rFont val="Calibri"/>
            <family val="2"/>
            <scheme val="minor"/>
          </rPr>
          <t xml:space="preserve">Tsai, Michael:
1.  Use fuel capacity 23360 kg MTOW 76700 kg Weight Variant 
chrome-extension://efaidnbmnnnibpcajpcglclefindmkaj/https://www.boeing.com/resources/boeingdotcom/commercial/airports/acaps/727.pdf
2.
https://skybrary.aero/aircraft/b721
3.
https://modernairliners.com/boeing-727-and-boeing-727-specs/
4.
chrome-extension://efaidnbmnnnibpcajpcglclefindmkaj/https://rgl.faa.gov/Regulatory_and_Guidance_Library/rgMakeModel.nsf/0/d63b4dd4434fdace862586b80050164d/$FILE/E2EA.pdf
</t>
        </r>
      </text>
    </comment>
    <comment ref="EP2" authorId="2" shapeId="0" xr:uid="{DE108192-7A9F-4398-B568-12010303D7AC}">
      <text>
        <r>
          <rPr>
            <sz val="11"/>
            <color theme="1"/>
            <rFont val="Calibri"/>
            <family val="2"/>
            <scheme val="minor"/>
          </rPr>
          <t xml:space="preserve">Tsai, Michael:
1.  Use fuel capacity 24600 kg MTOW 78100 kg Weight Variant 
chrome-extension://efaidnbmnnnibpcajpcglclefindmkaj/https://www.boeing.com/resources/boeingdotcom/commercial/airports/acaps/727.pdf
2.
https://skybrary.aero/aircraft/b722
3.
https://modernairliners.com/boeing-727-and-boeing-727-specs/
4.
chrome-extension://efaidnbmnnnibpcajpcglclefindmkaj/https://rgl.faa.gov/Regulatory_and_Guidance_Library/rgMakeModel.nsf/0/d63b4dd4434fdace862586b80050164d/$FILE/E2EA.pdf
</t>
        </r>
      </text>
    </comment>
    <comment ref="EQ2" authorId="2" shapeId="0" xr:uid="{E135F56A-5ECC-42BF-9DD4-FE6DDB5550A7}">
      <text>
        <r>
          <rPr>
            <sz val="11"/>
            <color theme="1"/>
            <rFont val="Calibri"/>
            <family val="2"/>
            <scheme val="minor"/>
          </rPr>
          <t xml:space="preserve">Tsai, Michael:
1.  Use fuel capacity 24600 kg MTOW 83900 kg Weight Variant 
chrome-extension://efaidnbmnnnibpcajpcglclefindmkaj/https://www.boeing.com/resources/boeingdotcom/commercial/airports/acaps/727.pdf
2.
https://skybrary.aero/aircraft/b722
3.
https://modernairliners.com/boeing-727-and-boeing-727-specs/
4.
chrome-extension://efaidnbmnnnibpcajpcglclefindmkaj/https://rgl.faa.gov/Regulatory_and_Guidance_Library/rgMakeModel.nsf/0/d63b4dd4434fdace862586b80050164d/$FILE/E2EA.pdf
</t>
        </r>
      </text>
    </comment>
    <comment ref="ER2" authorId="2" shapeId="0" xr:uid="{69ABB5FA-8956-4598-B175-BB03CF29DE8F}">
      <text>
        <r>
          <rPr>
            <sz val="11"/>
            <color theme="1"/>
            <rFont val="Calibri"/>
            <family val="2"/>
            <scheme val="minor"/>
          </rPr>
          <t xml:space="preserve">Tsai, Michael:
1.  Use fuel capacity 27105 kg MTOW 86500 kg Weight Variant 
chrome-extension://efaidnbmnnnibpcajpcglclefindmkaj/https://www.boeing.com/resources/boeingdotcom/commercial/airports/acaps/727.pdf
2.
https://skybrary.aero/aircraft/b722
3.
https://modernairliners.com/boeing-727-and-boeing-727-specs/
4.
chrome-extension://efaidnbmnnnibpcajpcglclefindmkaj/https://rgl.faa.gov/Regulatory_and_Guidance_Library/rgMakeModel.nsf/0/d63b4dd4434fdace862586b80050164d/$FILE/E2EA.pdf
</t>
        </r>
      </text>
    </comment>
    <comment ref="ES2" authorId="2" shapeId="0" xr:uid="{46446E3C-C4BF-4B4F-9D04-7F9BF27879DD}">
      <text>
        <r>
          <rPr>
            <sz val="11"/>
            <color theme="1"/>
            <rFont val="Calibri"/>
            <family val="2"/>
            <scheme val="minor"/>
          </rPr>
          <t xml:space="preserve">Tsai, Michael:
1.  Use fuel capacity 32165 kg MTOW 95300 kg Weight Variant 
chrome-extension://efaidnbmnnnibpcajpcglclefindmkaj/https://www.boeing.com/resources/boeingdotcom/commercial/airports/acaps/727.pdf
2.
https://skybrary.aero/aircraft/b722
3.
https://modernairliners.com/boeing-727-and-boeing-727-specs/
4.
chrome-extension://efaidnbmnnnibpcajpcglclefindmkaj/https://rgl.faa.gov/Regulatory_and_Guidance_Library/rgMakeModel.nsf/0/d63b4dd4434fdace862586b80050164d/$FILE/E2EA.pdf
</t>
        </r>
      </text>
    </comment>
    <comment ref="ET2" authorId="2" shapeId="0" xr:uid="{C3DA2471-BC74-40DF-BFD4-1980EEE651D8}">
      <text>
        <r>
          <rPr>
            <sz val="11"/>
            <color theme="1"/>
            <rFont val="Calibri"/>
            <family val="2"/>
            <scheme val="minor"/>
          </rPr>
          <t xml:space="preserve">Tsai, Michael:
1. Use middle Weight Variant (USABLE FUEL: 13399 L)
chrome-extension://efaidnbmnnnibpcajpcglclefindmkaj/https://www.boeing.com/resources/boeingdotcom/commercial/airports/acaps/737NG_REV%20C.pdf
2. 
https://skybrary.aero/aircraft/b731
3.
http://www.b737.org.uk/techspecsdetailed.htm
4. 
chrome-extension://efaidnbmnnnibpcajpcglclefindmkaj/https://rgl.faa.gov/Regulatory_and_Guidance_Library/rgMakeModel.nsf/0/a53bc308954e167e862579a500782155/$FILE/A16WE%20Rev%2050.pdf
</t>
        </r>
      </text>
    </comment>
    <comment ref="EU2" authorId="2" shapeId="0" xr:uid="{3630D650-ACFA-488D-9F8A-5CADFBE10D84}">
      <text>
        <r>
          <rPr>
            <sz val="11"/>
            <color theme="1"/>
            <rFont val="Calibri"/>
            <family val="2"/>
            <scheme val="minor"/>
          </rPr>
          <t xml:space="preserve">Tsai, Michael:
1. Use middle-right Weight Variant (USABLE FUEL: 18090 L)
chrome-extension://efaidnbmnnnibpcajpcglclefindmkaj/https://www.boeing.com/resources/boeingdotcom/commercial/airports/acaps/737NG_REV%20C.pdf
2. 
https://skybrary.aero/aircraft/b732
3.
http://www.b737.org.uk/techspecsdetailed.htm
4. 
chrome-extension://efaidnbmnnnibpcajpcglclefindmkaj/https://rgl.faa.gov/Regulatory_and_Guidance_Library/rgMakeModel.nsf/0/a53bc308954e167e862579a500782155/$FILE/A16WE%20Rev%2050.pdf
5.
https://customer.janes.com/Janes/Display/JAWA1202-JAWA
</t>
        </r>
      </text>
    </comment>
    <comment ref="EV2" authorId="2" shapeId="0" xr:uid="{3443499A-18A1-471D-B09D-C0784B088F9E}">
      <text>
        <r>
          <rPr>
            <sz val="11"/>
            <color theme="1"/>
            <rFont val="Calibri"/>
            <family val="2"/>
            <scheme val="minor"/>
          </rPr>
          <t xml:space="preserve">Tsai, Michael:
1. Use middle-right Weight Variant (USABLE FUEL: 18090 L)
chrome-extension://efaidnbmnnnibpcajpcglclefindmkaj/https://www.boeing.com/resources/boeingdotcom/commercial/airports/acaps/737NG_REV%20C.pdf
2. 
https://skybrary.aero/aircraft/b732
3.
http://www.b737.org.uk/techspecsdetailed.htm
4. 
chrome-extension://efaidnbmnnnibpcajpcglclefindmkaj/https://rgl.faa.gov/Regulatory_and_Guidance_Library/rgMakeModel.nsf/0/a53bc308954e167e862579a500782155/$FILE/A16WE%20Rev%2050.pdf
</t>
        </r>
      </text>
    </comment>
    <comment ref="EW2" authorId="2" shapeId="0" xr:uid="{643B4357-FA4D-4421-B745-CDB23CFC8256}">
      <text>
        <r>
          <rPr>
            <sz val="11"/>
            <color theme="1"/>
            <rFont val="Calibri"/>
            <family val="2"/>
            <scheme val="minor"/>
          </rPr>
          <t xml:space="preserve">1. Use 19530 L Variant (First from left weight variant) 
chrome-extension://efaidnbmnnnibpcajpcglclefindmkaj/https://www.boeing.com/resources/boeingdotcom/commercial/airports/acaps/737NG_REV%20C.pdf
2. 
https://skybrary.aero/aircraft/b731
</t>
        </r>
      </text>
    </comment>
    <comment ref="EX2" authorId="2" shapeId="0" xr:uid="{AEC4D162-C477-4F42-B9DC-276BB1C26CA2}">
      <text>
        <r>
          <rPr>
            <sz val="11"/>
            <color theme="1"/>
            <rFont val="Calibri"/>
            <family val="2"/>
            <scheme val="minor"/>
          </rPr>
          <t xml:space="preserve">1. Use 19530 L Variant (second from left weight variant) 
chrome-extension://efaidnbmnnnibpcajpcglclefindmkaj/https://www.boeing.com/resources/boeingdotcom/commercial/airports/acaps/737NG_REV%20C.pdf
2. 
https://skybrary.aero/aircraft/b731
</t>
        </r>
      </text>
    </comment>
    <comment ref="EY2" authorId="2" shapeId="0" xr:uid="{CD70411B-FE68-4BBB-9805-C60A7D0E849B}">
      <text>
        <r>
          <rPr>
            <sz val="11"/>
            <color theme="1"/>
            <rFont val="Calibri"/>
            <family val="2"/>
            <scheme val="minor"/>
          </rPr>
          <t xml:space="preserve">1. Use 21000 L Variant 
chrome-extension://efaidnbmnnnibpcajpcglclefindmkaj/https://www.boeing.com/resources/boeingdotcom/commercial/airports/acaps/737NG_REV%20C.pdf
2. 
https://skybrary.aero/aircraft/b731
</t>
        </r>
      </text>
    </comment>
    <comment ref="EZ2" authorId="2" shapeId="0" xr:uid="{0BFDD46B-B87D-4AA8-93FF-9A8CF3BDCEFE}">
      <text>
        <r>
          <rPr>
            <sz val="11"/>
            <color theme="1"/>
            <rFont val="Calibri"/>
            <family val="2"/>
            <scheme val="minor"/>
          </rPr>
          <t xml:space="preserve">1. Use Fuel Capacity 22600 L Variant 
chrome-extension://efaidnbmnnnibpcajpcglclefindmkaj/https://www.boeing.com/resources/boeingdotcom/commercial/airports/acaps/737NG_REV%20C.pdf
2. 
https://skybrary.aero/aircraft/b731
</t>
        </r>
      </text>
    </comment>
    <comment ref="FA2" authorId="2" shapeId="0" xr:uid="{ABBEDC96-380E-43FB-BD53-D32A219BD4DE}">
      <text>
        <r>
          <rPr>
            <sz val="11"/>
            <color theme="1"/>
            <rFont val="Calibri"/>
            <family val="2"/>
            <scheme val="minor"/>
          </rPr>
          <t xml:space="preserve">Tsai, Michael:
1. Use Fuel Capacity 19530 L most right weight variant  
chrome-extension://efaidnbmnnnibpcajpcglclefindmkaj/https://www.boeing.com/resources/boeingdotcom/commercial/airports/acaps/737NG_REV%20C.pdf
2. 
</t>
        </r>
      </text>
    </comment>
    <comment ref="FB2" authorId="2" shapeId="0" xr:uid="{B8E65B6A-E07D-45AA-9BE2-C768B160C6BD}">
      <text>
        <r>
          <rPr>
            <sz val="11"/>
            <color theme="1"/>
            <rFont val="Calibri"/>
            <family val="2"/>
            <scheme val="minor"/>
          </rPr>
          <t xml:space="preserve">Tsai, Michael:
1. Use Fuel Capacity 19530 L most right weight variant  
chrome-extension://efaidnbmnnnibpcajpcglclefindmkaj/https://www.boeing.com/resources/boeingdotcom/commercial/airports/acaps/737NG_REV%20C.pdf
2. 
</t>
        </r>
      </text>
    </comment>
    <comment ref="FC2" authorId="2" shapeId="0" xr:uid="{0D802825-06ED-4544-9E70-80C2EF8EB740}">
      <text>
        <r>
          <rPr>
            <sz val="11"/>
            <color theme="1"/>
            <rFont val="Calibri"/>
            <family val="2"/>
            <scheme val="minor"/>
          </rPr>
          <t xml:space="preserve">Tsai, Michael:
1. Use Fuel Cap 20102 L weight variant  
chrome-extension://efaidnbmnnnibpcajpcglclefindmkaj/https://www.boeing.com/resources/boeingdotcom/commercial/airports/acaps/737NG_REV%20C.pdf
2. 
https://skybrary.aero/aircraft/b733
3. http://www.b737.org.uk/techspecsdetailed.htm
4. 
chrome-extension://efaidnbmnnnibpcajpcglclefindmkaj/https://www.easa.europa.eu/downloads/7691/en
5. 
chrome-extension://efaidnbmnnnibpcajpcglclefindmkaj/https://rgl.faa.gov/Regulatory_and_Guidance_Library/rgMakeModel.nsf/0/a53bc308954e167e862579a500782155/$FILE/A16WE%20Rev%2050.pdf
6.
https://customer.janes.com/Janes/Display/JAE_0631-JAE_
</t>
        </r>
      </text>
    </comment>
    <comment ref="FD2" authorId="2" shapeId="0" xr:uid="{558339BB-C523-4627-B4A3-246F5512757E}">
      <text>
        <r>
          <rPr>
            <sz val="11"/>
            <color theme="1"/>
            <rFont val="Calibri"/>
            <family val="2"/>
            <scheme val="minor"/>
          </rPr>
          <t xml:space="preserve">Tsai, Michael:
1. Use Fuel Cap 21960 L weight variant  
chrome-extension://efaidnbmnnnibpcajpcglclefindmkaj/https://www.boeing.com/resources/boeingdotcom/commercial/airports/acaps/737NG_REV%20C.pdf
2. 
https://skybrary.aero/aircraft/b733
3. http://www.b737.org.uk/techspecsdetailed.htm
4. 
chrome-extension://efaidnbmnnnibpcajpcglclefindmkaj/https://www.easa.europa.eu/downloads/7691/en
5. 
chrome-extension://efaidnbmnnnibpcajpcglclefindmkaj/https://rgl.faa.gov/Regulatory_and_Guidance_Library/rgMakeModel.nsf/0/a53bc308954e167e862579a500782155/$FILE/A16WE%20Rev%2050.pdf
</t>
        </r>
      </text>
    </comment>
    <comment ref="FE2" authorId="2" shapeId="0" xr:uid="{D26B11F6-4F33-40A1-8EED-7650EA6FDAD3}">
      <text>
        <r>
          <rPr>
            <sz val="11"/>
            <color theme="1"/>
            <rFont val="Calibri"/>
            <family val="2"/>
            <scheme val="minor"/>
          </rPr>
          <t xml:space="preserve">Tsai, Michael:
1. Use Fuel Cap 20102 L Left most Weight Variant 
chrome-extension://efaidnbmnnnibpcajpcglclefindmkaj/https://www.boeing.com/resources/boeingdotcom/commercial/airports/acaps/737NG_REV%20C.pdf
2. 
https://skybrary.aero/aircraft/b734
3. 
chrome-extension://efaidnbmnnnibpcajpcglclefindmkaj/https://rgl.faa.gov/Regulatory_and_Guidance_Library/rgMakeModel.nsf/0/a53bc308954e167e862579a500782155/$FILE/A16WE%20Rev%2050.pdf
4. 
chrome-extension://efaidnbmnnnibpcajpcglclefindmkaj/https://www.easa.europa.eu/downloads/7691/en
</t>
        </r>
      </text>
    </comment>
    <comment ref="FF2" authorId="2" shapeId="0" xr:uid="{AD3926CB-E754-45C3-B778-32FC5B52C808}">
      <text>
        <r>
          <rPr>
            <sz val="11"/>
            <color theme="1"/>
            <rFont val="Calibri"/>
            <family val="2"/>
            <scheme val="minor"/>
          </rPr>
          <t xml:space="preserve">Tsai, Michael:
1. Use Fuel Capacity 21960 L Weight Variant 
chrome-extension://efaidnbmnnnibpcajpcglclefindmkaj/https://www.boeing.com/resources/boeingdotcom/commercial/airports/acaps/737NG_REV%20C.pdf
2. 
https://skybrary.aero/aircraft/b734
3.
chrome-extension://efaidnbmnnnibpcajpcglclefindmkaj/https://rgl.faa.gov/Regulatory_and_Guidance_Library/rgMakeModel.nsf/0/a53bc308954e167e862579a500782155/$FILE/A16WE%20Rev%2050.pdf
4. 
chrome-extension://efaidnbmnnnibpcajpcglclefindmkaj/https://www.easa.europa.eu/downloads/7691/en
</t>
        </r>
      </text>
    </comment>
    <comment ref="FG2" authorId="2" shapeId="0" xr:uid="{4351B2F5-CB25-4502-BB26-E6FF85A02CF5}">
      <text>
        <r>
          <rPr>
            <sz val="11"/>
            <color theme="1"/>
            <rFont val="Calibri"/>
            <family val="2"/>
            <scheme val="minor"/>
          </rPr>
          <t xml:space="preserve">Tsai, Michael:
1. Use Fuel Capacity 20,102 L Weight Variant 
chrome-extension://efaidnbmnnnibpcajpcglclefindmkaj/https://www.boeing.com/resources/boeingdotcom/commercial/airports/acaps/737NG_REV%20C.pdf
2. 
https://skybrary.aero/aircraft/b735
3.
chrome-extension://efaidnbmnnnibpcajpcglclefindmkaj/https://rgl.faa.gov/Regulatory_and_Guidance_Library/rgMakeModel.nsf/0/a53bc308954e167e862579a500782155/$FILE/A16WE%20Rev%2050.pdf
4.
</t>
        </r>
      </text>
    </comment>
    <comment ref="FH2" authorId="2" shapeId="0" xr:uid="{9DAEF5E6-ACD6-4409-8752-6A704F8E31B4}">
      <text>
        <r>
          <rPr>
            <sz val="11"/>
            <color theme="1"/>
            <rFont val="Calibri"/>
            <family val="2"/>
            <scheme val="minor"/>
          </rPr>
          <t xml:space="preserve">Tsai, Michael:
1. Use Fuel Capacity 26022L MTOW 56245 kg Weight Variant 
chrome-extension://efaidnbmnnnibpcajpcglclefindmkaj/https://www.boeing.com/resources/boeingdotcom/commercial/airports/acaps/737NG_REV%20C.pdf
2. 
https://skybrary.aero/aircraft/b736
3.
http://www.b737.org.uk/techspecsdetailed.htm
4.
https://modernairliners.com/boeing-737/boeing-737-specifications/
5.
chrome-extension://efaidnbmnnnibpcajpcglclefindmkaj/https://www.easa.europa.eu/downloads/7795/en
6.
chrome-extension://efaidnbmnnnibpcajpcglclefindmkaj/https://rgl.faa.gov/Regulatory_and_Guidance_Library/rgMakeModel.nsf/0/a53bc308954e167e862579a500782155/$FILE/A16WE%20Rev%2050.pdf
</t>
        </r>
      </text>
    </comment>
    <comment ref="FI2" authorId="2" shapeId="0" xr:uid="{041B3F5A-87DE-42D6-A169-28C5685E76F4}">
      <text>
        <r>
          <rPr>
            <sz val="11"/>
            <color theme="1"/>
            <rFont val="Calibri"/>
            <family val="2"/>
            <scheme val="minor"/>
          </rPr>
          <t xml:space="preserve">Tsai, Michael:
1. Use Fuel Capacity 26022 L Max Weight Variant 
chrome-extension://efaidnbmnnnibpcajpcglclefindmkaj/https://www.boeing.com/resources/boeingdotcom/commercial/airports/acaps/737NG_REV%20C.pdf
2. 
https://skybrary.aero/aircraft/b731
3. 
chrome-extension://efaidnbmnnnibpcajpcglclefindmkaj/https://www.easa.europa.eu/downloads/7795/en
4. 
chrome-extension://efaidnbmnnnibpcajpcglclefindmkaj/https://rgl.faa.gov/Regulatory_and_Guidance_Library/rgMakeModel.nsf/0/a53bc308954e167e862579a500782155/$FILE/A16WE%20Rev%2050.pdf
5.
https://modernairliners.com/boeing-737/boeing-737-specifications/
</t>
        </r>
      </text>
    </comment>
    <comment ref="FJ2" authorId="2" shapeId="0" xr:uid="{956B0A07-6081-44BD-920A-CC545F1D8E69}">
      <text>
        <r>
          <rPr>
            <sz val="11"/>
            <color theme="1"/>
            <rFont val="Calibri"/>
            <family val="2"/>
            <scheme val="minor"/>
          </rPr>
          <t xml:space="preserve">Tsai, Michael:
1. Use Fuel Capacity 26022 L MTOW 79016 kg Weight Variant 
chrome-extension://efaidnbmnnnibpcajpcglclefindmkaj/https://www.boeing.com/resources/boeingdotcom/commercial/airports/acaps/737NG_REV%20C.pdf
2. 
https://skybrary.aero/aircraft/b738
3.
chrome-extension://efaidnbmnnnibpcajpcglclefindmkaj/https://www.boeing.com/resources/boeingdotcom/commercial/airports/acaps/737NG_REV%20C.pdf
4.
chrome-extension://efaidnbmnnnibpcajpcglclefindmkaj/https://www.easa.europa.eu/downloads/7795/en
</t>
        </r>
      </text>
    </comment>
    <comment ref="FK2" authorId="2" shapeId="0" xr:uid="{C1A1B3D8-17ED-4596-A438-A9B4C3A71164}">
      <text>
        <r>
          <rPr>
            <sz val="11"/>
            <color theme="1"/>
            <rFont val="Calibri"/>
            <family val="2"/>
            <scheme val="minor"/>
          </rPr>
          <t xml:space="preserve">Tsai, Michael:
1. Use Fuel Capacity 26022 L MTOW 70534 kg Weight Variant 
chrome-extension://efaidnbmnnnibpcajpcglclefindmkaj/https://www.boeing.com/resources/boeingdotcom/commercial/airports/acaps/737NG_REV%20C.pdf
2. 
https://skybrary.aero/aircraft/b739
3.
chrome-extension://efaidnbmnnnibpcajpcglclefindmkaj/https://www.boeing.com/resources/boeingdotcom/commercial/airports/acaps/737NG_REV%20C.pdf
4.
chrome-extension://efaidnbmnnnibpcajpcglclefindmkaj/https://www.easa.europa.eu/downloads/7795/en
</t>
        </r>
      </text>
    </comment>
    <comment ref="FL2" authorId="2" shapeId="0" xr:uid="{21A2CADF-E003-4CC8-A150-83640D3D5BB6}">
      <text>
        <r>
          <rPr>
            <sz val="11"/>
            <color theme="1"/>
            <rFont val="Calibri"/>
            <family val="2"/>
            <scheme val="minor"/>
          </rPr>
          <t xml:space="preserve">Tsai, Michael:
1. Use Fuel Capacity 29666 L MTOW 85,139 kg Weight Variant 
chrome-extension://efaidnbmnnnibpcajpcglclefindmkaj/https://www.boeing.com/resources/boeingdotcom/commercial/airports/acaps/737NG_REV%20C.pdf
2. 
https://skybrary.aero/aircraft/b739
3.
chrome-extension://efaidnbmnnnibpcajpcglclefindmkaj/https://www.boeing.com/resources/boeingdotcom/commercial/airports/acaps/737NG_REV%20C.pdf
4.
chrome-extension://efaidnbmnnnibpcajpcglclefindmkaj/https://www.easa.europa.eu/downloads/7795/en
</t>
        </r>
      </text>
    </comment>
    <comment ref="FM2" authorId="2" shapeId="0" xr:uid="{80B66E32-2FDF-4EC0-AFCD-5621BAD1F998}">
      <text>
        <r>
          <rPr>
            <sz val="11"/>
            <color theme="1"/>
            <rFont val="Calibri"/>
            <family val="2"/>
            <scheme val="minor"/>
          </rPr>
          <t xml:space="preserve">Tsai, Michael:
1. Use Fuel Capacity 27095 kg Weight Variant 
chrome-extension://efaidnbmnnnibpcajpcglclefindmkaj/https://www.boeing.com/resources/boeingdotcom/commercial/airports/acaps/737NG_REV%20C.pdf
2. 
https://skybrary.aero/aircraft/b737
</t>
        </r>
      </text>
    </comment>
    <comment ref="FN2" authorId="2" shapeId="0" xr:uid="{2DC078E2-0CFB-4B55-9713-5FC889543794}">
      <text>
        <r>
          <rPr>
            <sz val="11"/>
            <color theme="1"/>
            <rFont val="Calibri"/>
            <family val="2"/>
            <scheme val="minor"/>
          </rPr>
          <t xml:space="preserve">Tsai, Michael:
1. Use fuel capacity 30214 kg Weight Variant 
chrome-extension://efaidnbmnnnibpcajpcglclefindmkaj/https://www.boeing.com/resources/boeingdotcom/commercial/airports/acaps/737NG_REV%20C.pdf
2. 
https://skybrary.aero/aircraft/b738
</t>
        </r>
      </text>
    </comment>
    <comment ref="FO2" authorId="2" shapeId="0" xr:uid="{A196DEA9-D752-4F65-AC9F-BAD08B6CAE6E}">
      <text>
        <r>
          <rPr>
            <sz val="11"/>
            <color theme="1"/>
            <rFont val="Calibri"/>
            <family val="2"/>
            <scheme val="minor"/>
          </rPr>
          <t xml:space="preserve">Tsai, Michael:
1. Use fuel capacity 20730 kg MTOW 80285 kg Weight Variant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3. chrome-extension://efaidnbmnnnibpcajpcglclefindmkaj/https://arc-aiaa-org.proxy.lib.umich.edu/doi/pdf/10.2514/6.2019-2763
4. 
http://www.b737.org.uk/techspecsdetailed.htm
5. 
</t>
        </r>
      </text>
    </comment>
    <comment ref="FP2" authorId="2" shapeId="0" xr:uid="{CE81A610-8DEB-4CDC-A924-55A307E7A8F2}">
      <text>
        <r>
          <rPr>
            <sz val="11"/>
            <color theme="1"/>
            <rFont val="Calibri"/>
            <family val="2"/>
            <scheme val="minor"/>
          </rPr>
          <t xml:space="preserve">Tsai, Michael:
1. Use fuel capacity 20730 kg MTOW 82644 kg Weight Variant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t>
        </r>
      </text>
    </comment>
    <comment ref="FQ2" authorId="2" shapeId="0" xr:uid="{F2153E24-A2C4-4D7D-926A-1BA1C5B18A3E}">
      <text>
        <r>
          <rPr>
            <sz val="11"/>
            <color theme="1"/>
            <rFont val="Calibri"/>
            <family val="2"/>
            <scheme val="minor"/>
          </rPr>
          <t xml:space="preserve">Tsai, Michael:
1. Use fuel capacity 20730 kg MTOW 82644 Weight Variant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t>
        </r>
      </text>
    </comment>
    <comment ref="FR2" authorId="2" shapeId="0" xr:uid="{2B717B4D-1D48-457C-BB1E-4D861AB77C5F}">
      <text>
        <r>
          <rPr>
            <sz val="11"/>
            <color theme="1"/>
            <rFont val="Calibri"/>
            <family val="2"/>
            <scheme val="minor"/>
          </rPr>
          <t xml:space="preserve">Tsai, Michael:
1. Use fuel capacity 20730 kg MTOW 88314 kg Weight Variant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3.
https://modernairliners.com/boeing-737/boeing-737-specifications/
</t>
        </r>
      </text>
    </comment>
    <comment ref="FS2" authorId="2" shapeId="0" xr:uid="{EFB0A506-2C4A-46B8-A45F-4DB18CC01A9C}">
      <text>
        <r>
          <rPr>
            <sz val="11"/>
            <color theme="1"/>
            <rFont val="Calibri"/>
            <family val="2"/>
            <scheme val="minor"/>
          </rPr>
          <t xml:space="preserve">Tsai, Michael:
1. Use fuel capacity  kg Weight Variant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3. 
http://www.b737.org.uk/737max10.htm
</t>
        </r>
      </text>
    </comment>
    <comment ref="FT2" authorId="2" shapeId="0" xr:uid="{E01F474C-1E41-4464-A0EE-220CEDC8600B}">
      <text>
        <r>
          <rPr>
            <sz val="11"/>
            <color theme="1"/>
            <rFont val="Calibri"/>
            <family val="2"/>
            <scheme val="minor"/>
          </rPr>
          <t xml:space="preserve">Tsai, Michael:
1. Use fuel capacity  28347 kg MTOW 82644 kg Weight Variant (1 FWD and 4 AFT auxiliary tank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t>
        </r>
      </text>
    </comment>
    <comment ref="FU2" authorId="2" shapeId="0" xr:uid="{5A306815-D781-426A-8ACD-8112EC5FE6DE}">
      <text>
        <r>
          <rPr>
            <sz val="11"/>
            <color theme="1"/>
            <rFont val="Calibri"/>
            <family val="2"/>
            <scheme val="minor"/>
          </rPr>
          <t xml:space="preserve">Tsai, Michael:
1.  Use fuel capacity  28342 kg MTOW 88314 kg Weight Variant (1 FWD and 4 AFT auxiliary tank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t>
        </r>
      </text>
    </comment>
    <comment ref="FV2" authorId="2" shapeId="0" xr:uid="{593AFEB5-CE33-4601-BF88-B43499ED1BD7}">
      <text>
        <r>
          <rPr>
            <sz val="11"/>
            <color theme="1"/>
            <rFont val="Calibri"/>
            <family val="2"/>
            <scheme val="minor"/>
          </rPr>
          <t xml:space="preserve">Tsai, Michael:
1.  Use fuel capacity   kg MTOW  kg Weight Variant 
chrome-extension://efaidnbmnnnibpcajpcglclefindmkaj/https://www.boeing.com/resources/boeingdotcom/commercial/airports/acaps/757_23.pdf
2.
https://skybrary.aero/aircraft/b752
3.
chrome-extension://efaidnbmnnnibpcajpcglclefindmkaj/https://rgl.faa.gov/Regulatory_and_Guidance_Library/rgMakeModel.nsf/0/a5a31d7df6f5cec28625718b0065c20b/$FILE/A2NM.pdf
4.
chrome-extension://efaidnbmnnnibpcajpcglclefindmkaj/https://www.flightglobal.com/download?ac=79070
</t>
        </r>
      </text>
    </comment>
    <comment ref="FW2" authorId="2" shapeId="0" xr:uid="{85232FC5-DA70-4311-89E3-80836E002FBC}">
      <text>
        <r>
          <rPr>
            <sz val="11"/>
            <color theme="1"/>
            <rFont val="Calibri"/>
            <family val="2"/>
            <scheme val="minor"/>
          </rPr>
          <t xml:space="preserve">Tsai, Michael:
1.  Use fuel capacity   kg MTOW  kg Weight Variant 
chrome-extension://efaidnbmnnnibpcajpcglclefindmkaj/https://www.boeing.com/resources/boeingdotcom/commercial/airports/acaps/757_23.pdf
2.
https://skybrary.aero/aircraft/b752
3.
chrome-extension://efaidnbmnnnibpcajpcglclefindmkaj/https://rgl.faa.gov/Regulatory_and_Guidance_Library/rgMakeModel.nsf/0/a5a31d7df6f5cec28625718b0065c20b/$FILE/A2NM.pdf
4.
chrome-extension://efaidnbmnnnibpcajpcglclefindmkaj/https://www.flightglobal.com/download?ac=79070
</t>
        </r>
      </text>
    </comment>
    <comment ref="FX2" authorId="2" shapeId="0" xr:uid="{37F25681-410A-4DF8-B42A-52F51A1FF607}">
      <text>
        <r>
          <rPr>
            <sz val="11"/>
            <color theme="1"/>
            <rFont val="Calibri"/>
            <family val="2"/>
            <scheme val="minor"/>
          </rPr>
          <t xml:space="preserve">Tsai, Michael:
1.  Use fuel capacity   34260 kg MTOW 108850 kg Weight Variant 
chrome-extension://efaidnbmnnnibpcajpcglclefindmkaj/https://www.boeing.com/resources/boeingdotcom/commercial/airports/acaps/757_23.pdf
2.
https://skybrary.aero/aircraft/b752
3.
chrome-extension://efaidnbmnnnibpcajpcglclefindmkaj/https://www.easa.europa.eu/downloads/7699/en
4.
chrome-extension://efaidnbmnnnibpcajpcglclefindmkaj/https://rgl.faa.gov/Regulatory_and_Guidance_Library/rgMakeModel.nsf/0/a5a31d7df6f5cec28625718b0065c20b/$FILE/A2NM.pdf
</t>
        </r>
      </text>
    </comment>
    <comment ref="FY2" authorId="2" shapeId="0" xr:uid="{26DF2AD5-06CA-4F14-B109-8A5476791505}">
      <text>
        <r>
          <rPr>
            <sz val="11"/>
            <color theme="1"/>
            <rFont val="Calibri"/>
            <family val="2"/>
            <scheme val="minor"/>
          </rPr>
          <t xml:space="preserve">Tsai, Michael:
1.  Use fuel capacity 34260 kg MTOW 115650 kg Weight Variant 
chrome-extension://efaidnbmnnnibpcajpcglclefindmkaj/https://www.boeing.com/resources/boeingdotcom/commercial/airports/acaps/757_23.pdf
2.
https://skybrary.aero/aircraft/b752
3.
chrome-extension://efaidnbmnnnibpcajpcglclefindmkaj/https://www.easa.europa.eu/downloads/7699/en
4.
chrome-extension://efaidnbmnnnibpcajpcglclefindmkaj/https://rgl.faa.gov/Regulatory_and_Guidance_Library/rgMakeModel.nsf/0/a5a31d7df6f5cec28625718b0065c20b/$FILE/A2NM.pdf
</t>
        </r>
      </text>
    </comment>
    <comment ref="FZ2" authorId="2" shapeId="0" xr:uid="{AAC47BFD-7BB6-47CA-9211-C2E94C2D3212}">
      <text>
        <r>
          <rPr>
            <sz val="11"/>
            <color theme="1"/>
            <rFont val="Calibri"/>
            <family val="2"/>
            <scheme val="minor"/>
          </rPr>
          <t xml:space="preserve">Tsai, Michael:
1.  Use fuel capacity 34260 kg MTOW 113400 kg Weight Variant 
chrome-extension://efaidnbmnnnibpcajpcglclefindmkaj/https://www.boeing.com/resources/boeingdotcom/commercial/airports/acaps/757_23.pdf
2.
https://skybrary.aero/aircraft/b752
3.
chrome-extension://efaidnbmnnnibpcajpcglclefindmkaj/https://rgl.faa.gov/Regulatory_and_Guidance_Library/rgMakeModel.nsf/0/a5a31d7df6f5cec28625718b0065c20b/$FILE/A2NM.pdf
4.
chrome-extension://efaidnbmnnnibpcajpcglclefindmkaj/https://www.flightglobal.com/download?ac=79070
</t>
        </r>
      </text>
    </comment>
    <comment ref="GA2" authorId="2" shapeId="0" xr:uid="{BE21BCC0-08DB-4B75-9577-544E0107C637}">
      <text>
        <r>
          <rPr>
            <sz val="11"/>
            <color theme="1"/>
            <rFont val="Calibri"/>
            <family val="2"/>
            <scheme val="minor"/>
          </rPr>
          <t xml:space="preserve">Tsai, Michael:
1.  Use fuel capacity 34260 kg MTOW 116650 kg Weight Variant 
chrome-extension://efaidnbmnnnibpcajpcglclefindmkaj/https://www.boeing.com/resources/boeingdotcom/commercial/airports/acaps/757_23.pdf
2.
https://skybrary.aero/aircraft/b752
3.
chrome-extension://efaidnbmnnnibpcajpcglclefindmkaj/https://rgl.faa.gov/Regulatory_and_Guidance_Library/rgMakeModel.nsf/0/a5a31d7df6f5cec28625718b0065c20b/$FILE/A2NM.pdf
4. 
chrome-extension://efaidnbmnnnibpcajpcglclefindmkaj/https://www.flightglobal.com/download?ac=79070
</t>
        </r>
      </text>
    </comment>
    <comment ref="GB2" authorId="2" shapeId="0" xr:uid="{C2BE6B99-2717-40ED-BD0C-DF9793ED686E}">
      <text>
        <r>
          <rPr>
            <sz val="11"/>
            <color theme="1"/>
            <rFont val="Calibri"/>
            <family val="2"/>
            <scheme val="minor"/>
          </rPr>
          <t xml:space="preserve">Tsai, Michael:
1.  Use fuel capacity 34930 kg MTOW 122470 kg Weight Variant 
chrome-extension://efaidnbmnnnibpcajpcglclefindmkaj/https://www.boeing.com/resources/boeingdotcom/commercial/airports/acaps/757_23.pdf
2.
https://skybrary.aero/aircraft/b753
3.
chrome-extension://efaidnbmnnnibpcajpcglclefindmkaj/https://rgl.faa.gov/Regulatory_and_Guidance_Library/rgMakeModel.nsf/0/a5a31d7df6f5cec28625718b0065c20b/$FILE/A2NM.pdf
4.
chrome-extension://efaidnbmnnnibpcajpcglclefindmkaj/https://www.flightglobal.com/download?ac=79070
</t>
        </r>
      </text>
    </comment>
    <comment ref="GC2" authorId="2" shapeId="0" xr:uid="{E1CB1BC2-16B5-40B3-8F3C-E30F880FBB8D}">
      <text>
        <r>
          <rPr>
            <sz val="11"/>
            <color theme="1"/>
            <rFont val="Calibri"/>
            <family val="2"/>
            <scheme val="minor"/>
          </rPr>
          <t xml:space="preserve">Tsai, Michael:
1.  Use fuel capacity 34930 kg MTOW 122470 kg Weight Variant 
chrome-extension://efaidnbmnnnibpcajpcglclefindmkaj/https://www.boeing.com/resources/boeingdotcom/commercial/airports/acaps/757_23.pdf
2.
https://skybrary.aero/aircraft/b753
3.
chrome-extension://efaidnbmnnnibpcajpcglclefindmkaj/https://rgl.faa.gov/Regulatory_and_Guidance_Library/rgMakeModel.nsf/0/a5a31d7df6f5cec28625718b0065c20b/$FILE/A2NM.pdf
4.
chrome-extension://efaidnbmnnnibpcajpcglclefindmkaj/https://www.flightglobal.com/download?ac=79070
</t>
        </r>
      </text>
    </comment>
    <comment ref="GD2" authorId="2" shapeId="0" xr:uid="{3485441A-6670-430D-974C-8A7B7748015C}">
      <text>
        <r>
          <rPr>
            <sz val="11"/>
            <color theme="1"/>
            <rFont val="Calibri"/>
            <family val="2"/>
            <scheme val="minor"/>
          </rPr>
          <t xml:space="preserve">Tsai, Michael:
1.  Use fuel capacity 34930 kg MTOW  kg Weight Variant 
chrome-extension://efaidnbmnnnibpcajpcglclefindmkaj/https://www.boeing.com/resources/boeingdotcom/commercial/airports/acaps/757_23.pdf
2.
https://skybrary.aero/aircraft/b753
3.
chrome-extension://efaidnbmnnnibpcajpcglclefindmkaj/https://rgl.faa.gov/Regulatory_and_Guidance_Library/rgMakeModel.nsf/0/a5a31d7df6f5cec28625718b0065c20b/$FILE/A2NM.pdf
</t>
        </r>
      </text>
    </comment>
    <comment ref="GE2" authorId="2" shapeId="0" xr:uid="{981E4559-F6BC-442F-A38D-E3E9F3573746}">
      <text>
        <r>
          <rPr>
            <sz val="11"/>
            <color theme="1"/>
            <rFont val="Calibri"/>
            <family val="2"/>
            <scheme val="minor"/>
          </rPr>
          <t xml:space="preserve">Tsai, Michael:
1.  Use fuel capacity 34930 kg MTOW 122470 kg Weight Variant 
chrome-extension://efaidnbmnnnibpcajpcglclefindmkaj/https://www.boeing.com/resources/boeingdotcom/commercial/airports/acaps/757_23.pdf
2.
https://skybrary.aero/aircraft/b753
3.
chrome-extension://efaidnbmnnnibpcajpcglclefindmkaj/https://www.easa.europa.eu/downloads/7699/en
4.
chrome-extension://efaidnbmnnnibpcajpcglclefindmkaj/https://rgl.faa.gov/Regulatory_and_Guidance_Library/rgMakeModel.nsf/0/a5a31d7df6f5cec28625718b0065c20b/$FILE/A2NM.pdf
</t>
        </r>
      </text>
    </comment>
    <comment ref="GF2" authorId="2" shapeId="0" xr:uid="{E303EC17-5FCA-4973-8130-364212C155EC}">
      <text>
        <r>
          <rPr>
            <sz val="11"/>
            <color theme="1"/>
            <rFont val="Calibri"/>
            <family val="2"/>
            <scheme val="minor"/>
          </rPr>
          <t xml:space="preserve">Tsai, Michael:
1.  Use fuel capacity 36894 kg MTOW 127913 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chrome-extension://efaidnbmnnnibpcajpcglclefindmkaj/https://rgl.faa.gov/Regulatory_and_Guidance_Library/rgMakeModel.nsf/0/1f744c3819e0622a86258443003da885/$FILE/E3NE_Rev16.pdf
</t>
        </r>
      </text>
    </comment>
    <comment ref="GG2" authorId="2" shapeId="0" xr:uid="{4802D433-BDBB-4A44-9F41-390010DBCF6D}">
      <text>
        <r>
          <rPr>
            <sz val="11"/>
            <color theme="1"/>
            <rFont val="Calibri"/>
            <family val="2"/>
            <scheme val="minor"/>
          </rPr>
          <t xml:space="preserve">Tsai, Michael:
1.  Use fuel capacity 50753 kg MTOW 136,078 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chrome-extension://efaidnbmnnnibpcajpcglclefindmkaj/https://rgl.faa.gov/Regulatory_and_Guidance_library/rgMakeModel.nsf/0/706579a7e83efab48625727b00751aff/$FILE/E13NE.pdf
</t>
        </r>
      </text>
    </comment>
    <comment ref="GH2" authorId="2" shapeId="0" xr:uid="{8BB3DA5A-301A-41EC-974D-97893828A554}">
      <text>
        <r>
          <rPr>
            <sz val="11"/>
            <color theme="1"/>
            <rFont val="Calibri"/>
            <family val="2"/>
            <scheme val="minor"/>
          </rPr>
          <t xml:space="preserve">Tsai, Michael:
1.  Use fuel capacity 50753 kg MTOWkg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chrome-extension://efaidnbmnnnibpcajpcglclefindmkaj/https://rgl.faa.gov/Regulatory_and_Guidance_Library/rgMakeModel.nsf/0/1f744c3819e0622a86258443003da885/$FILE/E3NE_Rev16.pdf
</t>
        </r>
      </text>
    </comment>
    <comment ref="GI2" authorId="2" shapeId="0" xr:uid="{EB2F81EA-DF8A-4B98-917B-2C2416C3F3D2}">
      <text>
        <r>
          <rPr>
            <sz val="11"/>
            <color theme="1"/>
            <rFont val="Calibri"/>
            <family val="2"/>
            <scheme val="minor"/>
          </rPr>
          <t xml:space="preserve">Tsai, Michael:
1.  Use fuel capacity 50753 kg MTOWkg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chrome-extension://efaidnbmnnnibpcajpcglclefindmkaj/https://rgl.faa.gov/Regulatory_and_Guidance_library/rgMakeModel.nsf/0/706579a7e83efab48625727b00751aff/$FILE/E13NE.pdf
5.
https://customer.janes.com/Janes/Display/JAE_0282-JAE_
</t>
        </r>
      </text>
    </comment>
    <comment ref="GJ2" authorId="2" shapeId="0" xr:uid="{A9CF1AC5-DFEE-47BD-A4A2-DA1BD00221CE}">
      <text>
        <r>
          <rPr>
            <sz val="11"/>
            <color theme="1"/>
            <rFont val="Calibri"/>
            <family val="2"/>
            <scheme val="minor"/>
          </rPr>
          <t xml:space="preserve">Tsai, Michael:
1.  Use fuel capacity 50753 kg MTOWkg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chrome-extension://efaidnbmnnnibpcajpcglclefindmkaj/https://rgl.faa.gov/Regulatory_and_Guidance_Library/rgMakeModel.nsf/0/a54a5cdbed477da18625753c004dd282/$FILE/E24NE.pdf
5. 
https://customer.janes.com/Janes/Display/JAE_A018-JAE_
</t>
        </r>
      </text>
    </comment>
    <comment ref="GK2" authorId="2" shapeId="0" xr:uid="{658D79A1-F2DA-47B2-AA92-8C2CBB495863}">
      <text>
        <r>
          <rPr>
            <sz val="11"/>
            <color theme="1"/>
            <rFont val="Calibri"/>
            <family val="2"/>
            <scheme val="minor"/>
          </rPr>
          <t xml:space="preserve">Tsai, Michael:
1.  Use fuel capacity 50753 kg MTOWkg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chrome-extension://efaidnbmnnnibpcajpcglclefindmkaj/https://rgl.faa.gov/Regulatory_and_Guidance_library/rgMakeModel.nsf/0/706579a7e83efab48625727b00751aff/$FILE/E13NE.pdf
</t>
        </r>
      </text>
    </comment>
    <comment ref="GL2" authorId="2" shapeId="0" xr:uid="{7FAAE88D-95AA-4452-9BE2-92B63DF0EC18}">
      <text>
        <r>
          <rPr>
            <sz val="11"/>
            <color theme="1"/>
            <rFont val="Calibri"/>
            <family val="2"/>
            <scheme val="minor"/>
          </rPr>
          <t xml:space="preserve">Tsai, Michael:
1.  Use fuel capacity 50752 kg MTOW 151,954 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chrome-extension://efaidnbmnnnibpcajpcglclefindmkaj/https://rgl.faa.gov/Regulatory_and_Guidance_library/rgMakeModel.nsf/0/706579a7e83efab48625727b00751aff/$FILE/E13NE.pdf
</t>
        </r>
      </text>
    </comment>
    <comment ref="GM2" authorId="2" shapeId="0" xr:uid="{080A615B-A68D-4DBA-9271-E8E62AAAC884}">
      <text>
        <r>
          <rPr>
            <sz val="11"/>
            <color theme="1"/>
            <rFont val="Calibri"/>
            <family val="2"/>
            <scheme val="minor"/>
          </rPr>
          <t xml:space="preserve">Tsai, Michael:
1.  Use fuel capacity 62422kg MTOW 159,211 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chrome-extension://efaidnbmnnnibpcajpcglclefindmkaj/https://rgl.faa.gov/Regulatory_and_Guidance_Library/rgMakeModel.nsf/0/a54a5cdbed477da18625753c004dd282/$FILE/E24NE.pdf
</t>
        </r>
      </text>
    </comment>
    <comment ref="GN2" authorId="2" shapeId="0" xr:uid="{F62079EE-0D2A-4884-8E74-B5E76523D6EC}">
      <text>
        <r>
          <rPr>
            <sz val="11"/>
            <color theme="1"/>
            <rFont val="Calibri"/>
            <family val="2"/>
            <scheme val="minor"/>
          </rPr>
          <t xml:space="preserve">Tsai, Michael:
1.  Use fuel capacity 73,363 kg MTOW 172,365 kg Weight Variant 
chrome-extension://efaidnbmnnnibpcajpcglclefindmkaj/https://www.boeing.com/resources/boeingdotcom/commercial/airports/acaps/767_REV_I.pdf
2.
https://skybrary.aero/aircraft/b762
3.
https://modernairliners.com/boeing-767/
4.
chrome-extension://efaidnbmnnnibpcajpcglclefindmkaj/https://www.easa.europa.eu/downloads/22523/en
</t>
        </r>
      </text>
    </comment>
    <comment ref="GO2" authorId="2" shapeId="0" xr:uid="{C88B4CB7-65EB-4DF6-85C1-7B27CA91F66C}">
      <text>
        <r>
          <rPr>
            <sz val="11"/>
            <color theme="1"/>
            <rFont val="Calibri"/>
            <family val="2"/>
            <scheme val="minor"/>
          </rPr>
          <t>Tsai, Michael:
1.  Use fuel capacity 73,363 kg MTOW 175,540 kg Weight Variant 
chrome-extension://efaidnbmnnnibpcajpcglclefindmkaj/https://www.boeing.com/resources/boeingdotcom/commercial/airports/acaps/767_REV_I.pdf
2.
https://skybrary.aero/aircraft/b762
3.
https://modernairliners.com/boeing-767/
4.
chrome-extension://efaidnbmnnnibpcajpcglclefindmkaj/https://www.easa.europa.eu/downloads/22523/en</t>
        </r>
      </text>
    </comment>
    <comment ref="GP2" authorId="2" shapeId="0" xr:uid="{119D67AB-21D3-4956-998F-9FFAE1C2AA93}">
      <text>
        <r>
          <rPr>
            <sz val="11"/>
            <color theme="1"/>
            <rFont val="Calibri"/>
            <family val="2"/>
            <scheme val="minor"/>
          </rPr>
          <t xml:space="preserve">Tsai, Michael:
1.  Use fuel capacity 47940 kg MTOW 132000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chrome-extension://efaidnbmnnnibpcajpcglclefindmkaj/https://rgl.faa.gov/Regulatory_and_Guidance_Library/rgMakeModel.nsf/0/1047854cea0ef5fe86257d56006cb935/$FILE/E13NE_Rev_26.pdf
4.
chrome-extension://efaidnbmnnnibpcajpcglclefindmkaj/https://rgl.faa.gov/Regulatory_and_Guidance_Library/rgMakeModel.nsf/0/7f4dde8d2e4126bb8625870c005e776c/$FILE/A35EU_Rev32.pdf
5. 
chrome-extension://efaidnbmnnnibpcajpcglclefindmkaj/https://www.smartcockpit.com/docs/Getting_to_Grips_With_Aircraft_Performance.pdf
6. 
https://customer.janes.com/Janes/Display/JAE_0282-JAE_
</t>
        </r>
      </text>
    </comment>
    <comment ref="GQ2" authorId="2" shapeId="0" xr:uid="{3740D609-0E90-4CB5-A0B4-EB2FFE72E653}">
      <text>
        <r>
          <rPr>
            <sz val="11"/>
            <color theme="1"/>
            <rFont val="Calibri"/>
            <family val="2"/>
            <scheme val="minor"/>
          </rPr>
          <t xml:space="preserve">Tsai, Michael:
1.  Use fuel capacity 47940 kg MTOW 132000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chrome-extension://efaidnbmnnnibpcajpcglclefindmkaj/https://rgl.faa.gov/Regulatory_and_Guidance_Library/rgMakeModel.nsf/0/4a0a9abd64fcce4f862586b800638847/$FILE/E3NE_Rev16.pdf
4.
chrome-extension://efaidnbmnnnibpcajpcglclefindmkaj/https://rgl.faa.gov/Regulatory_and_Guidance_Library/rgMakeModel.nsf/0/7f4dde8d2e4126bb8625870c005e776c/$FILE/A35EU_Rev32.pdf
5. 
</t>
        </r>
      </text>
    </comment>
    <comment ref="GR2" authorId="2" shapeId="0" xr:uid="{A1EBB9EF-A82F-4CF7-B3A7-E9E54074E955}">
      <text>
        <r>
          <rPr>
            <sz val="11"/>
            <color theme="1"/>
            <rFont val="Calibri"/>
            <family val="2"/>
            <scheme val="minor"/>
          </rPr>
          <t xml:space="preserve">Tsai, Michael:
1.  Use fuel capacity 47940 kg MTOW 138600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chrome-extension://efaidnbmnnnibpcajpcglclefindmkaj/https://rgl.faa.gov/Regulatory_and_Guidance_Library/rgMakeModel.nsf/0/1047854cea0ef5fe86257d56006cb935/$FILE/E13NE_Rev_26.pdf
4.
chrome-extension://efaidnbmnnnibpcajpcglclefindmkaj/https://rgl.faa.gov/Regulatory_and_Guidance_Library/rgMakeModel.nsf/0/7f4dde8d2e4126bb8625870c005e776c/$FILE/A35EU_Rev32.pdf
5. 
</t>
        </r>
      </text>
    </comment>
    <comment ref="GS2" authorId="2" shapeId="0" xr:uid="{1BCF2091-BAED-4B3E-BD49-BC9BDD17C594}">
      <text>
        <r>
          <rPr>
            <sz val="11"/>
            <color theme="1"/>
            <rFont val="Calibri"/>
            <family val="2"/>
            <scheme val="minor"/>
          </rPr>
          <t xml:space="preserve">Tsai, Michael:
1.  Use fuel capacity 47940 kg MTOW 142000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chrome-extension://efaidnbmnnnibpcajpcglclefindmkaj/https://rgl.faa.gov/Regulatory_and_Guidance_Library/rgMakeModel.nsf/0/1047854cea0ef5fe86257d56006cb935/$FILE/E13NE_Rev_26.pdf
4.
chrome-extension://efaidnbmnnnibpcajpcglclefindmkaj/https://rgl.faa.gov/Regulatory_and_Guidance_Library/rgMakeModel.nsf/0/7f4dde8d2e4126bb8625870c005e776c/$FILE/A35EU_Rev32.pdf
5. 
</t>
        </r>
      </text>
    </comment>
    <comment ref="GT2" authorId="2" shapeId="0" xr:uid="{F8E9011A-842A-4D0B-95E9-5DC857157EE4}">
      <text>
        <r>
          <rPr>
            <sz val="11"/>
            <color theme="1"/>
            <rFont val="Calibri"/>
            <family val="2"/>
            <scheme val="minor"/>
          </rPr>
          <t xml:space="preserve">Tsai, Michael:
1.  Use fuel capacity 47940 kg MTOW 142000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chrome-extension://efaidnbmnnnibpcajpcglclefindmkaj/https://rgl.faa.gov/Regulatory_and_Guidance_Library/rgMakeModel.nsf/0/4a0a9abd64fcce4f862586b800638847/$FILE/E3NE_Rev16.pdf
4.
chrome-extension://efaidnbmnnnibpcajpcglclefindmkaj/https://rgl.faa.gov/Regulatory_and_Guidance_Library/rgMakeModel.nsf/0/7f4dde8d2e4126bb8625870c005e776c/$FILE/A35EU_Rev32.pdf
5. 
</t>
        </r>
      </text>
    </comment>
    <comment ref="GU2" authorId="2" shapeId="0" xr:uid="{C1AB8238-F52C-4563-BCC0-48DD73561192}">
      <text>
        <r>
          <rPr>
            <sz val="11"/>
            <color theme="1"/>
            <rFont val="Calibri"/>
            <family val="2"/>
            <scheme val="minor"/>
          </rPr>
          <t xml:space="preserve">Tsai, Michael:
1.  Use fuel capacity 47,940 kg MTOW 150000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chrome-extension://efaidnbmnnnibpcajpcglclefindmkaj/https://rgl.faa.gov/Regulatory_and_Guidance_Library/rgMakeModel.nsf/0/1047854cea0ef5fe86257d56006cb935/$FILE/E13NE_Rev_26.pdf
4.
chrome-extension://efaidnbmnnnibpcajpcglclefindmkaj/https://rgl.faa.gov/Regulatory_and_Guidance_Library/rgMakeModel.nsf/0/7f4dde8d2e4126bb8625870c005e776c/$FILE/A35EU_Rev32.pdf
5. 
https://customer.janes.com/Janes/Display/JAE_0731-JAE_
</t>
        </r>
      </text>
    </comment>
    <comment ref="GV2" authorId="2" shapeId="0" xr:uid="{F2B04713-B17C-45FD-8D4A-690475B99C6F}">
      <text>
        <r>
          <rPr>
            <sz val="11"/>
            <color theme="1"/>
            <rFont val="Calibri"/>
            <family val="2"/>
            <scheme val="minor"/>
          </rPr>
          <t xml:space="preserve">Tsai, Michael:
1.  Use fuel capacity 47,940 kg MTOW 153000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chrome-extension://efaidnbmnnnibpcajpcglclefindmkaj/https://rgl.faa.gov/Regulatory_and_Guidance_Library/rgMakeModel.nsf/0/4a0a9abd64fcce4f862586b800638847/$FILE/E3NE_Rev16.pdf
4.
chrome-extension://efaidnbmnnnibpcajpcglclefindmkaj/https://rgl.faa.gov/Regulatory_and_Guidance_Library/rgMakeModel.nsf/0/7f4dde8d2e4126bb8625870c005e776c/$FILE/A35EU_Rev32.pdf
5. 
</t>
        </r>
      </text>
    </comment>
    <comment ref="GW2" authorId="2" shapeId="0" xr:uid="{8350FE3F-63A1-40F7-BF45-E4CBFEB2D113}">
      <text>
        <r>
          <rPr>
            <sz val="11"/>
            <color theme="1"/>
            <rFont val="Calibri"/>
            <family val="2"/>
            <scheme val="minor"/>
          </rPr>
          <t xml:space="preserve">Tsai, Michael:
1.  Use fuel capacity 47,940 kg MTOW 160000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chrome-extension://efaidnbmnnnibpcajpcglclefindmkaj/https://rgl.faa.gov/Regulatory_and_Guidance_Library/rgMakeModel.nsf/0/2a822313bea2157886257f060055beb1/$FILE/E24NE_Rev_13.pdf
4.
chrome-extension://efaidnbmnnnibpcajpcglclefindmkaj/https://rgl.faa.gov/Regulatory_and_Guidance_Library/rgMakeModel.nsf/0/7f4dde8d2e4126bb8625870c005e776c/$FILE/A35EU_Rev32.pdf
5. 
https://customer.janes.com/Janes/Display/JAE_A018-JAE_
</t>
        </r>
      </text>
    </comment>
    <comment ref="GX2" authorId="2" shapeId="0" xr:uid="{B9443A17-AFF8-40BD-81C4-73E04467C455}">
      <text>
        <r>
          <rPr>
            <sz val="11"/>
            <color theme="1"/>
            <rFont val="Calibri"/>
            <family val="2"/>
            <scheme val="minor"/>
          </rPr>
          <t xml:space="preserve">Tsai, Michael:
1.  Use fuel capacity 47,940 kg MTOW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chrome-extension://efaidnbmnnnibpcajpcglclefindmkaj/https://rgl.faa.gov/Regulatory_and_Guidance_Library/rgMakeModel.nsf/0/1047854cea0ef5fe86257d56006cb935/$FILE/E13NE_Rev_26.pdf
4.
chrome-extension://efaidnbmnnnibpcajpcglclefindmkaj/https://rgl.faa.gov/Regulatory_and_Guidance_Library/rgMakeModel.nsf/0/7f4dde8d2e4126bb8625870c005e776c/$FILE/A35EU_Rev32.pdf
5. 
</t>
        </r>
      </text>
    </comment>
    <comment ref="GY2" authorId="2" shapeId="0" xr:uid="{90463129-4615-4C12-9D25-440D48AFE531}">
      <text>
        <r>
          <rPr>
            <sz val="11"/>
            <color theme="1"/>
            <rFont val="Calibri"/>
            <family val="2"/>
            <scheme val="minor"/>
          </rPr>
          <t xml:space="preserve">Tsai, Michael:
1.  Use fuel capacity kg MTOW kg Weight Variant 
chrome-extension://efaidnbmnnnibpcajpcglclefindmkaj/https://www.airbus.com/sites/g/files/jlcbta136/files/2022-02/Airbus-techdata-AC_A318_0322.pdf
2.
https://skybrary.aero/aircraft/a318
3.
https://modernairliners.com/airbus-a320-introduction/airbus-a320-specs/
4.
chrome-extension://efaidnbmnnnibpcajpcglclefindmkaj/https://rgl.faa.gov/Regulatory_and_Guidance_Library/rgMakeModel.nsf/0/9bf38dfba5668751862583360062baa0/$FILE/E37NE_Rev_14.pdf
5. 
chrome-extension://efaidnbmnnnibpcajpcglclefindmkaj/https://rgl.faa.gov/Regulatory_and_Guidance_Library/rgMakeModel.nsf/0/8b8d7ee0d2db0209862587e200690ef2/$FILE/A28NM_Rev47.pdf
6.
Pilot Operating Manual 
7. 
https://customer.janes.com/Janes/Display/JAE_0631-JAE_
</t>
        </r>
      </text>
    </comment>
    <comment ref="GZ2" authorId="2" shapeId="0" xr:uid="{B7A77BFD-96A7-4B96-A8E1-CD797BD00A1D}">
      <text>
        <r>
          <rPr>
            <sz val="11"/>
            <color theme="1"/>
            <rFont val="Calibri"/>
            <family val="2"/>
            <scheme val="minor"/>
          </rPr>
          <t xml:space="preserve">Tsai, Michael:
1.  Use fuel capacity kg MTOW kg Weight Variant 
chrome-extension://efaidnbmnnnibpcajpcglclefindmkaj/https://www.airbus.com/sites/g/files/jlcbta136/files/2022-02/Airbus-techdata-AC_A318_0322.pdf
2.
https://skybrary.aero/aircraft/a318
3.
https://modernairliners.com/airbus-a320-introduction/airbus-a320-specs/
4.
chrome-extension://efaidnbmnnnibpcajpcglclefindmkaj/https://rgl.faa.gov/Regulatory_and_Guidance_Library/rgMakeModel.nsf/0/638464a951ad6c908625723a005cb4b8/$FILE/E00064EN.pdf
5. 
chrome-extension://efaidnbmnnnibpcajpcglclefindmkaj/https://rgl.faa.gov/Regulatory_and_Guidance_Library/rgMakeModel.nsf/0/8b8d7ee0d2db0209862587e200690ef2/$FILE/A28NM_Rev47.pdf
6.
Pilot Operating Manual 
</t>
        </r>
      </text>
    </comment>
    <comment ref="HA2" authorId="2" shapeId="0" xr:uid="{0F53FF15-2AE5-485D-8624-553934ACFF11}">
      <text>
        <r>
          <rPr>
            <sz val="11"/>
            <color theme="1"/>
            <rFont val="Calibri"/>
            <family val="2"/>
            <scheme val="minor"/>
          </rPr>
          <t xml:space="preserve">Tsai, Michael:
1.  Use fuel capacity kg MTOW kg Weight Variant 
chrome-extension://efaidnbmnnnibpcajpcglclefindmkaj/https://www.airbus.com/sites/g/files/jlcbta136/files/2022-02/Airbus-techdata-AC_A318_0322.pdf
2.
https://skybrary.aero/aircraft/a318
3.
https://modernairliners.com/airbus-a320-introduction/airbus-a320-specs/
4.
chrome-extension://efaidnbmnnnibpcajpcglclefindmkaj/https://rgl.faa.gov/Regulatory_and_Guidance_Library/rgMakeModel.nsf/0/9bf38dfba5668751862583360062baa0/$FILE/E37NE_Rev_14.pdf
5. 
chrome-extension://efaidnbmnnnibpcajpcglclefindmkaj/https://rgl.faa.gov/Regulatory_and_Guidance_Library/rgMakeModel.nsf/0/8b8d7ee0d2db0209862587e200690ef2/$FILE/A28NM_Rev47.pdf
6.
Pilot Operating Manual 
</t>
        </r>
      </text>
    </comment>
    <comment ref="HB2" authorId="2" shapeId="0" xr:uid="{B0371AAF-48D9-4D4F-A80C-21EC37674439}">
      <text>
        <r>
          <rPr>
            <sz val="11"/>
            <color theme="1"/>
            <rFont val="Calibri"/>
            <family val="2"/>
            <scheme val="minor"/>
          </rPr>
          <t xml:space="preserve">Tsai, Michael:
1.  Use fuel capacity kg MTOW kg Weight Variant 
chrome-extension://efaidnbmnnnibpcajpcglclefindmkaj/https://www.airbus.com/sites/g/files/jlcbta136/files/2022-02/Airbus-techdata-AC_A318_0322.pdf
2.
https://skybrary.aero/aircraft/a318
3.
https://modernairliners.com/airbus-a320-introduction/airbus-a320-specs/
4.
chrome-extension://efaidnbmnnnibpcajpcglclefindmkaj/https://rgl.faa.gov/Regulatory_and_Guidance_Library/rgMakeModel.nsf/0/638464a951ad6c908625723a005cb4b8/$FILE/E00064EN.pdf
5. 
chrome-extension://efaidnbmnnnibpcajpcglclefindmkaj/https://rgl.faa.gov/Regulatory_and_Guidance_Library/rgMakeModel.nsf/0/8b8d7ee0d2db0209862587e200690ef2/$FILE/A28NM_Rev47.pdf
6.
Pilot Operating Manual 
</t>
        </r>
      </text>
    </comment>
    <comment ref="HC2" authorId="2" shapeId="0" xr:uid="{4633F331-5DEE-4724-AD71-3E03898A3443}">
      <text>
        <r>
          <rPr>
            <sz val="11"/>
            <color theme="1"/>
            <rFont val="Calibri"/>
            <family val="2"/>
            <scheme val="minor"/>
          </rPr>
          <t xml:space="preserve">Tsai, Michael:
1.  Use fuel capacity 19,435 kg MTOW 64000 kg Weight Variant 
chrome-extension://efaidnbmnnnibpcajpcglclefindmkaj/https://www.airbus.com/sites/g/files/jlcbta136/files/2022-02/Airbus-techdata-AC_A319_0322.pdf
2.
https://skybrary.aero/aircraft/a319
3.
https://modernairliners.com/airbus-a320-introduction/airbus-a320-specs/
4.
chrome-extension://efaidnbmnnnibpcajpcglclefindmkaj/https://rgl.faa.gov/Regulatory_and_Guidance_Library/rgMakeModel.nsf/0/7c1d9a1a698ab1bf862583360063075f/$FILE/E38NE_Rev_13.pdf
5. 
chrome-extension://efaidnbmnnnibpcajpcglclefindmkaj/https://rgl.faa.gov/Regulatory_and_Guidance_Library/rgMakeModel.nsf/0/8b8d7ee0d2db0209862587e200690ef2/$FILE/A28NM_Rev47.pdf
6. 
A320 Family Airbus Fligt Training Pilot Manual
</t>
        </r>
      </text>
    </comment>
    <comment ref="HD2" authorId="2" shapeId="0" xr:uid="{F20A38D8-AAD6-41AA-9145-47C7120A07F9}">
      <text>
        <r>
          <rPr>
            <sz val="11"/>
            <color theme="1"/>
            <rFont val="Calibri"/>
            <family val="2"/>
            <scheme val="minor"/>
          </rPr>
          <t xml:space="preserve">Tsai, Michael:
1.  Use fuel capacity 19,435 kg MTOW 75500 kg Weight Variant 
chrome-extension://efaidnbmnnnibpcajpcglclefindmkaj/https://www.airbus.com/sites/g/files/jlcbta136/files/2022-02/Airbus-techdata-AC_A319_0322.pdf
2.
https://skybrary.aero/aircraft/a319
3.
https://modernairliners.com/airbus-a320-introduction/airbus-a320-specs/
4.
chrome-extension://efaidnbmnnnibpcajpcglclefindmkaj/https://rgl.faa.gov/Regulatory_and_Guidance_Library/rgMakeModel.nsf/0/98e9833c9e9b394f86257b88004d0328/$FILE/E28NE_Rev_7.pdf
5. 
chrome-extension://efaidnbmnnnibpcajpcglclefindmkaj/https://rgl.faa.gov/Regulatory_and_Guidance_Library/rgMakeModel.nsf/0/8b8d7ee0d2db0209862587e200690ef2/$FILE/A28NM_Rev47.pdf
6. 
A320 Family Airbus Fligt Training Pilot Manual
</t>
        </r>
      </text>
    </comment>
    <comment ref="HE2" authorId="2" shapeId="0" xr:uid="{1D51A2A9-2613-43E2-9349-DC726A812D8D}">
      <text>
        <r>
          <rPr>
            <sz val="11"/>
            <color theme="1"/>
            <rFont val="Calibri"/>
            <family val="2"/>
            <scheme val="minor"/>
          </rPr>
          <t xml:space="preserve">Tsai, Michael:
1.   Use fuel capacity 19,435 kg MTOW 75500 kg Weight Variant 
chrome-extension://efaidnbmnnnibpcajpcglclefindmkaj/https://www.airbus.com/sites/g/files/jlcbta136/files/2022-02/Airbus-techdata-AC_A319_0322.pdf
2.
https://skybrary.aero/aircraft/a319
3.
https://modernairliners.com/airbus-a320-introduction/airbus-a320-specs/
4.
chrome-extension://efaidnbmnnnibpcajpcglclefindmkaj/https://rgl.faa.gov/Regulatory_and_Guidance_Library/rgMakeModel.nsf/0/7c1d9a1a698ab1bf862583360063075f/$FILE/E38NE_Rev_13.pdf
5. 
chrome-extension://efaidnbmnnnibpcajpcglclefindmkaj/https://rgl.faa.gov/Regulatory_and_Guidance_Library/rgMakeModel.nsf/0/8b8d7ee0d2db0209862587e200690ef2/$FILE/A28NM_Rev47.pdf
6. 
A320 Family Airbus Fligt Training Pilot Manual
</t>
        </r>
      </text>
    </comment>
    <comment ref="HF2" authorId="2" shapeId="0" xr:uid="{E7CC4301-D786-44CD-82BA-E6D54AF19643}">
      <text>
        <r>
          <rPr>
            <sz val="11"/>
            <color theme="1"/>
            <rFont val="Calibri"/>
            <family val="2"/>
            <scheme val="minor"/>
          </rPr>
          <t xml:space="preserve">Tsai, Michael:
1.   Use fuel capacity  19,435 kg MTOW 75500 kg Weight Variant 
chrome-extension://efaidnbmnnnibpcajpcglclefindmkaj/https://www.airbus.com/sites/g/files/jlcbta136/files/2022-02/Airbus-techdata-AC_A319_0322.pdf
2.
https://skybrary.aero/aircraft/a319
3.
https://modernairliners.com/airbus-a320-introduction/airbus-a320-specs/
4.
chrome-extension://efaidnbmnnnibpcajpcglclefindmkaj/https://rgl.faa.gov/Regulatory_and_Guidance_Library/rgMakeModel.nsf/0/fa74c08d4bd2d02386258281006d02a1/$FILE/E40NE_Rev_13.pdf
5. 
chrome-extension://efaidnbmnnnibpcajpcglclefindmkaj/https://rgl.faa.gov/Regulatory_and_Guidance_Library/rgMakeModel.nsf/0/8b8d7ee0d2db0209862587e200690ef2/$FILE/A28NM_Rev47.pdf
6. 
A320 Family Airbus Fligt Training Pilot Manual
7. 
https://customer.janes.com/Janes/Display/JAE_0635-JAE_
</t>
        </r>
      </text>
    </comment>
    <comment ref="HG2" authorId="2" shapeId="0" xr:uid="{A4DEA9C6-7D3D-48A0-9ADE-9810BF55CFC8}">
      <text>
        <r>
          <rPr>
            <sz val="11"/>
            <color theme="1"/>
            <rFont val="Calibri"/>
            <family val="2"/>
            <scheme val="minor"/>
          </rPr>
          <t xml:space="preserve">Tsai, Michael:
1.   Use fuel capacity  19,435 kg MTOW 75500 kg Weight Variant 
chrome-extension://efaidnbmnnnibpcajpcglclefindmkaj/https://www.airbus.com/sites/g/files/jlcbta136/files/2022-02/Airbus-techdata-AC_A319_0322.pdf
2.
https://skybrary.aero/aircraft/a319
3.
https://modernairliners.com/airbus-a320-introduction/airbus-a320-specs/
4.
chrome-extension://efaidnbmnnnibpcajpcglclefindmkaj/https://rgl.faa.gov/Regulatory_and_Guidance_Library/rgMakeModel.nsf/0/fa74c08d4bd2d02386258281006d02a1/$FILE/E40NE_Rev_13.pdf
5. 
chrome-extension://efaidnbmnnnibpcajpcglclefindmkaj/https://rgl.faa.gov/Regulatory_and_Guidance_Library/rgMakeModel.nsf/0/8b8d7ee0d2db0209862587e200690ef2/$FILE/A28NM_Rev47.pdf
6. 
A320 Family Airbus Fligt Training Pilot Manual
</t>
        </r>
      </text>
    </comment>
    <comment ref="HH2" authorId="2" shapeId="0" xr:uid="{82D6ECE9-6BF3-4649-AEA4-345FDED9C97E}">
      <text>
        <r>
          <rPr>
            <sz val="11"/>
            <color theme="1"/>
            <rFont val="Calibri"/>
            <family val="2"/>
            <scheme val="minor"/>
          </rPr>
          <t xml:space="preserve">Tsai, Michael:
1.  Use fuel capacity 19059 kg MTOW 64000 kg Weight Variant 
chrome-extension://efaidnbmnnnibpcajpcglclefindmkaj/https://www.airbus.com/sites/g/files/jlcbta136/files/2022-02/Airbus-techdata-AC_A319_0322.pdf
2.
https://skybrary.aero/aircraft/a319n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6. 
A320 Family Airbus Fligt Training Pilot Manual
</t>
        </r>
      </text>
    </comment>
    <comment ref="HI2" authorId="2" shapeId="0" xr:uid="{781D779A-863E-48EF-8182-6B2ECC165AFB}">
      <text>
        <r>
          <rPr>
            <sz val="11"/>
            <color theme="1"/>
            <rFont val="Calibri"/>
            <family val="2"/>
            <scheme val="minor"/>
          </rPr>
          <t xml:space="preserve">Tsai, Michael:
1.  Use fuel capacity 19059 kg MTOW 75500 kg Weight Variant
chrome-extension://efaidnbmnnnibpcajpcglclefindmkaj/https://www.airbus.com/sites/g/files/jlcbta136/files/2022-02/Airbus-techdata-AC_A319_0322.pdf
2.
https://skybrary.aero/aircraft/a319n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6. 
A320 Family Airbus Fligt Training Pilot Manual
</t>
        </r>
      </text>
    </comment>
    <comment ref="HJ2" authorId="2" shapeId="0" xr:uid="{5D7C21D9-776E-409B-867C-14F1C29FB3AD}">
      <text>
        <r>
          <rPr>
            <sz val="11"/>
            <color theme="1"/>
            <rFont val="Calibri"/>
            <family val="2"/>
            <scheme val="minor"/>
          </rPr>
          <t xml:space="preserve">Tsai, Michael:
1. Use fuel capacity 19059 kg MTOW 64000 kg Weight Variant
chrome-extension://efaidnbmnnnibpcajpcglclefindmkaj/https://www.airbus.com/sites/g/files/jlcbta136/files/2022-02/Airbus-techdata-AC_A319_0322.pdf
2.
https://skybrary.aero/aircraft/a319n
3.
https://modernairliners.com/airbus-a320-introduction/airbus-a320-specs/
4.
chrome-extension://efaidnbmnnnibpcajpcglclefindmkaj/https://rgl.faa.gov/Regulatory_and_Guidance_Library/rgMakeModel.nsf/0/74e4c2086661f360862584120046b423/$FILE/E00087EN_Rev6.pdf
5. 
chrome-extension://efaidnbmnnnibpcajpcglclefindmkaj/https://rgl.faa.gov/Regulatory_and_Guidance_Library/rgMakeModel.nsf/0/8b8d7ee0d2db0209862587e200690ef2/$FILE/A28NM_Rev47.pdf
6. 
A320 Family Airbus Flight Training Pilot Manual
</t>
        </r>
      </text>
    </comment>
    <comment ref="HK2" authorId="2" shapeId="0" xr:uid="{6E4D5438-ECAD-47A0-AD57-6911A304BED8}">
      <text>
        <r>
          <rPr>
            <sz val="11"/>
            <color theme="1"/>
            <rFont val="Calibri"/>
            <family val="2"/>
            <scheme val="minor"/>
          </rPr>
          <t xml:space="preserve">Tsai, Michael:
1.  Use fuel capacity 19436 kg MTOW 73500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chrome-extension://efaidnbmnnnibpcajpcglclefindmkaj/https://rgl.faa.gov/Regulatory_and_Guidance_Library/rgMakeModel.nsf/0/98e9833c9e9b394f86257b88004d0328/$FILE/E28NE_Rev_7.pdf
5. 
chrome-extension://efaidnbmnnnibpcajpcglclefindmkaj/https://rgl.faa.gov/Regulatory_and_Guidance_Library/rgMakeModel.nsf/0/8b8d7ee0d2db0209862587e200690ef2/$FILE/A28NM_Rev47.pdf
6.
A320 Family Airbus Flight Training Pilot Manual
7.
https://customer.janes.com/Janes/Display/JAE_0631-JAE_
</t>
        </r>
      </text>
    </comment>
    <comment ref="HL2" authorId="2" shapeId="0" xr:uid="{645C9B3C-6FDB-4171-9E9E-406C5B11F569}">
      <text>
        <r>
          <rPr>
            <sz val="11"/>
            <color theme="1"/>
            <rFont val="Calibri"/>
            <family val="2"/>
            <scheme val="minor"/>
          </rPr>
          <t xml:space="preserve">Tsai, Michael:
1.  Use fuel capacity 19436 kg MTOW 73500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chrome-extension://efaidnbmnnnibpcajpcglclefindmkaj/https://rgl.faa.gov/Regulatory_and_Guidance_Library/rgMakeModel.nsf/0/98e9833c9e9b394f86257b88004d0328/$FILE/E28NE_Rev_7.pdf
5. 
chrome-extension://efaidnbmnnnibpcajpcglclefindmkaj/https://rgl.faa.gov/Regulatory_and_Guidance_Library/rgMakeModel.nsf/0/8b8d7ee0d2db0209862587e200690ef2/$FILE/A28NM_Rev47.pdf
6.
A320 Family Airbus Flight Training Pilot Manual
</t>
        </r>
      </text>
    </comment>
    <comment ref="HM2" authorId="2" shapeId="0" xr:uid="{144717C7-7E1B-4122-8B17-F2DD76FEBFCA}">
      <text>
        <r>
          <rPr>
            <sz val="11"/>
            <color theme="1"/>
            <rFont val="Calibri"/>
            <family val="2"/>
            <scheme val="minor"/>
          </rPr>
          <t xml:space="preserve">Tsai, Michael:
1.  Use fuel capacity 19436 kg MTOW 78000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chrome-extension://efaidnbmnnnibpcajpcglclefindmkaj/https://rgl.faa.gov/Regulatory_and_Guidance_Library/rgMakeModel.nsf/0/7c1d9a1a698ab1bf862583360063075f/$FILE/E38NE_Rev_13.pdf
5. 
chrome-extension://efaidnbmnnnibpcajpcglclefindmkaj/https://rgl.faa.gov/Regulatory_and_Guidance_Library/rgMakeModel.nsf/0/8b8d7ee0d2db0209862587e200690ef2/$FILE/A28NM_Rev47.pdf
6.
A320 Family Airbus Flight Training Pilot Manual
</t>
        </r>
      </text>
    </comment>
    <comment ref="HN2" authorId="2" shapeId="0" xr:uid="{219310B3-23A0-4DE9-95F3-7E2A5AB17427}">
      <text>
        <r>
          <rPr>
            <sz val="11"/>
            <color theme="1"/>
            <rFont val="Calibri"/>
            <family val="2"/>
            <scheme val="minor"/>
          </rPr>
          <t xml:space="preserve">Tsai, Michael:
1.  Use fuel capacity 19155 kg MTOW 73500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chrome-extension://efaidnbmnnnibpcajpcglclefindmkaj/https://rgl.faa.gov/Regulatory_and_Guidance_Library/rgMakeModel.nsf/0/f724dc616b554fc38525670c006a5edb/$FILE/E31ne.pdf
5. 
chrome-extension://efaidnbmnnnibpcajpcglclefindmkaj/https://rgl.faa.gov/Regulatory_and_Guidance_Library/rgMakeModel.nsf/0/8b8d7ee0d2db0209862587e200690ef2/$FILE/A28NM_Rev47.pdf
6.
A320 Family Airbus Flight Training Pilot Manual
</t>
        </r>
      </text>
    </comment>
    <comment ref="HO2" authorId="2" shapeId="0" xr:uid="{9085368B-E507-4E34-8E8B-1212273DDCD0}">
      <text>
        <r>
          <rPr>
            <sz val="11"/>
            <color theme="1"/>
            <rFont val="Calibri"/>
            <family val="2"/>
            <scheme val="minor"/>
          </rPr>
          <t xml:space="preserve">Tsai, Michael:
1.  Use fuel capacity 19155 kg MTOW 78000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chrome-extension://efaidnbmnnnibpcajpcglclefindmkaj/https://rgl.faa.gov/Regulatory_and_Guidance_Library/rgMakeModel.nsf/0/fa74c08d4bd2d02386258281006d02a1/$FILE/E40NE_Rev_13.pdf
5. 
chrome-extension://efaidnbmnnnibpcajpcglclefindmkaj/https://rgl.faa.gov/Regulatory_and_Guidance_Library/rgMakeModel.nsf/0/8b8d7ee0d2db0209862587e200690ef2/$FILE/A28NM_Rev47.pdf
6.
A320 Family Airbus Flight Training Pilot Manual
</t>
        </r>
      </text>
    </comment>
    <comment ref="HP2" authorId="2" shapeId="0" xr:uid="{AE4466CF-4FF2-4AC5-9DFF-5F28FD5E9F23}">
      <text>
        <r>
          <rPr>
            <sz val="11"/>
            <color theme="1"/>
            <rFont val="Calibri"/>
            <family val="2"/>
            <scheme val="minor"/>
          </rPr>
          <t xml:space="preserve">Tsai, Michael:
1.  Use fuel capacity 19059 kg MTOW 73500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6.
A320 Family Airbus Flight Training Pilot Manual
</t>
        </r>
      </text>
    </comment>
    <comment ref="HQ2" authorId="2" shapeId="0" xr:uid="{E634B561-DE5A-4995-94A8-900FEAB5AED4}">
      <text>
        <r>
          <rPr>
            <sz val="11"/>
            <color theme="1"/>
            <rFont val="Calibri"/>
            <family val="2"/>
            <scheme val="minor"/>
          </rPr>
          <t xml:space="preserve">Tsai, Michael:
1.  Use fuel capacity 19059 kg MTOW 79000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6.
A320 Family Airbus Flight Training Pilot Manual
</t>
        </r>
      </text>
    </comment>
    <comment ref="HR2" authorId="2" shapeId="0" xr:uid="{10E7A193-11C4-49A6-B794-629ACAEEB1A2}">
      <text>
        <r>
          <rPr>
            <sz val="11"/>
            <color theme="1"/>
            <rFont val="Calibri"/>
            <family val="2"/>
            <scheme val="minor"/>
          </rPr>
          <t xml:space="preserve">Tsai, Michael:
1.  Use fuel capacity 19059 kg MTOW 79000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chrome-extension://efaidnbmnnnibpcajpcglclefindmkaj/https://rgl.faa.gov/Regulatory_and_Guidance_Library/rgMakeModel.nsf/0/74e4c2086661f360862584120046b423/$FILE/E00087EN_Rev6.pdf
5. 
chrome-extension://efaidnbmnnnibpcajpcglclefindmkaj/https://rgl.faa.gov/Regulatory_and_Guidance_Library/rgMakeModel.nsf/0/8b8d7ee0d2db0209862587e200690ef2/$FILE/A28NM_Rev47.pdf
6.
A320 Family Airbus Flight Training Pilot Manual
</t>
        </r>
      </text>
    </comment>
    <comment ref="HS2" authorId="2" shapeId="0" xr:uid="{86243251-E4AD-493C-86FF-11181A7D2CCC}">
      <text>
        <r>
          <rPr>
            <sz val="11"/>
            <color theme="1"/>
            <rFont val="Calibri"/>
            <family val="2"/>
            <scheme val="minor"/>
          </rPr>
          <t xml:space="preserve">Tsai, Michael:
1.  Use fuel capacity 19059 kg MTOW 73500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chrome-extension://efaidnbmnnnibpcajpcglclefindmkaj/https://rgl.faa.gov/Regulatory_and_Guidance_Library/rgMakeModel.nsf/0/74e4c2086661f360862584120046b423/$FILE/E00087EN_Rev6.pdf
5. 
chrome-extension://efaidnbmnnnibpcajpcglclefindmkaj/https://rgl.faa.gov/Regulatory_and_Guidance_Library/rgMakeModel.nsf/0/8b8d7ee0d2db0209862587e200690ef2/$FILE/A28NM_Rev47.pdf
6.
A320 Family Airbus Flight Training Pilot Manual
</t>
        </r>
      </text>
    </comment>
    <comment ref="HT2" authorId="2" shapeId="0" xr:uid="{BEB8C2B6-5F1E-4DFB-A142-AB6987255BA9}">
      <text>
        <r>
          <rPr>
            <sz val="11"/>
            <color theme="1"/>
            <rFont val="Calibri"/>
            <family val="2"/>
            <scheme val="minor"/>
          </rPr>
          <t xml:space="preserve">Tsai, Michael:
1.  Use fuel capacity 19059 kg MTOW 79000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6.
A320 Family Airbus Flight Training Pilot Manual
</t>
        </r>
      </text>
    </comment>
    <comment ref="HU2" authorId="2" shapeId="0" xr:uid="{6D56871B-552E-4933-BB3B-6E99399E9A81}">
      <text>
        <r>
          <rPr>
            <sz val="11"/>
            <color theme="1"/>
            <rFont val="Calibri"/>
            <family val="2"/>
            <scheme val="minor"/>
          </rPr>
          <t xml:space="preserve">Tsai, Michael:
1.  Use fuel capacity 19059 kg MTOW 79000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chrome-extension://efaidnbmnnnibpcajpcglclefindmkaj/https://rgl.faa.gov/Regulatory_and_Guidance_Library/rgMakeModel.nsf/0/74e4c2086661f360862584120046b423/$FILE/E00087EN_Rev6.pdf
5. 
chrome-extension://efaidnbmnnnibpcajpcglclefindmkaj/https://rgl.faa.gov/Regulatory_and_Guidance_Library/rgMakeModel.nsf/0/8b8d7ee0d2db0209862587e200690ef2/$FILE/A28NM_Rev47.pdf
6.
A320 Family Airbus Flight Training Pilot Manual
</t>
        </r>
      </text>
    </comment>
    <comment ref="HV2" authorId="2" shapeId="0" xr:uid="{7482BFA7-A89C-4198-A428-343A08B976AF}">
      <text>
        <r>
          <rPr>
            <sz val="11"/>
            <color theme="1"/>
            <rFont val="Calibri"/>
            <family val="2"/>
            <scheme val="minor"/>
          </rPr>
          <t xml:space="preserve">Tsai, Michael:
1.  Use fuel capacity 19,308 kg MTOW 83000 kg Weight Variant 
chrome-extension://efaidnbmnnnibpcajpcglclefindmkaj/https://www.airbus.com/sites/g/files/jlcbta136/files/2022-02/Airbus-techdata-AC_A321_0322.pdf
2.
https://skybrary.aero/aircraft/a321
3.
https://modernairliners.com/airbus-a320-introduction/airbus-a320-specs/
4.
chrome-extension://efaidnbmnnnibpcajpcglclefindmkaj/https://rgl.faa.gov/Regulatory_and_Guidance_Library/rgMakeModel.nsf/0/7c1d9a1a698ab1bf862583360063075f/$FILE/E38NE_Rev_13.pdf
5. 
chrome-extension://efaidnbmnnnibpcajpcglclefindmkaj/https://rgl.faa.gov/Regulatory_and_Guidance_Library/rgMakeModel.nsf/0/8b8d7ee0d2db0209862587e200690ef2/$FILE/A28NM_Rev47.pdf
6.
https://customer.janes.com/Janes/Display/JAE_0631-JAE_
</t>
        </r>
      </text>
    </comment>
    <comment ref="HW2" authorId="2" shapeId="0" xr:uid="{864C975D-7D3C-4C12-B7A5-6200D633B056}">
      <text>
        <r>
          <rPr>
            <sz val="11"/>
            <color theme="1"/>
            <rFont val="Calibri"/>
            <family val="2"/>
            <scheme val="minor"/>
          </rPr>
          <t xml:space="preserve">Tsai, Michael:
1.  Use fuel capacity 19,027 kg MTOW 83000 kg Weight Variant 
chrome-extension://efaidnbmnnnibpcajpcglclefindmkaj/https://www.airbus.com/sites/g/files/jlcbta136/files/2022-02/Airbus-techdata-AC_A321_0322.pdf
2.
https://skybrary.aero/aircraft/a321
3.
https://modernairliners.com/airbus-a320-introduction/airbus-a320-specs/
4.
chrome-extension://efaidnbmnnnibpcajpcglclefindmkaj/https://rgl.faa.gov/Regulatory_and_Guidance_Library/rgMakeModel.nsf/0/fa74c08d4bd2d02386258281006d02a1/$FILE/E40NE_Rev_13.pdf
5. 
chrome-extension://efaidnbmnnnibpcajpcglclefindmkaj/https://rgl.faa.gov/Regulatory_and_Guidance_Library/rgMakeModel.nsf/0/8b8d7ee0d2db0209862587e200690ef2/$FILE/A28NM_Rev47.pdf
</t>
        </r>
      </text>
    </comment>
    <comment ref="HX2" authorId="2" shapeId="0" xr:uid="{7B8E1A93-3697-48D2-A2E8-E1ACE6485827}">
      <text>
        <r>
          <rPr>
            <sz val="11"/>
            <color theme="1"/>
            <rFont val="Calibri"/>
            <family val="2"/>
            <scheme val="minor"/>
          </rPr>
          <t xml:space="preserve">Tsai, Michael:
1.  Use fuel capacity 19,308 kg MTOW 89000 kg Weight Variant 
chrome-extension://efaidnbmnnnibpcajpcglclefindmkaj/https://www.airbus.com/sites/g/files/jlcbta136/files/2022-02/Airbus-techdata-AC_A321_0322.pdf
2.
https://skybrary.aero/aircraft/a321
3.
https://modernairliners.com/airbus-a320-introduction/airbus-a320-specs/
4.
chrome-extension://efaidnbmnnnibpcajpcglclefindmkaj/https://rgl.faa.gov/Regulatory_and_Guidance_Library/rgMakeModel.nsf/0/7c1d9a1a698ab1bf862583360063075f/$FILE/E38NE_Rev_13.pdf
5. 
chrome-extension://efaidnbmnnnibpcajpcglclefindmkaj/https://rgl.faa.gov/Regulatory_and_Guidance_Library/rgMakeModel.nsf/0/8b8d7ee0d2db0209862587e200690ef2/$FILE/A28NM_Rev47.pdf
</t>
        </r>
      </text>
    </comment>
    <comment ref="HY2" authorId="2" shapeId="0" xr:uid="{A64E760F-6782-4EC7-8F0C-A690F20A6B7F}">
      <text>
        <r>
          <rPr>
            <sz val="11"/>
            <color theme="1"/>
            <rFont val="Calibri"/>
            <family val="2"/>
            <scheme val="minor"/>
          </rPr>
          <t xml:space="preserve">Tsai, Michael:
1.  Use fuel capacity 19,308 kg MTOW 93500 kg Weight Variant 
chrome-extension://efaidnbmnnnibpcajpcglclefindmkaj/https://www.airbus.com/sites/g/files/jlcbta136/files/2022-02/Airbus-techdata-AC_A321_0322.pdf
2.
https://skybrary.aero/aircraft/a321
3.
https://modernairliners.com/airbus-a320-introduction/airbus-a320-specs/
4.
chrome-extension://efaidnbmnnnibpcajpcglclefindmkaj/https://rgl.faa.gov/Regulatory_and_Guidance_Library/rgMakeModel.nsf/0/7c1d9a1a698ab1bf862583360063075f/$FILE/E38NE_Rev_13.pdf
5. 
chrome-extension://efaidnbmnnnibpcajpcglclefindmkaj/https://rgl.faa.gov/Regulatory_and_Guidance_Library/rgMakeModel.nsf/0/8b8d7ee0d2db0209862587e200690ef2/$FILE/A28NM_Rev47.pdf
</t>
        </r>
      </text>
    </comment>
    <comment ref="HZ2" authorId="2" shapeId="0" xr:uid="{0056840B-851F-4E56-A829-10F6A6735595}">
      <text>
        <r>
          <rPr>
            <sz val="11"/>
            <color theme="1"/>
            <rFont val="Calibri"/>
            <family val="2"/>
            <scheme val="minor"/>
          </rPr>
          <t xml:space="preserve">Tsai, Michael:
1.  Use fuel capacity 19,027 kg MTOW 93500 kg Weight Variant 
chrome-extension://efaidnbmnnnibpcajpcglclefindmkaj/https://www.airbus.com/sites/g/files/jlcbta136/files/2022-02/Airbus-techdata-AC_A321_0322.pdf
2.
https://skybrary.aero/aircraft/a321
3.
https://modernairliners.com/airbus-a320-introduction/airbus-a320-specs/
4.
chrome-extension://efaidnbmnnnibpcajpcglclefindmkaj/https://rgl.faa.gov/Regulatory_and_Guidance_Library/rgMakeModel.nsf/0/fa74c08d4bd2d02386258281006d02a1/$FILE/E40NE_Rev_13.pdf
5. 
chrome-extension://efaidnbmnnnibpcajpcglclefindmkaj/https://rgl.faa.gov/Regulatory_and_Guidance_Library/rgMakeModel.nsf/0/8b8d7ee0d2db0209862587e200690ef2/$FILE/A28NM_Rev47.pdf
</t>
        </r>
      </text>
    </comment>
    <comment ref="IA2" authorId="2" shapeId="0" xr:uid="{45739CE3-DEB4-407E-8D29-C9360407B432}">
      <text>
        <r>
          <rPr>
            <sz val="11"/>
            <color theme="1"/>
            <rFont val="Calibri"/>
            <family val="2"/>
            <scheme val="minor"/>
          </rPr>
          <t xml:space="preserve">Tsai, Michael:
1.  Use fuel capacity 18,859 kg MTOW 89000 kg Weight Variant 
chrome-extension://efaidnbmnnnibpcajpcglclefindmkaj/https://www.airbus.com/sites/g/files/jlcbta136/files/2022-02/Airbus-techdata-AC_A321_0322.pdf
2.
https://skybrary.aero/aircraft/a21n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t>
        </r>
      </text>
    </comment>
    <comment ref="IB2" authorId="2" shapeId="0" xr:uid="{EBCF3F27-4472-496B-9135-1A4E37E4C289}">
      <text>
        <r>
          <rPr>
            <sz val="11"/>
            <color theme="1"/>
            <rFont val="Calibri"/>
            <family val="2"/>
            <scheme val="minor"/>
          </rPr>
          <t xml:space="preserve">Tsai, Michael:
1.  Use fuel capacity 18,859 kg MTOW 93500 kg Weight Variant 
chrome-extension://efaidnbmnnnibpcajpcglclefindmkaj/https://www.airbus.com/sites/g/files/jlcbta136/files/2022-02/Airbus-techdata-AC_A321_0322.pdf
2.
https://skybrary.aero/aircraft/a21n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t>
        </r>
      </text>
    </comment>
    <comment ref="IC2" authorId="2" shapeId="0" xr:uid="{2A813F1F-7675-442E-B9A2-71BCAE2200DE}">
      <text>
        <r>
          <rPr>
            <sz val="11"/>
            <color theme="1"/>
            <rFont val="Calibri"/>
            <family val="2"/>
            <scheme val="minor"/>
          </rPr>
          <t xml:space="preserve">Tsai, Michael:
1.  Use fuel capacity 18,859 kg MTOW 93500 kg Weight Variant 
chrome-extension://efaidnbmnnnibpcajpcglclefindmkaj/https://www.airbus.com/sites/g/files/jlcbta136/files/2022-02/Airbus-techdata-AC_A321_0322.pdf
2.
https://skybrary.aero/aircraft/a21n
3.
https://modernairliners.com/airbus-a320-introduction/airbus-a320-specs/
4.
chrome-extension://efaidnbmnnnibpcajpcglclefindmkaj/https://rgl.faa.gov/Regulatory_and_Guidance_Library/rgMakeModel.nsf/0/74e4c2086661f360862584120046b423/$FILE/E00087EN_Rev6.pdf
5. 
chrome-extension://efaidnbmnnnibpcajpcglclefindmkaj/https://rgl.faa.gov/Regulatory_and_Guidance_Library/rgMakeModel.nsf/0/8b8d7ee0d2db0209862587e200690ef2/$FILE/A28NM_Rev47.pdf
</t>
        </r>
      </text>
    </comment>
    <comment ref="ID2" authorId="2" shapeId="0" xr:uid="{4FE8E140-9824-455C-A725-85CF55C7C827}">
      <text>
        <r>
          <rPr>
            <sz val="11"/>
            <color theme="1"/>
            <rFont val="Calibri"/>
            <family val="2"/>
            <scheme val="minor"/>
          </rPr>
          <t xml:space="preserve">Tsai, Michael:
1.  Use fuel capacity 26,448 kg MTOW 97000 kg Weight Variant 
chrome-extension://efaidnbmnnnibpcajpcglclefindmkaj/https://www.airbus.com/sites/g/files/jlcbta136/files/2022-02/Airbus-techdata-AC_A321_0322.pdf
2.
https://skybrary.aero/aircraft/a21n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t>
        </r>
      </text>
    </comment>
    <comment ref="IE2" authorId="2" shapeId="0" xr:uid="{98F3A701-BD71-4B65-B77D-CE3AD083789D}">
      <text>
        <r>
          <rPr>
            <sz val="11"/>
            <color theme="1"/>
            <rFont val="Calibri"/>
            <family val="2"/>
            <scheme val="minor"/>
          </rPr>
          <t xml:space="preserve">Tsai, Michael:
1.  Use fuel capacity kg MTOW 101000 kg Weight Variant 
chrome-extension://efaidnbmnnnibpcajpcglclefindmkaj/https://www.airbus.com/sites/g/files/jlcbta136/files/2022-02/Airbus-techdata-AC_A321_0322.pdf
2.
https://skybrary.aero/aircraft/a21n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t>
        </r>
      </text>
    </comment>
    <comment ref="IF2" authorId="2" shapeId="0" xr:uid="{EE34BA48-1CE3-46FE-BEE4-7774BFFCC54E}">
      <text>
        <r>
          <rPr>
            <sz val="11"/>
            <color theme="1"/>
            <rFont val="Calibri"/>
            <family val="2"/>
            <scheme val="minor"/>
          </rPr>
          <t xml:space="preserve">Tsai, Michael:
1.  Use fuel capacity 
31,911kg MTOW 101000 kg Weight Variant 
chrome-extension://efaidnbmnnnibpcajpcglclefindmkaj/https://www.airbus.com/sites/g/files/jlcbta136/files/2022-02/Airbus-techdata-AC_A321_0322.pdf
2.
https://skybrary.aero/aircraft/a21n
3.
https://modernairliners.com/airbus-a320-introduction/airbus-a320-specs/
4.
chrome-extension://efaidnbmnnnibpcajpcglclefindmkaj/https://rgl.faa.gov/Regulatory_and_Guidance_Library/rgMakeModel.nsf/0/74e4c2086661f360862584120046b423/$FILE/E00087EN_Rev6.pdf
5. 
chrome-extension://efaidnbmnnnibpcajpcglclefindmkaj/https://rgl.faa.gov/Regulatory_and_Guidance_Library/rgMakeModel.nsf/0/8b8d7ee0d2db0209862587e200690ef2/$FILE/A28NM_Rev47.pdf
</t>
        </r>
      </text>
    </comment>
    <comment ref="IG2" authorId="2" shapeId="0" xr:uid="{7853275C-E73B-43FE-8BD3-61A838E72B7C}">
      <text>
        <r>
          <rPr>
            <sz val="11"/>
            <color theme="1"/>
            <rFont val="Calibri"/>
            <family val="2"/>
            <scheme val="minor"/>
          </rPr>
          <t xml:space="preserve">Tsai, Michael:
1.  Use fuel capacity kg MTOW kg Weight Variant 
https://customer.janes.com/Janes/Display/JAWA0061-JAWA
2.
FAA ERJ
3.
ERJ APM
4.
https://skybrary.aero/aircraft/e170
5. 
chrome-extension://efaidnbmnnnibpcajpcglclefindmkaj/https://rgl.faa.gov/Regulatory_and_Guidance_Library/rgMakeModel.nsf/0/8791d80ecf9b508486258074005a16b0/$FILE/E00063EN_Rev_8.pdf
</t>
        </r>
      </text>
    </comment>
    <comment ref="IH2" authorId="2" shapeId="0" xr:uid="{6750193C-4A49-42E5-9FD5-B43447755DFE}">
      <text>
        <r>
          <rPr>
            <sz val="11"/>
            <color theme="1"/>
            <rFont val="Calibri"/>
            <family val="2"/>
            <scheme val="minor"/>
          </rPr>
          <t xml:space="preserve">Tsai, Michael:
1.  Use fuel capacity kg MTOW kg Weight Variant 
https://customer.janes.com/Janes/Display/JAWA0061-JAWA
2.
FAA ERJ
3.
ERJ APM
4.
5. 
</t>
        </r>
      </text>
    </comment>
    <comment ref="II2" authorId="2" shapeId="0" xr:uid="{F5F86D62-B8DE-4FAF-BB7D-FEBB823C33CB}">
      <text>
        <r>
          <rPr>
            <sz val="11"/>
            <color theme="1"/>
            <rFont val="Calibri"/>
            <family val="2"/>
            <scheme val="minor"/>
          </rPr>
          <t xml:space="preserve">Tsai, Michael:
1.  Use fuel capacity kg MTOW kg Weight Variant 
https://customer.janes.com/Janes/Display/JAWA0061-JAWA
2.
FAA ERJ
3.
ERJ APM
4.
5. 
</t>
        </r>
      </text>
    </comment>
    <comment ref="IJ2" authorId="2" shapeId="0" xr:uid="{C61404FC-F453-4BF2-A6EA-3FDEE354C886}">
      <text>
        <r>
          <rPr>
            <sz val="11"/>
            <color theme="1"/>
            <rFont val="Calibri"/>
            <family val="2"/>
            <scheme val="minor"/>
          </rPr>
          <t xml:space="preserve">Tsai, Michael:
1.  Use fuel capacity kg MTOW kg Weight Variant 
https://customer.janes.com/Janes/Display/JAWA0061-JAWA
2.
FAA ERJ
3.
ERJ APM
4.
5. 
</t>
        </r>
      </text>
    </comment>
    <comment ref="IK2" authorId="2" shapeId="0" xr:uid="{E98035D6-4F85-444F-B2F5-3DCA9B41E33F}">
      <text>
        <r>
          <rPr>
            <sz val="11"/>
            <color theme="1"/>
            <rFont val="Calibri"/>
            <family val="2"/>
            <scheme val="minor"/>
          </rPr>
          <t xml:space="preserve">Tsai, Michael:
1.  Use fuel capacity kg MTOW kg Weight Variant 
https://customer.janes.com/Janes/Display/JAWA0061-JAWA
2.
FAA ERJ
3.
ERJ APM
4.
5. 
</t>
        </r>
      </text>
    </comment>
    <comment ref="IL2" authorId="2" shapeId="0" xr:uid="{BB93039F-1D88-48C7-9AB3-FD66805E3FA5}">
      <text>
        <r>
          <rPr>
            <sz val="11"/>
            <color theme="1"/>
            <rFont val="Calibri"/>
            <family val="2"/>
            <scheme val="minor"/>
          </rPr>
          <t xml:space="preserve">Tsai, Michael:
1.  Use fuel capacity kg MTOW kg Weight Variant 
https://customer.janes.com/Janes/Display/JAWA0061-JAWA
2.
FAA ERJ
3.
ERJ APM
4.
5. 
</t>
        </r>
      </text>
    </comment>
    <comment ref="IM2" authorId="2" shapeId="0" xr:uid="{1D8A7311-FE8A-41BD-B828-2C97D61D4C6D}">
      <text>
        <r>
          <rPr>
            <sz val="11"/>
            <color theme="1"/>
            <rFont val="Calibri"/>
            <family val="2"/>
            <scheme val="minor"/>
          </rPr>
          <t xml:space="preserve">Tsai, Michael:
1.  Use fuel capacity kg MTOW kg Weight Variant 
https://customer.janes.com/Janes/Display/JAWA0061-JAWA
2.
chrome-extension://efaidnbmnnnibpcajpcglclefindmkaj/https://rgl.faa.gov/Regulatory_and_Guidance_Library/rgMakeModel.nsf/0/f1ceafc6b7c41c07862587d4004dd1a6/$FILE/A57NM_Rev22.pdf
3.
ERJ APM
4.
https://www.skybrary.aero/aircraft/e190
5. 
</t>
        </r>
      </text>
    </comment>
    <comment ref="IN2" authorId="2" shapeId="0" xr:uid="{F48BF0B7-4917-40CC-92B8-C09B09187D3B}">
      <text>
        <r>
          <rPr>
            <sz val="11"/>
            <color theme="1"/>
            <rFont val="Calibri"/>
            <family val="2"/>
            <scheme val="minor"/>
          </rPr>
          <t xml:space="preserve">Tsai, Michael:
1.  Use fuel capacity kg MTOW kg Weight Variant 
https://customer.janes.com/Janes/Display/JAWA0061-JAWA
2.
chrome-extension://efaidnbmnnnibpcajpcglclefindmkaj/https://rgl.faa.gov/Regulatory_and_Guidance_Library/rgMakeModel.nsf/0/f1ceafc6b7c41c07862587d4004dd1a6/$FILE/A57NM_Rev22.pdf
3.
ERJ APM
4.
5. 
</t>
        </r>
      </text>
    </comment>
    <comment ref="IO2" authorId="2" shapeId="0" xr:uid="{93EF162E-FBCD-40B5-9410-6E9AF9C918F2}">
      <text>
        <r>
          <rPr>
            <sz val="11"/>
            <color theme="1"/>
            <rFont val="Calibri"/>
            <family val="2"/>
            <scheme val="minor"/>
          </rPr>
          <t xml:space="preserve">Tsai, Michael:
1.  Use fuel capacity kg MTOW kg Weight Variant 
https://customer.janes.com/Janes/Display/JAWA0061-JAWA
2.
chrome-extension://efaidnbmnnnibpcajpcglclefindmkaj/https://rgl.faa.gov/Regulatory_and_Guidance_Library/rgMakeModel.nsf/0/f1ceafc6b7c41c07862587d4004dd1a6/$FILE/A57NM_Rev22.pdf
3.
ERJ APM
4.
5. 
</t>
        </r>
      </text>
    </comment>
    <comment ref="IP2" authorId="2" shapeId="0" xr:uid="{22A682F7-3451-401B-B822-CF7C0E0954C0}">
      <text>
        <r>
          <rPr>
            <sz val="11"/>
            <color theme="1"/>
            <rFont val="Calibri"/>
            <family val="2"/>
            <scheme val="minor"/>
          </rPr>
          <t xml:space="preserve">Tsai, Michael:
1.  Use fuel capacity kg MTOW kg Weight Variant 
https://customer.janes.com/Janes/Display/JAWA0061-JAWA
2.
chrome-extension://efaidnbmnnnibpcajpcglclefindmkaj/https://rgl.faa.gov/Regulatory_and_Guidance_Library/rgMakeModel.nsf/0/f1ceafc6b7c41c07862587d4004dd1a6/$FILE/A57NM_Rev22.pdf
3.
ERJ APM
4.
5. 
</t>
        </r>
      </text>
    </comment>
    <comment ref="IQ2" authorId="2" shapeId="0" xr:uid="{B62A14F8-EA61-4D03-92F4-146B00A59795}">
      <text>
        <r>
          <rPr>
            <sz val="11"/>
            <color theme="1"/>
            <rFont val="Calibri"/>
            <family val="2"/>
            <scheme val="minor"/>
          </rPr>
          <t xml:space="preserve">Tsai, Michael:
1.  Use fuel capacity kg MTOW kg Weight Variant 
https://customer.janes.com/Janes/Display/JAWA0061-JAWA
2.
chrome-extension://efaidnbmnnnibpcajpcglclefindmkaj/https://rgl.faa.gov/Regulatory_and_Guidance_Library/rgMakeModel.nsf/0/f1ceafc6b7c41c07862587d4004dd1a6/$FILE/A57NM_Rev22.pdf
3.
ERJ APM
4.
5. 
</t>
        </r>
      </text>
    </comment>
    <comment ref="IR2" authorId="2" shapeId="0" xr:uid="{DD5D9151-4047-495D-BA5A-30C421B6801D}">
      <text>
        <r>
          <rPr>
            <sz val="11"/>
            <color theme="1"/>
            <rFont val="Calibri"/>
            <family val="2"/>
            <scheme val="minor"/>
          </rPr>
          <t xml:space="preserve">Tsai, Michael:
1.  Use fuel capacity kg MTOW kg Weight Variant 
https://customer.janes.com/Janes/Display/JAWA0061-JAWA
2.
chrome-extension://efaidnbmnnnibpcajpcglclefindmkaj/https://rgl.faa.gov/Regulatory_and_Guidance_Library/rgMakeModel.nsf/0/f1ceafc6b7c41c07862587d4004dd1a6/$FILE/A57NM_Rev22.pdf
3.
ERJ APM
4.
5. 
</t>
        </r>
      </text>
    </comment>
    <comment ref="IS2" authorId="2" shapeId="0" xr:uid="{8B787DD5-39EF-48B6-B3B6-97903C181B0B}">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IT2" authorId="2" shapeId="0" xr:uid="{D2489F6E-0ACF-4B09-B5E8-E1DC2044E837}">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IU2" authorId="2" shapeId="0" xr:uid="{127EA39E-9841-4D59-9B98-C6B21B3447A6}">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IV2" authorId="2" shapeId="0" xr:uid="{9DA95EED-06EC-4E12-9ACE-290488368A66}">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IW2" authorId="2" shapeId="0" xr:uid="{BFE993B5-F9DD-47C7-8049-C9DA5498211F}">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IX2" authorId="2" shapeId="0" xr:uid="{B2332CA0-3820-4B3D-B005-A4FD6E7D3AF3}">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IY2" authorId="2" shapeId="0" xr:uid="{6A0FA124-45D0-4706-A1EA-E472DF46E82C}">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IZ2" authorId="2" shapeId="0" xr:uid="{C562DED4-87EC-46E0-AF8C-37CC7EB2CF5A}">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JA2" authorId="2" shapeId="0" xr:uid="{6B0ECD9E-86CF-4E2D-B270-0095FED1B802}">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JB2" authorId="2" shapeId="0" xr:uid="{E759C62B-FD06-4DCE-88B8-B87B7999EA1B}">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https://www.klm.com/information/travel-class-extra-options/aircraft-types/embraer-195-e2#about-the-embraer-195-e2
5. 
</t>
        </r>
      </text>
    </comment>
    <comment ref="JC2" authorId="2" shapeId="0" xr:uid="{FC304EB3-CD4A-49FF-A789-38AEC6FE65DE}">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chrome-extension://efaidnbmnnnibpcajpcglclefindmkaj/https://customer.aero.bombardier.com/webd/BAG/CustSite/BRAD/RACSDocument.nsf/51aae8b2b3bfdf6685256c300045ff31/ec63f8639ff3ab9d85257c1500635bd8/$FILE/ATT1ES4H.pdf/CRJ200APMR8.pdf
3.
4.
5. 
</t>
        </r>
      </text>
    </comment>
    <comment ref="JD2" authorId="2" shapeId="0" xr:uid="{8421AD5C-95B1-43E1-8AA9-0159FD43AB0F}">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chrome-extension://efaidnbmnnnibpcajpcglclefindmkaj/https://customer.aero.bombardier.com/webd/BAG/CustSite/BRAD/RACSDocument.nsf/51aae8b2b3bfdf6685256c300045ff31/ec63f8639ff3ab9d85257c1500635bd8/$FILE/ATT1ES4H.pdf/CRJ200APMR8.pdf
3.
https://drs.faa.gov/browse/excelExternalWindow/D2BF05B9565184E886257CFC004E7259.0001
4.
5. 
</t>
        </r>
      </text>
    </comment>
    <comment ref="JE2" authorId="2" shapeId="0" xr:uid="{A6BC71E8-65A8-487D-B226-BE383DFD114C}">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chrome-extension://efaidnbmnnnibpcajpcglclefindmkaj/https://customer.aero.bombardier.com/webd/BAG/CustSite/BRAD/RACSDocument.nsf/51aae8b2b3bfdf6685256c300045ff31/ec63f8639ff3ab9d85257c1500635bd8/$FILE/ATT1ES4H.pdf/CRJ200APMR8.pdf
3.
4.
5. 
</t>
        </r>
      </text>
    </comment>
    <comment ref="JF2" authorId="2" shapeId="0" xr:uid="{FE615F74-1083-41B6-9794-A0E3FD6C3856}">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chrome-extension://efaidnbmnnnibpcajpcglclefindmkaj/https://customer.aero.bombardier.com/webd/BAG/CustSite/BRAD/RACSDocument.nsf/51aae8b2b3bfdf6685256c300045ff31/ec63f8639ff3ab9d85257c1500635bd8/$FILE/ATT1ES4H.pdf/CRJ200APMR8.pdf
3.
4.
5. 
</t>
        </r>
      </text>
    </comment>
    <comment ref="JG2" authorId="2" shapeId="0" xr:uid="{F7176B5D-BDDE-46E3-BB29-2AB16A05312C}">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chrome-extension://efaidnbmnnnibpcajpcglclefindmkaj/https://customer.aero.bombardier.com/webd/BAG/CustSite/BRAD/RACSDocument.nsf/51aae8b2b3bfdf6685256c300045ff31/ec63f8639ff3ab9d85257c1500635bd8/$FILE/ATT1ES4H.pdf/CRJ200APMR8.pdf
3.
4.
5. 
</t>
        </r>
      </text>
    </comment>
    <comment ref="JH2" authorId="2" shapeId="0" xr:uid="{42BC354B-232D-494E-9D17-1014A37E0D35}">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chrome-extension://efaidnbmnnnibpcajpcglclefindmkaj/https://customer.aero.bombardier.com/webd/BAG/CustSite/BRAD/RACSDocument.nsf/51aae8b2b3bfdf6685256c300045ff31/ec63f8639ff3ab9d85257c1500635bd8/$FILE/ATTE8Q23.pdf/CRJ700APMR15.pdf
3.
4.
5. 
</t>
        </r>
      </text>
    </comment>
    <comment ref="JI2" authorId="2" shapeId="0" xr:uid="{B46EF3DD-DF1B-48DB-8AA0-91CEDB6A9B64}">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chrome-extension://efaidnbmnnnibpcajpcglclefindmkaj/https://customer.aero.bombardier.com/webd/BAG/CustSite/BRAD/RACSDocument.nsf/51aae8b2b3bfdf6685256c300045ff31/ec63f8639ff3ab9d85257c1500635bd8/$FILE/ATTQF1EY.pdf/CRJ900APMR11.pdf
3.
4.
5. 
</t>
        </r>
      </text>
    </comment>
    <comment ref="JJ2" authorId="2" shapeId="0" xr:uid="{90A570D5-D0B0-4559-BA5C-28FFADFF0046}">
      <text>
        <r>
          <rPr>
            <sz val="11"/>
            <color theme="1"/>
            <rFont val="Calibri"/>
            <family val="2"/>
            <scheme val="minor"/>
          </rPr>
          <t xml:space="preserve">Tsai, Michael:
1.  Use fuel capacity kg MTOW kg Weight Variant 
2.
http://tealgroup.com/images/TGCTOC/sample-babeng.pdf
chrome-extension://efaidnbmnnnibpcajpcglclefindmkaj/https://customer.aero.bombardier.com/webd/BAG/CustSite/BRAD/RACSDocument.nsf/51aae8b2b3bfdf6685256c300045ff31/ec63f8639ff3ab9d85257c1500635bd8/$FILE/ATTQF1EY.pdf/CRJ900APMR11.pdf
3.
4.
5. 
</t>
        </r>
      </text>
    </comment>
    <comment ref="JK2" authorId="2" shapeId="0" xr:uid="{C0BEDF0D-3280-4B1E-AEA4-069CFB16E314}">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chrome-extension://efaidnbmnnnibpcajpcglclefindmkaj/https://customer.aero.bombardier.com/webd/BAG/CustSite/BRAD/RACSDocument.nsf/51aae8b2b3bfdf6685256c300045ff31/ec63f8639ff3ab9d85257c1500635bd8/$FILE/ATT82VLY.pdf/CRJ1000APMR8.pdf
3.
4.
5. 
</t>
        </r>
      </text>
    </comment>
    <comment ref="EI6" authorId="2" shapeId="0" xr:uid="{A532C90E-F3C7-4141-B6B4-31A5700A0BFC}">
      <text>
        <r>
          <rPr>
            <sz val="11"/>
            <color theme="1"/>
            <rFont val="Calibri"/>
            <family val="2"/>
            <scheme val="minor"/>
          </rPr>
          <t>Tsai, Michael:
7 pallets + 69 passenger
or 
13 pallets</t>
        </r>
      </text>
    </comment>
    <comment ref="ET6" authorId="2" shapeId="0" xr:uid="{2EAC62D7-E420-4649-B23F-4252AACCC11C}">
      <text>
        <r>
          <rPr>
            <sz val="11"/>
            <color theme="1"/>
            <rFont val="Calibri"/>
            <family val="2"/>
            <scheme val="minor"/>
          </rPr>
          <t xml:space="preserve">Tsai, Michael:
First class: 12 
Economy: 73
</t>
        </r>
      </text>
    </comment>
    <comment ref="A7" authorId="0" shapeId="0" xr:uid="{1731AA75-4BDC-4496-B446-9A422AF545E4}">
      <text>
        <r>
          <rPr>
            <sz val="11"/>
            <color theme="1"/>
            <rFont val="Calibri"/>
            <family val="2"/>
            <scheme val="minor"/>
          </rPr>
          <t xml:space="preserve">Patel, Janki:
max pax, not including 2 pilot seats and not including flight attendants (for planes that could have them)
grey = includes pilot. 
</t>
        </r>
      </text>
    </comment>
    <comment ref="EC7" authorId="2" shapeId="0" xr:uid="{9B053D35-8517-40FB-BD1D-904DF17735D0}">
      <text>
        <r>
          <rPr>
            <sz val="11"/>
            <color theme="1"/>
            <rFont val="Calibri"/>
            <family val="2"/>
            <scheme val="minor"/>
          </rPr>
          <t xml:space="preserve">Tsai, Michael:
FAA Exit Limit: 156 </t>
        </r>
      </text>
    </comment>
    <comment ref="ED7" authorId="2" shapeId="0" xr:uid="{F911129C-A3A0-4537-BC0C-4ECEE453F743}">
      <text>
        <r>
          <rPr>
            <sz val="11"/>
            <color theme="1"/>
            <rFont val="Calibri"/>
            <family val="2"/>
            <scheme val="minor"/>
          </rPr>
          <t xml:space="preserve">Tsai, Michael:
FAA Exit Limit: 156 </t>
        </r>
      </text>
    </comment>
    <comment ref="EL7" authorId="2" shapeId="0" xr:uid="{CD8C099A-9927-4FBF-BF38-04A6D39ADC54}">
      <text>
        <r>
          <rPr>
            <sz val="11"/>
            <color theme="1"/>
            <rFont val="Calibri"/>
            <family val="2"/>
            <scheme val="minor"/>
          </rPr>
          <t>Tsai, Michael:
FAA Exit Limit: 125</t>
        </r>
      </text>
    </comment>
    <comment ref="EM7" authorId="2" shapeId="0" xr:uid="{C01FF4AD-D4C5-4AFC-B44D-54125A76CD39}">
      <text>
        <r>
          <rPr>
            <sz val="11"/>
            <color theme="1"/>
            <rFont val="Calibri"/>
            <family val="2"/>
            <scheme val="minor"/>
          </rPr>
          <t>Tsai, Michael:
FAA Exit Limit: 125</t>
        </r>
      </text>
    </comment>
    <comment ref="EN7" authorId="2" shapeId="0" xr:uid="{C92A7E4F-4D14-4260-A75A-6C4ADDA6526E}">
      <text>
        <r>
          <rPr>
            <sz val="11"/>
            <color theme="1"/>
            <rFont val="Calibri"/>
            <family val="2"/>
            <scheme val="minor"/>
          </rPr>
          <t>Tsai, Michael:
FAA Exit Limit: 125</t>
        </r>
      </text>
    </comment>
    <comment ref="EO7" authorId="2" shapeId="0" xr:uid="{AF4A0A07-6F79-4AD0-A636-730AF587E820}">
      <text>
        <r>
          <rPr>
            <sz val="11"/>
            <color theme="1"/>
            <rFont val="Calibri"/>
            <family val="2"/>
            <scheme val="minor"/>
          </rPr>
          <t>Tsai, Michael:
FAA Exit Limit: 125</t>
        </r>
      </text>
    </comment>
    <comment ref="EP7" authorId="2" shapeId="0" xr:uid="{EB352450-B483-457B-977E-872FE60B5DCD}">
      <text>
        <r>
          <rPr>
            <sz val="11"/>
            <color theme="1"/>
            <rFont val="Calibri"/>
            <family val="2"/>
            <scheme val="minor"/>
          </rPr>
          <t>Tsai, Michael:
FAA Exit Limit: 189</t>
        </r>
      </text>
    </comment>
    <comment ref="EQ7" authorId="2" shapeId="0" xr:uid="{E6245EAA-0913-46E0-9F1A-78902C14D457}">
      <text>
        <r>
          <rPr>
            <sz val="11"/>
            <color theme="1"/>
            <rFont val="Calibri"/>
            <family val="2"/>
            <scheme val="minor"/>
          </rPr>
          <t>Tsai, Michael:
FAA Exit Limit: 189</t>
        </r>
      </text>
    </comment>
    <comment ref="ER7" authorId="2" shapeId="0" xr:uid="{7FCD4B90-5CD4-481D-BCEF-9F042ABA5785}">
      <text>
        <r>
          <rPr>
            <sz val="11"/>
            <color theme="1"/>
            <rFont val="Calibri"/>
            <family val="2"/>
            <scheme val="minor"/>
          </rPr>
          <t>Tsai, Michael:
FAA Exit Limit: 189</t>
        </r>
      </text>
    </comment>
    <comment ref="ES7" authorId="2" shapeId="0" xr:uid="{794F42D2-3E8F-4DEC-BCBD-C03C0B2CDAD2}">
      <text>
        <r>
          <rPr>
            <sz val="11"/>
            <color theme="1"/>
            <rFont val="Calibri"/>
            <family val="2"/>
            <scheme val="minor"/>
          </rPr>
          <t>Tsai, Michael:
FAA Exit Limit: 189</t>
        </r>
      </text>
    </comment>
    <comment ref="ET7" authorId="2" shapeId="0" xr:uid="{0E77E13C-FE5C-4607-9607-90FB2239E237}">
      <text>
        <r>
          <rPr>
            <sz val="11"/>
            <color theme="1"/>
            <rFont val="Calibri"/>
            <family val="2"/>
            <scheme val="minor"/>
          </rPr>
          <t xml:space="preserve">Tsai, Michael:
FAA exit limit: 124
</t>
        </r>
      </text>
    </comment>
    <comment ref="EU7" authorId="2" shapeId="0" xr:uid="{1507585C-17FF-44F7-883E-8A345D0A2F3F}">
      <text>
        <r>
          <rPr>
            <sz val="11"/>
            <color theme="1"/>
            <rFont val="Calibri"/>
            <family val="2"/>
            <scheme val="minor"/>
          </rPr>
          <t xml:space="preserve">Tsai, Michael:
FAA Exit Limit: 136
</t>
        </r>
      </text>
    </comment>
    <comment ref="EV7" authorId="2" shapeId="0" xr:uid="{26CCA858-910E-4163-B110-0202BF1196A7}">
      <text>
        <r>
          <rPr>
            <sz val="11"/>
            <color theme="1"/>
            <rFont val="Calibri"/>
            <family val="2"/>
            <scheme val="minor"/>
          </rPr>
          <t>Tsai, Michael:
FAA Exit Limit: 136</t>
        </r>
      </text>
    </comment>
    <comment ref="EW7" authorId="2" shapeId="0" xr:uid="{A16B1078-D642-420D-AE11-6884E7518E71}">
      <text>
        <r>
          <rPr>
            <sz val="11"/>
            <color theme="1"/>
            <rFont val="Calibri"/>
            <family val="2"/>
            <scheme val="minor"/>
          </rPr>
          <t xml:space="preserve">Tsai, Michael:
FAA Exit Limit 136
</t>
        </r>
      </text>
    </comment>
    <comment ref="EX7" authorId="2" shapeId="0" xr:uid="{E2FAAE69-440E-48C4-8B0F-77983D2E11E2}">
      <text>
        <r>
          <rPr>
            <sz val="11"/>
            <color theme="1"/>
            <rFont val="Calibri"/>
            <family val="2"/>
            <scheme val="minor"/>
          </rPr>
          <t xml:space="preserve">Tsai, Michael:
FAA Exit Limit 136
</t>
        </r>
      </text>
    </comment>
    <comment ref="EY7" authorId="2" shapeId="0" xr:uid="{2F7F99B9-594A-4723-88FD-5665D257AE32}">
      <text>
        <r>
          <rPr>
            <sz val="11"/>
            <color theme="1"/>
            <rFont val="Calibri"/>
            <family val="2"/>
            <scheme val="minor"/>
          </rPr>
          <t xml:space="preserve">Tsai, Michael:
FAA Exit Limit 136
</t>
        </r>
      </text>
    </comment>
    <comment ref="EZ7" authorId="2" shapeId="0" xr:uid="{EAD1AEA6-80D7-4F60-A0A7-B4554DA5272A}">
      <text>
        <r>
          <rPr>
            <sz val="11"/>
            <color theme="1"/>
            <rFont val="Calibri"/>
            <family val="2"/>
            <scheme val="minor"/>
          </rPr>
          <t xml:space="preserve">Tsai, Michael:
FAA Exit Limit 136
</t>
        </r>
      </text>
    </comment>
    <comment ref="FB7" authorId="2" shapeId="0" xr:uid="{791C529A-9F6B-4FC2-BD3A-46133E02C1A1}">
      <text>
        <r>
          <rPr>
            <sz val="11"/>
            <color theme="1"/>
            <rFont val="Calibri"/>
            <family val="2"/>
            <scheme val="minor"/>
          </rPr>
          <t>Tsai, Michael:
FAA EXIT limit: 136</t>
        </r>
      </text>
    </comment>
    <comment ref="FC7" authorId="2" shapeId="0" xr:uid="{49615A8F-42F1-4BCA-A5C8-40463E27F4C5}">
      <text>
        <r>
          <rPr>
            <sz val="11"/>
            <color theme="1"/>
            <rFont val="Calibri"/>
            <family val="2"/>
            <scheme val="minor"/>
          </rPr>
          <t xml:space="preserve">Tsai, Michael:
FAA Exit Limit: 149
</t>
        </r>
      </text>
    </comment>
    <comment ref="FD7" authorId="2" shapeId="0" xr:uid="{825CE342-C045-49E0-84E5-FCEFBF1BEDA0}">
      <text>
        <r>
          <rPr>
            <sz val="11"/>
            <color theme="1"/>
            <rFont val="Calibri"/>
            <family val="2"/>
            <scheme val="minor"/>
          </rPr>
          <t xml:space="preserve">Tsai, Michael:
FAA Exit Limit: 149
</t>
        </r>
      </text>
    </comment>
    <comment ref="FE7" authorId="2" shapeId="0" xr:uid="{B69A0916-EFEB-4252-A1E9-ED69D0DBDB4C}">
      <text>
        <r>
          <rPr>
            <sz val="11"/>
            <color theme="1"/>
            <rFont val="Calibri"/>
            <family val="2"/>
            <scheme val="minor"/>
          </rPr>
          <t xml:space="preserve">Tsai, Michael:
FAA Exit Limit: 189
</t>
        </r>
      </text>
    </comment>
    <comment ref="FF7" authorId="2" shapeId="0" xr:uid="{5121CBC0-FF9A-4DD1-80D0-0960116709B9}">
      <text>
        <r>
          <rPr>
            <sz val="11"/>
            <color theme="1"/>
            <rFont val="Calibri"/>
            <family val="2"/>
            <scheme val="minor"/>
          </rPr>
          <t xml:space="preserve">Tsai, Michael:
FAA Exit Limit: 189
</t>
        </r>
      </text>
    </comment>
    <comment ref="FG7" authorId="2" shapeId="0" xr:uid="{F4670CE1-A5F4-4D24-BD47-9102B1F924F0}">
      <text>
        <r>
          <rPr>
            <sz val="11"/>
            <color theme="1"/>
            <rFont val="Calibri"/>
            <family val="2"/>
            <scheme val="minor"/>
          </rPr>
          <t xml:space="preserve">Tsai, Michael:
FAA Exit Limit: 149
</t>
        </r>
      </text>
    </comment>
    <comment ref="FH7" authorId="2" shapeId="0" xr:uid="{E150E62F-C1E9-47B4-BB9B-23AFCBB3179A}">
      <text>
        <r>
          <rPr>
            <sz val="11"/>
            <color theme="1"/>
            <rFont val="Calibri"/>
            <family val="2"/>
            <scheme val="minor"/>
          </rPr>
          <t xml:space="preserve">Tsai, Michael:
FAA Limit: 149
</t>
        </r>
      </text>
    </comment>
    <comment ref="FI7" authorId="2" shapeId="0" xr:uid="{D450CDCF-E5E6-44FC-BF7D-18E3FE573B59}">
      <text>
        <r>
          <rPr>
            <sz val="11"/>
            <color theme="1"/>
            <rFont val="Calibri"/>
            <family val="2"/>
            <scheme val="minor"/>
          </rPr>
          <t>Tsai, Michael:
FAA Limit: 149</t>
        </r>
      </text>
    </comment>
    <comment ref="FJ7" authorId="2" shapeId="0" xr:uid="{80EFBFF1-E2AE-4712-9507-95DE9B41E802}">
      <text>
        <r>
          <rPr>
            <sz val="11"/>
            <color theme="1"/>
            <rFont val="Calibri"/>
            <family val="2"/>
            <scheme val="minor"/>
          </rPr>
          <t xml:space="preserve">Tsai, Michael:
FAA Limit: 189
</t>
        </r>
      </text>
    </comment>
    <comment ref="FL7" authorId="2" shapeId="0" xr:uid="{C2F76317-5DBA-41A7-8411-64CC3A8F00BD}">
      <text>
        <r>
          <rPr>
            <sz val="11"/>
            <color theme="1"/>
            <rFont val="Calibri"/>
            <family val="2"/>
            <scheme val="minor"/>
          </rPr>
          <t>Tsai, Michael:
FAA Exit Limit: 215</t>
        </r>
      </text>
    </comment>
    <comment ref="FQ7" authorId="2" shapeId="0" xr:uid="{A5F585A9-459E-4B3D-891B-42ADC420D8AF}">
      <text>
        <r>
          <rPr>
            <sz val="11"/>
            <color theme="1"/>
            <rFont val="Calibri"/>
            <family val="2"/>
            <scheme val="minor"/>
          </rPr>
          <t>Tsai, Michael:
Only has one class configuration</t>
        </r>
      </text>
    </comment>
    <comment ref="FV7" authorId="2" shapeId="0" xr:uid="{85BA27D5-273B-4014-8773-8F8EE27BF430}">
      <text>
        <r>
          <rPr>
            <sz val="11"/>
            <color theme="1"/>
            <rFont val="Calibri"/>
            <family val="2"/>
            <scheme val="minor"/>
          </rPr>
          <t>Tsai, Michael
overwing-exit configuration airplane</t>
        </r>
      </text>
    </comment>
    <comment ref="FW7" authorId="2" shapeId="0" xr:uid="{A9B092E2-8A5F-487F-9BA3-129F10891659}">
      <text>
        <r>
          <rPr>
            <sz val="11"/>
            <color theme="1"/>
            <rFont val="Calibri"/>
            <family val="2"/>
            <scheme val="minor"/>
          </rPr>
          <t>Tsai, Michael:
Four-Door Configuration</t>
        </r>
      </text>
    </comment>
    <comment ref="FX7" authorId="2" shapeId="0" xr:uid="{6389F109-F54C-4508-ABB7-7CC05D038624}">
      <text>
        <r>
          <rPr>
            <sz val="11"/>
            <color theme="1"/>
            <rFont val="Calibri"/>
            <family val="2"/>
            <scheme val="minor"/>
          </rPr>
          <t>Tsai, Michael
overwing-exit configuration airplane</t>
        </r>
      </text>
    </comment>
    <comment ref="FY7" authorId="2" shapeId="0" xr:uid="{3A707854-3EBB-40B5-86DF-8EFBCB417D92}">
      <text>
        <r>
          <rPr>
            <sz val="11"/>
            <color theme="1"/>
            <rFont val="Calibri"/>
            <family val="2"/>
            <scheme val="minor"/>
          </rPr>
          <t>Tsai, Michael:
Four-Door Configuration</t>
        </r>
      </text>
    </comment>
    <comment ref="FZ7" authorId="2" shapeId="0" xr:uid="{550F2596-7EFB-4ECC-8895-338BF793415A}">
      <text>
        <r>
          <rPr>
            <sz val="11"/>
            <color theme="1"/>
            <rFont val="Calibri"/>
            <family val="2"/>
            <scheme val="minor"/>
          </rPr>
          <t>Tsai, Michael:
Cargo</t>
        </r>
      </text>
    </comment>
    <comment ref="GA7" authorId="2" shapeId="0" xr:uid="{627ED6DC-DCB1-4EF0-9805-D7D950F57DF5}">
      <text>
        <r>
          <rPr>
            <sz val="11"/>
            <color theme="1"/>
            <rFont val="Calibri"/>
            <family val="2"/>
            <scheme val="minor"/>
          </rPr>
          <t>Tsai, Michael:
Cargo</t>
        </r>
      </text>
    </comment>
    <comment ref="GF7" authorId="2" shapeId="0" xr:uid="{413A2DB6-4037-4C53-BBA5-F20D5BA33C09}">
      <text>
        <r>
          <rPr>
            <sz val="11"/>
            <color theme="1"/>
            <rFont val="Calibri"/>
            <family val="2"/>
            <scheme val="minor"/>
          </rPr>
          <t>Tsai, Michael:
FAA Exit Limit: 255</t>
        </r>
      </text>
    </comment>
    <comment ref="GG7" authorId="2" shapeId="0" xr:uid="{0F761A21-6974-4AA9-B3E2-151B55CE6208}">
      <text>
        <r>
          <rPr>
            <sz val="11"/>
            <color theme="1"/>
            <rFont val="Calibri"/>
            <family val="2"/>
            <scheme val="minor"/>
          </rPr>
          <t>Tsai, Michael:
FAA Exit Limit: 255</t>
        </r>
      </text>
    </comment>
    <comment ref="GH7" authorId="2" shapeId="0" xr:uid="{83CACCA0-C569-48D5-9F62-D3DEDAEF7223}">
      <text>
        <r>
          <rPr>
            <sz val="11"/>
            <color theme="1"/>
            <rFont val="Calibri"/>
            <family val="2"/>
            <scheme val="minor"/>
          </rPr>
          <t>Tsai, Michael:
FAA Exit Limit: 255</t>
        </r>
      </text>
    </comment>
    <comment ref="GI7" authorId="2" shapeId="0" xr:uid="{4E260D65-8729-4404-A685-B444528AF3C6}">
      <text>
        <r>
          <rPr>
            <sz val="11"/>
            <color theme="1"/>
            <rFont val="Calibri"/>
            <family val="2"/>
            <scheme val="minor"/>
          </rPr>
          <t>Tsai, Michael:
FAA Exit Limit: 255</t>
        </r>
      </text>
    </comment>
    <comment ref="GJ7" authorId="2" shapeId="0" xr:uid="{A4FA0E09-1346-4271-8C74-BE01ABC16CB8}">
      <text>
        <r>
          <rPr>
            <sz val="11"/>
            <color theme="1"/>
            <rFont val="Calibri"/>
            <family val="2"/>
            <scheme val="minor"/>
          </rPr>
          <t>Tsai, Michael:
FAA Exit Limit: 255</t>
        </r>
      </text>
    </comment>
    <comment ref="GK7" authorId="2" shapeId="0" xr:uid="{9812589C-B19A-47A3-86F4-0585DDA4E415}">
      <text>
        <r>
          <rPr>
            <sz val="11"/>
            <color theme="1"/>
            <rFont val="Calibri"/>
            <family val="2"/>
            <scheme val="minor"/>
          </rPr>
          <t>Tsai, Michael:
FAA Exit Limit: 255</t>
        </r>
      </text>
    </comment>
    <comment ref="GL7" authorId="2" shapeId="0" xr:uid="{DC67B360-B6B2-43CA-AD1B-9E95853C6602}">
      <text>
        <r>
          <rPr>
            <sz val="11"/>
            <color theme="1"/>
            <rFont val="Calibri"/>
            <family val="2"/>
            <scheme val="minor"/>
          </rPr>
          <t>Tsai, Michael:
FAA Exit limit: 255</t>
        </r>
      </text>
    </comment>
    <comment ref="GM7" authorId="2" shapeId="0" xr:uid="{218FDADF-884F-4763-AA0F-1FD0027C0DB9}">
      <text>
        <r>
          <rPr>
            <sz val="11"/>
            <color theme="1"/>
            <rFont val="Calibri"/>
            <family val="2"/>
            <scheme val="minor"/>
          </rPr>
          <t>Tsai, Michael:
FAA Exit limit: 255</t>
        </r>
      </text>
    </comment>
    <comment ref="GN7" authorId="2" shapeId="0" xr:uid="{E1A54C2D-DB34-466E-8EC7-98F499285797}">
      <text>
        <r>
          <rPr>
            <sz val="11"/>
            <color theme="1"/>
            <rFont val="Calibri"/>
            <family val="2"/>
            <scheme val="minor"/>
          </rPr>
          <t>Tsai, Michael:
FAA Exit limit: 255</t>
        </r>
      </text>
    </comment>
    <comment ref="GO7" authorId="2" shapeId="0" xr:uid="{421EB79C-EB4E-45CD-B483-9015DC5475E8}">
      <text>
        <r>
          <rPr>
            <sz val="11"/>
            <color theme="1"/>
            <rFont val="Calibri"/>
            <family val="2"/>
            <scheme val="minor"/>
          </rPr>
          <t>Tsai, Michael:
FAA Exit limit: 255</t>
        </r>
      </text>
    </comment>
    <comment ref="GP7" authorId="2" shapeId="0" xr:uid="{2FDA5DEC-1D19-4F85-9566-6AF4B311018E}">
      <text>
        <r>
          <rPr>
            <sz val="11"/>
            <color theme="1"/>
            <rFont val="Calibri"/>
            <family val="2"/>
            <scheme val="minor"/>
          </rPr>
          <t>Tsai, Michael:
FAA Exit Limit: 265</t>
        </r>
      </text>
    </comment>
    <comment ref="GQ7" authorId="2" shapeId="0" xr:uid="{61B6B283-B622-448F-A842-F394CFFE11F1}">
      <text>
        <r>
          <rPr>
            <sz val="11"/>
            <color theme="1"/>
            <rFont val="Calibri"/>
            <family val="2"/>
            <scheme val="minor"/>
          </rPr>
          <t>Tsai, Michael:
FAA Exit Limit: 265</t>
        </r>
      </text>
    </comment>
    <comment ref="GR7" authorId="2" shapeId="0" xr:uid="{03CBDF3E-3EAC-46B8-8F0E-1D6BDC19D8B8}">
      <text>
        <r>
          <rPr>
            <sz val="11"/>
            <color theme="1"/>
            <rFont val="Calibri"/>
            <family val="2"/>
            <scheme val="minor"/>
          </rPr>
          <t>Tsai, Michael:
FAA Exit Limit: 265</t>
        </r>
      </text>
    </comment>
    <comment ref="GS7" authorId="2" shapeId="0" xr:uid="{8753B7AE-AF43-434D-8DDE-74C5882ACAA6}">
      <text>
        <r>
          <rPr>
            <sz val="11"/>
            <color theme="1"/>
            <rFont val="Calibri"/>
            <family val="2"/>
            <scheme val="minor"/>
          </rPr>
          <t>Tsai, Michael:
FAA Exit Limit: 265</t>
        </r>
      </text>
    </comment>
    <comment ref="GT7" authorId="2" shapeId="0" xr:uid="{DAD83CF1-8EFC-4462-BB59-AA8AAAAC4687}">
      <text>
        <r>
          <rPr>
            <sz val="11"/>
            <color theme="1"/>
            <rFont val="Calibri"/>
            <family val="2"/>
            <scheme val="minor"/>
          </rPr>
          <t>Tsai, Michael:
FAA Exit Limit: 265</t>
        </r>
      </text>
    </comment>
    <comment ref="GU7" authorId="2" shapeId="0" xr:uid="{C45F283C-84B0-496F-94A7-B47893B32DF8}">
      <text>
        <r>
          <rPr>
            <sz val="11"/>
            <color theme="1"/>
            <rFont val="Calibri"/>
            <family val="2"/>
            <scheme val="minor"/>
          </rPr>
          <t>Tsai, Michael:
FAA Exit Limit: 265</t>
        </r>
      </text>
    </comment>
    <comment ref="GV7" authorId="2" shapeId="0" xr:uid="{45F4C4AC-2178-4AAB-96F7-102B7C02B0DB}">
      <text>
        <r>
          <rPr>
            <sz val="11"/>
            <color theme="1"/>
            <rFont val="Calibri"/>
            <family val="2"/>
            <scheme val="minor"/>
          </rPr>
          <t>Tsai, Michael:
FAA Exit Limit: 265</t>
        </r>
      </text>
    </comment>
    <comment ref="GW7" authorId="2" shapeId="0" xr:uid="{3490E238-14DC-46B0-97FD-F5943D3A3CC5}">
      <text>
        <r>
          <rPr>
            <sz val="11"/>
            <color theme="1"/>
            <rFont val="Calibri"/>
            <family val="2"/>
            <scheme val="minor"/>
          </rPr>
          <t>Tsai, Michael:
FAA Exit Limit: 265</t>
        </r>
      </text>
    </comment>
    <comment ref="GX7" authorId="2" shapeId="0" xr:uid="{873F4832-E429-4299-BB32-2F2022FCCFCA}">
      <text>
        <r>
          <rPr>
            <sz val="11"/>
            <color theme="1"/>
            <rFont val="Calibri"/>
            <family val="2"/>
            <scheme val="minor"/>
          </rPr>
          <t>Tsai, Michael:
FAA Exit Limit: 265</t>
        </r>
      </text>
    </comment>
    <comment ref="GY7" authorId="2" shapeId="0" xr:uid="{DA6647FC-FCE4-4F02-ACDA-0BA217434DAD}">
      <text>
        <r>
          <rPr>
            <sz val="11"/>
            <color theme="1"/>
            <rFont val="Calibri"/>
            <family val="2"/>
            <scheme val="minor"/>
          </rPr>
          <t xml:space="preserve">Tsai, Michael:
FAA Exit Limit: </t>
        </r>
      </text>
    </comment>
    <comment ref="GZ7" authorId="2" shapeId="0" xr:uid="{5AD9E264-4E60-4DA4-80CC-6A2C2FBA746F}">
      <text>
        <r>
          <rPr>
            <sz val="11"/>
            <color theme="1"/>
            <rFont val="Calibri"/>
            <family val="2"/>
            <scheme val="minor"/>
          </rPr>
          <t xml:space="preserve">Tsai, Michael:
FAA Exit Limit: </t>
        </r>
      </text>
    </comment>
    <comment ref="HA7" authorId="2" shapeId="0" xr:uid="{083F23AE-21AF-41EB-A71F-BC916E30D9AC}">
      <text>
        <r>
          <rPr>
            <sz val="11"/>
            <color theme="1"/>
            <rFont val="Calibri"/>
            <family val="2"/>
            <scheme val="minor"/>
          </rPr>
          <t xml:space="preserve">Tsai, Michael:
FAA Exit Limit: </t>
        </r>
      </text>
    </comment>
    <comment ref="HB7" authorId="2" shapeId="0" xr:uid="{508B6DCF-8EEE-4219-B151-2894E5419C2C}">
      <text>
        <r>
          <rPr>
            <sz val="11"/>
            <color theme="1"/>
            <rFont val="Calibri"/>
            <family val="2"/>
            <scheme val="minor"/>
          </rPr>
          <t xml:space="preserve">Tsai, Michael:
FAA Exit Limit: </t>
        </r>
      </text>
    </comment>
    <comment ref="HC7" authorId="2" shapeId="0" xr:uid="{510573BC-9E0E-4C2A-82B0-9E91C2227F9B}">
      <text>
        <r>
          <rPr>
            <sz val="11"/>
            <color theme="1"/>
            <rFont val="Calibri"/>
            <family val="2"/>
            <scheme val="minor"/>
          </rPr>
          <t xml:space="preserve">Tsai, Michael:
FAA Exit Limit: </t>
        </r>
      </text>
    </comment>
    <comment ref="HD7" authorId="2" shapeId="0" xr:uid="{6A1FB34A-3748-46C0-BF50-5ACF3027F934}">
      <text>
        <r>
          <rPr>
            <sz val="11"/>
            <color theme="1"/>
            <rFont val="Calibri"/>
            <family val="2"/>
            <scheme val="minor"/>
          </rPr>
          <t xml:space="preserve">Tsai, Michael:
FAA Exit Limit: </t>
        </r>
      </text>
    </comment>
    <comment ref="HE7" authorId="2" shapeId="0" xr:uid="{F28760C2-EEBC-4E32-A029-B0373F4573C3}">
      <text>
        <r>
          <rPr>
            <sz val="11"/>
            <color theme="1"/>
            <rFont val="Calibri"/>
            <family val="2"/>
            <scheme val="minor"/>
          </rPr>
          <t xml:space="preserve">Tsai, Michael:
FAA Exit Limit: </t>
        </r>
      </text>
    </comment>
    <comment ref="HF7" authorId="2" shapeId="0" xr:uid="{85D3BB62-CB5C-42EC-9918-AAF76FB4F999}">
      <text>
        <r>
          <rPr>
            <sz val="11"/>
            <color theme="1"/>
            <rFont val="Calibri"/>
            <family val="2"/>
            <scheme val="minor"/>
          </rPr>
          <t xml:space="preserve">Tsai, Michael:
FAA Exit Limit: </t>
        </r>
      </text>
    </comment>
    <comment ref="HG7" authorId="2" shapeId="0" xr:uid="{4B252203-B5A9-4C12-9904-EBC01FDF33B1}">
      <text>
        <r>
          <rPr>
            <sz val="11"/>
            <color theme="1"/>
            <rFont val="Calibri"/>
            <family val="2"/>
            <scheme val="minor"/>
          </rPr>
          <t xml:space="preserve">Tsai, Michael:
FAA Exit Limit: </t>
        </r>
      </text>
    </comment>
    <comment ref="HH7" authorId="2" shapeId="0" xr:uid="{E6FF8C83-231E-430D-B0A6-C96249BBFD37}">
      <text>
        <r>
          <rPr>
            <sz val="11"/>
            <color theme="1"/>
            <rFont val="Calibri"/>
            <family val="2"/>
            <scheme val="minor"/>
          </rPr>
          <t xml:space="preserve">Tsai, Michael:
FAA Exit Limit: </t>
        </r>
      </text>
    </comment>
    <comment ref="HI7" authorId="2" shapeId="0" xr:uid="{E482D6F0-A143-4F13-AD00-63F784C5F1AF}">
      <text>
        <r>
          <rPr>
            <sz val="11"/>
            <color theme="1"/>
            <rFont val="Calibri"/>
            <family val="2"/>
            <scheme val="minor"/>
          </rPr>
          <t xml:space="preserve">Tsai, Michael:
FAA Exit Limit: </t>
        </r>
      </text>
    </comment>
    <comment ref="HJ7" authorId="2" shapeId="0" xr:uid="{FF233C8E-3B2E-4F89-A3D6-DA205F4D142D}">
      <text>
        <r>
          <rPr>
            <sz val="11"/>
            <color theme="1"/>
            <rFont val="Calibri"/>
            <family val="2"/>
            <scheme val="minor"/>
          </rPr>
          <t xml:space="preserve">Tsai, Michael:
FAA Exit Limit: </t>
        </r>
      </text>
    </comment>
    <comment ref="HK7" authorId="2" shapeId="0" xr:uid="{0E85C039-A15B-49C1-BFFD-DE01AE78D04E}">
      <text>
        <r>
          <rPr>
            <sz val="11"/>
            <color theme="1"/>
            <rFont val="Calibri"/>
            <family val="2"/>
            <scheme val="minor"/>
          </rPr>
          <t xml:space="preserve">Tsai, Michael:
FAA Exit Limit: </t>
        </r>
      </text>
    </comment>
    <comment ref="HL7" authorId="2" shapeId="0" xr:uid="{ED84A985-FA71-4C75-BC89-5C26F22C7B8A}">
      <text>
        <r>
          <rPr>
            <sz val="11"/>
            <color theme="1"/>
            <rFont val="Calibri"/>
            <family val="2"/>
            <scheme val="minor"/>
          </rPr>
          <t xml:space="preserve">Tsai, Michael:
FAA Exit Limit: </t>
        </r>
      </text>
    </comment>
    <comment ref="HM7" authorId="2" shapeId="0" xr:uid="{EF989234-04F6-4A4A-8781-6457AD699862}">
      <text>
        <r>
          <rPr>
            <sz val="11"/>
            <color theme="1"/>
            <rFont val="Calibri"/>
            <family val="2"/>
            <scheme val="minor"/>
          </rPr>
          <t xml:space="preserve">Tsai, Michael:
FAA Exit Limit: </t>
        </r>
      </text>
    </comment>
    <comment ref="HN7" authorId="2" shapeId="0" xr:uid="{59ACF0DB-820B-49BB-BA0D-D12951A99A0F}">
      <text>
        <r>
          <rPr>
            <sz val="11"/>
            <color theme="1"/>
            <rFont val="Calibri"/>
            <family val="2"/>
            <scheme val="minor"/>
          </rPr>
          <t xml:space="preserve">Tsai, Michael:
FAA Exit Limit: </t>
        </r>
      </text>
    </comment>
    <comment ref="HO7" authorId="2" shapeId="0" xr:uid="{D6EF13AB-1DD4-437B-8DA1-5E9AC48DD509}">
      <text>
        <r>
          <rPr>
            <sz val="11"/>
            <color theme="1"/>
            <rFont val="Calibri"/>
            <family val="2"/>
            <scheme val="minor"/>
          </rPr>
          <t xml:space="preserve">Tsai, Michael:
FAA Exit Limit: </t>
        </r>
      </text>
    </comment>
    <comment ref="HP7" authorId="2" shapeId="0" xr:uid="{A3519649-291C-4FF1-B917-B15A9222D2F4}">
      <text>
        <r>
          <rPr>
            <sz val="11"/>
            <color theme="1"/>
            <rFont val="Calibri"/>
            <family val="2"/>
            <scheme val="minor"/>
          </rPr>
          <t xml:space="preserve">Tsai, Michael:
FAA Exit Limit: </t>
        </r>
      </text>
    </comment>
    <comment ref="HQ7" authorId="2" shapeId="0" xr:uid="{D53E5B11-F40A-4B42-A0AA-57228D287A00}">
      <text>
        <r>
          <rPr>
            <sz val="11"/>
            <color theme="1"/>
            <rFont val="Calibri"/>
            <family val="2"/>
            <scheme val="minor"/>
          </rPr>
          <t xml:space="preserve">Tsai, Michael:
FAA Exit Limit: </t>
        </r>
      </text>
    </comment>
    <comment ref="HR7" authorId="2" shapeId="0" xr:uid="{DBBCD1F9-5DA8-4735-8658-E4CE3BA83F2C}">
      <text>
        <r>
          <rPr>
            <sz val="11"/>
            <color theme="1"/>
            <rFont val="Calibri"/>
            <family val="2"/>
            <scheme val="minor"/>
          </rPr>
          <t xml:space="preserve">Tsai, Michael:
FAA Exit Limit: </t>
        </r>
      </text>
    </comment>
    <comment ref="HS7" authorId="2" shapeId="0" xr:uid="{262C61B7-3189-429E-B55F-F881B00CBC65}">
      <text>
        <r>
          <rPr>
            <sz val="11"/>
            <color theme="1"/>
            <rFont val="Calibri"/>
            <family val="2"/>
            <scheme val="minor"/>
          </rPr>
          <t xml:space="preserve">Tsai, Michael:
FAA Exit Limit: </t>
        </r>
      </text>
    </comment>
    <comment ref="HT7" authorId="2" shapeId="0" xr:uid="{92DE3A78-3680-4186-812A-CD15CBC865C4}">
      <text>
        <r>
          <rPr>
            <sz val="11"/>
            <color theme="1"/>
            <rFont val="Calibri"/>
            <family val="2"/>
            <scheme val="minor"/>
          </rPr>
          <t xml:space="preserve">Tsai, Michael:
FAA Exit Limit: </t>
        </r>
      </text>
    </comment>
    <comment ref="HU7" authorId="2" shapeId="0" xr:uid="{C51F969E-7650-4F85-BA25-648F50550DBD}">
      <text>
        <r>
          <rPr>
            <sz val="11"/>
            <color theme="1"/>
            <rFont val="Calibri"/>
            <family val="2"/>
            <scheme val="minor"/>
          </rPr>
          <t xml:space="preserve">Tsai, Michael:
FAA Exit Limit: </t>
        </r>
      </text>
    </comment>
    <comment ref="HV7" authorId="2" shapeId="0" xr:uid="{A701A41D-0512-47B1-AF2D-8542802E6A80}">
      <text>
        <r>
          <rPr>
            <sz val="11"/>
            <color theme="1"/>
            <rFont val="Calibri"/>
            <family val="2"/>
            <scheme val="minor"/>
          </rPr>
          <t xml:space="preserve">Tsai, Michael:
FAA Exit Limit: </t>
        </r>
      </text>
    </comment>
    <comment ref="HW7" authorId="2" shapeId="0" xr:uid="{5EE5830C-C0A3-43A3-A0D3-2FF799FF596E}">
      <text>
        <r>
          <rPr>
            <sz val="11"/>
            <color theme="1"/>
            <rFont val="Calibri"/>
            <family val="2"/>
            <scheme val="minor"/>
          </rPr>
          <t xml:space="preserve">Tsai, Michael:
FAA Exit Limit: </t>
        </r>
      </text>
    </comment>
    <comment ref="HX7" authorId="2" shapeId="0" xr:uid="{A01A9095-8D39-464C-B5BA-F69CCD726A26}">
      <text>
        <r>
          <rPr>
            <sz val="11"/>
            <color theme="1"/>
            <rFont val="Calibri"/>
            <family val="2"/>
            <scheme val="minor"/>
          </rPr>
          <t xml:space="preserve">Tsai, Michael:
FAA Exit Limit: </t>
        </r>
      </text>
    </comment>
    <comment ref="HY7" authorId="2" shapeId="0" xr:uid="{846FD573-5A6C-48A7-9EF5-43245B80B8C8}">
      <text>
        <r>
          <rPr>
            <sz val="11"/>
            <color theme="1"/>
            <rFont val="Calibri"/>
            <family val="2"/>
            <scheme val="minor"/>
          </rPr>
          <t xml:space="preserve">Tsai, Michael:
FAA Exit Limit: </t>
        </r>
      </text>
    </comment>
    <comment ref="HZ7" authorId="2" shapeId="0" xr:uid="{A8630F0E-A445-481A-92F8-FE2326B41340}">
      <text>
        <r>
          <rPr>
            <sz val="11"/>
            <color theme="1"/>
            <rFont val="Calibri"/>
            <family val="2"/>
            <scheme val="minor"/>
          </rPr>
          <t xml:space="preserve">Tsai, Michael:
FAA Exit Limit: </t>
        </r>
      </text>
    </comment>
    <comment ref="IA7" authorId="2" shapeId="0" xr:uid="{AA1C0DD7-252C-41B8-BA77-5CDED3E47408}">
      <text>
        <r>
          <rPr>
            <sz val="11"/>
            <color theme="1"/>
            <rFont val="Calibri"/>
            <family val="2"/>
            <scheme val="minor"/>
          </rPr>
          <t xml:space="preserve">Tsai, Michael:
FAA Exit Limit: </t>
        </r>
      </text>
    </comment>
    <comment ref="IB7" authorId="2" shapeId="0" xr:uid="{5619FE10-051D-4F35-B076-013F83A3337D}">
      <text>
        <r>
          <rPr>
            <sz val="11"/>
            <color theme="1"/>
            <rFont val="Calibri"/>
            <family val="2"/>
            <scheme val="minor"/>
          </rPr>
          <t xml:space="preserve">Tsai, Michael:
FAA Exit Limit: </t>
        </r>
      </text>
    </comment>
    <comment ref="IC7" authorId="2" shapeId="0" xr:uid="{B5830E5B-CF07-4CD6-9529-3348D9A7E335}">
      <text>
        <r>
          <rPr>
            <sz val="11"/>
            <color theme="1"/>
            <rFont val="Calibri"/>
            <family val="2"/>
            <scheme val="minor"/>
          </rPr>
          <t xml:space="preserve">Tsai, Michael:
FAA Exit Limit: </t>
        </r>
      </text>
    </comment>
    <comment ref="ID7" authorId="2" shapeId="0" xr:uid="{EC1C3674-EC9F-4576-A71D-339F56E9F453}">
      <text>
        <r>
          <rPr>
            <sz val="11"/>
            <color theme="1"/>
            <rFont val="Calibri"/>
            <family val="2"/>
            <scheme val="minor"/>
          </rPr>
          <t xml:space="preserve">Tsai, Michael:
FAA Exit Limit: </t>
        </r>
      </text>
    </comment>
    <comment ref="IE7" authorId="2" shapeId="0" xr:uid="{41243238-9B2F-42DE-BE1D-0BD9F4C577B1}">
      <text>
        <r>
          <rPr>
            <sz val="11"/>
            <color theme="1"/>
            <rFont val="Calibri"/>
            <family val="2"/>
            <scheme val="minor"/>
          </rPr>
          <t xml:space="preserve">Tsai, Michael:
FAA Exit Limit: </t>
        </r>
      </text>
    </comment>
    <comment ref="IF7" authorId="2" shapeId="0" xr:uid="{38863277-E742-4374-A144-6C17405D2648}">
      <text>
        <r>
          <rPr>
            <sz val="11"/>
            <color theme="1"/>
            <rFont val="Calibri"/>
            <family val="2"/>
            <scheme val="minor"/>
          </rPr>
          <t xml:space="preserve">Tsai, Michael:
FAA Exit Limit: </t>
        </r>
      </text>
    </comment>
    <comment ref="A8" authorId="0" shapeId="0" xr:uid="{AA37F6AD-D56C-4AC0-AB01-A25A07210DD8}">
      <text>
        <r>
          <rPr>
            <sz val="11"/>
            <color theme="1"/>
            <rFont val="Calibri"/>
            <family val="2"/>
            <scheme val="minor"/>
          </rPr>
          <t xml:space="preserve">Patel, Janki:
typical payload load range/ max passenger payload (black)
max range (with no payload) (red)
highlight light orange for cruise range (instead of optimal range in POH) 
</t>
        </r>
      </text>
    </comment>
    <comment ref="BS8" authorId="1" shapeId="0" xr:uid="{43BAB90B-9E42-4E7C-B68E-DDF8198E3C8C}">
      <text>
        <r>
          <rPr>
            <b/>
            <sz val="9"/>
            <color indexed="81"/>
            <rFont val="Tahoma"/>
            <family val="2"/>
          </rPr>
          <t>Max Arnson:</t>
        </r>
        <r>
          <rPr>
            <sz val="9"/>
            <color indexed="81"/>
            <rFont val="Tahoma"/>
            <family val="2"/>
          </rPr>
          <t xml:space="preserve">
@ 36 pax 90kg ea</t>
        </r>
      </text>
    </comment>
    <comment ref="DR8" authorId="2" shapeId="0" xr:uid="{6D5CFA11-6C84-48E0-92B6-0E7FC2215504}">
      <text>
        <r>
          <rPr>
            <sz val="11"/>
            <color theme="1"/>
            <rFont val="Calibri"/>
            <family val="2"/>
            <scheme val="minor"/>
          </rPr>
          <t>Tsai, Michael: Use (95kg for avg) OEW+payload:
177 Passenger and Baggage Range: 3760 nmi</t>
        </r>
      </text>
    </comment>
    <comment ref="DS8" authorId="2" shapeId="0" xr:uid="{7131E7BB-A680-44A9-ADBE-2555B431A2A9}">
      <text>
        <r>
          <rPr>
            <sz val="11"/>
            <color theme="1"/>
            <rFont val="Calibri"/>
            <family val="2"/>
            <scheme val="minor"/>
          </rPr>
          <t>Tsai, Michael:
177 Passenger+ baggage
4050 nmi</t>
        </r>
      </text>
    </comment>
    <comment ref="DT8" authorId="2" shapeId="0" xr:uid="{4F45553E-D66A-48BD-94F6-867D3D3DC37A}">
      <text>
        <r>
          <rPr>
            <sz val="11"/>
            <color theme="1"/>
            <rFont val="Calibri"/>
            <family val="2"/>
            <scheme val="minor"/>
          </rPr>
          <t>Tsai, Michael:
177 Passenger+ baggage
4005 nmi</t>
        </r>
      </text>
    </comment>
    <comment ref="DU8" authorId="2" shapeId="0" xr:uid="{B993231E-7888-4CC8-AF78-6C11DBC68301}">
      <text>
        <r>
          <rPr>
            <sz val="11"/>
            <color theme="1"/>
            <rFont val="Calibri"/>
            <family val="2"/>
            <scheme val="minor"/>
          </rPr>
          <t>Tsai, Michael: Use (95kg for avg) OEW+payload:78735 kg
177 Passenger and Baggage Range: 4000 nmi</t>
        </r>
      </text>
    </comment>
    <comment ref="DV8" authorId="2" shapeId="0" xr:uid="{78010E8F-E075-499A-83D4-0F266986FF5A}">
      <text>
        <r>
          <rPr>
            <sz val="11"/>
            <color theme="1"/>
            <rFont val="Calibri"/>
            <family val="2"/>
            <scheme val="minor"/>
          </rPr>
          <t>Tsai, Michael: Use (95kg for avg) OEW+payload:80672kg
189 Passenger and Baggage Range: 4500 nmi</t>
        </r>
      </text>
    </comment>
    <comment ref="DW8" authorId="2" shapeId="0" xr:uid="{72D64B43-73AF-41A6-A57B-B389E40A58A7}">
      <text>
        <r>
          <rPr>
            <sz val="11"/>
            <color theme="1"/>
            <rFont val="Calibri"/>
            <family val="2"/>
            <scheme val="minor"/>
          </rPr>
          <t>Tsai, Michael: Use (95kg for avg) OEW+payload:93598 kg
259 Passenger and Baggage Range: 3150 nmi</t>
        </r>
      </text>
    </comment>
    <comment ref="DX8" authorId="2" shapeId="0" xr:uid="{09999B8F-76E3-4DA2-8146-7913487259CD}">
      <text>
        <r>
          <rPr>
            <sz val="11"/>
            <color theme="1"/>
            <rFont val="Calibri"/>
            <family val="2"/>
            <scheme val="minor"/>
          </rPr>
          <t>Tsai, Michael: Use (95kg for avg) OEW+payload:82935 kg
259 Passenger and Baggage Range: 5050 nmi</t>
        </r>
      </text>
    </comment>
    <comment ref="DY8" authorId="2" shapeId="0" xr:uid="{DD222DC4-39C3-4A3D-B63B-C45ACAF80985}">
      <text>
        <r>
          <rPr>
            <sz val="11"/>
            <color theme="1"/>
            <rFont val="Calibri"/>
            <family val="2"/>
            <scheme val="minor"/>
          </rPr>
          <t>Tsai, Michael: Use (95kg for avg) OEW+payload: 96609 kg
259 Passenger and Baggage Range: 4000 nmi</t>
        </r>
      </text>
    </comment>
    <comment ref="DZ8" authorId="2" shapeId="0" xr:uid="{96148E6A-88A4-4CD1-9867-547F6FF8A57B}">
      <text>
        <r>
          <rPr>
            <sz val="11"/>
            <color theme="1"/>
            <rFont val="Calibri"/>
            <family val="2"/>
            <scheme val="minor"/>
          </rPr>
          <t>Tsai, Michael: Use (95kg for avg) OEW+payload: 98859 kg
259 Passenger and Baggage Range:  3500 nmi</t>
        </r>
      </text>
    </comment>
    <comment ref="EA8" authorId="2" shapeId="0" xr:uid="{AB21E9B5-BAD7-4BA7-9D34-39B50C88943A}">
      <text>
        <r>
          <rPr>
            <sz val="11"/>
            <color theme="1"/>
            <rFont val="Calibri"/>
            <family val="2"/>
            <scheme val="minor"/>
          </rPr>
          <t>Tsai, Michael: Use (95kg for avg) OEW+payload: 87447 kg
189 Passenger and Baggage Range:  5100 nmi</t>
        </r>
      </text>
    </comment>
    <comment ref="EB8" authorId="2" shapeId="0" xr:uid="{5F536E1F-50E4-4618-9C5A-4F00A231263B}">
      <text>
        <r>
          <rPr>
            <sz val="11"/>
            <color theme="1"/>
            <rFont val="Calibri"/>
            <family val="2"/>
            <scheme val="minor"/>
          </rPr>
          <t>Tsai, Michael: Use (95kg for avg) OEW+payload: 99993 kg
259 Passenger and Baggage Range:  4500 nmi</t>
        </r>
      </text>
    </comment>
    <comment ref="EC8" authorId="2" shapeId="0" xr:uid="{7FA9F7DB-D05C-4A6F-A6FC-D3FDC866533C}">
      <text>
        <r>
          <rPr>
            <sz val="11"/>
            <color theme="1"/>
            <rFont val="Calibri"/>
            <family val="2"/>
            <scheme val="minor"/>
          </rPr>
          <t>Tsai, Michael:
131 passenger + baggage range: 2800 nmi</t>
        </r>
      </text>
    </comment>
    <comment ref="ED8" authorId="2" shapeId="0" xr:uid="{B35DE785-4871-43D4-8DD5-752BEBE1741D}">
      <text>
        <r>
          <rPr>
            <sz val="11"/>
            <color theme="1"/>
            <rFont val="Calibri"/>
            <family val="2"/>
            <scheme val="minor"/>
          </rPr>
          <t>Tsai, Michael:
156 passenger + baggage range: 3200 nmi</t>
        </r>
      </text>
    </comment>
    <comment ref="EE8" authorId="2" shapeId="0" xr:uid="{146035C3-8239-476C-855D-A8C5DD9E2F33}">
      <text>
        <r>
          <rPr>
            <sz val="11"/>
            <color theme="1"/>
            <rFont val="Calibri"/>
            <family val="2"/>
            <scheme val="minor"/>
          </rPr>
          <t>Tsai, Michael:
137 passenger + baggage range: 3600 nmi</t>
        </r>
      </text>
    </comment>
    <comment ref="EF8" authorId="2" shapeId="0" xr:uid="{5840670D-25A0-4788-8627-642FC19AECED}">
      <text>
        <r>
          <rPr>
            <sz val="11"/>
            <color theme="1"/>
            <rFont val="Calibri"/>
            <family val="2"/>
            <scheme val="minor"/>
          </rPr>
          <t>Tsai, Michael: Use (95kg for avg) OEW+payload:
141 Passenger and Baggage Range:  3800 nmi</t>
        </r>
      </text>
    </comment>
    <comment ref="EG8" authorId="2" shapeId="0" xr:uid="{7777FFB6-5405-4B9A-99C5-9EBCBF3BB4AD}">
      <text>
        <r>
          <rPr>
            <sz val="11"/>
            <color theme="1"/>
            <rFont val="Calibri"/>
            <family val="2"/>
            <scheme val="minor"/>
          </rPr>
          <t>Tsai, Michael: Use (95kg for avg) OEW+payload:
141 Passenger and Baggage Range:  3800 nmi</t>
        </r>
      </text>
    </comment>
    <comment ref="EH8" authorId="2" shapeId="0" xr:uid="{DAAB5F8B-90BE-4B3E-B376-7EB7D4C29B2A}">
      <text>
        <r>
          <rPr>
            <sz val="11"/>
            <color theme="1"/>
            <rFont val="Calibri"/>
            <family val="2"/>
            <scheme val="minor"/>
          </rPr>
          <t>Tsai, Michael: Use (95kg for avg) OEW+payload:
141 Passenger and Baggage Range:  4800 nmi</t>
        </r>
      </text>
    </comment>
    <comment ref="EI8" authorId="2" shapeId="0" xr:uid="{1BF10E78-916C-4AE8-A932-2E184F858CE9}">
      <text>
        <r>
          <rPr>
            <sz val="11"/>
            <color theme="1"/>
            <rFont val="Calibri"/>
            <family val="2"/>
            <scheme val="minor"/>
          </rPr>
          <t>Tsai, Michael: Use (95kg for avg) OEW+payload:
194 Passenger and Baggage Range:  4500 nmi</t>
        </r>
      </text>
    </comment>
    <comment ref="EJ8" authorId="2" shapeId="0" xr:uid="{0B39279D-3D5D-450D-AB90-191713206DA0}">
      <text>
        <r>
          <rPr>
            <sz val="11"/>
            <color theme="1"/>
            <rFont val="Calibri"/>
            <family val="2"/>
            <scheme val="minor"/>
          </rPr>
          <t>Tsai, Michael: Use (95kg for avg) OEW+payload: 40687
106 Passenger and Baggage Range: 1700 nmi</t>
        </r>
      </text>
    </comment>
    <comment ref="EK8" authorId="2" shapeId="0" xr:uid="{7C417453-FCE3-49B8-997C-0019695E6DCA}">
      <text>
        <r>
          <rPr>
            <sz val="11"/>
            <color theme="1"/>
            <rFont val="Calibri"/>
            <family val="2"/>
            <scheme val="minor"/>
          </rPr>
          <t>Tsai, Michael: Use (95kg for avg) OEW+payload: 41141
106 Passenger and Baggage Range: 2050 nmi</t>
        </r>
      </text>
    </comment>
    <comment ref="EL8" authorId="2" shapeId="0" xr:uid="{34741CF9-76E6-435D-ABFC-615F8EABAF49}">
      <text>
        <r>
          <rPr>
            <sz val="11"/>
            <color theme="1"/>
            <rFont val="Calibri"/>
            <family val="2"/>
            <scheme val="minor"/>
          </rPr>
          <t>Tsai, Michael:
106 Passenger and Baggage Range: 2100 nmi</t>
        </r>
      </text>
    </comment>
    <comment ref="EM8" authorId="2" shapeId="0" xr:uid="{6007AA11-0165-4F2E-AF74-6917D71AB1DC}">
      <text>
        <r>
          <rPr>
            <sz val="11"/>
            <color theme="1"/>
            <rFont val="Calibri"/>
            <family val="2"/>
            <scheme val="minor"/>
          </rPr>
          <t>Tsai, Michael:
106 Passenger and Baggage Range: 2200 nmi</t>
        </r>
      </text>
    </comment>
    <comment ref="EN8" authorId="2" shapeId="0" xr:uid="{8825EF5E-C7E0-4B1C-AB08-2285FF51D135}">
      <text>
        <r>
          <rPr>
            <sz val="11"/>
            <color theme="1"/>
            <rFont val="Calibri"/>
            <family val="2"/>
            <scheme val="minor"/>
          </rPr>
          <t>Tsai, Michael:
106 Passenger and Baggage Range: 1900 nmi</t>
        </r>
      </text>
    </comment>
    <comment ref="EO8" authorId="2" shapeId="0" xr:uid="{964C3D24-4CE8-4776-94CF-0E1DC580A1AF}">
      <text>
        <r>
          <rPr>
            <sz val="11"/>
            <color theme="1"/>
            <rFont val="Calibri"/>
            <family val="2"/>
            <scheme val="minor"/>
          </rPr>
          <t>Tsai, Michael:
106 Passenger and Baggage Range: 2200 nmi</t>
        </r>
      </text>
    </comment>
    <comment ref="EP8" authorId="2" shapeId="0" xr:uid="{16DB636A-9157-43E7-9A01-33BB571B6220}">
      <text>
        <r>
          <rPr>
            <sz val="11"/>
            <color theme="1"/>
            <rFont val="Calibri"/>
            <family val="2"/>
            <scheme val="minor"/>
          </rPr>
          <t>Tsai, Michael:
134 Passenger and Baggage Range: 1500 nmi</t>
        </r>
      </text>
    </comment>
    <comment ref="EQ8" authorId="2" shapeId="0" xr:uid="{7C0B20AD-176C-40D1-B7C7-E7849FC15535}">
      <text>
        <r>
          <rPr>
            <sz val="11"/>
            <color theme="1"/>
            <rFont val="Calibri"/>
            <family val="2"/>
            <scheme val="minor"/>
          </rPr>
          <t>Tsai, Michael:
134 Passenger and Baggage Range: 1900 nmi</t>
        </r>
      </text>
    </comment>
    <comment ref="ER8" authorId="2" shapeId="0" xr:uid="{338B0175-9E25-4629-A3C4-749F931466D6}">
      <text>
        <r>
          <rPr>
            <sz val="11"/>
            <color theme="1"/>
            <rFont val="Calibri"/>
            <family val="2"/>
            <scheme val="minor"/>
          </rPr>
          <t>Tsai, Michael:
134 Passenger and Baggage Range: 2100 nmi</t>
        </r>
      </text>
    </comment>
    <comment ref="ES8" authorId="2" shapeId="0" xr:uid="{DEA0F8C8-B9B6-4294-BD51-5D8831F4E821}">
      <text>
        <r>
          <rPr>
            <sz val="11"/>
            <color theme="1"/>
            <rFont val="Calibri"/>
            <family val="2"/>
            <scheme val="minor"/>
          </rPr>
          <t>Tsai, Michael:
134 Passenger and Baggage Range: 2600 nmi</t>
        </r>
      </text>
    </comment>
    <comment ref="ET8" authorId="2" shapeId="0" xr:uid="{B2A06CC3-2DF2-4CF0-9FEA-7115A73CCA2E}">
      <text>
        <r>
          <rPr>
            <sz val="11"/>
            <color theme="1"/>
            <rFont val="Calibri"/>
            <family val="2"/>
            <scheme val="minor"/>
          </rPr>
          <t>Tsai, Michael:
96 Passenger and Baggage Range: 1400 nmi</t>
        </r>
      </text>
    </comment>
    <comment ref="EU8" authorId="2" shapeId="0" xr:uid="{30CA6E32-57D7-44A4-941E-D025F0424422}">
      <text>
        <r>
          <rPr>
            <sz val="11"/>
            <color theme="1"/>
            <rFont val="Calibri"/>
            <family val="2"/>
            <scheme val="minor"/>
          </rPr>
          <t>Tsai, Michael:
90 Passenger and Baggage Range: 2000 nmi</t>
        </r>
      </text>
    </comment>
    <comment ref="EV8" authorId="2" shapeId="0" xr:uid="{FF456E1B-FB97-4439-9ACD-90744CF6F66C}">
      <text>
        <r>
          <rPr>
            <sz val="11"/>
            <color theme="1"/>
            <rFont val="Calibri"/>
            <family val="2"/>
            <scheme val="minor"/>
          </rPr>
          <t>Tsai, Michael:
103 Passenger and Baggage Range: 1850 nmi</t>
        </r>
      </text>
    </comment>
    <comment ref="EW8" authorId="2" shapeId="0" xr:uid="{A922F88D-12B2-45E6-9C86-1897D63E2874}">
      <text>
        <r>
          <rPr>
            <sz val="11"/>
            <color theme="1"/>
            <rFont val="Calibri"/>
            <family val="2"/>
            <scheme val="minor"/>
          </rPr>
          <t>Tsai, Michael:
90 Passenger and Baggage Range: 2250 nmi</t>
        </r>
      </text>
    </comment>
    <comment ref="EX8" authorId="2" shapeId="0" xr:uid="{D4DA6DF6-F89F-4699-A2E5-1719C37CD8A2}">
      <text>
        <r>
          <rPr>
            <sz val="11"/>
            <color theme="1"/>
            <rFont val="Calibri"/>
            <family val="2"/>
            <scheme val="minor"/>
          </rPr>
          <t>Tsai, Michael:
120 Passenger and Baggage Range: 1700 nmi</t>
        </r>
      </text>
    </comment>
    <comment ref="EY8" authorId="2" shapeId="0" xr:uid="{B023424E-0A9F-4A32-B275-C6E9DE4A23A1}">
      <text>
        <r>
          <rPr>
            <sz val="11"/>
            <color theme="1"/>
            <rFont val="Calibri"/>
            <family val="2"/>
            <scheme val="minor"/>
          </rPr>
          <t>Tsai, Michael:
93 Passenger and Baggage Range: 2200 nmi</t>
        </r>
      </text>
    </comment>
    <comment ref="EZ8" authorId="2" shapeId="0" xr:uid="{9CEFB2FE-D9A9-4099-9BC7-2646ABAB8534}">
      <text>
        <r>
          <rPr>
            <sz val="11"/>
            <color theme="1"/>
            <rFont val="Calibri"/>
            <family val="2"/>
            <scheme val="minor"/>
          </rPr>
          <t>Tsai, Michael:
120 Passenger and Baggage Range: 2350 nmi</t>
        </r>
      </text>
    </comment>
    <comment ref="FA8" authorId="2" shapeId="0" xr:uid="{F0497E69-DCD0-4D35-8D32-472CB7F8AAB2}">
      <text>
        <r>
          <rPr>
            <sz val="11"/>
            <color theme="1"/>
            <rFont val="Calibri"/>
            <family val="2"/>
            <scheme val="minor"/>
          </rPr>
          <t>Tsai, Michael:
93 Passenger and Baggage Range: 2190 nmi</t>
        </r>
      </text>
    </comment>
    <comment ref="FB8" authorId="2" shapeId="0" xr:uid="{1509AD4F-C6C4-41DC-8F43-F024ED5FA8E8}">
      <text>
        <r>
          <rPr>
            <sz val="11"/>
            <color theme="1"/>
            <rFont val="Calibri"/>
            <family val="2"/>
            <scheme val="minor"/>
          </rPr>
          <t>Tsai, Michael:
120 Passenger and Baggage Range: 2080 nmi</t>
        </r>
      </text>
    </comment>
    <comment ref="FC8" authorId="2" shapeId="0" xr:uid="{20B9F5E5-53C7-4C39-91C5-95480D0B8F7C}">
      <text>
        <r>
          <rPr>
            <sz val="11"/>
            <color theme="1"/>
            <rFont val="Calibri"/>
            <family val="2"/>
            <scheme val="minor"/>
          </rPr>
          <t>Tsai, Michael:
128 Passenger and Baggage Range: 1800 nmi</t>
        </r>
      </text>
    </comment>
    <comment ref="FD8" authorId="2" shapeId="0" xr:uid="{B546B93E-BA35-4745-B618-94DF5528400F}">
      <text>
        <r>
          <rPr>
            <sz val="11"/>
            <color theme="1"/>
            <rFont val="Calibri"/>
            <family val="2"/>
            <scheme val="minor"/>
          </rPr>
          <t>Tsai, Michael:
128 Passenger and Baggage Range: 2450 nmi</t>
        </r>
      </text>
    </comment>
    <comment ref="FE8" authorId="2" shapeId="0" xr:uid="{D340CD83-AC0B-4926-A8A3-265E356A589C}">
      <text>
        <r>
          <rPr>
            <sz val="11"/>
            <color theme="1"/>
            <rFont val="Calibri"/>
            <family val="2"/>
            <scheme val="minor"/>
          </rPr>
          <t>Tsai, Michael:
146 Passenger and Baggage Range: 1950 nmi</t>
        </r>
      </text>
    </comment>
    <comment ref="FF8" authorId="2" shapeId="0" xr:uid="{8235FF13-03AE-48E1-81DD-C889EB32FC3D}">
      <text>
        <r>
          <rPr>
            <sz val="11"/>
            <color theme="1"/>
            <rFont val="Calibri"/>
            <family val="2"/>
            <scheme val="minor"/>
          </rPr>
          <t>Tsai, Michael:
146 Passenger and Baggage Range: 2250 nmi</t>
        </r>
      </text>
    </comment>
    <comment ref="FG8" authorId="2" shapeId="0" xr:uid="{08BD361B-D597-499F-8030-F6377055B164}">
      <text>
        <r>
          <rPr>
            <sz val="11"/>
            <color theme="1"/>
            <rFont val="Calibri"/>
            <family val="2"/>
            <scheme val="minor"/>
          </rPr>
          <t>Tsai, Michael:
108 Passenger and Baggage Range: 1620 nmi</t>
        </r>
      </text>
    </comment>
    <comment ref="FH8" authorId="2" shapeId="0" xr:uid="{78A5042F-45AB-4D21-9387-79735AF5EC58}">
      <text>
        <r>
          <rPr>
            <sz val="11"/>
            <color theme="1"/>
            <rFont val="Calibri"/>
            <family val="2"/>
            <scheme val="minor"/>
          </rPr>
          <t>Tsai, Michael:
110 Passenger and Baggage Range: 1340 nmi</t>
        </r>
      </text>
    </comment>
    <comment ref="FI8" authorId="2" shapeId="0" xr:uid="{23EAEEAB-D1F4-41DA-B11D-E3615B785297}">
      <text>
        <r>
          <rPr>
            <sz val="11"/>
            <color theme="1"/>
            <rFont val="Calibri"/>
            <family val="2"/>
            <scheme val="minor"/>
          </rPr>
          <t>Tsai, Michael:
126 Passenger and Baggage Range: 1540 nmi</t>
        </r>
      </text>
    </comment>
    <comment ref="FJ8" authorId="2" shapeId="0" xr:uid="{47C65E2E-C6F8-494E-B68E-A313A95CA833}">
      <text>
        <r>
          <rPr>
            <sz val="11"/>
            <color theme="1"/>
            <rFont val="Calibri"/>
            <family val="2"/>
            <scheme val="minor"/>
          </rPr>
          <t>Tsai, Michael:
162 Passenger and Baggage Range: 1990 nmi</t>
        </r>
      </text>
    </comment>
    <comment ref="FK8" authorId="2" shapeId="0" xr:uid="{84C55DCC-CC73-4081-B65A-537615C201C5}">
      <text>
        <r>
          <rPr>
            <sz val="11"/>
            <color theme="1"/>
            <rFont val="Calibri"/>
            <family val="2"/>
            <scheme val="minor"/>
          </rPr>
          <t>Tsai, Michael:
177 Passenger and Baggage Range: 2060 nmi</t>
        </r>
      </text>
    </comment>
    <comment ref="FL8" authorId="2" shapeId="0" xr:uid="{4A91854C-6B0A-4E18-9925-9BEE9D4687B3}">
      <text>
        <r>
          <rPr>
            <sz val="11"/>
            <color theme="1"/>
            <rFont val="Calibri"/>
            <family val="2"/>
            <scheme val="minor"/>
          </rPr>
          <t>Tsai, Michael:
177 Passenger and Baggage Range: 2920 nmi</t>
        </r>
      </text>
    </comment>
    <comment ref="FM8" authorId="2" shapeId="0" xr:uid="{A9225A8E-EE9B-4E73-8F63-63C8B0E2E0B7}">
      <text>
        <r>
          <rPr>
            <sz val="11"/>
            <color theme="1"/>
            <rFont val="Calibri"/>
            <family val="2"/>
            <scheme val="minor"/>
          </rPr>
          <t>Tsai, Michael:
126 Passenger and Baggage Range: 3600 nmi</t>
        </r>
      </text>
    </comment>
    <comment ref="FN8" authorId="2" shapeId="0" xr:uid="{7FD88976-C273-4284-A0BC-A01DC2431768}">
      <text>
        <r>
          <rPr>
            <sz val="11"/>
            <color theme="1"/>
            <rFont val="Calibri"/>
            <family val="2"/>
            <scheme val="minor"/>
          </rPr>
          <t>Tsai, Michael:
point starting fuel capacity limit 
4580 nmi</t>
        </r>
      </text>
    </comment>
    <comment ref="FO8" authorId="2" shapeId="0" xr:uid="{86037DA4-87B8-4DB6-8509-8A646A9FE8FB}">
      <text>
        <r>
          <rPr>
            <sz val="11"/>
            <color theme="1"/>
            <rFont val="Calibri"/>
            <family val="2"/>
            <scheme val="minor"/>
          </rPr>
          <t>Tsai, Michael:
153 Passenger and Baggage Range: 3900 nmi</t>
        </r>
      </text>
    </comment>
    <comment ref="FP8" authorId="2" shapeId="0" xr:uid="{E01062D7-3593-40D4-9895-BFE7BCD1CD2C}">
      <text>
        <r>
          <rPr>
            <sz val="11"/>
            <color theme="1"/>
            <rFont val="Calibri"/>
            <family val="2"/>
            <scheme val="minor"/>
          </rPr>
          <t>Tsai, Michael:
178 Passenger and Baggage Range: 3500 nmi</t>
        </r>
      </text>
    </comment>
    <comment ref="FQ8" authorId="2" shapeId="0" xr:uid="{2AEDE8C4-9CE4-482F-AEEE-26CCF8F49D23}">
      <text>
        <r>
          <rPr>
            <sz val="11"/>
            <color theme="1"/>
            <rFont val="Calibri"/>
            <family val="2"/>
            <scheme val="minor"/>
          </rPr>
          <t>Tsai, Michael:
202 Passenger and Baggage Range: 2860 nmi</t>
        </r>
      </text>
    </comment>
    <comment ref="FR8" authorId="2" shapeId="0" xr:uid="{E7EA1E3F-7C2B-4966-8F0B-D5CD17DC84E0}">
      <text>
        <r>
          <rPr>
            <sz val="11"/>
            <color theme="1"/>
            <rFont val="Calibri"/>
            <family val="2"/>
            <scheme val="minor"/>
          </rPr>
          <t>Tsai, Michael:
193 Passenger and Baggage Range: 3250 nmi</t>
        </r>
      </text>
    </comment>
    <comment ref="FS8" authorId="2" shapeId="0" xr:uid="{AF31DACF-D49C-4454-81F4-6339636689BF}">
      <text>
        <r>
          <rPr>
            <sz val="11"/>
            <color theme="1"/>
            <rFont val="Calibri"/>
            <family val="2"/>
            <scheme val="minor"/>
          </rPr>
          <t>Tsai, Michael:
204 Passenger and Baggage Range: 3215 nmi</t>
        </r>
      </text>
    </comment>
    <comment ref="FT8" authorId="2" shapeId="0" xr:uid="{518FF26D-4E6A-412C-9E08-BF0F93B9218D}">
      <text>
        <r>
          <rPr>
            <sz val="11"/>
            <color theme="1"/>
            <rFont val="Calibri"/>
            <family val="2"/>
            <scheme val="minor"/>
          </rPr>
          <t>Tsai, Michael:
point starting fuel capacity limit 
5250 nmi</t>
        </r>
      </text>
    </comment>
    <comment ref="FU8" authorId="2" shapeId="0" xr:uid="{7475625C-B8D7-47EF-873E-D22EC746390D}">
      <text>
        <r>
          <rPr>
            <sz val="11"/>
            <color theme="1"/>
            <rFont val="Calibri"/>
            <family val="2"/>
            <scheme val="minor"/>
          </rPr>
          <t>Tsai, Michael:
point starting fuel capacity limit 
4800 nmi</t>
        </r>
      </text>
    </comment>
    <comment ref="FV8" authorId="2" shapeId="0" xr:uid="{45519CEE-FA55-43E5-B357-95915F43B43D}">
      <text>
        <r>
          <rPr>
            <sz val="11"/>
            <color theme="1"/>
            <rFont val="Calibri"/>
            <family val="2"/>
            <scheme val="minor"/>
          </rPr>
          <t>Tsai, Michael:
200 Passenger and Baggage Range: 4000 nmi</t>
        </r>
      </text>
    </comment>
    <comment ref="FW8" authorId="2" shapeId="0" xr:uid="{085C56CC-E518-450E-995D-ECDF41AE8338}">
      <text>
        <r>
          <rPr>
            <sz val="11"/>
            <color theme="1"/>
            <rFont val="Calibri"/>
            <family val="2"/>
            <scheme val="minor"/>
          </rPr>
          <t>Tsai, Michael:
200 Passenger and Baggage Range: 3900 nmi</t>
        </r>
      </text>
    </comment>
    <comment ref="FX8" authorId="2" shapeId="0" xr:uid="{58822ADC-81C6-4773-825A-BE07A1ADF791}">
      <text>
        <r>
          <rPr>
            <sz val="11"/>
            <color theme="1"/>
            <rFont val="Calibri"/>
            <family val="2"/>
            <scheme val="minor"/>
          </rPr>
          <t>Tsai, Michael:
200 Passenger and Baggage Range: 2260 nmi</t>
        </r>
      </text>
    </comment>
    <comment ref="FY8" authorId="2" shapeId="0" xr:uid="{F482D7CE-18BC-4F67-8E81-3ECEE223C330}">
      <text>
        <r>
          <rPr>
            <sz val="11"/>
            <color theme="1"/>
            <rFont val="Calibri"/>
            <family val="2"/>
            <scheme val="minor"/>
          </rPr>
          <t>Tsai, Michael:
200 Passenger and Baggage Range: 3655 nmi</t>
        </r>
      </text>
    </comment>
    <comment ref="FZ8" authorId="2" shapeId="0" xr:uid="{3513AF6A-339D-4105-8253-8F06C6E2A4B1}">
      <text>
        <r>
          <rPr>
            <sz val="11"/>
            <color theme="1"/>
            <rFont val="Calibri"/>
            <family val="2"/>
            <scheme val="minor"/>
          </rPr>
          <t>Tsai, Michael:
200 Passenger and Baggage Range: 3655 nmi</t>
        </r>
      </text>
    </comment>
    <comment ref="GA8" authorId="2" shapeId="0" xr:uid="{A252062C-A259-4342-BE59-FB3C0F7DDE01}">
      <text>
        <r>
          <rPr>
            <sz val="11"/>
            <color theme="1"/>
            <rFont val="Calibri"/>
            <family val="2"/>
            <scheme val="minor"/>
          </rPr>
          <t>Tsai, Michael:
200 Passenger and Baggage Range: 3655 nmi</t>
        </r>
      </text>
    </comment>
    <comment ref="GB8" authorId="2" shapeId="0" xr:uid="{89E4C509-E76F-4E43-BF8D-23B95EE27CA5}">
      <text>
        <r>
          <rPr>
            <sz val="11"/>
            <color theme="1"/>
            <rFont val="Calibri"/>
            <family val="2"/>
            <scheme val="minor"/>
          </rPr>
          <t>Tsai, Michael:
243 Passenger and Baggage Range: 2120 nmi
janes used 108.9 k brake release gross weight</t>
        </r>
      </text>
    </comment>
    <comment ref="GC8" authorId="2" shapeId="0" xr:uid="{CE39D396-4BAD-4DB1-AC83-91B78204C3FC}">
      <text>
        <r>
          <rPr>
            <sz val="11"/>
            <color theme="1"/>
            <rFont val="Calibri"/>
            <family val="2"/>
            <scheme val="minor"/>
          </rPr>
          <t>Tsai, Michael:
243 Passenger and Baggage Range: 3395 nmi</t>
        </r>
      </text>
    </comment>
    <comment ref="GD8" authorId="2" shapeId="0" xr:uid="{39494F7D-EDCF-4A9F-BCD7-AFCCFB26057E}">
      <text>
        <r>
          <rPr>
            <sz val="11"/>
            <color theme="1"/>
            <rFont val="Calibri"/>
            <family val="2"/>
            <scheme val="minor"/>
          </rPr>
          <t>Tsai, Michael:
243 Passenger and Baggage Range: 1955 nmi</t>
        </r>
      </text>
    </comment>
    <comment ref="GE8" authorId="2" shapeId="0" xr:uid="{06681137-CB0C-4975-81DF-F595859B5AD5}">
      <text>
        <r>
          <rPr>
            <sz val="11"/>
            <color theme="1"/>
            <rFont val="Calibri"/>
            <family val="2"/>
            <scheme val="minor"/>
          </rPr>
          <t>Tsai, Michael:
243 Passenger and Baggage Range: 3180 nmi</t>
        </r>
      </text>
    </comment>
    <comment ref="GF8" authorId="2" shapeId="0" xr:uid="{22BEE409-138C-4FC5-BE5E-75454CE397C5}">
      <text>
        <r>
          <rPr>
            <sz val="11"/>
            <color theme="1"/>
            <rFont val="Calibri"/>
            <family val="2"/>
            <scheme val="minor"/>
          </rPr>
          <t>Tsai, Michael:
216 Passenger and Baggage Range: 2250 nmi</t>
        </r>
      </text>
    </comment>
    <comment ref="GG8" authorId="2" shapeId="0" xr:uid="{66BD2BAE-F527-43EF-8F2B-E695F114EB7F}">
      <text>
        <r>
          <rPr>
            <sz val="11"/>
            <color theme="1"/>
            <rFont val="Calibri"/>
            <family val="2"/>
            <scheme val="minor"/>
          </rPr>
          <t>Tsai, Michael:
Passenger and Baggage Range: 3200 nmi</t>
        </r>
      </text>
    </comment>
    <comment ref="GH8" authorId="2" shapeId="0" xr:uid="{8AF27853-0F37-4944-9D0B-7DE421624CAF}">
      <text>
        <r>
          <rPr>
            <sz val="11"/>
            <color theme="1"/>
            <rFont val="Calibri"/>
            <family val="2"/>
            <scheme val="minor"/>
          </rPr>
          <t>Tsai, Michael:
Passenger and Baggage Range: 3650 nmi</t>
        </r>
      </text>
    </comment>
    <comment ref="GI8" authorId="2" shapeId="0" xr:uid="{A917E3FE-BD5C-47BC-ABC1-A8F6770D441F}">
      <text>
        <r>
          <rPr>
            <sz val="11"/>
            <color theme="1"/>
            <rFont val="Calibri"/>
            <family val="2"/>
            <scheme val="minor"/>
          </rPr>
          <t>Tsai, Michael:
Passenger and Baggage Range: 3950 nmi</t>
        </r>
      </text>
    </comment>
    <comment ref="GJ8" authorId="2" shapeId="0" xr:uid="{2FF93F69-AA1E-442A-8698-C011B4A2BF7F}">
      <text>
        <r>
          <rPr>
            <sz val="11"/>
            <color theme="1"/>
            <rFont val="Calibri"/>
            <family val="2"/>
            <scheme val="minor"/>
          </rPr>
          <t>Tsai, Michael:
Passenger and Baggage Range: 3650 nmi</t>
        </r>
      </text>
    </comment>
    <comment ref="GK8" authorId="2" shapeId="0" xr:uid="{DCA37CAE-4D24-43D2-8792-95713C486C7D}">
      <text>
        <r>
          <rPr>
            <sz val="11"/>
            <color theme="1"/>
            <rFont val="Calibri"/>
            <family val="2"/>
            <scheme val="minor"/>
          </rPr>
          <t>Tsai, Michael:
Passenger and Baggage Range: 3950 nmi</t>
        </r>
      </text>
    </comment>
    <comment ref="GL8" authorId="2" shapeId="0" xr:uid="{91455A69-79E9-47B4-9C97-B29AE6ADB5C4}">
      <text>
        <r>
          <rPr>
            <sz val="11"/>
            <color theme="1"/>
            <rFont val="Calibri"/>
            <family val="2"/>
            <scheme val="minor"/>
          </rPr>
          <t>Tsai, Michael:
Assume 216 passenger &amp; Baggage
4500 nmi</t>
        </r>
      </text>
    </comment>
    <comment ref="GM8" authorId="2" shapeId="0" xr:uid="{895177CE-6C2E-4AAF-BD34-E84546AB2080}">
      <text>
        <r>
          <rPr>
            <sz val="11"/>
            <color theme="1"/>
            <rFont val="Calibri"/>
            <family val="2"/>
            <scheme val="minor"/>
          </rPr>
          <t>Tsai, Michael:
Assume 216 passenger &amp; Baggage
5100 nmi</t>
        </r>
      </text>
    </comment>
    <comment ref="GN8" authorId="2" shapeId="0" xr:uid="{1193D97A-BC74-43F9-958E-09CB737E1C48}">
      <text>
        <r>
          <rPr>
            <sz val="11"/>
            <color theme="1"/>
            <rFont val="Calibri"/>
            <family val="2"/>
            <scheme val="minor"/>
          </rPr>
          <t>Tsai, Michael:
Assume 216 passenger &amp; Baggage
6100 nmi</t>
        </r>
      </text>
    </comment>
    <comment ref="GO8" authorId="2" shapeId="0" xr:uid="{9ECC0117-47BD-4A71-BC5B-930DA0F4282E}">
      <text>
        <r>
          <rPr>
            <sz val="11"/>
            <color theme="1"/>
            <rFont val="Calibri"/>
            <family val="2"/>
            <scheme val="minor"/>
          </rPr>
          <t>Tsai, Michael:
Assume 216 passenger &amp; Baggage
6600 nmi</t>
        </r>
      </text>
    </comment>
    <comment ref="GP8" authorId="2" shapeId="0" xr:uid="{6917F9EC-9DE9-4FD0-A274-78C1FDBF79D5}">
      <text>
        <r>
          <rPr>
            <sz val="11"/>
            <color theme="1"/>
            <rFont val="Calibri"/>
            <family val="2"/>
            <scheme val="minor"/>
          </rPr>
          <t>Tsai, Michael: Use (95kg for avg) payload:22515 kg
237 Passenger and Baggage Range:  2600 nmi</t>
        </r>
      </text>
    </comment>
    <comment ref="GQ8" authorId="2" shapeId="0" xr:uid="{9FBBFA6E-9DD3-4CEA-8D82-2D7419281C19}">
      <text>
        <r>
          <rPr>
            <sz val="11"/>
            <color theme="1"/>
            <rFont val="Calibri"/>
            <family val="2"/>
            <scheme val="minor"/>
          </rPr>
          <t>Tsai, Michael: Use (95kg for avg) payload:22515 kg
Passenger and Baggage Range:  2650 nmi</t>
        </r>
      </text>
    </comment>
    <comment ref="GR8" authorId="2" shapeId="0" xr:uid="{DC0CA481-57B7-4644-9C34-ED9A5A079134}">
      <text>
        <r>
          <rPr>
            <sz val="11"/>
            <color theme="1"/>
            <rFont val="Calibri"/>
            <family val="2"/>
            <scheme val="minor"/>
          </rPr>
          <t>Tsai, Michael: Use (95kg for avg) payload: 22515 kg
Passenger and Baggage Range:  3300 nmi</t>
        </r>
      </text>
    </comment>
    <comment ref="GS8" authorId="2" shapeId="0" xr:uid="{9CCEEF00-AB56-4A98-B9D3-6A6322393D35}">
      <text>
        <r>
          <rPr>
            <sz val="11"/>
            <color theme="1"/>
            <rFont val="Calibri"/>
            <family val="2"/>
            <scheme val="minor"/>
          </rPr>
          <t>Tsai, Michael: Use (95kg for avg) payload: 22515 kg
237 Passenger and Baggage Range:  3350 nmi</t>
        </r>
      </text>
    </comment>
    <comment ref="GT8" authorId="2" shapeId="0" xr:uid="{E28CB411-6EDE-4225-98F1-70EDB314EA34}">
      <text>
        <r>
          <rPr>
            <sz val="11"/>
            <color theme="1"/>
            <rFont val="Calibri"/>
            <family val="2"/>
            <scheme val="minor"/>
          </rPr>
          <t>Tsai, Michael: Use (95kg for avg) payload: 22515 kg
237 Passenger and Baggage Range:  3500 nmi</t>
        </r>
      </text>
    </comment>
    <comment ref="GU8" authorId="2" shapeId="0" xr:uid="{FDF06228-AF79-4EF6-8205-EDF9C48C8214}">
      <text>
        <r>
          <rPr>
            <sz val="11"/>
            <color theme="1"/>
            <rFont val="Calibri"/>
            <family val="2"/>
            <scheme val="minor"/>
          </rPr>
          <t>Tsai, Michael: Use (95kg for avg) payload: 23085
243 Passenger and Baggage Range:  4250 nmi</t>
        </r>
      </text>
    </comment>
    <comment ref="GV8" authorId="2" shapeId="0" xr:uid="{2A4FD8CA-73CE-4F49-8171-B5D3AC17BAAB}">
      <text>
        <r>
          <rPr>
            <sz val="11"/>
            <color theme="1"/>
            <rFont val="Calibri"/>
            <family val="2"/>
            <scheme val="minor"/>
          </rPr>
          <t>Tsai, Michael: Use (95kg for avg) payload: 23085
243 Passenger and Baggage Range:  3900 nmi</t>
        </r>
      </text>
    </comment>
    <comment ref="GW8" authorId="2" shapeId="0" xr:uid="{2C07A03A-E858-4636-8CF7-090D33901D81}">
      <text>
        <r>
          <rPr>
            <sz val="11"/>
            <color theme="1"/>
            <rFont val="Calibri"/>
            <family val="2"/>
            <scheme val="minor"/>
          </rPr>
          <t>Tsai, Michael: Use (95kg for avg) payload: 23085
240 Passenger and Baggage Range:  4700 nmi</t>
        </r>
      </text>
    </comment>
    <comment ref="GX8" authorId="2" shapeId="0" xr:uid="{BB5F7967-981D-4F83-85B8-1189F46CDE77}">
      <text>
        <r>
          <rPr>
            <sz val="11"/>
            <color theme="1"/>
            <rFont val="Calibri"/>
            <family val="2"/>
            <scheme val="minor"/>
          </rPr>
          <t>Tsai, Michael: Use (95kg for avg) payload: 23085
240 Passenger and Baggage Range: 5150 nmi</t>
        </r>
      </text>
    </comment>
    <comment ref="GY8" authorId="2" shapeId="0" xr:uid="{DC022925-4639-41B0-B79D-4FC6F1BBC36A}">
      <text>
        <r>
          <rPr>
            <sz val="11"/>
            <color theme="1"/>
            <rFont val="Calibri"/>
            <family val="2"/>
            <scheme val="minor"/>
          </rPr>
          <t>Tsai, Michael: Use (95kg for avg) payload: 10165 kg
107 Passenger and Baggage Range:  1400 nmi</t>
        </r>
      </text>
    </comment>
    <comment ref="GZ8" authorId="2" shapeId="0" xr:uid="{CEE42D3B-1DA9-4468-820B-1F8DC2FBBCB2}">
      <text>
        <r>
          <rPr>
            <sz val="11"/>
            <color theme="1"/>
            <rFont val="Calibri"/>
            <family val="2"/>
            <scheme val="minor"/>
          </rPr>
          <t>Tsai, Michael: Use (95kg for avg) payload: 10165 kg
107 Passenger and Baggage Range:  1400 nmi</t>
        </r>
      </text>
    </comment>
    <comment ref="HA8" authorId="2" shapeId="0" xr:uid="{602FC6AC-1B00-40B7-BFAA-46B17E46F63C}">
      <text>
        <r>
          <rPr>
            <sz val="11"/>
            <color theme="1"/>
            <rFont val="Calibri"/>
            <family val="2"/>
            <scheme val="minor"/>
          </rPr>
          <t>Tsai, Michael: Use (95kg for avg) payload: 10165 kg
107 Passenger and Baggage Range:  3100 nmi</t>
        </r>
      </text>
    </comment>
    <comment ref="HB8" authorId="2" shapeId="0" xr:uid="{6DB4B166-C025-448F-87FA-2709EB818955}">
      <text>
        <r>
          <rPr>
            <sz val="11"/>
            <color theme="1"/>
            <rFont val="Calibri"/>
            <family val="2"/>
            <scheme val="minor"/>
          </rPr>
          <t>Tsai, Michael: Use (95kg for avg) payload: 10165 kg
107 Passenger and Baggage Range:  3100 nmi</t>
        </r>
      </text>
    </comment>
    <comment ref="HC8" authorId="2" shapeId="0" xr:uid="{766E02CE-DE6F-4BCF-AAAE-809F6CB81047}">
      <text>
        <r>
          <rPr>
            <sz val="11"/>
            <color theme="1"/>
            <rFont val="Calibri"/>
            <family val="2"/>
            <scheme val="minor"/>
          </rPr>
          <t>Tsai, Michael: Use (95kg for avg) payload: 11780 kg
124 Passenger and Baggage Range: 1750 nmi</t>
        </r>
      </text>
    </comment>
    <comment ref="HD8" authorId="2" shapeId="0" xr:uid="{F2EA546D-E802-4726-B3B1-481456734846}">
      <text>
        <r>
          <rPr>
            <sz val="11"/>
            <color theme="1"/>
            <rFont val="Calibri"/>
            <family val="2"/>
            <scheme val="minor"/>
          </rPr>
          <t>Tsai, Michael: Use (95kg for avg) payload: 11780 kg
124 Passenger and Baggage Range:  3150 nmi</t>
        </r>
      </text>
    </comment>
    <comment ref="HE8" authorId="2" shapeId="0" xr:uid="{FC95268E-D904-4CA1-AB8F-C2966C33DCC9}">
      <text>
        <r>
          <rPr>
            <sz val="11"/>
            <color theme="1"/>
            <rFont val="Calibri"/>
            <family val="2"/>
            <scheme val="minor"/>
          </rPr>
          <t>Tsai, Michael: Use (95kg for avg) payload: 11780 kg
124 Passenger and Baggage Range:  3250 nmi</t>
        </r>
      </text>
    </comment>
    <comment ref="HF8" authorId="2" shapeId="0" xr:uid="{505EEBF5-61B7-4DA2-8EFB-72AE45A456AB}">
      <text>
        <r>
          <rPr>
            <sz val="11"/>
            <color theme="1"/>
            <rFont val="Calibri"/>
            <family val="2"/>
            <scheme val="minor"/>
          </rPr>
          <t>Tsai, Michael: Use (95kg for avg) payload: 11780 kg
124 Passenger and Baggage Range:  3250 nmi</t>
        </r>
      </text>
    </comment>
    <comment ref="HG8" authorId="2" shapeId="0" xr:uid="{F0BF8F26-806F-47ED-9170-2F26319309EB}">
      <text>
        <r>
          <rPr>
            <sz val="11"/>
            <color theme="1"/>
            <rFont val="Calibri"/>
            <family val="2"/>
            <scheme val="minor"/>
          </rPr>
          <t>Tsai, Michael: Use (95kg for avg) payload: 11780 kg
124 Passenger and Baggage Range:  3250 nmi</t>
        </r>
      </text>
    </comment>
    <comment ref="HH8" authorId="2" shapeId="0" xr:uid="{104762AD-5E5D-492F-9298-47D25DD6C8DB}">
      <text>
        <r>
          <rPr>
            <sz val="11"/>
            <color theme="1"/>
            <rFont val="Calibri"/>
            <family val="2"/>
            <scheme val="minor"/>
          </rPr>
          <t>Tsai, Michael: Use (95kg for avg) payload:13300 kg
140 Passenger and Baggage Range:  1350 nmi</t>
        </r>
      </text>
    </comment>
    <comment ref="HI8" authorId="2" shapeId="0" xr:uid="{CC100C11-4B45-475F-8FD2-28E0D4F1C1E7}">
      <text>
        <r>
          <rPr>
            <sz val="11"/>
            <color theme="1"/>
            <rFont val="Calibri"/>
            <family val="2"/>
            <scheme val="minor"/>
          </rPr>
          <t>Tsai, Michael: Use (95kg for avg) payload:13300 kg
140 Passenger and Baggage Range:  3750 nmi</t>
        </r>
      </text>
    </comment>
    <comment ref="HJ8" authorId="2" shapeId="0" xr:uid="{A52B007F-A150-4C8D-ADB8-8B78A9BC8695}">
      <text>
        <r>
          <rPr>
            <sz val="11"/>
            <color theme="1"/>
            <rFont val="Calibri"/>
            <family val="2"/>
            <scheme val="minor"/>
          </rPr>
          <t>Tsai, Michael: Use (95kg for avg) payload:13300 kg
140 Passenger and Baggage Range:  1350 nmi</t>
        </r>
      </text>
    </comment>
    <comment ref="HK8" authorId="2" shapeId="0" xr:uid="{8B9EA10F-8AA9-4F0E-8F5C-D3ACB7C29F0A}">
      <text>
        <r>
          <rPr>
            <sz val="11"/>
            <color theme="1"/>
            <rFont val="Calibri"/>
            <family val="2"/>
            <scheme val="minor"/>
          </rPr>
          <t>Tsai, Michael: Use (95kg for avg) payload: 14250 kg
150 Passenger and Baggage Range:  2450 nmi</t>
        </r>
      </text>
    </comment>
    <comment ref="HL8" authorId="2" shapeId="0" xr:uid="{B7E2374B-4CCC-4462-AF7A-FF2EEFA35189}">
      <text>
        <r>
          <rPr>
            <sz val="11"/>
            <color theme="1"/>
            <rFont val="Calibri"/>
            <family val="2"/>
            <scheme val="minor"/>
          </rPr>
          <t>Tsai, Michael: Use (95kg for avg) payload: 14250 kg
150 Passenger and Baggage Range:  2450 nmi</t>
        </r>
      </text>
    </comment>
    <comment ref="HM8" authorId="2" shapeId="0" xr:uid="{D5CD8685-545E-4C25-9ED1-BAC8EDBFBD7F}">
      <text>
        <r>
          <rPr>
            <sz val="11"/>
            <color theme="1"/>
            <rFont val="Calibri"/>
            <family val="2"/>
            <scheme val="minor"/>
          </rPr>
          <t>Tsai, Michael: Use (95kg for avg) payload: 14250 kg
150 Passenger and Baggage Range:  2700 nmi</t>
        </r>
      </text>
    </comment>
    <comment ref="HN8" authorId="2" shapeId="0" xr:uid="{69D108B9-BF0A-41B7-B21F-6A43159DDC09}">
      <text>
        <r>
          <rPr>
            <sz val="11"/>
            <color theme="1"/>
            <rFont val="Calibri"/>
            <family val="2"/>
            <scheme val="minor"/>
          </rPr>
          <t>Tsai, Michael: Use (95kg for avg) payload: 14250 kg
150 Passenger and Baggage Range: 2600 nmi</t>
        </r>
      </text>
    </comment>
    <comment ref="HO8" authorId="2" shapeId="0" xr:uid="{A844C88C-9EA4-41AA-9A23-FCA240384BC1}">
      <text>
        <r>
          <rPr>
            <sz val="11"/>
            <color theme="1"/>
            <rFont val="Calibri"/>
            <family val="2"/>
            <scheme val="minor"/>
          </rPr>
          <t>Tsai, Michael: Use (95kg for avg) payload: 14250 kg
150 Passenger and Baggage Range: 3000 nmi</t>
        </r>
      </text>
    </comment>
    <comment ref="HP8" authorId="2" shapeId="0" xr:uid="{4AA77F89-3D6C-422A-94F6-7C3B051BCEF6}">
      <text>
        <r>
          <rPr>
            <sz val="11"/>
            <color theme="1"/>
            <rFont val="Calibri"/>
            <family val="2"/>
            <scheme val="minor"/>
          </rPr>
          <t>Tsai, Michael: Use (95kg for avg) payload: 15675 kg
165 Passenger and Baggage Range: 2250 nmi</t>
        </r>
      </text>
    </comment>
    <comment ref="HQ8" authorId="2" shapeId="0" xr:uid="{6629267F-AE6F-429A-B872-7F4B37020935}">
      <text>
        <r>
          <rPr>
            <sz val="11"/>
            <color theme="1"/>
            <rFont val="Calibri"/>
            <family val="2"/>
            <scheme val="minor"/>
          </rPr>
          <t>Tsai, Michael: Use (95kg for avg) payload: 15675 kg
165 Passenger and Baggage Range: 3250 nmi</t>
        </r>
      </text>
    </comment>
    <comment ref="HR8" authorId="2" shapeId="0" xr:uid="{962CCE77-5C6A-464A-83DE-FA7FEE20038E}">
      <text>
        <r>
          <rPr>
            <sz val="11"/>
            <color theme="1"/>
            <rFont val="Calibri"/>
            <family val="2"/>
            <scheme val="minor"/>
          </rPr>
          <t>Tsai, Michael: Use (95kg for avg) payload: 15675 kg
165 Passenger and Baggage Range: 3250 nmi</t>
        </r>
      </text>
    </comment>
    <comment ref="HS8" authorId="2" shapeId="0" xr:uid="{AD595F9F-EC22-4FBA-953E-164FDA330EEE}">
      <text>
        <r>
          <rPr>
            <sz val="11"/>
            <color theme="1"/>
            <rFont val="Calibri"/>
            <family val="2"/>
            <scheme val="minor"/>
          </rPr>
          <t>Tsai, Michael: Use (95kg for avg) payload: 15675 kg
165 Passenger and Baggage Range: 2250 nmi</t>
        </r>
      </text>
    </comment>
    <comment ref="HT8" authorId="2" shapeId="0" xr:uid="{5E8F1A4F-9807-4EE8-A8D2-84BF17C8EAC9}">
      <text>
        <r>
          <rPr>
            <sz val="11"/>
            <color theme="1"/>
            <rFont val="Calibri"/>
            <family val="2"/>
            <scheme val="minor"/>
          </rPr>
          <t>Tsai, Michael: Use (95kg for avg) payload: 15675 kg
165 Passenger and Baggage Range: 3250 nmi</t>
        </r>
      </text>
    </comment>
    <comment ref="HU8" authorId="2" shapeId="0" xr:uid="{A8100ACE-C306-4DA3-A3CF-6513CA1CFBD4}">
      <text>
        <r>
          <rPr>
            <sz val="11"/>
            <color theme="1"/>
            <rFont val="Calibri"/>
            <family val="2"/>
            <scheme val="minor"/>
          </rPr>
          <t>Tsai, Michael: Use (95kg for avg) payload: 15675 kg
165 Passenger and Baggage Range: 3250 nmi</t>
        </r>
      </text>
    </comment>
    <comment ref="HV8" authorId="2" shapeId="0" xr:uid="{F0B8A8F0-5A3D-4B56-9EFE-8E99D5DEA87C}">
      <text>
        <r>
          <rPr>
            <sz val="11"/>
            <color theme="1"/>
            <rFont val="Calibri"/>
            <family val="2"/>
            <scheme val="minor"/>
          </rPr>
          <t>Tsai, Michael: Use (95kg for avg) payload:
185 Passenger and Baggage Range:  2138 nmi</t>
        </r>
      </text>
    </comment>
    <comment ref="HW8" authorId="2" shapeId="0" xr:uid="{C649A05C-0897-4D38-A809-CA242033973F}">
      <text>
        <r>
          <rPr>
            <sz val="11"/>
            <color theme="1"/>
            <rFont val="Calibri"/>
            <family val="2"/>
            <scheme val="minor"/>
          </rPr>
          <t>Tsai, Michael: Use (95kg for avg) payload:
185 Passenger and Baggage Range:  2253 nmi</t>
        </r>
      </text>
    </comment>
    <comment ref="HX8" authorId="2" shapeId="0" xr:uid="{4ABB971E-DA8E-4F86-AD24-8ED9FE7AADF0}">
      <text>
        <r>
          <rPr>
            <sz val="11"/>
            <color theme="1"/>
            <rFont val="Calibri"/>
            <family val="2"/>
            <scheme val="minor"/>
          </rPr>
          <t>Tsai, Michael: Use (95kg for avg) payload:
185 Passenger and Baggage Range: 2250 nmi</t>
        </r>
      </text>
    </comment>
    <comment ref="HY8" authorId="2" shapeId="0" xr:uid="{EB4F1185-EE1D-42A0-A39F-5022A4903F92}">
      <text>
        <r>
          <rPr>
            <sz val="11"/>
            <color theme="1"/>
            <rFont val="Calibri"/>
            <family val="2"/>
            <scheme val="minor"/>
          </rPr>
          <t>Tsai, Michael: Use (95kg for avg) payload:
185 Passenger and Baggage Range:  nmi 2700</t>
        </r>
      </text>
    </comment>
    <comment ref="HZ8" authorId="2" shapeId="0" xr:uid="{9B5F9395-7069-4AB1-ABC1-1BDDF35D3EAB}">
      <text>
        <r>
          <rPr>
            <sz val="11"/>
            <color theme="1"/>
            <rFont val="Calibri"/>
            <family val="2"/>
            <scheme val="minor"/>
          </rPr>
          <t>Tsai, Michael: Use (95kg for avg) payload:
185 Passenger and Baggage Range: 2714 nmi</t>
        </r>
      </text>
    </comment>
    <comment ref="IA8" authorId="2" shapeId="0" xr:uid="{2420724A-EF79-4AAA-8048-5387D8B398B4}">
      <text>
        <r>
          <rPr>
            <sz val="11"/>
            <color theme="1"/>
            <rFont val="Calibri"/>
            <family val="2"/>
            <scheme val="minor"/>
          </rPr>
          <t>Tsai, Michael: Use (95kg for avg) payload:18050
190 Passenger and Baggage Range: 2750 nmi</t>
        </r>
      </text>
    </comment>
    <comment ref="IB8" authorId="2" shapeId="0" xr:uid="{0AB6DDE2-DC0F-4413-8B06-19703DF5DD0C}">
      <text>
        <r>
          <rPr>
            <sz val="11"/>
            <color theme="1"/>
            <rFont val="Calibri"/>
            <family val="2"/>
            <scheme val="minor"/>
          </rPr>
          <t>Tsai, Michael: Use (95kg for avg) payload:18050
190 Passenger and Baggage Range: 2750 nmi</t>
        </r>
      </text>
    </comment>
    <comment ref="IC8" authorId="2" shapeId="0" xr:uid="{412B85E7-8FDA-494C-B913-4A44F4ED8AE3}">
      <text>
        <r>
          <rPr>
            <sz val="11"/>
            <color theme="1"/>
            <rFont val="Calibri"/>
            <family val="2"/>
            <scheme val="minor"/>
          </rPr>
          <t>Tsai, Michael: Use (95kg for avg) payload:18050
190 Passenger and Baggage Range: 3250 nmi</t>
        </r>
      </text>
    </comment>
    <comment ref="ID8" authorId="2" shapeId="0" xr:uid="{88E66C37-64FF-4B79-811E-CE91028B2180}">
      <text>
        <r>
          <rPr>
            <sz val="11"/>
            <color theme="1"/>
            <rFont val="Calibri"/>
            <family val="2"/>
            <scheme val="minor"/>
          </rPr>
          <t>Tsai, Michael: Use (95kg for avg) payload:
185 Passenger and Baggage Range:  3620 nmi</t>
        </r>
      </text>
    </comment>
    <comment ref="IE8" authorId="2" shapeId="0" xr:uid="{DA84670B-EFCB-4F2E-BCAF-7D6366534948}">
      <text>
        <r>
          <rPr>
            <sz val="11"/>
            <color theme="1"/>
            <rFont val="Calibri"/>
            <family val="2"/>
            <scheme val="minor"/>
          </rPr>
          <t>Tsai, Michael: Use (95kg for avg) payload:
206 Passenger and Baggage Range: 4500 nmi</t>
        </r>
      </text>
    </comment>
    <comment ref="IF8" authorId="2" shapeId="0" xr:uid="{64B1638B-CCD1-4CC4-A4AD-250E72E2A38F}">
      <text>
        <r>
          <rPr>
            <sz val="11"/>
            <color theme="1"/>
            <rFont val="Calibri"/>
            <family val="2"/>
            <scheme val="minor"/>
          </rPr>
          <t>Tsai, Michael: Use (95kg for avg) payload:
206 Passenger and Baggage Range: 4500 nmi</t>
        </r>
      </text>
    </comment>
    <comment ref="IG8" authorId="2" shapeId="0" xr:uid="{7E34C861-BEE3-4FBB-9565-1B7D6F288CCE}">
      <text>
        <r>
          <rPr>
            <sz val="11"/>
            <color theme="1"/>
            <rFont val="Calibri"/>
            <family val="2"/>
            <scheme val="minor"/>
          </rPr>
          <t>Tsai, Michael: Use (95kg for avg) payload:
Passenger and Baggage Range:  nmi</t>
        </r>
      </text>
    </comment>
    <comment ref="IH8" authorId="2" shapeId="0" xr:uid="{928169D0-C191-4604-9945-18BB67691AFE}">
      <text>
        <r>
          <rPr>
            <sz val="11"/>
            <color theme="1"/>
            <rFont val="Calibri"/>
            <family val="2"/>
            <scheme val="minor"/>
          </rPr>
          <t>Tsai, Michael: Use (95kg for avg) payload:
Passenger and Baggage Range:  nmi</t>
        </r>
      </text>
    </comment>
    <comment ref="II8" authorId="2" shapeId="0" xr:uid="{89736D84-902F-4EE1-9725-BEBC9091E45C}">
      <text>
        <r>
          <rPr>
            <sz val="11"/>
            <color theme="1"/>
            <rFont val="Calibri"/>
            <family val="2"/>
            <scheme val="minor"/>
          </rPr>
          <t>Tsai, Michael: Use (95kg for avg) payload:
Passenger and Baggage Range:  nmi</t>
        </r>
      </text>
    </comment>
    <comment ref="IJ8" authorId="2" shapeId="0" xr:uid="{8E803EEE-648C-4E09-852F-05F4F8EC2DF2}">
      <text>
        <r>
          <rPr>
            <sz val="11"/>
            <color theme="1"/>
            <rFont val="Calibri"/>
            <family val="2"/>
            <scheme val="minor"/>
          </rPr>
          <t>Tsai, Michael: Use (95kg for avg) payload:
Passenger and Baggage Range:  nmi</t>
        </r>
      </text>
    </comment>
    <comment ref="IK8" authorId="2" shapeId="0" xr:uid="{74429F61-72BA-4BAA-AB7B-3491FE925632}">
      <text>
        <r>
          <rPr>
            <sz val="11"/>
            <color theme="1"/>
            <rFont val="Calibri"/>
            <family val="2"/>
            <scheme val="minor"/>
          </rPr>
          <t>Tsai, Michael: Use (95kg for avg) payload:
Passenger and Baggage Range:  nmi</t>
        </r>
      </text>
    </comment>
    <comment ref="IL8" authorId="2" shapeId="0" xr:uid="{0E656449-95E4-46D0-9DFD-894488AF4268}">
      <text>
        <r>
          <rPr>
            <sz val="11"/>
            <color theme="1"/>
            <rFont val="Calibri"/>
            <family val="2"/>
            <scheme val="minor"/>
          </rPr>
          <t>Tsai, Michael: Use (95kg for avg) payload:
Passenger and Baggage Range:  nmi</t>
        </r>
      </text>
    </comment>
    <comment ref="IM8" authorId="2" shapeId="0" xr:uid="{8D5C233F-87BE-496B-8105-9773D2CF4898}">
      <text>
        <r>
          <rPr>
            <sz val="11"/>
            <color theme="1"/>
            <rFont val="Calibri"/>
            <family val="2"/>
            <scheme val="minor"/>
          </rPr>
          <t>Tsai, Michael: Use (95kg for avg) payload:
Passenger and Baggage Range:  nmi</t>
        </r>
      </text>
    </comment>
    <comment ref="IN8" authorId="2" shapeId="0" xr:uid="{F74C8039-E71F-489D-82AA-4C4033715B1A}">
      <text>
        <r>
          <rPr>
            <sz val="11"/>
            <color theme="1"/>
            <rFont val="Calibri"/>
            <family val="2"/>
            <scheme val="minor"/>
          </rPr>
          <t>Tsai, Michael: Use (95kg for avg) payload:
Passenger and Baggage Range:  nmi</t>
        </r>
      </text>
    </comment>
    <comment ref="IO8" authorId="2" shapeId="0" xr:uid="{199469E7-2831-40A1-BFC1-5F23E6E17820}">
      <text>
        <r>
          <rPr>
            <sz val="11"/>
            <color theme="1"/>
            <rFont val="Calibri"/>
            <family val="2"/>
            <scheme val="minor"/>
          </rPr>
          <t>Tsai, Michael: Use (95kg for avg) payload:
Passenger and Baggage Range:  nmi</t>
        </r>
      </text>
    </comment>
    <comment ref="IP8" authorId="2" shapeId="0" xr:uid="{056A7B9B-D777-42FA-B6FD-50FCDA547488}">
      <text>
        <r>
          <rPr>
            <sz val="11"/>
            <color theme="1"/>
            <rFont val="Calibri"/>
            <family val="2"/>
            <scheme val="minor"/>
          </rPr>
          <t>Tsai, Michael: Use (95kg for avg) payload:
Passenger and Baggage Range:  nmi</t>
        </r>
      </text>
    </comment>
    <comment ref="IQ8" authorId="2" shapeId="0" xr:uid="{E55F2AFA-9BA5-4718-8014-D2099EE15A49}">
      <text>
        <r>
          <rPr>
            <sz val="11"/>
            <color theme="1"/>
            <rFont val="Calibri"/>
            <family val="2"/>
            <scheme val="minor"/>
          </rPr>
          <t>Tsai, Michael: Use (95kg for avg) payload:
Passenger and Baggage Range:  nmi</t>
        </r>
      </text>
    </comment>
    <comment ref="IR8" authorId="2" shapeId="0" xr:uid="{B0502F78-B88B-4371-A8FA-936FB28C4C19}">
      <text>
        <r>
          <rPr>
            <sz val="11"/>
            <color theme="1"/>
            <rFont val="Calibri"/>
            <family val="2"/>
            <scheme val="minor"/>
          </rPr>
          <t>Tsai, Michael: Use (95kg for avg) payload:
Passenger and Baggage Range:  nmi</t>
        </r>
      </text>
    </comment>
    <comment ref="JC8" authorId="2" shapeId="0" xr:uid="{31F3647A-D769-4296-88FE-B0740CB8C548}">
      <text>
        <r>
          <rPr>
            <sz val="11"/>
            <color theme="1"/>
            <rFont val="Calibri"/>
            <family val="2"/>
            <scheme val="minor"/>
          </rPr>
          <t>Tsai, Michael:
1000 nmi</t>
        </r>
      </text>
    </comment>
    <comment ref="JD8" authorId="2" shapeId="0" xr:uid="{4CFEDBB7-4AB0-42A0-A354-FAEA3F946300}">
      <text>
        <r>
          <rPr>
            <sz val="11"/>
            <color theme="1"/>
            <rFont val="Calibri"/>
            <family val="2"/>
            <scheme val="minor"/>
          </rPr>
          <t>Tsai, Michael:
1660 nmi</t>
        </r>
      </text>
    </comment>
    <comment ref="JE8" authorId="2" shapeId="0" xr:uid="{B094C4A9-2F64-4EC3-8E84-93CDCFC55228}">
      <text>
        <r>
          <rPr>
            <sz val="11"/>
            <color theme="1"/>
            <rFont val="Calibri"/>
            <family val="2"/>
            <scheme val="minor"/>
          </rPr>
          <t>Tsai, Michael:
1660 nmi</t>
        </r>
      </text>
    </comment>
    <comment ref="JF8" authorId="2" shapeId="0" xr:uid="{83ADB76E-38FD-468B-B027-F54D835C4086}">
      <text>
        <r>
          <rPr>
            <sz val="11"/>
            <color theme="1"/>
            <rFont val="Calibri"/>
            <family val="2"/>
            <scheme val="minor"/>
          </rPr>
          <t>Tsai, Michael:
1800 nmi</t>
        </r>
      </text>
    </comment>
    <comment ref="JG8" authorId="2" shapeId="0" xr:uid="{5C724CE9-C238-4E77-8951-EB7451B86ECA}">
      <text>
        <r>
          <rPr>
            <sz val="11"/>
            <color theme="1"/>
            <rFont val="Calibri"/>
            <family val="2"/>
            <scheme val="minor"/>
          </rPr>
          <t>Tsai, Michael:
2150 nmi</t>
        </r>
      </text>
    </comment>
    <comment ref="JH8" authorId="2" shapeId="0" xr:uid="{9D9D2F2C-D377-4259-A528-CCD6B7120090}">
      <text>
        <r>
          <rPr>
            <sz val="11"/>
            <color theme="1"/>
            <rFont val="Calibri"/>
            <family val="2"/>
            <scheme val="minor"/>
          </rPr>
          <t>Tsai, Michael:
1680 nmi</t>
        </r>
      </text>
    </comment>
    <comment ref="JI8" authorId="2" shapeId="0" xr:uid="{1F2D2D77-F94E-4C05-9B14-63A0E7296799}">
      <text>
        <r>
          <rPr>
            <sz val="11"/>
            <color theme="1"/>
            <rFont val="Calibri"/>
            <family val="2"/>
            <scheme val="minor"/>
          </rPr>
          <t>Tsai, Michael:
1986 nmi</t>
        </r>
      </text>
    </comment>
    <comment ref="JJ8" authorId="2" shapeId="0" xr:uid="{CFE45AB2-1A58-41A8-AC1E-16423022704D}">
      <text>
        <r>
          <rPr>
            <sz val="11"/>
            <color theme="1"/>
            <rFont val="Calibri"/>
            <family val="2"/>
            <scheme val="minor"/>
          </rPr>
          <t>Tsai, Michael:
2160 nmi</t>
        </r>
      </text>
    </comment>
    <comment ref="A9" authorId="0" shapeId="0" xr:uid="{09E98697-D89D-46CD-BCC4-41E082D59B65}">
      <text>
        <r>
          <rPr>
            <sz val="11"/>
            <color theme="1"/>
            <rFont val="Calibri"/>
            <family val="2"/>
            <scheme val="minor"/>
          </rPr>
          <t xml:space="preserve">Patel, Janki:
rotation velocity, flaps up 
KIAS = KTAS at standard atmospheric conditions so doesn't matter the knots the data is collected from. (can assume info is for standard atmospheric temps). 
Vtakeoff minimum can be ESTIMATED as 1.2*Vstall (purple)
</t>
        </r>
      </text>
    </comment>
    <comment ref="CO9" authorId="0" shapeId="0" xr:uid="{2AC0930B-3314-4931-9E6F-E1387E59B9BA}">
      <text>
        <r>
          <rPr>
            <sz val="11"/>
            <color theme="1"/>
            <rFont val="Calibri"/>
            <family val="2"/>
            <scheme val="minor"/>
          </rPr>
          <t xml:space="preserve">Patel, Janki:
used stall speed for A340-300 to calculate takeoff... *1.1 for civil AC
</t>
        </r>
      </text>
    </comment>
    <comment ref="CP9" authorId="0" shapeId="0" xr:uid="{977CED42-F047-4C07-9034-048B66AED4D0}">
      <text>
        <r>
          <rPr>
            <sz val="11"/>
            <color theme="1"/>
            <rFont val="Calibri"/>
            <family val="2"/>
            <scheme val="minor"/>
          </rPr>
          <t xml:space="preserve">Patel, Janki:
Patel, Janki:
used stall speed for A340-300 to calculate takeoff... *1.1 for civil AC
</t>
        </r>
      </text>
    </comment>
    <comment ref="CQ9" authorId="0" shapeId="0" xr:uid="{EC71CFD7-4389-471B-83EE-4E478382F144}">
      <text>
        <r>
          <rPr>
            <sz val="11"/>
            <color theme="1"/>
            <rFont val="Calibri"/>
            <family val="2"/>
            <scheme val="minor"/>
          </rPr>
          <t xml:space="preserve">Patel, Janki:
Patel, Janki:
used stall speed for A340-300 to calculate takeoff... *1.1 for civil AC
</t>
        </r>
      </text>
    </comment>
    <comment ref="CR9" authorId="0" shapeId="0" xr:uid="{396BF999-D596-4A08-89B9-9B8E1C83C93D}">
      <text>
        <r>
          <rPr>
            <sz val="11"/>
            <color theme="1"/>
            <rFont val="Calibri"/>
            <family val="2"/>
            <scheme val="minor"/>
          </rPr>
          <t xml:space="preserve">Patel, Janki:
Patel, Janki:
used stall speed for A340-300 to calculate takeoff... *1.1 for civil AC
</t>
        </r>
      </text>
    </comment>
    <comment ref="CS9" authorId="0" shapeId="0" xr:uid="{52D5FEF8-DBBA-4294-8B7C-953BA80EB833}">
      <text>
        <r>
          <rPr>
            <sz val="11"/>
            <color theme="1"/>
            <rFont val="Calibri"/>
            <family val="2"/>
            <scheme val="minor"/>
          </rPr>
          <t xml:space="preserve">Patel, Janki:
Patel, Janki:
used stall speed for A340-300 to calculate takeoff... *1.1 for civil AC
</t>
        </r>
      </text>
    </comment>
    <comment ref="CT9" authorId="0" shapeId="0" xr:uid="{E7D6D42D-D7D0-45CF-9D76-0E607EF6CC31}">
      <text>
        <r>
          <rPr>
            <sz val="11"/>
            <color theme="1"/>
            <rFont val="Calibri"/>
            <family val="2"/>
            <scheme val="minor"/>
          </rPr>
          <t xml:space="preserve">Patel, Janki:
Patel, Janki:
used stall speed for A340-300 to calculate takeoff... *1.1 for civil AC
</t>
        </r>
      </text>
    </comment>
    <comment ref="CU9" authorId="0" shapeId="0" xr:uid="{8B0A7BF9-8030-4885-81B4-151D4EDC95AD}">
      <text>
        <r>
          <rPr>
            <sz val="11"/>
            <color theme="1"/>
            <rFont val="Calibri"/>
            <family val="2"/>
            <scheme val="minor"/>
          </rPr>
          <t xml:space="preserve">Patel, Janki:
Patel, Janki:
used stall speed for A340-300 to calculate takeoff... *1.1 for civil AC
</t>
        </r>
      </text>
    </comment>
    <comment ref="CV9" authorId="0" shapeId="0" xr:uid="{658703E0-2CC5-48E8-9E19-50513BD1FEF0}">
      <text>
        <r>
          <rPr>
            <sz val="11"/>
            <color theme="1"/>
            <rFont val="Calibri"/>
            <family val="2"/>
            <scheme val="minor"/>
          </rPr>
          <t xml:space="preserve">Patel, Janki:
Patel, Janki:
used stall speed for A340-300 to calculate takeoff... *1.1 for civil AC
</t>
        </r>
      </text>
    </comment>
    <comment ref="DH9" authorId="0" shapeId="0" xr:uid="{0C43318B-24A2-418C-9C25-D6B0E7B75B9D}">
      <text>
        <r>
          <rPr>
            <sz val="11"/>
            <color theme="1"/>
            <rFont val="Calibri"/>
            <family val="2"/>
            <scheme val="minor"/>
          </rPr>
          <t xml:space="preserve">Patel, Janki:
Took these from DC20 series 30, kind of similar in speed.
</t>
        </r>
      </text>
    </comment>
    <comment ref="DO9" authorId="0" shapeId="0" xr:uid="{8FB8ECB9-275D-4B66-8001-9D7821172336}">
      <text>
        <r>
          <rPr>
            <sz val="11"/>
            <color theme="1"/>
            <rFont val="Calibri"/>
            <family val="2"/>
            <scheme val="minor"/>
          </rPr>
          <t xml:space="preserve">Patel, Janki:
These grey ones are values from 747-400 b/c could not find any for 400ER. In theory this would be greater b/c the weight is greater, but thats not the case for other airplanes.
</t>
        </r>
      </text>
    </comment>
    <comment ref="DR9" authorId="2" shapeId="0" xr:uid="{A9E71CD4-FD6A-494B-8885-5C62668F638C}">
      <text>
        <r>
          <rPr>
            <sz val="11"/>
            <color theme="1"/>
            <rFont val="Calibri"/>
            <family val="2"/>
            <scheme val="minor"/>
          </rPr>
          <t>Tsai, Michael:
IAS VR: 137 kts</t>
        </r>
      </text>
    </comment>
    <comment ref="DS9" authorId="2" shapeId="0" xr:uid="{C75DF964-553D-4679-90CE-B7260E75B43D}">
      <text>
        <r>
          <rPr>
            <sz val="11"/>
            <color theme="1"/>
            <rFont val="Calibri"/>
            <family val="2"/>
            <scheme val="minor"/>
          </rPr>
          <t>Tsai, Michael:
IAS VR: 138 kts</t>
        </r>
      </text>
    </comment>
    <comment ref="DT9" authorId="2" shapeId="0" xr:uid="{B28294CA-B8B6-4F97-891E-7E6D75DE807C}">
      <text>
        <r>
          <rPr>
            <sz val="11"/>
            <color theme="1"/>
            <rFont val="Calibri"/>
            <family val="2"/>
            <scheme val="minor"/>
          </rPr>
          <t>Tsai, Michael:
IAS VR: 150 kts</t>
        </r>
      </text>
    </comment>
    <comment ref="DU9" authorId="2" shapeId="0" xr:uid="{76C18BA7-152E-4248-9797-F1388A53AF18}">
      <text>
        <r>
          <rPr>
            <sz val="11"/>
            <color theme="1"/>
            <rFont val="Calibri"/>
            <family val="2"/>
            <scheme val="minor"/>
          </rPr>
          <t>Tsai, Michael:
IAS VR: 150 kts</t>
        </r>
      </text>
    </comment>
    <comment ref="DV9" authorId="2" shapeId="0" xr:uid="{E7CBF6D5-4925-482F-B615-31545F99F4E1}">
      <text>
        <r>
          <rPr>
            <sz val="11"/>
            <color theme="1"/>
            <rFont val="Calibri"/>
            <family val="2"/>
            <scheme val="minor"/>
          </rPr>
          <t>Tsai, Michael:
IAS VR: 153 kts</t>
        </r>
      </text>
    </comment>
    <comment ref="DW9" authorId="2" shapeId="0" xr:uid="{88C14C2D-CBDB-4A20-BF9B-F12CCFABDA88}">
      <text>
        <r>
          <rPr>
            <sz val="11"/>
            <color theme="1"/>
            <rFont val="Calibri"/>
            <family val="2"/>
            <scheme val="minor"/>
          </rPr>
          <t>Tsai, Michael:
IAS VR: 153 kts</t>
        </r>
      </text>
    </comment>
    <comment ref="DX9" authorId="2" shapeId="0" xr:uid="{D3D51269-F035-473B-A0BF-67E122B91533}">
      <text>
        <r>
          <rPr>
            <sz val="11"/>
            <color theme="1"/>
            <rFont val="Calibri"/>
            <family val="2"/>
            <scheme val="minor"/>
          </rPr>
          <t>Tsai, Michael:
IAS VR: 160 kts</t>
        </r>
      </text>
    </comment>
    <comment ref="DY9" authorId="2" shapeId="0" xr:uid="{A399C184-C3AB-479A-B8CC-C234749950E3}">
      <text>
        <r>
          <rPr>
            <sz val="11"/>
            <color theme="1"/>
            <rFont val="Calibri"/>
            <family val="2"/>
            <scheme val="minor"/>
          </rPr>
          <t>Tsai, Michael:
IAS VR: 160 kts</t>
        </r>
      </text>
    </comment>
    <comment ref="DZ9" authorId="2" shapeId="0" xr:uid="{AFD2FDCB-D2F9-4AB5-AC58-5E19DD7CE4CF}">
      <text>
        <r>
          <rPr>
            <sz val="11"/>
            <color theme="1"/>
            <rFont val="Calibri"/>
            <family val="2"/>
            <scheme val="minor"/>
          </rPr>
          <t>Tsai, Michael:
IAS VR: 153 kts</t>
        </r>
      </text>
    </comment>
    <comment ref="EA9" authorId="2" shapeId="0" xr:uid="{52A26660-9E0E-4D87-93BC-70DAE9B3D218}">
      <text>
        <r>
          <rPr>
            <sz val="11"/>
            <color theme="1"/>
            <rFont val="Calibri"/>
            <family val="2"/>
            <scheme val="minor"/>
          </rPr>
          <t>Tsai, Michael:
IAS VR: 160 kts</t>
        </r>
      </text>
    </comment>
    <comment ref="EB9" authorId="2" shapeId="0" xr:uid="{F1F22E8C-3248-4BD1-A17A-8D38756B1833}">
      <text>
        <r>
          <rPr>
            <sz val="11"/>
            <color theme="1"/>
            <rFont val="Calibri"/>
            <family val="2"/>
            <scheme val="minor"/>
          </rPr>
          <t>Tsai, Michael:
IAS VR: 160 kts</t>
        </r>
      </text>
    </comment>
    <comment ref="EC9" authorId="2" shapeId="0" xr:uid="{2E3F1846-60ED-4C4C-8F95-842E8BA17A1E}">
      <text>
        <r>
          <rPr>
            <sz val="11"/>
            <color theme="1"/>
            <rFont val="Calibri"/>
            <family val="2"/>
            <scheme val="minor"/>
          </rPr>
          <t>Tsai, Michael:
IAS VR: 122 kts</t>
        </r>
      </text>
    </comment>
    <comment ref="ED9" authorId="2" shapeId="0" xr:uid="{20267903-EA71-4A70-BAB9-63FA8071EDB7}">
      <text>
        <r>
          <rPr>
            <sz val="11"/>
            <color theme="1"/>
            <rFont val="Calibri"/>
            <family val="2"/>
            <scheme val="minor"/>
          </rPr>
          <t>Tsai, Michael:
IAS VR: 124 kts</t>
        </r>
      </text>
    </comment>
    <comment ref="EE9" authorId="2" shapeId="0" xr:uid="{8FB19999-532B-4092-9825-E4ABA0F8C79A}">
      <text>
        <r>
          <rPr>
            <sz val="11"/>
            <color theme="1"/>
            <rFont val="Calibri"/>
            <family val="2"/>
            <scheme val="minor"/>
          </rPr>
          <t>Tsai, Michael:
IAS VR: 133 kts</t>
        </r>
      </text>
    </comment>
    <comment ref="EF9" authorId="2" shapeId="0" xr:uid="{0125BB67-8804-4A30-ACD9-2D327C88CFDC}">
      <text>
        <r>
          <rPr>
            <sz val="11"/>
            <color theme="1"/>
            <rFont val="Calibri"/>
            <family val="2"/>
            <scheme val="minor"/>
          </rPr>
          <t>Tsai, Michael:
IAS VR: 150 kts</t>
        </r>
      </text>
    </comment>
    <comment ref="EG9" authorId="2" shapeId="0" xr:uid="{6FDA0AEE-BF8B-420E-AB69-6A9A30AE99A5}">
      <text>
        <r>
          <rPr>
            <sz val="11"/>
            <color theme="1"/>
            <rFont val="Calibri"/>
            <family val="2"/>
            <scheme val="minor"/>
          </rPr>
          <t>Tsai, Michael:
IAS VR: 150 kts</t>
        </r>
      </text>
    </comment>
    <comment ref="EH9" authorId="2" shapeId="0" xr:uid="{35F035BA-1579-4B47-8511-6860730EBE23}">
      <text>
        <r>
          <rPr>
            <sz val="11"/>
            <color theme="1"/>
            <rFont val="Calibri"/>
            <family val="2"/>
            <scheme val="minor"/>
          </rPr>
          <t>Tsai, Michael:
IAS VR: 153 kts</t>
        </r>
      </text>
    </comment>
    <comment ref="EI9" authorId="2" shapeId="0" xr:uid="{96F621B0-3CCC-4FFE-9A58-D98831A87EBE}">
      <text>
        <r>
          <rPr>
            <sz val="11"/>
            <color theme="1"/>
            <rFont val="Calibri"/>
            <family val="2"/>
            <scheme val="minor"/>
          </rPr>
          <t>Tsai, Michael:
IAS VR: 155 kts</t>
        </r>
      </text>
    </comment>
    <comment ref="EJ9" authorId="2" shapeId="0" xr:uid="{AE7777DE-880A-4F7D-939F-655531BD859F}">
      <text>
        <r>
          <rPr>
            <sz val="11"/>
            <color theme="1"/>
            <rFont val="Calibri"/>
            <family val="2"/>
            <scheme val="minor"/>
          </rPr>
          <t xml:space="preserve">Tsai, Michael:
KTAS: V2 130 kts
</t>
        </r>
      </text>
    </comment>
    <comment ref="EK9" authorId="2" shapeId="0" xr:uid="{F6807CBE-4CCD-4006-BF17-9629E6E253EA}">
      <text>
        <r>
          <rPr>
            <sz val="11"/>
            <color theme="1"/>
            <rFont val="Calibri"/>
            <family val="2"/>
            <scheme val="minor"/>
          </rPr>
          <t xml:space="preserve">Tsai, Michael:
KTAS: V2 130 kts
</t>
        </r>
      </text>
    </comment>
    <comment ref="EL9" authorId="2" shapeId="0" xr:uid="{6A8014B0-50B0-43A7-8D36-0243BF499D2B}">
      <text>
        <r>
          <rPr>
            <sz val="11"/>
            <color theme="1"/>
            <rFont val="Calibri"/>
            <family val="2"/>
            <scheme val="minor"/>
          </rPr>
          <t>Tsai, Michael:
KTAS
VR Flap 5 140 kts</t>
        </r>
      </text>
    </comment>
    <comment ref="EM9" authorId="2" shapeId="0" xr:uid="{C736B732-4E8D-4802-AF0F-16F6F9560EFF}">
      <text>
        <r>
          <rPr>
            <sz val="11"/>
            <color theme="1"/>
            <rFont val="Calibri"/>
            <family val="2"/>
            <scheme val="minor"/>
          </rPr>
          <t>Tsai, Michael:
KTAS
VR Flap 5 140 kts</t>
        </r>
      </text>
    </comment>
    <comment ref="EN9" authorId="2" shapeId="0" xr:uid="{0A2B5EC2-9D1D-4788-885A-CAE55A11DA47}">
      <text>
        <r>
          <rPr>
            <sz val="11"/>
            <color theme="1"/>
            <rFont val="Calibri"/>
            <family val="2"/>
            <scheme val="minor"/>
          </rPr>
          <t>Tsai, Michael:
KTAS
VR Flap 5 140 kts</t>
        </r>
      </text>
    </comment>
    <comment ref="EO9" authorId="2" shapeId="0" xr:uid="{3725D9BB-41DC-48E6-B579-EBE5D800E637}">
      <text>
        <r>
          <rPr>
            <sz val="11"/>
            <color theme="1"/>
            <rFont val="Calibri"/>
            <family val="2"/>
            <scheme val="minor"/>
          </rPr>
          <t>Tsai, Michael:
KTAS
VR Flap 5 140 kts</t>
        </r>
      </text>
    </comment>
    <comment ref="EP9" authorId="2" shapeId="0" xr:uid="{8A8E58AE-BC6A-421C-B167-A98FA9F7A46F}">
      <text>
        <r>
          <rPr>
            <sz val="11"/>
            <color theme="1"/>
            <rFont val="Calibri"/>
            <family val="2"/>
            <scheme val="minor"/>
          </rPr>
          <t>Tsai, Michael:
V2: 145 kts</t>
        </r>
      </text>
    </comment>
    <comment ref="EQ9" authorId="2" shapeId="0" xr:uid="{40FDF8F4-EA76-46C3-894A-3863FF38C96B}">
      <text>
        <r>
          <rPr>
            <sz val="11"/>
            <color theme="1"/>
            <rFont val="Calibri"/>
            <family val="2"/>
            <scheme val="minor"/>
          </rPr>
          <t>Tsai, Michael:
V2: 145 kts</t>
        </r>
      </text>
    </comment>
    <comment ref="ER9" authorId="2" shapeId="0" xr:uid="{AFC42115-BD8B-4629-AC64-A84038667982}">
      <text>
        <r>
          <rPr>
            <sz val="11"/>
            <color theme="1"/>
            <rFont val="Calibri"/>
            <family val="2"/>
            <scheme val="minor"/>
          </rPr>
          <t>Tsai, Michael:
V2: 145 kts</t>
        </r>
      </text>
    </comment>
    <comment ref="ES9" authorId="2" shapeId="0" xr:uid="{51DDAE48-8DF8-4CD1-BF71-6A884E875902}">
      <text>
        <r>
          <rPr>
            <sz val="11"/>
            <color theme="1"/>
            <rFont val="Calibri"/>
            <family val="2"/>
            <scheme val="minor"/>
          </rPr>
          <t>Tsai, Michael:
V2: 145 kts</t>
        </r>
      </text>
    </comment>
    <comment ref="EU9" authorId="2" shapeId="0" xr:uid="{77D577F3-89DF-4AEA-B34A-63CEDC785C24}">
      <text>
        <r>
          <rPr>
            <sz val="11"/>
            <color theme="1"/>
            <rFont val="Calibri"/>
            <family val="2"/>
            <scheme val="minor"/>
          </rPr>
          <t>Tsai, Michael:
V2</t>
        </r>
      </text>
    </comment>
    <comment ref="FC9" authorId="2" shapeId="0" xr:uid="{33E79A99-05F7-46BE-9386-D4A4597CC46E}">
      <text>
        <r>
          <rPr>
            <sz val="11"/>
            <color theme="1"/>
            <rFont val="Calibri"/>
            <family val="2"/>
            <scheme val="minor"/>
          </rPr>
          <t>Tsai, Michael:
v2</t>
        </r>
      </text>
    </comment>
    <comment ref="FD9" authorId="2" shapeId="0" xr:uid="{DD57E6DD-8EC1-4FFF-A933-FC489F8A93CA}">
      <text>
        <r>
          <rPr>
            <sz val="11"/>
            <color theme="1"/>
            <rFont val="Calibri"/>
            <family val="2"/>
            <scheme val="minor"/>
          </rPr>
          <t xml:space="preserve">Tsai, Michael:
v2
</t>
        </r>
      </text>
    </comment>
    <comment ref="FE9" authorId="2" shapeId="0" xr:uid="{00F4DBA9-490F-4364-8D1B-4A47541E7681}">
      <text>
        <r>
          <rPr>
            <sz val="11"/>
            <color theme="1"/>
            <rFont val="Calibri"/>
            <family val="2"/>
            <scheme val="minor"/>
          </rPr>
          <t>Tsai, Michael:
v2</t>
        </r>
      </text>
    </comment>
    <comment ref="FF9" authorId="2" shapeId="0" xr:uid="{F04AF176-9BAD-4C4B-A3C9-62A22108DCEE}">
      <text>
        <r>
          <rPr>
            <sz val="11"/>
            <color theme="1"/>
            <rFont val="Calibri"/>
            <family val="2"/>
            <scheme val="minor"/>
          </rPr>
          <t>Tsai, Michael:
v2</t>
        </r>
      </text>
    </comment>
    <comment ref="FG9" authorId="2" shapeId="0" xr:uid="{9C00EB93-A5B2-43D1-89E2-5C2DFB76A1EF}">
      <text>
        <r>
          <rPr>
            <sz val="11"/>
            <color theme="1"/>
            <rFont val="Calibri"/>
            <family val="2"/>
            <scheme val="minor"/>
          </rPr>
          <t>Tsai, Michael:
v2</t>
        </r>
      </text>
    </comment>
    <comment ref="FH9" authorId="2" shapeId="0" xr:uid="{628AB01E-7B4A-4CB4-A4CA-F61692487B87}">
      <text>
        <r>
          <rPr>
            <sz val="11"/>
            <color theme="1"/>
            <rFont val="Calibri"/>
            <family val="2"/>
            <scheme val="minor"/>
          </rPr>
          <t>Tsai, Michael:
V2: 135 kts</t>
        </r>
      </text>
    </comment>
    <comment ref="FI9" authorId="2" shapeId="0" xr:uid="{6310028C-217A-4D3D-B4C3-0C1E548092D3}">
      <text>
        <r>
          <rPr>
            <sz val="11"/>
            <color theme="1"/>
            <rFont val="Calibri"/>
            <family val="2"/>
            <scheme val="minor"/>
          </rPr>
          <t xml:space="preserve">Tsai, Michael:
V2: 150 kts
</t>
        </r>
      </text>
    </comment>
    <comment ref="FJ9" authorId="2" shapeId="0" xr:uid="{DFAA119E-ECD6-4E3D-855B-5E207B4BB914}">
      <text>
        <r>
          <rPr>
            <sz val="11"/>
            <color theme="1"/>
            <rFont val="Calibri"/>
            <family val="2"/>
            <scheme val="minor"/>
          </rPr>
          <t>Tsai, Michael:
V2: 145 kts</t>
        </r>
      </text>
    </comment>
    <comment ref="FK9" authorId="2" shapeId="0" xr:uid="{9733C500-7684-4018-A7C1-5A3CA61F4930}">
      <text>
        <r>
          <rPr>
            <sz val="11"/>
            <color theme="1"/>
            <rFont val="Calibri"/>
            <family val="2"/>
            <scheme val="minor"/>
          </rPr>
          <t>Tsai, Michael:
V2: 149 kts</t>
        </r>
      </text>
    </comment>
    <comment ref="FM9" authorId="2" shapeId="0" xr:uid="{DF097073-198E-4B9F-8266-B24E7448D705}">
      <text>
        <r>
          <rPr>
            <sz val="11"/>
            <color theme="1"/>
            <rFont val="Calibri"/>
            <family val="2"/>
            <scheme val="minor"/>
          </rPr>
          <t xml:space="preserve">Tsai, Michael:
V2: 150 kts
</t>
        </r>
      </text>
    </comment>
    <comment ref="FN9" authorId="2" shapeId="0" xr:uid="{B6D24458-688E-4141-8409-93C8836DC275}">
      <text>
        <r>
          <rPr>
            <sz val="11"/>
            <color theme="1"/>
            <rFont val="Calibri"/>
            <family val="2"/>
            <scheme val="minor"/>
          </rPr>
          <t>Tsai, Michael:
V2: 145 kts</t>
        </r>
      </text>
    </comment>
    <comment ref="FO9" authorId="2" shapeId="0" xr:uid="{4D1F4735-3569-445C-B07D-70A3EF0BB9A2}">
      <text>
        <r>
          <rPr>
            <sz val="11"/>
            <color theme="1"/>
            <rFont val="Calibri"/>
            <family val="2"/>
            <scheme val="minor"/>
          </rPr>
          <t xml:space="preserve">Tsai, Michael:
180 KCAS from paper 
Flight Test Methodology for NASA Advanced Inlet Liner on 737MAX-7 Test
Bed (3) in references </t>
        </r>
      </text>
    </comment>
    <comment ref="FP9" authorId="2" shapeId="0" xr:uid="{D9D269EB-085E-4BA1-B9AC-F8AECAAA1C56}">
      <text>
        <r>
          <rPr>
            <sz val="11"/>
            <color theme="1"/>
            <rFont val="Calibri"/>
            <family val="2"/>
            <scheme val="minor"/>
          </rPr>
          <t xml:space="preserve">Tsai, Michael:
180 KCAS from paper 
Flight Test Methodology for NASA Advanced Inlet Liner on 737MAX-7 Test
Bed (3) in references </t>
        </r>
      </text>
    </comment>
    <comment ref="FQ9" authorId="2" shapeId="0" xr:uid="{98E90279-7C82-41C0-8814-A0C10F03E276}">
      <text>
        <r>
          <rPr>
            <sz val="11"/>
            <color theme="1"/>
            <rFont val="Calibri"/>
            <family val="2"/>
            <scheme val="minor"/>
          </rPr>
          <t xml:space="preserve">Tsai, Michael:
180 KCAS from paper 
Flight Test Methodology for NASA Advanced Inlet Liner on 737MAX-7 Test
Bed (3) in references </t>
        </r>
      </text>
    </comment>
    <comment ref="FR9" authorId="2" shapeId="0" xr:uid="{3C74C027-1680-4BE0-8F76-FB2A9EE1356E}">
      <text>
        <r>
          <rPr>
            <sz val="11"/>
            <color theme="1"/>
            <rFont val="Calibri"/>
            <family val="2"/>
            <scheme val="minor"/>
          </rPr>
          <t xml:space="preserve">Tsai, Michael:
180 KCAS from paper 
Flight Test Methodology for NASA Advanced Inlet Liner on 737MAX-7 Test
Bed (3) in references </t>
        </r>
      </text>
    </comment>
    <comment ref="FS9" authorId="2" shapeId="0" xr:uid="{4A3E4787-ECFF-413C-AD98-D4EF0D0FFC17}">
      <text>
        <r>
          <rPr>
            <sz val="11"/>
            <color theme="1"/>
            <rFont val="Calibri"/>
            <family val="2"/>
            <scheme val="minor"/>
          </rPr>
          <t xml:space="preserve">Tsai, Michael:
180 KCAS from paper 
Flight Test Methodology for NASA Advanced Inlet Liner on 737MAX-7 Test
Bed (3) in references </t>
        </r>
      </text>
    </comment>
    <comment ref="FT9" authorId="2" shapeId="0" xr:uid="{16127B95-5A61-4C34-A89D-10F237442EDA}">
      <text>
        <r>
          <rPr>
            <sz val="11"/>
            <color theme="1"/>
            <rFont val="Calibri"/>
            <family val="2"/>
            <scheme val="minor"/>
          </rPr>
          <t xml:space="preserve">Tsai, Michael:
180 KCAS from paper 
Flight Test Methodology for NASA Advanced Inlet Liner on 737MAX-7 Test
Bed (3) in references </t>
        </r>
      </text>
    </comment>
    <comment ref="FU9" authorId="2" shapeId="0" xr:uid="{050AD194-67C4-4C22-A9CB-1047822AA4A7}">
      <text>
        <r>
          <rPr>
            <sz val="11"/>
            <color theme="1"/>
            <rFont val="Calibri"/>
            <family val="2"/>
            <scheme val="minor"/>
          </rPr>
          <t xml:space="preserve">Tsai, Michael:
180 KCAS from paper 
Flight Test Methodology for NASA Advanced Inlet Liner on 737MAX-7 Test
Bed (3) in references </t>
        </r>
      </text>
    </comment>
    <comment ref="FV9" authorId="2" shapeId="0" xr:uid="{9B554929-B8EA-4BE0-BDE9-34E27DD2CADA}">
      <text>
        <r>
          <rPr>
            <sz val="11"/>
            <color theme="1"/>
            <rFont val="Calibri"/>
            <family val="2"/>
            <scheme val="minor"/>
          </rPr>
          <t>Tsai, Michael:
V2: 145 kts (2)</t>
        </r>
      </text>
    </comment>
    <comment ref="FW9" authorId="2" shapeId="0" xr:uid="{6D61016F-DECC-454C-A1FA-0EA269A5CE59}">
      <text>
        <r>
          <rPr>
            <sz val="11"/>
            <color theme="1"/>
            <rFont val="Calibri"/>
            <family val="2"/>
            <scheme val="minor"/>
          </rPr>
          <t>Tsai, Michael:
V2: 145 kts (2)</t>
        </r>
      </text>
    </comment>
    <comment ref="FX9" authorId="2" shapeId="0" xr:uid="{6E90E22A-DC50-419B-8619-F3B20BDCCB3A}">
      <text>
        <r>
          <rPr>
            <sz val="11"/>
            <color theme="1"/>
            <rFont val="Calibri"/>
            <family val="2"/>
            <scheme val="minor"/>
          </rPr>
          <t>Tsai, Michael:
V2: 145 kts (2)</t>
        </r>
      </text>
    </comment>
    <comment ref="FY9" authorId="2" shapeId="0" xr:uid="{C5E3EE24-CDEA-4631-B08A-B9F164B6F724}">
      <text>
        <r>
          <rPr>
            <sz val="11"/>
            <color theme="1"/>
            <rFont val="Calibri"/>
            <family val="2"/>
            <scheme val="minor"/>
          </rPr>
          <t>Tsai, Michael:
V2: 145 kts (2)</t>
        </r>
      </text>
    </comment>
    <comment ref="FZ9" authorId="2" shapeId="0" xr:uid="{747DA9FC-F8D7-48BB-BB3A-4A1151B27168}">
      <text>
        <r>
          <rPr>
            <sz val="11"/>
            <color theme="1"/>
            <rFont val="Calibri"/>
            <family val="2"/>
            <scheme val="minor"/>
          </rPr>
          <t>Tsai, Michael:
V2: 145 kts (2)</t>
        </r>
      </text>
    </comment>
    <comment ref="GA9" authorId="2" shapeId="0" xr:uid="{838E832E-8F39-493C-8A1D-321059547D4D}">
      <text>
        <r>
          <rPr>
            <sz val="11"/>
            <color theme="1"/>
            <rFont val="Calibri"/>
            <family val="2"/>
            <scheme val="minor"/>
          </rPr>
          <t>Tsai, Michael:
V2: 145 kts (2)</t>
        </r>
      </text>
    </comment>
    <comment ref="GB9" authorId="2" shapeId="0" xr:uid="{ADDF2642-A8B5-4A21-B6B5-2494FA47062C}">
      <text>
        <r>
          <rPr>
            <sz val="11"/>
            <color theme="1"/>
            <rFont val="Calibri"/>
            <family val="2"/>
            <scheme val="minor"/>
          </rPr>
          <t>Tsai, Michael:
V2: 145 kts (2)</t>
        </r>
      </text>
    </comment>
    <comment ref="GC9" authorId="2" shapeId="0" xr:uid="{5DC0F35A-75B3-4609-84EB-011C7627082E}">
      <text>
        <r>
          <rPr>
            <sz val="11"/>
            <color theme="1"/>
            <rFont val="Calibri"/>
            <family val="2"/>
            <scheme val="minor"/>
          </rPr>
          <t>Tsai, Michael:
V2: 145 kts (2)</t>
        </r>
      </text>
    </comment>
    <comment ref="GD9" authorId="2" shapeId="0" xr:uid="{38A6FE3B-C0CF-4756-9A86-AC3322EAE32D}">
      <text>
        <r>
          <rPr>
            <sz val="11"/>
            <color theme="1"/>
            <rFont val="Calibri"/>
            <family val="2"/>
            <scheme val="minor"/>
          </rPr>
          <t>Tsai, Michael:
V2: 145 kts (2)</t>
        </r>
      </text>
    </comment>
    <comment ref="GE9" authorId="2" shapeId="0" xr:uid="{CC14D04E-B40E-4B6B-8A67-F4B058A19C04}">
      <text>
        <r>
          <rPr>
            <sz val="11"/>
            <color theme="1"/>
            <rFont val="Calibri"/>
            <family val="2"/>
            <scheme val="minor"/>
          </rPr>
          <t>Tsai, Michael:
V2: 145 kts (2)</t>
        </r>
      </text>
    </comment>
    <comment ref="GF9" authorId="2" shapeId="0" xr:uid="{73DBBB79-BB17-40A2-905F-EE4525A81AB6}">
      <text>
        <r>
          <rPr>
            <sz val="11"/>
            <color theme="1"/>
            <rFont val="Calibri"/>
            <family val="2"/>
            <scheme val="minor"/>
          </rPr>
          <t xml:space="preserve">Tsai, Michael:
V2: 160 Kts (2)
</t>
        </r>
      </text>
    </comment>
    <comment ref="GG9" authorId="2" shapeId="0" xr:uid="{8B6964A3-501A-4F03-8AD9-6EF0D74CC58A}">
      <text>
        <r>
          <rPr>
            <sz val="11"/>
            <color theme="1"/>
            <rFont val="Calibri"/>
            <family val="2"/>
            <scheme val="minor"/>
          </rPr>
          <t xml:space="preserve">Tsai, Michael:
V2: 160 Kts (2)
</t>
        </r>
      </text>
    </comment>
    <comment ref="GH9" authorId="2" shapeId="0" xr:uid="{62D10808-5C76-402F-8065-25BD7336EB92}">
      <text>
        <r>
          <rPr>
            <sz val="11"/>
            <color theme="1"/>
            <rFont val="Calibri"/>
            <family val="2"/>
            <scheme val="minor"/>
          </rPr>
          <t xml:space="preserve">Tsai, Michael:
V2: 160 Kts (2)
</t>
        </r>
      </text>
    </comment>
    <comment ref="GI9" authorId="2" shapeId="0" xr:uid="{96D46A8B-5D0D-4705-B5BF-D9F70BE4FC19}">
      <text>
        <r>
          <rPr>
            <sz val="11"/>
            <color theme="1"/>
            <rFont val="Calibri"/>
            <family val="2"/>
            <scheme val="minor"/>
          </rPr>
          <t xml:space="preserve">Tsai, Michael:
V2: 160 Kts (2)
</t>
        </r>
      </text>
    </comment>
    <comment ref="GJ9" authorId="2" shapeId="0" xr:uid="{A111C77F-7139-46B3-9710-58AD96B526E7}">
      <text>
        <r>
          <rPr>
            <sz val="11"/>
            <color theme="1"/>
            <rFont val="Calibri"/>
            <family val="2"/>
            <scheme val="minor"/>
          </rPr>
          <t xml:space="preserve">Tsai, Michael:
V2: 160 Kts (2)
</t>
        </r>
      </text>
    </comment>
    <comment ref="GK9" authorId="2" shapeId="0" xr:uid="{52D66BF7-949B-4A53-8070-FF4DB4A2309A}">
      <text>
        <r>
          <rPr>
            <sz val="11"/>
            <color theme="1"/>
            <rFont val="Calibri"/>
            <family val="2"/>
            <scheme val="minor"/>
          </rPr>
          <t xml:space="preserve">Tsai, Michael:
V2: 160 Kts (2)
</t>
        </r>
      </text>
    </comment>
    <comment ref="GL9" authorId="2" shapeId="0" xr:uid="{03F24BFA-FA23-406A-B521-0A188A7CCFE1}">
      <text>
        <r>
          <rPr>
            <sz val="11"/>
            <color theme="1"/>
            <rFont val="Calibri"/>
            <family val="2"/>
            <scheme val="minor"/>
          </rPr>
          <t xml:space="preserve">Tsai, Michael:
V2: 160 Kts (2)
</t>
        </r>
      </text>
    </comment>
    <comment ref="GM9" authorId="2" shapeId="0" xr:uid="{2C12DEF5-A7CD-44D8-8C50-A160010CDC9F}">
      <text>
        <r>
          <rPr>
            <sz val="11"/>
            <color theme="1"/>
            <rFont val="Calibri"/>
            <family val="2"/>
            <scheme val="minor"/>
          </rPr>
          <t xml:space="preserve">Tsai, Michael:
V2: 160 Kts (2)
</t>
        </r>
      </text>
    </comment>
    <comment ref="GN9" authorId="2" shapeId="0" xr:uid="{B581282C-2EA0-49CA-8E7E-8058A78D5CB7}">
      <text>
        <r>
          <rPr>
            <sz val="11"/>
            <color theme="1"/>
            <rFont val="Calibri"/>
            <family val="2"/>
            <scheme val="minor"/>
          </rPr>
          <t xml:space="preserve">Tsai, Michael:
V2: 160 Kts (2)
</t>
        </r>
      </text>
    </comment>
    <comment ref="GO9" authorId="2" shapeId="0" xr:uid="{D653F610-59D9-4162-A913-85496EEEF33E}">
      <text>
        <r>
          <rPr>
            <sz val="11"/>
            <color theme="1"/>
            <rFont val="Calibri"/>
            <family val="2"/>
            <scheme val="minor"/>
          </rPr>
          <t xml:space="preserve">Tsai, Michael:
V2: 160 Kts (2)
</t>
        </r>
      </text>
    </comment>
    <comment ref="GP9" authorId="2" shapeId="0" xr:uid="{C20F59CF-C6C4-46FE-9882-0431D0DB0333}">
      <text>
        <r>
          <rPr>
            <sz val="11"/>
            <color theme="1"/>
            <rFont val="Calibri"/>
            <family val="2"/>
            <scheme val="minor"/>
          </rPr>
          <t xml:space="preserve">Tsai, Michael:
KTAS VR: 114.45 kts
</t>
        </r>
      </text>
    </comment>
    <comment ref="GQ9" authorId="2" shapeId="0" xr:uid="{34FF1AE5-A463-4FCD-9E07-81CDF0BA5E6E}">
      <text>
        <r>
          <rPr>
            <sz val="11"/>
            <color theme="1"/>
            <rFont val="Calibri"/>
            <family val="2"/>
            <scheme val="minor"/>
          </rPr>
          <t xml:space="preserve">Tsai, Michael:
KTAS VR: 111.3 kts
</t>
        </r>
      </text>
    </comment>
    <comment ref="GR9" authorId="2" shapeId="0" xr:uid="{7763571F-4939-4916-9B54-58AAF8D8864F}">
      <text>
        <r>
          <rPr>
            <sz val="11"/>
            <color theme="1"/>
            <rFont val="Calibri"/>
            <family val="2"/>
            <scheme val="minor"/>
          </rPr>
          <t xml:space="preserve">Tsai, Michael:
KTAS VR: 114.45 kts
</t>
        </r>
      </text>
    </comment>
    <comment ref="GS9" authorId="2" shapeId="0" xr:uid="{209D22BA-B600-4571-B453-17088A399A93}">
      <text>
        <r>
          <rPr>
            <sz val="11"/>
            <color theme="1"/>
            <rFont val="Calibri"/>
            <family val="2"/>
            <scheme val="minor"/>
          </rPr>
          <t xml:space="preserve">Tsai, Michael:
KTAS VR: 120.75 kts
</t>
        </r>
      </text>
    </comment>
    <comment ref="GT9" authorId="2" shapeId="0" xr:uid="{6397AABB-FDE2-4028-86F8-C4C738DA9AEC}">
      <text>
        <r>
          <rPr>
            <sz val="11"/>
            <color theme="1"/>
            <rFont val="Calibri"/>
            <family val="2"/>
            <scheme val="minor"/>
          </rPr>
          <t xml:space="preserve">Tsai, Michael:
KTAS VR: 120.75 kts
</t>
        </r>
      </text>
    </comment>
    <comment ref="GU9" authorId="2" shapeId="0" xr:uid="{71880330-085F-485E-88FC-58E54A5E753E}">
      <text>
        <r>
          <rPr>
            <sz val="11"/>
            <color theme="1"/>
            <rFont val="Calibri"/>
            <family val="2"/>
            <scheme val="minor"/>
          </rPr>
          <t xml:space="preserve">Tsai, Michael:
KTAS VR: 120.75 kts
</t>
        </r>
      </text>
    </comment>
    <comment ref="GV9" authorId="2" shapeId="0" xr:uid="{2614FE6F-C5AF-4C24-AAAC-BB50727B7287}">
      <text>
        <r>
          <rPr>
            <sz val="11"/>
            <color theme="1"/>
            <rFont val="Calibri"/>
            <family val="2"/>
            <scheme val="minor"/>
          </rPr>
          <t xml:space="preserve">Tsai, Michael:
KTAS VR: 120.75 kts
</t>
        </r>
      </text>
    </comment>
    <comment ref="GW9" authorId="2" shapeId="0" xr:uid="{FB6366A8-2F96-4BE1-A388-52F38D64018E}">
      <text>
        <r>
          <rPr>
            <sz val="11"/>
            <color theme="1"/>
            <rFont val="Calibri"/>
            <family val="2"/>
            <scheme val="minor"/>
          </rPr>
          <t xml:space="preserve">Tsai, Michael:
KTAS VR: 127.05 kts
</t>
        </r>
      </text>
    </comment>
    <comment ref="GX9" authorId="2" shapeId="0" xr:uid="{674BE7E3-2C15-4A13-BA85-1909E55ABE60}">
      <text>
        <r>
          <rPr>
            <sz val="11"/>
            <color theme="1"/>
            <rFont val="Calibri"/>
            <family val="2"/>
            <scheme val="minor"/>
          </rPr>
          <t xml:space="preserve">Tsai, Michael:
KTAS VR: 122.85 kts
</t>
        </r>
      </text>
    </comment>
    <comment ref="GY9" authorId="2" shapeId="0" xr:uid="{15A73BCA-098C-4B03-9D1B-C949540C768B}">
      <text>
        <r>
          <rPr>
            <sz val="11"/>
            <color theme="1"/>
            <rFont val="Calibri"/>
            <family val="2"/>
            <scheme val="minor"/>
          </rPr>
          <t xml:space="preserve">Tsai, Michael:
KTAS VR: 115.5 kts
VMCA = 110
</t>
        </r>
      </text>
    </comment>
    <comment ref="GZ9" authorId="2" shapeId="0" xr:uid="{CB50318C-3BB2-425C-A14D-5ED5307B27C2}">
      <text>
        <r>
          <rPr>
            <sz val="11"/>
            <color theme="1"/>
            <rFont val="Calibri"/>
            <family val="2"/>
            <scheme val="minor"/>
          </rPr>
          <t xml:space="preserve">Tsai, Michael:
KTAS VR: 115.5 kts
VMCA = 110
</t>
        </r>
      </text>
    </comment>
    <comment ref="HA9" authorId="2" shapeId="0" xr:uid="{CE423C31-1D5C-480F-ADB9-1A9C023B7F51}">
      <text>
        <r>
          <rPr>
            <sz val="11"/>
            <color theme="1"/>
            <rFont val="Calibri"/>
            <family val="2"/>
            <scheme val="minor"/>
          </rPr>
          <t xml:space="preserve">Tsai, Michael:
KTAS VR: 115.5 kts
VMCA = 110
</t>
        </r>
      </text>
    </comment>
    <comment ref="HB9" authorId="2" shapeId="0" xr:uid="{59F8399E-0C5D-43AC-8B24-D3AC37DB677A}">
      <text>
        <r>
          <rPr>
            <sz val="11"/>
            <color theme="1"/>
            <rFont val="Calibri"/>
            <family val="2"/>
            <scheme val="minor"/>
          </rPr>
          <t xml:space="preserve">Tsai, Michael:
KTAS VR: 115.5 kts
VMCA = 110
</t>
        </r>
      </text>
    </comment>
    <comment ref="HC9" authorId="2" shapeId="0" xr:uid="{E89964FC-363D-4ABB-9B24-BE911FD1A416}">
      <text>
        <r>
          <rPr>
            <sz val="11"/>
            <color theme="1"/>
            <rFont val="Calibri"/>
            <family val="2"/>
            <scheme val="minor"/>
          </rPr>
          <t xml:space="preserve">Tsai, Michael:
KTAS VR: 115.5 kts
VMCA = 110
</t>
        </r>
      </text>
    </comment>
    <comment ref="HD9" authorId="2" shapeId="0" xr:uid="{AD1EA0F2-6534-424C-8B19-949996D60FA7}">
      <text>
        <r>
          <rPr>
            <sz val="11"/>
            <color theme="1"/>
            <rFont val="Calibri"/>
            <family val="2"/>
            <scheme val="minor"/>
          </rPr>
          <t xml:space="preserve">Tsai, Michael:
KTAS VR: 115.5 kts
VMCA = 110
</t>
        </r>
      </text>
    </comment>
    <comment ref="HE9" authorId="2" shapeId="0" xr:uid="{858EA5E2-DD07-4F9D-972A-609E67206A0A}">
      <text>
        <r>
          <rPr>
            <sz val="11"/>
            <color theme="1"/>
            <rFont val="Calibri"/>
            <family val="2"/>
            <scheme val="minor"/>
          </rPr>
          <t xml:space="preserve">Tsai, Michael:
KTAS VR: 115.5 kts
VMCA = 110
</t>
        </r>
      </text>
    </comment>
    <comment ref="HF9" authorId="2" shapeId="0" xr:uid="{B4AA7A78-6FEE-4334-B193-39C6792A5BFE}">
      <text>
        <r>
          <rPr>
            <sz val="11"/>
            <color theme="1"/>
            <rFont val="Calibri"/>
            <family val="2"/>
            <scheme val="minor"/>
          </rPr>
          <t xml:space="preserve">Tsai, Michael:
KTAS VR: 115.5 kts
VMCA = 110
</t>
        </r>
      </text>
    </comment>
    <comment ref="HG9" authorId="2" shapeId="0" xr:uid="{4A5FA70A-64B4-44D5-A9BB-EE147FC009E6}">
      <text>
        <r>
          <rPr>
            <sz val="11"/>
            <color theme="1"/>
            <rFont val="Calibri"/>
            <family val="2"/>
            <scheme val="minor"/>
          </rPr>
          <t xml:space="preserve">Tsai, Michael:
KTAS VR: 115.5 kts
VMCA = 110
</t>
        </r>
      </text>
    </comment>
    <comment ref="HH9" authorId="2" shapeId="0" xr:uid="{37D0E375-65EB-4DB7-9714-7FAE661C73E9}">
      <text>
        <r>
          <rPr>
            <sz val="11"/>
            <color theme="1"/>
            <rFont val="Calibri"/>
            <family val="2"/>
            <scheme val="minor"/>
          </rPr>
          <t xml:space="preserve">Tsai, Michael:
KTAS VR: 115.5 kts
VMCA = 110
</t>
        </r>
      </text>
    </comment>
    <comment ref="HI9" authorId="2" shapeId="0" xr:uid="{FFA81E31-CCDD-49F0-88C8-E01AE95A1534}">
      <text>
        <r>
          <rPr>
            <sz val="11"/>
            <color theme="1"/>
            <rFont val="Calibri"/>
            <family val="2"/>
            <scheme val="minor"/>
          </rPr>
          <t xml:space="preserve">Tsai, Michael:
KTAS VR: 115.5 kts
VMCA = 110
</t>
        </r>
      </text>
    </comment>
    <comment ref="HJ9" authorId="2" shapeId="0" xr:uid="{CF4CABDC-5CC7-4BB3-B138-423CD655F809}">
      <text>
        <r>
          <rPr>
            <sz val="11"/>
            <color theme="1"/>
            <rFont val="Calibri"/>
            <family val="2"/>
            <scheme val="minor"/>
          </rPr>
          <t xml:space="preserve">Tsai, Michael:
KTAS VR: 115.5 kts
VMCA = 110
</t>
        </r>
      </text>
    </comment>
    <comment ref="HK9" authorId="2" shapeId="0" xr:uid="{EA348DBF-925F-40D2-A7D7-C1DF9BD72B94}">
      <text>
        <r>
          <rPr>
            <sz val="11"/>
            <color theme="1"/>
            <rFont val="Calibri"/>
            <family val="2"/>
            <scheme val="minor"/>
          </rPr>
          <t xml:space="preserve">Tsai, Michael:
KTAS VR: 115.5 kts
VMCA = 110
</t>
        </r>
      </text>
    </comment>
    <comment ref="HL9" authorId="2" shapeId="0" xr:uid="{17604C8C-47F9-44AF-A9EA-6B9D7393DC37}">
      <text>
        <r>
          <rPr>
            <sz val="11"/>
            <color theme="1"/>
            <rFont val="Calibri"/>
            <family val="2"/>
            <scheme val="minor"/>
          </rPr>
          <t xml:space="preserve">Tsai, Michael:
KTAS VR: 115.5 kts
VMCA = 110
</t>
        </r>
      </text>
    </comment>
    <comment ref="HM9" authorId="2" shapeId="0" xr:uid="{93BE3BC9-BBAB-4A41-A7E6-C0C241D573DF}">
      <text>
        <r>
          <rPr>
            <sz val="11"/>
            <color theme="1"/>
            <rFont val="Calibri"/>
            <family val="2"/>
            <scheme val="minor"/>
          </rPr>
          <t xml:space="preserve">Tsai, Michael:
KTAS VR: 115.5 kts
VMCA = 110
</t>
        </r>
      </text>
    </comment>
    <comment ref="HN9" authorId="2" shapeId="0" xr:uid="{760FAFCD-D239-4F84-9C48-DB04788FAA25}">
      <text>
        <r>
          <rPr>
            <sz val="11"/>
            <color theme="1"/>
            <rFont val="Calibri"/>
            <family val="2"/>
            <scheme val="minor"/>
          </rPr>
          <t xml:space="preserve">Tsai, Michael:
KTAS VR: 115.5 kts
VMCA = 110
</t>
        </r>
      </text>
    </comment>
    <comment ref="HO9" authorId="2" shapeId="0" xr:uid="{AFE0869F-5DE6-4F6F-98F4-8853D60DAD38}">
      <text>
        <r>
          <rPr>
            <sz val="11"/>
            <color theme="1"/>
            <rFont val="Calibri"/>
            <family val="2"/>
            <scheme val="minor"/>
          </rPr>
          <t xml:space="preserve">Tsai, Michael:
KTAS VR: 115.5 kts
VMCA = 110
</t>
        </r>
      </text>
    </comment>
    <comment ref="HP9" authorId="2" shapeId="0" xr:uid="{498D2CAC-CC1D-4B11-A096-DA761303CB57}">
      <text>
        <r>
          <rPr>
            <sz val="11"/>
            <color theme="1"/>
            <rFont val="Calibri"/>
            <family val="2"/>
            <scheme val="minor"/>
          </rPr>
          <t xml:space="preserve">Tsai, Michael:
KTAS VR: 115.5 kts
VMCA = 110
</t>
        </r>
      </text>
    </comment>
    <comment ref="HQ9" authorId="2" shapeId="0" xr:uid="{FB8B6C2B-50F9-4D9E-A6B1-19705BD00C16}">
      <text>
        <r>
          <rPr>
            <sz val="11"/>
            <color theme="1"/>
            <rFont val="Calibri"/>
            <family val="2"/>
            <scheme val="minor"/>
          </rPr>
          <t xml:space="preserve">Tsai, Michael:
KTAS VR: 115.5 kts
VMCA = 110
</t>
        </r>
      </text>
    </comment>
    <comment ref="HR9" authorId="2" shapeId="0" xr:uid="{A85E9DAC-AF8E-4769-A11E-2A14B6BF81CA}">
      <text>
        <r>
          <rPr>
            <sz val="11"/>
            <color theme="1"/>
            <rFont val="Calibri"/>
            <family val="2"/>
            <scheme val="minor"/>
          </rPr>
          <t xml:space="preserve">Tsai, Michael:
KTAS VR: 115.5 kts
VMCA = 110
</t>
        </r>
      </text>
    </comment>
    <comment ref="HS9" authorId="2" shapeId="0" xr:uid="{17DF4D75-F7F7-436C-BE1E-32A90E9974F1}">
      <text>
        <r>
          <rPr>
            <sz val="11"/>
            <color theme="1"/>
            <rFont val="Calibri"/>
            <family val="2"/>
            <scheme val="minor"/>
          </rPr>
          <t xml:space="preserve">Tsai, Michael:
KTAS VR: 115.5 kts
VMCA = 110
</t>
        </r>
      </text>
    </comment>
    <comment ref="HT9" authorId="2" shapeId="0" xr:uid="{B39A16A0-11E3-49B7-99E0-0EED8234B9A1}">
      <text>
        <r>
          <rPr>
            <sz val="11"/>
            <color theme="1"/>
            <rFont val="Calibri"/>
            <family val="2"/>
            <scheme val="minor"/>
          </rPr>
          <t xml:space="preserve">Tsai, Michael:
KTAS VR: 115.5 kts
VMCA = 110
</t>
        </r>
      </text>
    </comment>
    <comment ref="HU9" authorId="2" shapeId="0" xr:uid="{690390D0-7D84-4D76-922C-2F60E7990343}">
      <text>
        <r>
          <rPr>
            <sz val="11"/>
            <color theme="1"/>
            <rFont val="Calibri"/>
            <family val="2"/>
            <scheme val="minor"/>
          </rPr>
          <t xml:space="preserve">Tsai, Michael:
KTAS VR: 115.5 kts
VMCA = 110
</t>
        </r>
      </text>
    </comment>
    <comment ref="HV9" authorId="2" shapeId="0" xr:uid="{3BD6B03F-70A3-4A1B-9A89-87F276CB0305}">
      <text>
        <r>
          <rPr>
            <sz val="11"/>
            <color theme="1"/>
            <rFont val="Calibri"/>
            <family val="2"/>
            <scheme val="minor"/>
          </rPr>
          <t xml:space="preserve">Tsai, Michael:
KTAS VR: 115.5 kts
VMCA = 110
</t>
        </r>
      </text>
    </comment>
    <comment ref="HW9" authorId="2" shapeId="0" xr:uid="{9B4E45DD-4240-4FE9-9323-8641857BB25E}">
      <text>
        <r>
          <rPr>
            <sz val="11"/>
            <color theme="1"/>
            <rFont val="Calibri"/>
            <family val="2"/>
            <scheme val="minor"/>
          </rPr>
          <t xml:space="preserve">Tsai, Michael:
KTAS VR: 115.5 kts
VMCA = 110
</t>
        </r>
      </text>
    </comment>
    <comment ref="HX9" authorId="2" shapeId="0" xr:uid="{7A231F13-4645-4005-A1CE-8D74693BDA81}">
      <text>
        <r>
          <rPr>
            <sz val="11"/>
            <color theme="1"/>
            <rFont val="Calibri"/>
            <family val="2"/>
            <scheme val="minor"/>
          </rPr>
          <t xml:space="preserve">Tsai, Michael:
KTAS VR: 115.5 kts
VMCA = 110
</t>
        </r>
      </text>
    </comment>
    <comment ref="HY9" authorId="2" shapeId="0" xr:uid="{24A78D65-DAC0-4048-8407-73BB572C8D73}">
      <text>
        <r>
          <rPr>
            <sz val="11"/>
            <color theme="1"/>
            <rFont val="Calibri"/>
            <family val="2"/>
            <scheme val="minor"/>
          </rPr>
          <t xml:space="preserve">Tsai, Michael:
KTAS VR: 115.5 kts
VMCA = 110
</t>
        </r>
      </text>
    </comment>
    <comment ref="HZ9" authorId="2" shapeId="0" xr:uid="{3CA75316-4A9B-4FC2-87F3-1CDBEBF09491}">
      <text>
        <r>
          <rPr>
            <sz val="11"/>
            <color theme="1"/>
            <rFont val="Calibri"/>
            <family val="2"/>
            <scheme val="minor"/>
          </rPr>
          <t xml:space="preserve">Tsai, Michael:
KTAS VR: 115.5 kts
VMCA = 110
</t>
        </r>
      </text>
    </comment>
    <comment ref="IA9" authorId="2" shapeId="0" xr:uid="{A8AAF9B8-5816-47E1-B7EF-31805B302285}">
      <text>
        <r>
          <rPr>
            <sz val="11"/>
            <color theme="1"/>
            <rFont val="Calibri"/>
            <family val="2"/>
            <scheme val="minor"/>
          </rPr>
          <t xml:space="preserve">Tsai, Michael:
KTAS VR: 115.5 kts
VMCA = 110
</t>
        </r>
      </text>
    </comment>
    <comment ref="IB9" authorId="2" shapeId="0" xr:uid="{9B91B015-166B-4635-8AFE-C448A16B6C4A}">
      <text>
        <r>
          <rPr>
            <sz val="11"/>
            <color theme="1"/>
            <rFont val="Calibri"/>
            <family val="2"/>
            <scheme val="minor"/>
          </rPr>
          <t xml:space="preserve">Tsai, Michael:
KTAS VR: 115.5 kts
VMCA = 110
</t>
        </r>
      </text>
    </comment>
    <comment ref="IC9" authorId="2" shapeId="0" xr:uid="{E2DB9035-74CF-4B09-B9F1-30364AF20AB2}">
      <text>
        <r>
          <rPr>
            <sz val="11"/>
            <color theme="1"/>
            <rFont val="Calibri"/>
            <family val="2"/>
            <scheme val="minor"/>
          </rPr>
          <t xml:space="preserve">Tsai, Michael:
KTAS VR: 115.5 kts
VMCA = 110
</t>
        </r>
      </text>
    </comment>
    <comment ref="ID9" authorId="2" shapeId="0" xr:uid="{13654E2A-C987-4EA0-8115-64FBB24FC943}">
      <text>
        <r>
          <rPr>
            <sz val="11"/>
            <color theme="1"/>
            <rFont val="Calibri"/>
            <family val="2"/>
            <scheme val="minor"/>
          </rPr>
          <t xml:space="preserve">Tsai, Michael:
KTAS VR: 115.5 kts
VMCA = 110
</t>
        </r>
      </text>
    </comment>
    <comment ref="IE9" authorId="2" shapeId="0" xr:uid="{B4B823BE-0237-4C05-B754-3D7C6BD3C2AD}">
      <text>
        <r>
          <rPr>
            <sz val="11"/>
            <color theme="1"/>
            <rFont val="Calibri"/>
            <family val="2"/>
            <scheme val="minor"/>
          </rPr>
          <t xml:space="preserve">Tsai, Michael:
KTAS VR: 115.5 kts
VMCA = 110
</t>
        </r>
      </text>
    </comment>
    <comment ref="IF9" authorId="2" shapeId="0" xr:uid="{38218B28-C6CA-4CE8-A9D3-39848162FA48}">
      <text>
        <r>
          <rPr>
            <sz val="11"/>
            <color theme="1"/>
            <rFont val="Calibri"/>
            <family val="2"/>
            <scheme val="minor"/>
          </rPr>
          <t xml:space="preserve">Tsai, Michael:
KTAS VR: 115.5 kts
VMCA = 110
</t>
        </r>
      </text>
    </comment>
    <comment ref="IG9" authorId="2" shapeId="0" xr:uid="{8E892C67-8CD0-46AD-B358-99CDE2B7FBE8}">
      <text>
        <r>
          <rPr>
            <sz val="11"/>
            <color theme="1"/>
            <rFont val="Calibri"/>
            <family val="2"/>
            <scheme val="minor"/>
          </rPr>
          <t xml:space="preserve">Tsai, Michael:
KTAS v2: 138 kts
</t>
        </r>
      </text>
    </comment>
    <comment ref="IH9" authorId="2" shapeId="0" xr:uid="{1F3C9E67-9DE7-4CBD-AEBC-DC12D323B786}">
      <text>
        <r>
          <rPr>
            <sz val="11"/>
            <color theme="1"/>
            <rFont val="Calibri"/>
            <family val="2"/>
            <scheme val="minor"/>
          </rPr>
          <t xml:space="preserve">Tsai, Michael:
KTAS v2: 138 kts
</t>
        </r>
      </text>
    </comment>
    <comment ref="II9" authorId="2" shapeId="0" xr:uid="{0F5DB870-AC74-4D90-A440-B34E55C9C734}">
      <text>
        <r>
          <rPr>
            <sz val="11"/>
            <color theme="1"/>
            <rFont val="Calibri"/>
            <family val="2"/>
            <scheme val="minor"/>
          </rPr>
          <t xml:space="preserve">Tsai, Michael:
KTAS v2: 138 kts
</t>
        </r>
      </text>
    </comment>
    <comment ref="IJ9" authorId="2" shapeId="0" xr:uid="{93A66693-2F2C-4478-9AC2-4BCDB9872FF8}">
      <text>
        <r>
          <rPr>
            <sz val="11"/>
            <color theme="1"/>
            <rFont val="Calibri"/>
            <family val="2"/>
            <scheme val="minor"/>
          </rPr>
          <t xml:space="preserve">Tsai, Michael:
KTAS v2: 138 kts
</t>
        </r>
      </text>
    </comment>
    <comment ref="IK9" authorId="2" shapeId="0" xr:uid="{2D462754-6703-475E-ACC4-60FC72E0D34D}">
      <text>
        <r>
          <rPr>
            <sz val="11"/>
            <color theme="1"/>
            <rFont val="Calibri"/>
            <family val="2"/>
            <scheme val="minor"/>
          </rPr>
          <t xml:space="preserve">Tsai, Michael:
KTAS v2: 138 kts
</t>
        </r>
      </text>
    </comment>
    <comment ref="IL9" authorId="2" shapeId="0" xr:uid="{68030C3F-FF6E-4304-B022-6F369AA283E0}">
      <text>
        <r>
          <rPr>
            <sz val="11"/>
            <color theme="1"/>
            <rFont val="Calibri"/>
            <family val="2"/>
            <scheme val="minor"/>
          </rPr>
          <t xml:space="preserve">Tsai, Michael:
KTAS v2: 138 kts
</t>
        </r>
      </text>
    </comment>
    <comment ref="IM9" authorId="2" shapeId="0" xr:uid="{D849D727-6B20-49EF-B91F-1FA8C8D6D0CE}">
      <text>
        <r>
          <rPr>
            <sz val="11"/>
            <color theme="1"/>
            <rFont val="Calibri"/>
            <family val="2"/>
            <scheme val="minor"/>
          </rPr>
          <t xml:space="preserve">Tsai, Michael:
KTAS v2: 135 kts
</t>
        </r>
      </text>
    </comment>
    <comment ref="IN9" authorId="2" shapeId="0" xr:uid="{64343595-2C1E-496B-9B0F-6885EA81471B}">
      <text>
        <r>
          <rPr>
            <sz val="11"/>
            <color theme="1"/>
            <rFont val="Calibri"/>
            <family val="2"/>
            <scheme val="minor"/>
          </rPr>
          <t xml:space="preserve">Tsai, Michael:
KTAS v2: 135 kts
</t>
        </r>
      </text>
    </comment>
    <comment ref="IO9" authorId="2" shapeId="0" xr:uid="{72094377-E69B-4432-890D-0E16300FE11B}">
      <text>
        <r>
          <rPr>
            <sz val="11"/>
            <color theme="1"/>
            <rFont val="Calibri"/>
            <family val="2"/>
            <scheme val="minor"/>
          </rPr>
          <t xml:space="preserve">Tsai, Michael:
KTAS v2: 135 kts
</t>
        </r>
      </text>
    </comment>
    <comment ref="IP9" authorId="2" shapeId="0" xr:uid="{CA8FC4B7-F69B-48A4-98F4-D0403E86134B}">
      <text>
        <r>
          <rPr>
            <sz val="11"/>
            <color theme="1"/>
            <rFont val="Calibri"/>
            <family val="2"/>
            <scheme val="minor"/>
          </rPr>
          <t xml:space="preserve">Tsai, Michael:
KTAS v2: 135 kts
</t>
        </r>
      </text>
    </comment>
    <comment ref="IQ9" authorId="2" shapeId="0" xr:uid="{A6B48EA6-661D-4748-A021-C335EA3FDCF9}">
      <text>
        <r>
          <rPr>
            <sz val="11"/>
            <color theme="1"/>
            <rFont val="Calibri"/>
            <family val="2"/>
            <scheme val="minor"/>
          </rPr>
          <t xml:space="preserve">Tsai, Michael:
KTAS v2: 135 kts
</t>
        </r>
      </text>
    </comment>
    <comment ref="IR9" authorId="2" shapeId="0" xr:uid="{482BE32B-5C05-45B1-9B9A-D4E1B689C34C}">
      <text>
        <r>
          <rPr>
            <sz val="11"/>
            <color theme="1"/>
            <rFont val="Calibri"/>
            <family val="2"/>
            <scheme val="minor"/>
          </rPr>
          <t xml:space="preserve">Tsai, Michael:
KTAS v2: 135 kts
</t>
        </r>
      </text>
    </comment>
    <comment ref="IS9" authorId="2" shapeId="0" xr:uid="{55311648-FA73-4E98-A36A-9AF50887C368}">
      <text>
        <r>
          <rPr>
            <sz val="11"/>
            <color theme="1"/>
            <rFont val="Calibri"/>
            <family val="2"/>
            <scheme val="minor"/>
          </rPr>
          <t xml:space="preserve">Tsai, Michael:
Flap 9
KTAS vR: 123 kts
</t>
        </r>
      </text>
    </comment>
    <comment ref="IT9" authorId="2" shapeId="0" xr:uid="{B1AC10EB-BA60-4484-B148-5F3CEA1664B7}">
      <text>
        <r>
          <rPr>
            <sz val="11"/>
            <color theme="1"/>
            <rFont val="Calibri"/>
            <family val="2"/>
            <scheme val="minor"/>
          </rPr>
          <t xml:space="preserve">Tsai, Michael:
Flap 9
KTAS vR: 123 kts
</t>
        </r>
      </text>
    </comment>
    <comment ref="IU9" authorId="2" shapeId="0" xr:uid="{454D5D93-E6DF-4A4A-B880-8F7DFD3F08DB}">
      <text>
        <r>
          <rPr>
            <sz val="11"/>
            <color theme="1"/>
            <rFont val="Calibri"/>
            <family val="2"/>
            <scheme val="minor"/>
          </rPr>
          <t xml:space="preserve">Tsai, Michael:
Flap 9
KTAS vR: 133 kts
</t>
        </r>
      </text>
    </comment>
    <comment ref="IV9" authorId="2" shapeId="0" xr:uid="{05B56238-70DC-4DDC-9E93-86111124D1AB}">
      <text>
        <r>
          <rPr>
            <sz val="11"/>
            <color theme="1"/>
            <rFont val="Calibri"/>
            <family val="2"/>
            <scheme val="minor"/>
          </rPr>
          <t xml:space="preserve">Tsai, Michael:
Flap 9
KTAS vR: 133 kts
</t>
        </r>
      </text>
    </comment>
    <comment ref="IW9" authorId="2" shapeId="0" xr:uid="{8D9932C2-F60E-4182-BDAF-1018D4839CC6}">
      <text>
        <r>
          <rPr>
            <sz val="11"/>
            <color theme="1"/>
            <rFont val="Calibri"/>
            <family val="2"/>
            <scheme val="minor"/>
          </rPr>
          <t xml:space="preserve">Tsai, Michael:
Flap 9
KTAS vR: 135 kts
</t>
        </r>
      </text>
    </comment>
    <comment ref="IX9" authorId="2" shapeId="0" xr:uid="{DA46C59E-2C64-42B1-83D1-E6A0DED39F5E}">
      <text>
        <r>
          <rPr>
            <sz val="11"/>
            <color theme="1"/>
            <rFont val="Calibri"/>
            <family val="2"/>
            <scheme val="minor"/>
          </rPr>
          <t xml:space="preserve">Tsai, Michael:
Flap 9
KTAS vR: 135 kts
</t>
        </r>
      </text>
    </comment>
    <comment ref="IY9" authorId="2" shapeId="0" xr:uid="{D5DEFC62-368C-4B01-9259-C2120F51EFA5}">
      <text>
        <r>
          <rPr>
            <sz val="11"/>
            <color theme="1"/>
            <rFont val="Calibri"/>
            <family val="2"/>
            <scheme val="minor"/>
          </rPr>
          <t xml:space="preserve">Tsai, Michael:
KTAS v2: 135 kts
</t>
        </r>
      </text>
    </comment>
    <comment ref="IZ9" authorId="2" shapeId="0" xr:uid="{ACCB7831-FE64-4945-AA90-9A727A5C53C2}">
      <text>
        <r>
          <rPr>
            <sz val="11"/>
            <color theme="1"/>
            <rFont val="Calibri"/>
            <family val="2"/>
            <scheme val="minor"/>
          </rPr>
          <t xml:space="preserve">Tsai, Michael:
KTAS v2: 135 kts
</t>
        </r>
      </text>
    </comment>
    <comment ref="JA9" authorId="2" shapeId="0" xr:uid="{C2C4FF5C-EFF6-4A84-8C5A-444DB4330245}">
      <text>
        <r>
          <rPr>
            <sz val="11"/>
            <color theme="1"/>
            <rFont val="Calibri"/>
            <family val="2"/>
            <scheme val="minor"/>
          </rPr>
          <t xml:space="preserve">Tsai, Michael:
KTAS v2: 135 kts
</t>
        </r>
      </text>
    </comment>
    <comment ref="JB9" authorId="2" shapeId="0" xr:uid="{0971FA63-2D21-46B2-B24E-53D8C9CECED7}">
      <text>
        <r>
          <rPr>
            <sz val="11"/>
            <color theme="1"/>
            <rFont val="Calibri"/>
            <family val="2"/>
            <scheme val="minor"/>
          </rPr>
          <t xml:space="preserve">Tsai, Michael:
KTAS v2: 135 kts
</t>
        </r>
      </text>
    </comment>
    <comment ref="JC9" authorId="2" shapeId="0" xr:uid="{524D8E76-128C-404C-9872-EF48B83DC910}">
      <text>
        <r>
          <rPr>
            <sz val="11"/>
            <color theme="1"/>
            <rFont val="Calibri"/>
            <family val="2"/>
            <scheme val="minor"/>
          </rPr>
          <t xml:space="preserve">Tsai, Michael:
KTAS v2: 132 kts
</t>
        </r>
      </text>
    </comment>
    <comment ref="JD9" authorId="2" shapeId="0" xr:uid="{D11FECBC-DEE0-433C-91FE-E516540D5074}">
      <text>
        <r>
          <rPr>
            <sz val="11"/>
            <color theme="1"/>
            <rFont val="Calibri"/>
            <family val="2"/>
            <scheme val="minor"/>
          </rPr>
          <t xml:space="preserve">Tsai, Michael:
KTAS v2: 135 kts
</t>
        </r>
      </text>
    </comment>
    <comment ref="JE9" authorId="2" shapeId="0" xr:uid="{F6DBE80A-B52C-44F0-87C6-C3EE2C9D7036}">
      <text>
        <r>
          <rPr>
            <sz val="11"/>
            <color theme="1"/>
            <rFont val="Calibri"/>
            <family val="2"/>
            <scheme val="minor"/>
          </rPr>
          <t xml:space="preserve">Tsai, Michael:
KTAS v2: 135 kts
</t>
        </r>
      </text>
    </comment>
    <comment ref="JF9" authorId="2" shapeId="0" xr:uid="{51B65BCE-9FEE-48B4-B61F-81464E3A9ACD}">
      <text>
        <r>
          <rPr>
            <sz val="11"/>
            <color theme="1"/>
            <rFont val="Calibri"/>
            <family val="2"/>
            <scheme val="minor"/>
          </rPr>
          <t xml:space="preserve">Tsai, Michael:
KTAS v2: 135 kts
</t>
        </r>
      </text>
    </comment>
    <comment ref="JG9" authorId="2" shapeId="0" xr:uid="{F4ABBBB5-3CD4-492E-9B06-FC222141CF96}">
      <text>
        <r>
          <rPr>
            <sz val="11"/>
            <color theme="1"/>
            <rFont val="Calibri"/>
            <family val="2"/>
            <scheme val="minor"/>
          </rPr>
          <t xml:space="preserve">Tsai, Michael:
KTAS v2: 135 kts
</t>
        </r>
      </text>
    </comment>
    <comment ref="JH9" authorId="2" shapeId="0" xr:uid="{374019B0-4A7F-4848-A752-67437BBD69A3}">
      <text>
        <r>
          <rPr>
            <sz val="11"/>
            <color theme="1"/>
            <rFont val="Calibri"/>
            <family val="2"/>
            <scheme val="minor"/>
          </rPr>
          <t xml:space="preserve">Tsai, Michael:
KTAS v2: 145 kts
</t>
        </r>
      </text>
    </comment>
    <comment ref="JI9" authorId="2" shapeId="0" xr:uid="{672C9F38-D429-4E02-9061-719335AB9372}">
      <text>
        <r>
          <rPr>
            <sz val="11"/>
            <color theme="1"/>
            <rFont val="Calibri"/>
            <family val="2"/>
            <scheme val="minor"/>
          </rPr>
          <t xml:space="preserve">Tsai, Michael:
KTAS v2: 146 kts
</t>
        </r>
      </text>
    </comment>
    <comment ref="JJ9" authorId="2" shapeId="0" xr:uid="{D866A1A7-5447-4001-8DB0-54D45EE01393}">
      <text>
        <r>
          <rPr>
            <sz val="11"/>
            <color theme="1"/>
            <rFont val="Calibri"/>
            <family val="2"/>
            <scheme val="minor"/>
          </rPr>
          <t xml:space="preserve">Tsai, Michael:
KTAS v2: 146 kts
</t>
        </r>
      </text>
    </comment>
    <comment ref="JK9" authorId="2" shapeId="0" xr:uid="{9FB5EF66-7B73-4AA4-A36B-ADA684E1EE5F}">
      <text>
        <r>
          <rPr>
            <sz val="11"/>
            <color theme="1"/>
            <rFont val="Calibri"/>
            <family val="2"/>
            <scheme val="minor"/>
          </rPr>
          <t xml:space="preserve">Tsai, Michael:
KTAS v2: 146 kts
</t>
        </r>
      </text>
    </comment>
    <comment ref="A12" authorId="0" shapeId="0" xr:uid="{3820619B-268D-4684-BF07-919C8DB1FA7D}">
      <text>
        <r>
          <rPr>
            <sz val="11"/>
            <color theme="1"/>
            <rFont val="Calibri"/>
            <family val="2"/>
            <scheme val="minor"/>
          </rPr>
          <t xml:space="preserve">Patel, Janki:
mach calculated by using cruise alt --&gt; temp --&gt; speed of sound (cruise speed / speed of sound) (orange)
max altitude, could not find cruise alt. (brown)
</t>
        </r>
      </text>
    </comment>
    <comment ref="CA13" authorId="1" shapeId="0" xr:uid="{E8BDD3B3-3583-4DF8-BF06-C57B4B80B7EF}">
      <text>
        <r>
          <rPr>
            <b/>
            <sz val="9"/>
            <color indexed="81"/>
            <rFont val="Tahoma"/>
            <family val="2"/>
          </rPr>
          <t>Max Arnson:</t>
        </r>
        <r>
          <rPr>
            <sz val="9"/>
            <color indexed="81"/>
            <rFont val="Tahoma"/>
            <family val="2"/>
          </rPr>
          <t xml:space="preserve">
im seeing that planes with 118A cruise a little faster. And the extended range cruises slower</t>
        </r>
      </text>
    </comment>
    <comment ref="DR14" authorId="2" shapeId="0" xr:uid="{7A1EE4E5-D7E5-4F33-8EA9-5F3F3B52942E}">
      <text>
        <r>
          <rPr>
            <sz val="11"/>
            <color theme="1"/>
            <rFont val="Calibri"/>
            <family val="2"/>
            <scheme val="minor"/>
          </rPr>
          <t>Tsai, Michael:
KTAS: 510 kts</t>
        </r>
      </text>
    </comment>
    <comment ref="DS14" authorId="2" shapeId="0" xr:uid="{4EE913D2-7E9D-4E69-8CBC-48A809F00099}">
      <text>
        <r>
          <rPr>
            <sz val="11"/>
            <color theme="1"/>
            <rFont val="Calibri"/>
            <family val="2"/>
            <scheme val="minor"/>
          </rPr>
          <t>Tsai, Michael:
KTAS: 510 kts</t>
        </r>
      </text>
    </comment>
    <comment ref="DT14" authorId="2" shapeId="0" xr:uid="{756F714E-74D6-4B78-8BC1-3B41A0B574EC}">
      <text>
        <r>
          <rPr>
            <sz val="11"/>
            <color theme="1"/>
            <rFont val="Calibri"/>
            <family val="2"/>
            <scheme val="minor"/>
          </rPr>
          <t>Tsai, Michael:
KTAS: 510 kts</t>
        </r>
      </text>
    </comment>
    <comment ref="DU14" authorId="2" shapeId="0" xr:uid="{4E74B716-0FDE-4F88-AA10-93985B68C09E}">
      <text>
        <r>
          <rPr>
            <sz val="11"/>
            <color theme="1"/>
            <rFont val="Calibri"/>
            <family val="2"/>
            <scheme val="minor"/>
          </rPr>
          <t>Tsai, Michael:
KTAS: 510 kts</t>
        </r>
      </text>
    </comment>
    <comment ref="DV14" authorId="2" shapeId="0" xr:uid="{22EC272D-5899-4B82-84F3-D2F907E2F693}">
      <text>
        <r>
          <rPr>
            <sz val="11"/>
            <color theme="1"/>
            <rFont val="Calibri"/>
            <family val="2"/>
            <scheme val="minor"/>
          </rPr>
          <t>Tsai, Michael:
KTAS: 510 kts</t>
        </r>
      </text>
    </comment>
    <comment ref="DW14" authorId="2" shapeId="0" xr:uid="{575F9EE0-0BD2-4750-A6FD-A77113BFF040}">
      <text>
        <r>
          <rPr>
            <sz val="11"/>
            <color theme="1"/>
            <rFont val="Calibri"/>
            <family val="2"/>
            <scheme val="minor"/>
          </rPr>
          <t>Tsai, Michael:
KTAS: 510 kts</t>
        </r>
      </text>
    </comment>
    <comment ref="DX14" authorId="2" shapeId="0" xr:uid="{E499788A-DD87-46E9-96F3-EFB20A8E1BF2}">
      <text>
        <r>
          <rPr>
            <sz val="11"/>
            <color theme="1"/>
            <rFont val="Calibri"/>
            <family val="2"/>
            <scheme val="minor"/>
          </rPr>
          <t>Tsai, Michael:
KTAS: 510 kts</t>
        </r>
      </text>
    </comment>
    <comment ref="DY14" authorId="2" shapeId="0" xr:uid="{E118385D-B78F-47B3-AA96-2A61B5A3202F}">
      <text>
        <r>
          <rPr>
            <sz val="11"/>
            <color theme="1"/>
            <rFont val="Calibri"/>
            <family val="2"/>
            <scheme val="minor"/>
          </rPr>
          <t>Tsai, Michael:
KTAS: 510 kts</t>
        </r>
      </text>
    </comment>
    <comment ref="DZ14" authorId="2" shapeId="0" xr:uid="{16141A76-2D7A-456C-A2AA-CC089B8BD6B3}">
      <text>
        <r>
          <rPr>
            <sz val="11"/>
            <color theme="1"/>
            <rFont val="Calibri"/>
            <family val="2"/>
            <scheme val="minor"/>
          </rPr>
          <t>Tsai, Michael:
KTAS: 460 kts</t>
        </r>
      </text>
    </comment>
    <comment ref="EA14" authorId="2" shapeId="0" xr:uid="{F7CD76D9-1845-43B3-9177-C980BE187B96}">
      <text>
        <r>
          <rPr>
            <sz val="11"/>
            <color theme="1"/>
            <rFont val="Calibri"/>
            <family val="2"/>
            <scheme val="minor"/>
          </rPr>
          <t>Tsai, Michael:
KTAS: 460 kts</t>
        </r>
      </text>
    </comment>
    <comment ref="EB14" authorId="2" shapeId="0" xr:uid="{9A4BA4EB-F5EB-4D2A-BD07-73FB35BEE392}">
      <text>
        <r>
          <rPr>
            <sz val="11"/>
            <color theme="1"/>
            <rFont val="Calibri"/>
            <family val="2"/>
            <scheme val="minor"/>
          </rPr>
          <t>Tsai, Michael:
KTAS: 460 kts</t>
        </r>
      </text>
    </comment>
    <comment ref="EC14" authorId="2" shapeId="0" xr:uid="{2570AAEC-E1E1-42D3-92A3-BE29B1ACE670}">
      <text>
        <r>
          <rPr>
            <sz val="11"/>
            <color theme="1"/>
            <rFont val="Calibri"/>
            <family val="2"/>
            <scheme val="minor"/>
          </rPr>
          <t>Tsai, Michael:
KTAS: 470 kts</t>
        </r>
      </text>
    </comment>
    <comment ref="ED14" authorId="2" shapeId="0" xr:uid="{FE470270-FBAD-4978-B862-2073BC4140E5}">
      <text>
        <r>
          <rPr>
            <sz val="11"/>
            <color theme="1"/>
            <rFont val="Calibri"/>
            <family val="2"/>
            <scheme val="minor"/>
          </rPr>
          <t>Tsai, Michael:
KTAS: 470 kts</t>
        </r>
      </text>
    </comment>
    <comment ref="EE14" authorId="2" shapeId="0" xr:uid="{BE9D7D32-63B7-4CFC-86E3-26FA747B2A67}">
      <text>
        <r>
          <rPr>
            <sz val="11"/>
            <color theme="1"/>
            <rFont val="Calibri"/>
            <family val="2"/>
            <scheme val="minor"/>
          </rPr>
          <t>Tsai, Michael:
KTAS: 470 kts</t>
        </r>
      </text>
    </comment>
    <comment ref="EF14" authorId="2" shapeId="0" xr:uid="{52F0165C-7C6D-424A-A27E-E21D1A080B4B}">
      <text>
        <r>
          <rPr>
            <sz val="11"/>
            <color theme="1"/>
            <rFont val="Calibri"/>
            <family val="2"/>
            <scheme val="minor"/>
          </rPr>
          <t>Tsai, Michael:
KTAS: 470 kts</t>
        </r>
      </text>
    </comment>
    <comment ref="EG14" authorId="2" shapeId="0" xr:uid="{74DA010F-97AA-44A4-93FB-B74DA7AFD0F6}">
      <text>
        <r>
          <rPr>
            <sz val="11"/>
            <color theme="1"/>
            <rFont val="Calibri"/>
            <family val="2"/>
            <scheme val="minor"/>
          </rPr>
          <t>Tsai, Michael:
KTAS: 470 kts</t>
        </r>
      </text>
    </comment>
    <comment ref="EH14" authorId="2" shapeId="0" xr:uid="{329DC6EF-A0EA-4CCF-8EB3-14528E23C822}">
      <text>
        <r>
          <rPr>
            <sz val="11"/>
            <color theme="1"/>
            <rFont val="Calibri"/>
            <family val="2"/>
            <scheme val="minor"/>
          </rPr>
          <t>Tsai, Michael:
KTAS: 470 kts</t>
        </r>
      </text>
    </comment>
    <comment ref="EI14" authorId="2" shapeId="0" xr:uid="{989ADDA2-EF2E-4651-B037-9FFBF519B70D}">
      <text>
        <r>
          <rPr>
            <sz val="11"/>
            <color theme="1"/>
            <rFont val="Calibri"/>
            <family val="2"/>
            <scheme val="minor"/>
          </rPr>
          <t>Tsai, Michael:
KTAS: 470 kts</t>
        </r>
      </text>
    </comment>
    <comment ref="EJ14" authorId="2" shapeId="0" xr:uid="{969A3B0F-CB6A-4D82-81FC-011B99B69BD0}">
      <text>
        <r>
          <rPr>
            <sz val="11"/>
            <color theme="1"/>
            <rFont val="Calibri"/>
            <family val="2"/>
            <scheme val="minor"/>
          </rPr>
          <t>Tsai, Michael:
KTAS: 435 kts</t>
        </r>
      </text>
    </comment>
    <comment ref="EK14" authorId="2" shapeId="0" xr:uid="{D0F04C85-B1E4-46C1-A34F-C8DA3F82C6B5}">
      <text>
        <r>
          <rPr>
            <sz val="11"/>
            <color theme="1"/>
            <rFont val="Calibri"/>
            <family val="2"/>
            <scheme val="minor"/>
          </rPr>
          <t>Tsai, Michael:
KTAS: 435 kts</t>
        </r>
      </text>
    </comment>
    <comment ref="EL14" authorId="2" shapeId="0" xr:uid="{DD6485D7-AD3C-427D-B5E6-242536214F2E}">
      <text>
        <r>
          <rPr>
            <sz val="11"/>
            <color theme="1"/>
            <rFont val="Calibri"/>
            <family val="2"/>
            <scheme val="minor"/>
          </rPr>
          <t>Tsai, Michael:
KTAS: 470 kts (2)</t>
        </r>
      </text>
    </comment>
    <comment ref="EM14" authorId="2" shapeId="0" xr:uid="{078C9673-5497-4A07-A191-15D4ABE7374E}">
      <text>
        <r>
          <rPr>
            <sz val="11"/>
            <color theme="1"/>
            <rFont val="Calibri"/>
            <family val="2"/>
            <scheme val="minor"/>
          </rPr>
          <t>Tsai, Michael:
KTAS: 470 kts (2)</t>
        </r>
      </text>
    </comment>
    <comment ref="EN14" authorId="2" shapeId="0" xr:uid="{0C8CB8F7-46B6-4750-A063-6566D08241A3}">
      <text>
        <r>
          <rPr>
            <sz val="11"/>
            <color theme="1"/>
            <rFont val="Calibri"/>
            <family val="2"/>
            <scheme val="minor"/>
          </rPr>
          <t>Tsai, Michael:
KTAS: 470 kts (2)</t>
        </r>
      </text>
    </comment>
    <comment ref="EO14" authorId="2" shapeId="0" xr:uid="{AAAD040F-1CDF-4364-9938-C78D63496F72}">
      <text>
        <r>
          <rPr>
            <sz val="11"/>
            <color theme="1"/>
            <rFont val="Calibri"/>
            <family val="2"/>
            <scheme val="minor"/>
          </rPr>
          <t>Tsai, Michael:
KTAS: 470 kts (2)</t>
        </r>
      </text>
    </comment>
    <comment ref="EP14" authorId="2" shapeId="0" xr:uid="{6D3F237C-0BBC-4336-A920-551859CC9D0A}">
      <text>
        <r>
          <rPr>
            <sz val="11"/>
            <color theme="1"/>
            <rFont val="Calibri"/>
            <family val="2"/>
            <scheme val="minor"/>
          </rPr>
          <t>Tsai, Michael:
KTAS: 470 kts (2)</t>
        </r>
      </text>
    </comment>
    <comment ref="EQ14" authorId="2" shapeId="0" xr:uid="{FAAB70CF-ED52-493C-9501-9793AD4AA1AF}">
      <text>
        <r>
          <rPr>
            <sz val="11"/>
            <color theme="1"/>
            <rFont val="Calibri"/>
            <family val="2"/>
            <scheme val="minor"/>
          </rPr>
          <t>Tsai, Michael:
KTAS: 470 kts (2)</t>
        </r>
      </text>
    </comment>
    <comment ref="ER14" authorId="2" shapeId="0" xr:uid="{D22F61BC-1230-405B-AD05-1822EF71A2E6}">
      <text>
        <r>
          <rPr>
            <sz val="11"/>
            <color theme="1"/>
            <rFont val="Calibri"/>
            <family val="2"/>
            <scheme val="minor"/>
          </rPr>
          <t>Tsai, Michael:
KTAS: 470 kts (2)</t>
        </r>
      </text>
    </comment>
    <comment ref="ES14" authorId="2" shapeId="0" xr:uid="{16D55A28-3F54-410B-8A6B-1290BB84979D}">
      <text>
        <r>
          <rPr>
            <sz val="11"/>
            <color theme="1"/>
            <rFont val="Calibri"/>
            <family val="2"/>
            <scheme val="minor"/>
          </rPr>
          <t>Tsai, Michael:
KTAS: 470 kts (2)</t>
        </r>
      </text>
    </comment>
    <comment ref="ET14" authorId="2" shapeId="0" xr:uid="{5D34346A-A2FE-417D-BDF4-E4B1584A2FED}">
      <text>
        <r>
          <rPr>
            <sz val="11"/>
            <color theme="1"/>
            <rFont val="Calibri"/>
            <family val="2"/>
            <scheme val="minor"/>
          </rPr>
          <t>Tsai, Michael:
KTAS = 420</t>
        </r>
      </text>
    </comment>
    <comment ref="EU14" authorId="2" shapeId="0" xr:uid="{9A6744F8-1CEF-46B9-B90B-F9DAC0870D08}">
      <text>
        <r>
          <rPr>
            <sz val="11"/>
            <color theme="1"/>
            <rFont val="Calibri"/>
            <family val="2"/>
            <scheme val="minor"/>
          </rPr>
          <t>Tsai, Michael:
KTAS = 420</t>
        </r>
      </text>
    </comment>
    <comment ref="EV14" authorId="2" shapeId="0" xr:uid="{6F940AC7-08AE-4635-BB60-0FA8E783097A}">
      <text>
        <r>
          <rPr>
            <sz val="11"/>
            <color theme="1"/>
            <rFont val="Calibri"/>
            <family val="2"/>
            <scheme val="minor"/>
          </rPr>
          <t>Tsai, Michael:
KTAS = 420</t>
        </r>
      </text>
    </comment>
    <comment ref="EW14" authorId="2" shapeId="0" xr:uid="{10ED5FBA-6A71-4BBB-9233-0094FF24DCF3}">
      <text>
        <r>
          <rPr>
            <sz val="11"/>
            <color theme="1"/>
            <rFont val="Calibri"/>
            <family val="2"/>
            <scheme val="minor"/>
          </rPr>
          <t>Tsai, Michael:
KTAS = 420</t>
        </r>
      </text>
    </comment>
    <comment ref="EX14" authorId="2" shapeId="0" xr:uid="{57A6123A-9025-4D6F-9AC5-51714CAF9BB0}">
      <text>
        <r>
          <rPr>
            <sz val="11"/>
            <color theme="1"/>
            <rFont val="Calibri"/>
            <family val="2"/>
            <scheme val="minor"/>
          </rPr>
          <t>Tsai, Michael:
KTAS = 420</t>
        </r>
      </text>
    </comment>
    <comment ref="EY14" authorId="2" shapeId="0" xr:uid="{E26C1C76-AFB3-4E92-95D1-025D055D592F}">
      <text>
        <r>
          <rPr>
            <sz val="11"/>
            <color theme="1"/>
            <rFont val="Calibri"/>
            <family val="2"/>
            <scheme val="minor"/>
          </rPr>
          <t>Tsai, Michael:
KTAS = 420</t>
        </r>
      </text>
    </comment>
    <comment ref="EZ14" authorId="2" shapeId="0" xr:uid="{AC1DA965-5E0F-4843-8F0F-23A86EDF287E}">
      <text>
        <r>
          <rPr>
            <sz val="11"/>
            <color theme="1"/>
            <rFont val="Calibri"/>
            <family val="2"/>
            <scheme val="minor"/>
          </rPr>
          <t>Tsai, Michael:
KTAS = 420</t>
        </r>
      </text>
    </comment>
    <comment ref="FA14" authorId="2" shapeId="0" xr:uid="{677E1C29-1C8D-49E2-B6AC-8E058AAD0799}">
      <text>
        <r>
          <rPr>
            <sz val="11"/>
            <color theme="1"/>
            <rFont val="Calibri"/>
            <family val="2"/>
            <scheme val="minor"/>
          </rPr>
          <t>Tsai, Michael:
KTAS = 420</t>
        </r>
      </text>
    </comment>
    <comment ref="FB14" authorId="2" shapeId="0" xr:uid="{B1EBB187-AE10-4D95-9A57-A5D019F682CE}">
      <text>
        <r>
          <rPr>
            <sz val="11"/>
            <color theme="1"/>
            <rFont val="Calibri"/>
            <family val="2"/>
            <scheme val="minor"/>
          </rPr>
          <t>Tsai, Michael:
KTAS = 420</t>
        </r>
      </text>
    </comment>
    <comment ref="FC14" authorId="2" shapeId="0" xr:uid="{33A8543F-BB3B-42F1-A2F4-D9ACFB2BE714}">
      <text>
        <r>
          <rPr>
            <sz val="11"/>
            <color theme="1"/>
            <rFont val="Calibri"/>
            <family val="2"/>
            <scheme val="minor"/>
          </rPr>
          <t>Tsai, Michael:
KTAS</t>
        </r>
      </text>
    </comment>
    <comment ref="FD14" authorId="2" shapeId="0" xr:uid="{90DB115A-8C79-4D0A-ACB1-FD05A6918525}">
      <text>
        <r>
          <rPr>
            <sz val="11"/>
            <color theme="1"/>
            <rFont val="Calibri"/>
            <family val="2"/>
            <scheme val="minor"/>
          </rPr>
          <t>Tsai, Michael:
KTAS</t>
        </r>
      </text>
    </comment>
    <comment ref="FE14" authorId="2" shapeId="0" xr:uid="{822BB4F2-1EA2-46A3-B016-3A4BBB091D6B}">
      <text>
        <r>
          <rPr>
            <sz val="11"/>
            <color theme="1"/>
            <rFont val="Calibri"/>
            <family val="2"/>
            <scheme val="minor"/>
          </rPr>
          <t>Tsai, Michael:
KTAS</t>
        </r>
      </text>
    </comment>
    <comment ref="FF14" authorId="2" shapeId="0" xr:uid="{D950631E-DA9E-461E-AD7E-D76B3C320546}">
      <text>
        <r>
          <rPr>
            <sz val="11"/>
            <color theme="1"/>
            <rFont val="Calibri"/>
            <family val="2"/>
            <scheme val="minor"/>
          </rPr>
          <t>Tsai, Michael:
KTAS</t>
        </r>
      </text>
    </comment>
    <comment ref="FG14" authorId="2" shapeId="0" xr:uid="{0C9E850B-9F57-4CE3-BECB-3F8D999B0546}">
      <text>
        <r>
          <rPr>
            <sz val="11"/>
            <color theme="1"/>
            <rFont val="Calibri"/>
            <family val="2"/>
            <scheme val="minor"/>
          </rPr>
          <t>Tsai, Michael:
KTAS</t>
        </r>
      </text>
    </comment>
    <comment ref="FH14" authorId="2" shapeId="0" xr:uid="{5A385489-C442-489A-90CE-EFE0F9B49E44}">
      <text>
        <r>
          <rPr>
            <sz val="11"/>
            <color theme="1"/>
            <rFont val="Calibri"/>
            <family val="2"/>
            <scheme val="minor"/>
          </rPr>
          <t>Tsai, Michael:
KIAS</t>
        </r>
      </text>
    </comment>
    <comment ref="FI14" authorId="2" shapeId="0" xr:uid="{09CF7CBB-2E7D-41E9-AF00-E3161D2F8E4F}">
      <text>
        <r>
          <rPr>
            <sz val="11"/>
            <color theme="1"/>
            <rFont val="Calibri"/>
            <family val="2"/>
            <scheme val="minor"/>
          </rPr>
          <t>Tsai, Michael:
KIAS</t>
        </r>
      </text>
    </comment>
    <comment ref="FJ14" authorId="2" shapeId="0" xr:uid="{6363468C-03A6-4FCB-BC62-B7CE9CEFE0F7}">
      <text>
        <r>
          <rPr>
            <sz val="11"/>
            <color theme="1"/>
            <rFont val="Calibri"/>
            <family val="2"/>
            <scheme val="minor"/>
          </rPr>
          <t>Tsai, Michael:
KIAS</t>
        </r>
      </text>
    </comment>
    <comment ref="FK14" authorId="2" shapeId="0" xr:uid="{E5B1F009-5F82-4DE3-8DCB-9A04246DF96F}">
      <text>
        <r>
          <rPr>
            <sz val="11"/>
            <color theme="1"/>
            <rFont val="Calibri"/>
            <family val="2"/>
            <scheme val="minor"/>
          </rPr>
          <t>Tsai, Michael:
KIAS</t>
        </r>
      </text>
    </comment>
    <comment ref="FM14" authorId="2" shapeId="0" xr:uid="{B47D715F-D0C1-4191-AFB2-46DA0A263EB7}">
      <text>
        <r>
          <rPr>
            <sz val="11"/>
            <color theme="1"/>
            <rFont val="Calibri"/>
            <family val="2"/>
            <scheme val="minor"/>
          </rPr>
          <t>Tsai, Michael:
KIAS</t>
        </r>
      </text>
    </comment>
    <comment ref="FN14" authorId="2" shapeId="0" xr:uid="{70B6B82B-716C-40AC-BF5A-B54E639DB327}">
      <text>
        <r>
          <rPr>
            <sz val="11"/>
            <color theme="1"/>
            <rFont val="Calibri"/>
            <family val="2"/>
            <scheme val="minor"/>
          </rPr>
          <t>Tsai, Michael:
KIAS</t>
        </r>
      </text>
    </comment>
    <comment ref="FO14" authorId="2" shapeId="0" xr:uid="{8F099B58-0BF3-47C2-9CAD-28B7C680AC2B}">
      <text>
        <r>
          <rPr>
            <sz val="11"/>
            <color theme="1"/>
            <rFont val="Calibri"/>
            <family val="2"/>
            <scheme val="minor"/>
          </rPr>
          <t xml:space="preserve">Tsai, Michael:
KIAS
reference 4 </t>
        </r>
      </text>
    </comment>
    <comment ref="FP14" authorId="2" shapeId="0" xr:uid="{79F69BEA-F7BE-4B66-AD0A-A0E678342A08}">
      <text>
        <r>
          <rPr>
            <sz val="11"/>
            <color theme="1"/>
            <rFont val="Calibri"/>
            <family val="2"/>
            <scheme val="minor"/>
          </rPr>
          <t xml:space="preserve">Tsai, Michael:
KIAS
reference 4 </t>
        </r>
      </text>
    </comment>
    <comment ref="FQ14" authorId="2" shapeId="0" xr:uid="{9E00376E-5FDA-4BE7-BBFD-43F48BBD9434}">
      <text>
        <r>
          <rPr>
            <sz val="11"/>
            <color theme="1"/>
            <rFont val="Calibri"/>
            <family val="2"/>
            <scheme val="minor"/>
          </rPr>
          <t xml:space="preserve">Tsai, Michael:
KIAS
reference 4 </t>
        </r>
      </text>
    </comment>
    <comment ref="FR14" authorId="2" shapeId="0" xr:uid="{3FDA1747-1D1B-413D-82A8-E40B66D17E36}">
      <text>
        <r>
          <rPr>
            <sz val="11"/>
            <color theme="1"/>
            <rFont val="Calibri"/>
            <family val="2"/>
            <scheme val="minor"/>
          </rPr>
          <t xml:space="preserve">Tsai, Michael:
KIAS
reference 4 </t>
        </r>
      </text>
    </comment>
    <comment ref="FS14" authorId="2" shapeId="0" xr:uid="{017EDD70-84EE-4F40-8886-DC644A9D54DF}">
      <text>
        <r>
          <rPr>
            <sz val="11"/>
            <color theme="1"/>
            <rFont val="Calibri"/>
            <family val="2"/>
            <scheme val="minor"/>
          </rPr>
          <t xml:space="preserve">Tsai, Michael:
KIAS
reference 4 </t>
        </r>
      </text>
    </comment>
    <comment ref="FT14" authorId="2" shapeId="0" xr:uid="{E4D56AFC-869F-44F3-89D8-211A133525F0}">
      <text>
        <r>
          <rPr>
            <sz val="11"/>
            <color theme="1"/>
            <rFont val="Calibri"/>
            <family val="2"/>
            <scheme val="minor"/>
          </rPr>
          <t xml:space="preserve">Tsai, Michael:
KIAS
reference 4 </t>
        </r>
      </text>
    </comment>
    <comment ref="FU14" authorId="2" shapeId="0" xr:uid="{B949C851-6B87-4BDA-9DD9-2DC066BABDEC}">
      <text>
        <r>
          <rPr>
            <sz val="11"/>
            <color theme="1"/>
            <rFont val="Calibri"/>
            <family val="2"/>
            <scheme val="minor"/>
          </rPr>
          <t xml:space="preserve">Tsai, Michael:
KIAS
reference 4 </t>
        </r>
      </text>
    </comment>
    <comment ref="FV14" authorId="2" shapeId="0" xr:uid="{CDE71955-7D6E-4B3E-AAAE-E909166A5556}">
      <text>
        <r>
          <rPr>
            <sz val="11"/>
            <color theme="1"/>
            <rFont val="Calibri"/>
            <family val="2"/>
            <scheme val="minor"/>
          </rPr>
          <t>Tsai, Michael:
KTAS: 470 kts</t>
        </r>
      </text>
    </comment>
    <comment ref="FW14" authorId="2" shapeId="0" xr:uid="{671FEAF7-91FC-4478-A54D-E721717AF1C0}">
      <text>
        <r>
          <rPr>
            <sz val="11"/>
            <color theme="1"/>
            <rFont val="Calibri"/>
            <family val="2"/>
            <scheme val="minor"/>
          </rPr>
          <t>Tsai, Michael:
KTAS: 470 kts</t>
        </r>
      </text>
    </comment>
    <comment ref="FX14" authorId="2" shapeId="0" xr:uid="{1E485B25-9CD9-4252-BC09-7F075BA874BB}">
      <text>
        <r>
          <rPr>
            <sz val="11"/>
            <color theme="1"/>
            <rFont val="Calibri"/>
            <family val="2"/>
            <scheme val="minor"/>
          </rPr>
          <t>Tsai, Michael:
KTAS: 470 kts</t>
        </r>
      </text>
    </comment>
    <comment ref="FY14" authorId="2" shapeId="0" xr:uid="{FB277B43-2CBF-40D0-8185-99A4859EF15E}">
      <text>
        <r>
          <rPr>
            <sz val="11"/>
            <color theme="1"/>
            <rFont val="Calibri"/>
            <family val="2"/>
            <scheme val="minor"/>
          </rPr>
          <t>Tsai, Michael:
KTAS: 470 kts</t>
        </r>
      </text>
    </comment>
    <comment ref="FZ14" authorId="2" shapeId="0" xr:uid="{F6817665-D3B1-4B8D-9E20-44BE9C1618C1}">
      <text>
        <r>
          <rPr>
            <sz val="11"/>
            <color theme="1"/>
            <rFont val="Calibri"/>
            <family val="2"/>
            <scheme val="minor"/>
          </rPr>
          <t>Tsai, Michael:
KTAS: 470 kts</t>
        </r>
      </text>
    </comment>
    <comment ref="GA14" authorId="2" shapeId="0" xr:uid="{37A18E10-8443-4984-883D-23A0D4BCAF06}">
      <text>
        <r>
          <rPr>
            <sz val="11"/>
            <color theme="1"/>
            <rFont val="Calibri"/>
            <family val="2"/>
            <scheme val="minor"/>
          </rPr>
          <t>Tsai, Michael:
KTAS: 470 kts</t>
        </r>
      </text>
    </comment>
    <comment ref="GB14" authorId="2" shapeId="0" xr:uid="{160D3352-F325-4BC8-9F3B-6704135246A6}">
      <text>
        <r>
          <rPr>
            <sz val="11"/>
            <color theme="1"/>
            <rFont val="Calibri"/>
            <family val="2"/>
            <scheme val="minor"/>
          </rPr>
          <t>Tsai, Michael:
KTAS: 470 kts</t>
        </r>
      </text>
    </comment>
    <comment ref="GC14" authorId="2" shapeId="0" xr:uid="{99E7F9AD-5526-407F-90F3-E0DD164C38BE}">
      <text>
        <r>
          <rPr>
            <sz val="11"/>
            <color theme="1"/>
            <rFont val="Calibri"/>
            <family val="2"/>
            <scheme val="minor"/>
          </rPr>
          <t>Tsai, Michael:
KTAS: 470 kts</t>
        </r>
      </text>
    </comment>
    <comment ref="GD14" authorId="2" shapeId="0" xr:uid="{7D199CC8-6F7B-4789-BCA3-01F78F736ECA}">
      <text>
        <r>
          <rPr>
            <sz val="11"/>
            <color theme="1"/>
            <rFont val="Calibri"/>
            <family val="2"/>
            <scheme val="minor"/>
          </rPr>
          <t>Tsai, Michael:
KTAS: 470 kts</t>
        </r>
      </text>
    </comment>
    <comment ref="GE14" authorId="2" shapeId="0" xr:uid="{526A1659-6664-4BF8-9B49-B63D83A0CB8C}">
      <text>
        <r>
          <rPr>
            <sz val="11"/>
            <color theme="1"/>
            <rFont val="Calibri"/>
            <family val="2"/>
            <scheme val="minor"/>
          </rPr>
          <t>Tsai, Michael:
KTAS: 470 kts</t>
        </r>
      </text>
    </comment>
    <comment ref="GF14" authorId="2" shapeId="0" xr:uid="{7C4BB7EE-7AE2-405F-ACF2-424B40AE7ABE}">
      <text>
        <r>
          <rPr>
            <sz val="11"/>
            <color theme="1"/>
            <rFont val="Calibri"/>
            <family val="2"/>
            <scheme val="minor"/>
          </rPr>
          <t>Tsai, Michael:
KTAS: 460 kts</t>
        </r>
      </text>
    </comment>
    <comment ref="GG14" authorId="2" shapeId="0" xr:uid="{BDC4E76B-D002-4137-B83C-6F12746180C0}">
      <text>
        <r>
          <rPr>
            <sz val="11"/>
            <color theme="1"/>
            <rFont val="Calibri"/>
            <family val="2"/>
            <scheme val="minor"/>
          </rPr>
          <t>Tsai, Michael:
KTAS: 460 kts</t>
        </r>
      </text>
    </comment>
    <comment ref="GH14" authorId="2" shapeId="0" xr:uid="{9F8DDDC3-735E-49BE-B12E-A2ABDCB720B9}">
      <text>
        <r>
          <rPr>
            <sz val="11"/>
            <color theme="1"/>
            <rFont val="Calibri"/>
            <family val="2"/>
            <scheme val="minor"/>
          </rPr>
          <t>Tsai, Michael:
KTAS: 460 kts</t>
        </r>
      </text>
    </comment>
    <comment ref="GI14" authorId="2" shapeId="0" xr:uid="{67D72065-A78B-4B99-9D26-1BD52FC48AB3}">
      <text>
        <r>
          <rPr>
            <sz val="11"/>
            <color theme="1"/>
            <rFont val="Calibri"/>
            <family val="2"/>
            <scheme val="minor"/>
          </rPr>
          <t>Tsai, Michael:
KTAS: 460 kts</t>
        </r>
      </text>
    </comment>
    <comment ref="GJ14" authorId="2" shapeId="0" xr:uid="{662D4746-5425-4457-BF24-96DA8318D23F}">
      <text>
        <r>
          <rPr>
            <sz val="11"/>
            <color theme="1"/>
            <rFont val="Calibri"/>
            <family val="2"/>
            <scheme val="minor"/>
          </rPr>
          <t>Tsai, Michael:
KTAS: 460 kts</t>
        </r>
      </text>
    </comment>
    <comment ref="GK14" authorId="2" shapeId="0" xr:uid="{76506539-EFD2-4AC8-A5A8-EE6174491F4C}">
      <text>
        <r>
          <rPr>
            <sz val="11"/>
            <color theme="1"/>
            <rFont val="Calibri"/>
            <family val="2"/>
            <scheme val="minor"/>
          </rPr>
          <t>Tsai, Michael:
KTAS: 460 kts</t>
        </r>
      </text>
    </comment>
    <comment ref="GL14" authorId="2" shapeId="0" xr:uid="{A4DF8019-CFD1-42C0-8E1C-9F5727A06999}">
      <text>
        <r>
          <rPr>
            <sz val="11"/>
            <color theme="1"/>
            <rFont val="Calibri"/>
            <family val="2"/>
            <scheme val="minor"/>
          </rPr>
          <t>Tsai, Michael:
KTAS: 460 kts</t>
        </r>
      </text>
    </comment>
    <comment ref="GM14" authorId="2" shapeId="0" xr:uid="{CA4127CB-265E-465E-98CC-C83028B3E443}">
      <text>
        <r>
          <rPr>
            <sz val="11"/>
            <color theme="1"/>
            <rFont val="Calibri"/>
            <family val="2"/>
            <scheme val="minor"/>
          </rPr>
          <t>Tsai, Michael:
KTAS: 460 kts</t>
        </r>
      </text>
    </comment>
    <comment ref="GN14" authorId="2" shapeId="0" xr:uid="{C5ABC2A2-AEC3-4F42-93B3-9D25F39C6200}">
      <text>
        <r>
          <rPr>
            <sz val="11"/>
            <color theme="1"/>
            <rFont val="Calibri"/>
            <family val="2"/>
            <scheme val="minor"/>
          </rPr>
          <t>Tsai, Michael:
KTAS: 460 kts</t>
        </r>
      </text>
    </comment>
    <comment ref="GO14" authorId="2" shapeId="0" xr:uid="{93826541-A533-438A-B43C-5A05B22EBC0C}">
      <text>
        <r>
          <rPr>
            <sz val="11"/>
            <color theme="1"/>
            <rFont val="Calibri"/>
            <family val="2"/>
            <scheme val="minor"/>
          </rPr>
          <t>Tsai, Michael:
KTAS: 460 kts</t>
        </r>
      </text>
    </comment>
    <comment ref="GP14" authorId="2" shapeId="0" xr:uid="{8F11A32B-C30C-4E23-A112-7393F517431F}">
      <text>
        <r>
          <rPr>
            <sz val="11"/>
            <color theme="1"/>
            <rFont val="Calibri"/>
            <family val="2"/>
            <scheme val="minor"/>
          </rPr>
          <t>Tsai, Michael:
KTAS: 480 kts</t>
        </r>
      </text>
    </comment>
    <comment ref="GQ14" authorId="2" shapeId="0" xr:uid="{F69F1932-E280-434B-ACC0-A941D37A426B}">
      <text>
        <r>
          <rPr>
            <sz val="11"/>
            <color theme="1"/>
            <rFont val="Calibri"/>
            <family val="2"/>
            <scheme val="minor"/>
          </rPr>
          <t>Tsai, Michael:
KTAS: 480 kts</t>
        </r>
      </text>
    </comment>
    <comment ref="GR14" authorId="2" shapeId="0" xr:uid="{BDD4E8B7-89CF-410E-9F04-19E24C05E141}">
      <text>
        <r>
          <rPr>
            <sz val="11"/>
            <color theme="1"/>
            <rFont val="Calibri"/>
            <family val="2"/>
            <scheme val="minor"/>
          </rPr>
          <t>Tsai, Michael:
KTAS: 480 kts</t>
        </r>
      </text>
    </comment>
    <comment ref="GS14" authorId="2" shapeId="0" xr:uid="{A9A68AE0-6739-4B3A-9BBC-A06798A79D86}">
      <text>
        <r>
          <rPr>
            <sz val="11"/>
            <color theme="1"/>
            <rFont val="Calibri"/>
            <family val="2"/>
            <scheme val="minor"/>
          </rPr>
          <t>Tsai, Michael:
KTAS: 480 kts</t>
        </r>
      </text>
    </comment>
    <comment ref="GT14" authorId="2" shapeId="0" xr:uid="{DBCE838C-642E-4413-B5A7-2F20FEB11C0B}">
      <text>
        <r>
          <rPr>
            <sz val="11"/>
            <color theme="1"/>
            <rFont val="Calibri"/>
            <family val="2"/>
            <scheme val="minor"/>
          </rPr>
          <t>Tsai, Michael:
KTAS: 480 kts</t>
        </r>
      </text>
    </comment>
    <comment ref="GU14" authorId="2" shapeId="0" xr:uid="{01A50765-3B27-4E45-BB91-947A5B942C0A}">
      <text>
        <r>
          <rPr>
            <sz val="11"/>
            <color theme="1"/>
            <rFont val="Calibri"/>
            <family val="2"/>
            <scheme val="minor"/>
          </rPr>
          <t>Tsai, Michael:
KTAS: 480 kts</t>
        </r>
      </text>
    </comment>
    <comment ref="GV14" authorId="2" shapeId="0" xr:uid="{7DE3EC54-4F25-402B-95F2-673DCE41A065}">
      <text>
        <r>
          <rPr>
            <sz val="11"/>
            <color theme="1"/>
            <rFont val="Calibri"/>
            <family val="2"/>
            <scheme val="minor"/>
          </rPr>
          <t>Tsai, Michael:
KTAS: 480 kts</t>
        </r>
      </text>
    </comment>
    <comment ref="GW14" authorId="2" shapeId="0" xr:uid="{0A11CA97-E453-4F97-ABDD-3D8032218C3A}">
      <text>
        <r>
          <rPr>
            <sz val="11"/>
            <color theme="1"/>
            <rFont val="Calibri"/>
            <family val="2"/>
            <scheme val="minor"/>
          </rPr>
          <t>Tsai, Michael:
KTAS: 480 kts</t>
        </r>
      </text>
    </comment>
    <comment ref="GX14" authorId="2" shapeId="0" xr:uid="{827EED59-3010-42C1-BC10-64BBF880DE17}">
      <text>
        <r>
          <rPr>
            <sz val="11"/>
            <color theme="1"/>
            <rFont val="Calibri"/>
            <family val="2"/>
            <scheme val="minor"/>
          </rPr>
          <t>Tsai, Michael:
KTAS: 480 kts</t>
        </r>
      </text>
    </comment>
    <comment ref="GY14" authorId="2" shapeId="0" xr:uid="{E70C429F-9019-4216-BEEE-400D3BBF482D}">
      <text>
        <r>
          <rPr>
            <sz val="11"/>
            <color theme="1"/>
            <rFont val="Calibri"/>
            <family val="2"/>
            <scheme val="minor"/>
          </rPr>
          <t>Tsai, Michael:
KTAS: 460 kts</t>
        </r>
      </text>
    </comment>
    <comment ref="GZ14" authorId="2" shapeId="0" xr:uid="{84E84D04-C28F-43F9-B854-F625C7DB7B99}">
      <text>
        <r>
          <rPr>
            <sz val="11"/>
            <color theme="1"/>
            <rFont val="Calibri"/>
            <family val="2"/>
            <scheme val="minor"/>
          </rPr>
          <t xml:space="preserve">Tsai, Michael:
KTAS: </t>
        </r>
      </text>
    </comment>
    <comment ref="HA14" authorId="2" shapeId="0" xr:uid="{7E097EB7-0FA8-4763-9ABF-1705A98A7217}">
      <text>
        <r>
          <rPr>
            <sz val="11"/>
            <color theme="1"/>
            <rFont val="Calibri"/>
            <family val="2"/>
            <scheme val="minor"/>
          </rPr>
          <t xml:space="preserve">Tsai, Michael:
KTAS: </t>
        </r>
      </text>
    </comment>
    <comment ref="HB14" authorId="2" shapeId="0" xr:uid="{24A8ED55-7E6B-4331-9B70-0E0B63339ACF}">
      <text>
        <r>
          <rPr>
            <sz val="11"/>
            <color theme="1"/>
            <rFont val="Calibri"/>
            <family val="2"/>
            <scheme val="minor"/>
          </rPr>
          <t xml:space="preserve">Tsai, Michael:
KTAS: </t>
        </r>
      </text>
    </comment>
    <comment ref="HC14" authorId="2" shapeId="0" xr:uid="{A4BC706F-BE5F-4FB9-996B-C7A24AE52249}">
      <text>
        <r>
          <rPr>
            <sz val="11"/>
            <color theme="1"/>
            <rFont val="Calibri"/>
            <family val="2"/>
            <scheme val="minor"/>
          </rPr>
          <t>Tsai, Michael:
KTAS: 450 kts</t>
        </r>
      </text>
    </comment>
    <comment ref="HD14" authorId="2" shapeId="0" xr:uid="{D890FEB4-9C3E-41A8-AAEE-CFAC1AD9F684}">
      <text>
        <r>
          <rPr>
            <sz val="11"/>
            <color theme="1"/>
            <rFont val="Calibri"/>
            <family val="2"/>
            <scheme val="minor"/>
          </rPr>
          <t>Tsai, Michael:
KTAS: 450 kts</t>
        </r>
      </text>
    </comment>
    <comment ref="HE14" authorId="2" shapeId="0" xr:uid="{C6602B93-B4AA-4F33-B43A-5DC32C4DC0ED}">
      <text>
        <r>
          <rPr>
            <sz val="11"/>
            <color theme="1"/>
            <rFont val="Calibri"/>
            <family val="2"/>
            <scheme val="minor"/>
          </rPr>
          <t>Tsai, Michael:
KTAS: 450 kts</t>
        </r>
      </text>
    </comment>
    <comment ref="HF14" authorId="2" shapeId="0" xr:uid="{2D72E6C7-649B-47C8-8DCE-91970C17583B}">
      <text>
        <r>
          <rPr>
            <sz val="11"/>
            <color theme="1"/>
            <rFont val="Calibri"/>
            <family val="2"/>
            <scheme val="minor"/>
          </rPr>
          <t>Tsai, Michael:
KTAS: 450 kts</t>
        </r>
      </text>
    </comment>
    <comment ref="HG14" authorId="2" shapeId="0" xr:uid="{E688356C-0154-45E4-91AD-0A6A0C52624A}">
      <text>
        <r>
          <rPr>
            <sz val="11"/>
            <color theme="1"/>
            <rFont val="Calibri"/>
            <family val="2"/>
            <scheme val="minor"/>
          </rPr>
          <t>Tsai, Michael:
KTAS: 450 kts</t>
        </r>
      </text>
    </comment>
    <comment ref="HH14" authorId="2" shapeId="0" xr:uid="{4782883C-BAD0-4965-9B4D-C98009D5CD54}">
      <text>
        <r>
          <rPr>
            <sz val="11"/>
            <color theme="1"/>
            <rFont val="Calibri"/>
            <family val="2"/>
            <scheme val="minor"/>
          </rPr>
          <t>Tsai, Michael:
KTAS: 450 kts</t>
        </r>
      </text>
    </comment>
    <comment ref="HI14" authorId="2" shapeId="0" xr:uid="{0BAC8A75-2CD3-4BD5-8AED-DD68F8D91B71}">
      <text>
        <r>
          <rPr>
            <sz val="11"/>
            <color theme="1"/>
            <rFont val="Calibri"/>
            <family val="2"/>
            <scheme val="minor"/>
          </rPr>
          <t>Tsai, Michael:
KTAS: 450 kts</t>
        </r>
      </text>
    </comment>
    <comment ref="HJ14" authorId="2" shapeId="0" xr:uid="{A81E62DA-2840-4121-B6BE-355A04C77399}">
      <text>
        <r>
          <rPr>
            <sz val="11"/>
            <color theme="1"/>
            <rFont val="Calibri"/>
            <family val="2"/>
            <scheme val="minor"/>
          </rPr>
          <t>Tsai, Michael:
KTAS: 450 kts</t>
        </r>
      </text>
    </comment>
    <comment ref="HK14" authorId="2" shapeId="0" xr:uid="{F3A9320B-7931-4386-BA40-FEB1CCD4C5DA}">
      <text>
        <r>
          <rPr>
            <sz val="11"/>
            <color theme="1"/>
            <rFont val="Calibri"/>
            <family val="2"/>
            <scheme val="minor"/>
          </rPr>
          <t>Tsai, Michael:
KTAS: 450 kts</t>
        </r>
      </text>
    </comment>
    <comment ref="HL14" authorId="2" shapeId="0" xr:uid="{77E3C8E2-9519-4BD1-A9D9-DD88C3F7AC7E}">
      <text>
        <r>
          <rPr>
            <sz val="11"/>
            <color theme="1"/>
            <rFont val="Calibri"/>
            <family val="2"/>
            <scheme val="minor"/>
          </rPr>
          <t>Tsai, Michael:
KTAS: 450 kts</t>
        </r>
      </text>
    </comment>
    <comment ref="HM14" authorId="2" shapeId="0" xr:uid="{D504149E-DA8A-47F2-9DE0-E2317730A561}">
      <text>
        <r>
          <rPr>
            <sz val="11"/>
            <color theme="1"/>
            <rFont val="Calibri"/>
            <family val="2"/>
            <scheme val="minor"/>
          </rPr>
          <t>Tsai, Michael:
KTAS: 450 kts</t>
        </r>
      </text>
    </comment>
    <comment ref="HN14" authorId="2" shapeId="0" xr:uid="{DFDD07B6-BDB5-43A6-ABEF-9ADD39675258}">
      <text>
        <r>
          <rPr>
            <sz val="11"/>
            <color theme="1"/>
            <rFont val="Calibri"/>
            <family val="2"/>
            <scheme val="minor"/>
          </rPr>
          <t>Tsai, Michael:
KTAS: 450 kts</t>
        </r>
      </text>
    </comment>
    <comment ref="HO14" authorId="2" shapeId="0" xr:uid="{A7982A90-EB48-4619-967F-5F45C7E383C8}">
      <text>
        <r>
          <rPr>
            <sz val="11"/>
            <color theme="1"/>
            <rFont val="Calibri"/>
            <family val="2"/>
            <scheme val="minor"/>
          </rPr>
          <t>Tsai, Michael:
KTAS: 450 kts</t>
        </r>
      </text>
    </comment>
    <comment ref="HP14" authorId="2" shapeId="0" xr:uid="{7E10229C-C40E-4B18-A473-4CC264B02FD6}">
      <text>
        <r>
          <rPr>
            <sz val="11"/>
            <color theme="1"/>
            <rFont val="Calibri"/>
            <family val="2"/>
            <scheme val="minor"/>
          </rPr>
          <t>Tsai, Michael:
KTAS: 450 kts</t>
        </r>
      </text>
    </comment>
    <comment ref="HQ14" authorId="2" shapeId="0" xr:uid="{ADDC6725-E006-4F7C-80DA-D5B76728323E}">
      <text>
        <r>
          <rPr>
            <sz val="11"/>
            <color theme="1"/>
            <rFont val="Calibri"/>
            <family val="2"/>
            <scheme val="minor"/>
          </rPr>
          <t>Tsai, Michael:
KTAS: 450 kts</t>
        </r>
      </text>
    </comment>
    <comment ref="HR14" authorId="2" shapeId="0" xr:uid="{0CB440F2-38CE-414A-9A6C-CDB01A52A4F6}">
      <text>
        <r>
          <rPr>
            <sz val="11"/>
            <color theme="1"/>
            <rFont val="Calibri"/>
            <family val="2"/>
            <scheme val="minor"/>
          </rPr>
          <t>Tsai, Michael:
KTAS: 450 kts</t>
        </r>
      </text>
    </comment>
    <comment ref="HS14" authorId="2" shapeId="0" xr:uid="{9909644E-0521-418C-AA2D-231A5DC1B4B3}">
      <text>
        <r>
          <rPr>
            <sz val="11"/>
            <color theme="1"/>
            <rFont val="Calibri"/>
            <family val="2"/>
            <scheme val="minor"/>
          </rPr>
          <t>Tsai, Michael:
KTAS: 450 kts</t>
        </r>
      </text>
    </comment>
    <comment ref="HT14" authorId="2" shapeId="0" xr:uid="{EC0014C6-ED56-4978-987C-7DFBE4889F4F}">
      <text>
        <r>
          <rPr>
            <sz val="11"/>
            <color theme="1"/>
            <rFont val="Calibri"/>
            <family val="2"/>
            <scheme val="minor"/>
          </rPr>
          <t>Tsai, Michael:
KTAS: 450 kts</t>
        </r>
      </text>
    </comment>
    <comment ref="HU14" authorId="2" shapeId="0" xr:uid="{D509FD5E-B2CF-4730-8E3D-8F76A0BD06F4}">
      <text>
        <r>
          <rPr>
            <sz val="11"/>
            <color theme="1"/>
            <rFont val="Calibri"/>
            <family val="2"/>
            <scheme val="minor"/>
          </rPr>
          <t>Tsai, Michael:
KTAS: 450 kts</t>
        </r>
      </text>
    </comment>
    <comment ref="HV14" authorId="2" shapeId="0" xr:uid="{3032722B-052A-467F-B91F-5223BF11C273}">
      <text>
        <r>
          <rPr>
            <sz val="11"/>
            <color theme="1"/>
            <rFont val="Calibri"/>
            <family val="2"/>
            <scheme val="minor"/>
          </rPr>
          <t>Tsai, Michael:
KTAS: 450 kts</t>
        </r>
      </text>
    </comment>
    <comment ref="HW14" authorId="2" shapeId="0" xr:uid="{6167EFD9-D4CE-489E-80B8-0F1619E33139}">
      <text>
        <r>
          <rPr>
            <sz val="11"/>
            <color theme="1"/>
            <rFont val="Calibri"/>
            <family val="2"/>
            <scheme val="minor"/>
          </rPr>
          <t>Tsai, Michael:
KTAS: 450 kts</t>
        </r>
      </text>
    </comment>
    <comment ref="HX14" authorId="2" shapeId="0" xr:uid="{DDEDADA5-D3AC-4894-835B-91933F6A7B8E}">
      <text>
        <r>
          <rPr>
            <sz val="11"/>
            <color theme="1"/>
            <rFont val="Calibri"/>
            <family val="2"/>
            <scheme val="minor"/>
          </rPr>
          <t>Tsai, Michael:
KTAS: 450 kts</t>
        </r>
      </text>
    </comment>
    <comment ref="HY14" authorId="2" shapeId="0" xr:uid="{E3A13693-A4FD-4075-B4DF-41E22E97B415}">
      <text>
        <r>
          <rPr>
            <sz val="11"/>
            <color theme="1"/>
            <rFont val="Calibri"/>
            <family val="2"/>
            <scheme val="minor"/>
          </rPr>
          <t>Tsai, Michael:
KTAS: 450 kts</t>
        </r>
      </text>
    </comment>
    <comment ref="HZ14" authorId="2" shapeId="0" xr:uid="{6CDC486C-7A34-49DA-A7D4-A39FBBE0C3C7}">
      <text>
        <r>
          <rPr>
            <sz val="11"/>
            <color theme="1"/>
            <rFont val="Calibri"/>
            <family val="2"/>
            <scheme val="minor"/>
          </rPr>
          <t>Tsai, Michael:
KTAS: 450 kts</t>
        </r>
      </text>
    </comment>
    <comment ref="IA14" authorId="2" shapeId="0" xr:uid="{B45F48A4-B3CC-4F19-A18E-52E78BC757E5}">
      <text>
        <r>
          <rPr>
            <sz val="11"/>
            <color theme="1"/>
            <rFont val="Calibri"/>
            <family val="2"/>
            <scheme val="minor"/>
          </rPr>
          <t>Tsai, Michael:
KTAS: 450 kts</t>
        </r>
      </text>
    </comment>
    <comment ref="IB14" authorId="2" shapeId="0" xr:uid="{D2C70F3E-44A3-4473-A9A4-10F9A938E040}">
      <text>
        <r>
          <rPr>
            <sz val="11"/>
            <color theme="1"/>
            <rFont val="Calibri"/>
            <family val="2"/>
            <scheme val="minor"/>
          </rPr>
          <t>Tsai, Michael:
KTAS: 450 kts</t>
        </r>
      </text>
    </comment>
    <comment ref="IC14" authorId="2" shapeId="0" xr:uid="{3E8804DB-149F-448F-AD24-4E5EAE068140}">
      <text>
        <r>
          <rPr>
            <sz val="11"/>
            <color theme="1"/>
            <rFont val="Calibri"/>
            <family val="2"/>
            <scheme val="minor"/>
          </rPr>
          <t>Tsai, Michael:
KTAS: 450 kts</t>
        </r>
      </text>
    </comment>
    <comment ref="ID14" authorId="2" shapeId="0" xr:uid="{6217C6F8-7D7D-463C-AF91-5079EFD57887}">
      <text>
        <r>
          <rPr>
            <sz val="11"/>
            <color theme="1"/>
            <rFont val="Calibri"/>
            <family val="2"/>
            <scheme val="minor"/>
          </rPr>
          <t>Tsai, Michael:
KTAS: 450 kts</t>
        </r>
      </text>
    </comment>
    <comment ref="IE14" authorId="2" shapeId="0" xr:uid="{120153F0-D58C-463B-A1CF-F4F2B50F555F}">
      <text>
        <r>
          <rPr>
            <sz val="11"/>
            <color theme="1"/>
            <rFont val="Calibri"/>
            <family val="2"/>
            <scheme val="minor"/>
          </rPr>
          <t>Tsai, Michael:
KTAS: 450 kts</t>
        </r>
      </text>
    </comment>
    <comment ref="IF14" authorId="2" shapeId="0" xr:uid="{C17ED7B5-5CED-4777-8622-442B099E6555}">
      <text>
        <r>
          <rPr>
            <sz val="11"/>
            <color theme="1"/>
            <rFont val="Calibri"/>
            <family val="2"/>
            <scheme val="minor"/>
          </rPr>
          <t>Tsai, Michael:
KTAS: 450 kts</t>
        </r>
      </text>
    </comment>
    <comment ref="IG14" authorId="2" shapeId="0" xr:uid="{B0DB0D4A-5AC8-4775-BA17-AA85B08B57DF}">
      <text>
        <r>
          <rPr>
            <sz val="11"/>
            <color theme="1"/>
            <rFont val="Calibri"/>
            <family val="2"/>
            <scheme val="minor"/>
          </rPr>
          <t xml:space="preserve">Tsai, Michael:
KTAS: 460 </t>
        </r>
      </text>
    </comment>
    <comment ref="IH14" authorId="2" shapeId="0" xr:uid="{6D2D9C85-E6DA-4DB6-93F5-25596845902C}">
      <text>
        <r>
          <rPr>
            <sz val="11"/>
            <color theme="1"/>
            <rFont val="Calibri"/>
            <family val="2"/>
            <scheme val="minor"/>
          </rPr>
          <t xml:space="preserve">Tsai, Michael:
KTAS: 460 </t>
        </r>
      </text>
    </comment>
    <comment ref="II14" authorId="2" shapeId="0" xr:uid="{5B5A54DE-568E-4A68-B4C3-FE124CBC98AB}">
      <text>
        <r>
          <rPr>
            <sz val="11"/>
            <color theme="1"/>
            <rFont val="Calibri"/>
            <family val="2"/>
            <scheme val="minor"/>
          </rPr>
          <t xml:space="preserve">Tsai, Michael:
KTAS: 460 </t>
        </r>
      </text>
    </comment>
    <comment ref="IJ14" authorId="2" shapeId="0" xr:uid="{E95A6EDF-8EFB-4BE6-8FC6-E8B7F2D331B6}">
      <text>
        <r>
          <rPr>
            <sz val="11"/>
            <color theme="1"/>
            <rFont val="Calibri"/>
            <family val="2"/>
            <scheme val="minor"/>
          </rPr>
          <t xml:space="preserve">Tsai, Michael:
KTAS: 460 </t>
        </r>
      </text>
    </comment>
    <comment ref="IK14" authorId="2" shapeId="0" xr:uid="{78B272CB-8766-446C-BE45-883073CD114E}">
      <text>
        <r>
          <rPr>
            <sz val="11"/>
            <color theme="1"/>
            <rFont val="Calibri"/>
            <family val="2"/>
            <scheme val="minor"/>
          </rPr>
          <t xml:space="preserve">Tsai, Michael:
KTAS: 460 </t>
        </r>
      </text>
    </comment>
    <comment ref="IL14" authorId="2" shapeId="0" xr:uid="{AB21C56E-E0F4-4844-918E-B063AB1CC080}">
      <text>
        <r>
          <rPr>
            <sz val="11"/>
            <color theme="1"/>
            <rFont val="Calibri"/>
            <family val="2"/>
            <scheme val="minor"/>
          </rPr>
          <t xml:space="preserve">Tsai, Michael:
KTAS: 460 </t>
        </r>
      </text>
    </comment>
    <comment ref="IM14" authorId="2" shapeId="0" xr:uid="{CCEC366C-C886-482A-8CE7-53427728ECA9}">
      <text>
        <r>
          <rPr>
            <sz val="11"/>
            <color theme="1"/>
            <rFont val="Calibri"/>
            <family val="2"/>
            <scheme val="minor"/>
          </rPr>
          <t xml:space="preserve">Tsai, Michael:
KTAS: 460 </t>
        </r>
      </text>
    </comment>
    <comment ref="IN14" authorId="2" shapeId="0" xr:uid="{A67DD94A-7DDD-4914-937C-B5B531508566}">
      <text>
        <r>
          <rPr>
            <sz val="11"/>
            <color theme="1"/>
            <rFont val="Calibri"/>
            <family val="2"/>
            <scheme val="minor"/>
          </rPr>
          <t xml:space="preserve">Tsai, Michael:
KTAS: 460 </t>
        </r>
      </text>
    </comment>
    <comment ref="IO14" authorId="2" shapeId="0" xr:uid="{88FA445E-CC5B-4175-8395-0D5E44AD4A85}">
      <text>
        <r>
          <rPr>
            <sz val="11"/>
            <color theme="1"/>
            <rFont val="Calibri"/>
            <family val="2"/>
            <scheme val="minor"/>
          </rPr>
          <t xml:space="preserve">Tsai, Michael:
KTAS: 460 </t>
        </r>
      </text>
    </comment>
    <comment ref="IP14" authorId="2" shapeId="0" xr:uid="{25710056-8A3F-407C-AD77-EF09D2C1EA5C}">
      <text>
        <r>
          <rPr>
            <sz val="11"/>
            <color theme="1"/>
            <rFont val="Calibri"/>
            <family val="2"/>
            <scheme val="minor"/>
          </rPr>
          <t xml:space="preserve">Tsai, Michael:
KTAS: 460 </t>
        </r>
      </text>
    </comment>
    <comment ref="IQ14" authorId="2" shapeId="0" xr:uid="{E9F41465-162E-4AEC-8619-9E29FD52BB1F}">
      <text>
        <r>
          <rPr>
            <sz val="11"/>
            <color theme="1"/>
            <rFont val="Calibri"/>
            <family val="2"/>
            <scheme val="minor"/>
          </rPr>
          <t xml:space="preserve">Tsai, Michael:
KTAS: 460 </t>
        </r>
      </text>
    </comment>
    <comment ref="IR14" authorId="2" shapeId="0" xr:uid="{1EB2DB95-B21F-4645-84D0-A3914061F3E8}">
      <text>
        <r>
          <rPr>
            <sz val="11"/>
            <color theme="1"/>
            <rFont val="Calibri"/>
            <family val="2"/>
            <scheme val="minor"/>
          </rPr>
          <t xml:space="preserve">Tsai, Michael:
KTAS: 460 </t>
        </r>
      </text>
    </comment>
    <comment ref="IS14" authorId="2" shapeId="0" xr:uid="{4D91DC83-AD0A-4B2B-A3A8-0D13F3B30920}">
      <text>
        <r>
          <rPr>
            <sz val="11"/>
            <color theme="1"/>
            <rFont val="Calibri"/>
            <family val="2"/>
            <scheme val="minor"/>
          </rPr>
          <t>Tsai, Michael:
KTAS: 450</t>
        </r>
      </text>
    </comment>
    <comment ref="IT14" authorId="2" shapeId="0" xr:uid="{94BBB09F-34DA-44D3-AAEC-A07B88DA6732}">
      <text>
        <r>
          <rPr>
            <sz val="11"/>
            <color theme="1"/>
            <rFont val="Calibri"/>
            <family val="2"/>
            <scheme val="minor"/>
          </rPr>
          <t>Tsai, Michael:
KTAS: 450</t>
        </r>
      </text>
    </comment>
    <comment ref="IU14" authorId="2" shapeId="0" xr:uid="{0B4EBCB1-EF97-41AF-A4DF-46873BF579F1}">
      <text>
        <r>
          <rPr>
            <sz val="11"/>
            <color theme="1"/>
            <rFont val="Calibri"/>
            <family val="2"/>
            <scheme val="minor"/>
          </rPr>
          <t>Tsai, Michael:
KTAS: 450</t>
        </r>
      </text>
    </comment>
    <comment ref="IV14" authorId="2" shapeId="0" xr:uid="{67C5E3E9-39A3-4CBE-B8E9-A4DF569261D2}">
      <text>
        <r>
          <rPr>
            <sz val="11"/>
            <color theme="1"/>
            <rFont val="Calibri"/>
            <family val="2"/>
            <scheme val="minor"/>
          </rPr>
          <t>Tsai, Michael:
KTAS: 450</t>
        </r>
      </text>
    </comment>
    <comment ref="IW14" authorId="2" shapeId="0" xr:uid="{2EA1CA14-1428-4E58-A9E1-84B8D990C978}">
      <text>
        <r>
          <rPr>
            <sz val="11"/>
            <color theme="1"/>
            <rFont val="Calibri"/>
            <family val="2"/>
            <scheme val="minor"/>
          </rPr>
          <t>Tsai, Michael:
KTAS: 450</t>
        </r>
      </text>
    </comment>
    <comment ref="IX14" authorId="2" shapeId="0" xr:uid="{A1294379-9A96-45A9-9081-8832BFF74F91}">
      <text>
        <r>
          <rPr>
            <sz val="11"/>
            <color theme="1"/>
            <rFont val="Calibri"/>
            <family val="2"/>
            <scheme val="minor"/>
          </rPr>
          <t>Tsai, Michael:
KTAS: 450</t>
        </r>
      </text>
    </comment>
    <comment ref="JC14" authorId="2" shapeId="0" xr:uid="{DBB811F9-183F-488A-9BBF-15E7E45E4A87}">
      <text>
        <r>
          <rPr>
            <sz val="11"/>
            <color theme="1"/>
            <rFont val="Calibri"/>
            <family val="2"/>
            <scheme val="minor"/>
          </rPr>
          <t>Tsai, Michael:
KTAS: 424 kts</t>
        </r>
      </text>
    </comment>
    <comment ref="JD14" authorId="2" shapeId="0" xr:uid="{33BCE61C-7AF2-4809-9DCD-A295EDF6B1AB}">
      <text>
        <r>
          <rPr>
            <sz val="11"/>
            <color theme="1"/>
            <rFont val="Calibri"/>
            <family val="2"/>
            <scheme val="minor"/>
          </rPr>
          <t>Tsai, Michael:
KTAS: 424 kts</t>
        </r>
      </text>
    </comment>
    <comment ref="JE14" authorId="2" shapeId="0" xr:uid="{7332D94B-CE59-48F5-AE35-A2BA9DE7AEAF}">
      <text>
        <r>
          <rPr>
            <sz val="11"/>
            <color theme="1"/>
            <rFont val="Calibri"/>
            <family val="2"/>
            <scheme val="minor"/>
          </rPr>
          <t>Tsai, Michael:
KTAS: 424 kts</t>
        </r>
      </text>
    </comment>
    <comment ref="JF14" authorId="2" shapeId="0" xr:uid="{E557D14F-0747-419E-9AC5-016C6A9EBA5A}">
      <text>
        <r>
          <rPr>
            <sz val="11"/>
            <color theme="1"/>
            <rFont val="Calibri"/>
            <family val="2"/>
            <scheme val="minor"/>
          </rPr>
          <t>Tsai, Michael:
KTAS: 420 kts</t>
        </r>
      </text>
    </comment>
    <comment ref="JG14" authorId="2" shapeId="0" xr:uid="{30DF9A90-B054-473A-8E60-C6FE86D5A9F2}">
      <text>
        <r>
          <rPr>
            <sz val="11"/>
            <color theme="1"/>
            <rFont val="Calibri"/>
            <family val="2"/>
            <scheme val="minor"/>
          </rPr>
          <t>Tsai, Michael:
KTAS: 420 kts</t>
        </r>
      </text>
    </comment>
    <comment ref="JH14" authorId="2" shapeId="0" xr:uid="{F9990084-D1D9-44AE-A4FA-08DF447548D5}">
      <text>
        <r>
          <rPr>
            <sz val="11"/>
            <color theme="1"/>
            <rFont val="Calibri"/>
            <family val="2"/>
            <scheme val="minor"/>
          </rPr>
          <t>Tsai, Michael:
KTAS: 442 kts</t>
        </r>
      </text>
    </comment>
    <comment ref="JI14" authorId="2" shapeId="0" xr:uid="{A476A912-23B8-4109-9EB9-8CE7C6811A65}">
      <text>
        <r>
          <rPr>
            <sz val="11"/>
            <color theme="1"/>
            <rFont val="Calibri"/>
            <family val="2"/>
            <scheme val="minor"/>
          </rPr>
          <t>Tsai, Michael:
KTAS: 458 kts</t>
        </r>
      </text>
    </comment>
    <comment ref="JJ14" authorId="2" shapeId="0" xr:uid="{F489DD4A-0B01-4976-9295-BF9D1F55D22C}">
      <text>
        <r>
          <rPr>
            <sz val="11"/>
            <color theme="1"/>
            <rFont val="Calibri"/>
            <family val="2"/>
            <scheme val="minor"/>
          </rPr>
          <t>Tsai, Michael:
KTAS: 458 kts</t>
        </r>
      </text>
    </comment>
    <comment ref="JK14" authorId="2" shapeId="0" xr:uid="{4C3FCF62-15AD-47E9-BB4B-CDD48FA585E3}">
      <text>
        <r>
          <rPr>
            <sz val="11"/>
            <color theme="1"/>
            <rFont val="Calibri"/>
            <family val="2"/>
            <scheme val="minor"/>
          </rPr>
          <t>Tsai, Michael:
KTAS: 470 kts</t>
        </r>
      </text>
    </comment>
    <comment ref="A17" authorId="0" shapeId="0" xr:uid="{7924EE19-CB9F-4C9A-B6B6-F3C011844A38}">
      <text>
        <r>
          <rPr>
            <sz val="11"/>
            <color theme="1"/>
            <rFont val="Calibri"/>
            <family val="2"/>
            <scheme val="minor"/>
          </rPr>
          <t xml:space="preserve">Patel, Janki: 
For Piston Engine &lt; 19 Passengers, the design payload is often just the gross weight (max weight since it includes avg passenger weight and baggage weight and fuel).  </t>
        </r>
      </text>
    </comment>
    <comment ref="BM17" authorId="0" shapeId="0" xr:uid="{DD12C48C-DBB0-476B-8CB2-01E3B741D4FC}">
      <text>
        <r>
          <rPr>
            <sz val="11"/>
            <color theme="1"/>
            <rFont val="Calibri"/>
            <family val="2"/>
            <scheme val="minor"/>
          </rPr>
          <t>Patel, Janki:
all of these are for full fuel payload. not design PL</t>
        </r>
      </text>
    </comment>
    <comment ref="BR17" authorId="1" shapeId="0" xr:uid="{58435DC5-AF6D-4308-BB8E-54F25A83A9D0}">
      <text>
        <r>
          <rPr>
            <b/>
            <sz val="9"/>
            <color indexed="81"/>
            <rFont val="Tahoma"/>
            <family val="2"/>
          </rPr>
          <t>Max Arnson:</t>
        </r>
        <r>
          <rPr>
            <sz val="9"/>
            <color indexed="81"/>
            <rFont val="Tahoma"/>
            <family val="2"/>
          </rPr>
          <t xml:space="preserve">
range listed for 30 pax payload. Not sure what weight this corresponds to. Or: 3690 kg max reported on janes</t>
        </r>
      </text>
    </comment>
    <comment ref="BV17" authorId="1" shapeId="0" xr:uid="{35614789-D5AA-4CEF-ABA9-57167E5C9F1A}">
      <text>
        <r>
          <rPr>
            <b/>
            <sz val="9"/>
            <color indexed="81"/>
            <rFont val="Tahoma"/>
            <family val="2"/>
          </rPr>
          <t>Max Arnson:</t>
        </r>
        <r>
          <rPr>
            <sz val="9"/>
            <color indexed="81"/>
            <rFont val="Tahoma"/>
            <family val="2"/>
          </rPr>
          <t xml:space="preserve">
max payload
</t>
        </r>
      </text>
    </comment>
    <comment ref="BW17" authorId="1" shapeId="0" xr:uid="{23F4398D-5E97-4725-A569-E5DEA4CC01E0}">
      <text>
        <r>
          <rPr>
            <b/>
            <sz val="9"/>
            <color indexed="81"/>
            <rFont val="Tahoma"/>
            <family val="2"/>
          </rPr>
          <t>Max Arnson:</t>
        </r>
        <r>
          <rPr>
            <sz val="9"/>
            <color indexed="81"/>
            <rFont val="Tahoma"/>
            <family val="2"/>
          </rPr>
          <t xml:space="preserve">
max payload</t>
        </r>
      </text>
    </comment>
    <comment ref="BX17" authorId="3" shapeId="0" xr:uid="{107861E2-DAAC-4F08-9CEC-99DF89E7BCAB}">
      <text>
        <r>
          <rPr>
            <sz val="11"/>
            <color theme="1"/>
            <rFont val="Calibri"/>
            <family val="2"/>
            <scheme val="minor"/>
          </rPr>
          <t xml:space="preserve">Arnson, Maxfield:
35 PAX@90kg ea
</t>
        </r>
      </text>
    </comment>
    <comment ref="CC17" authorId="1" shapeId="0" xr:uid="{7729E508-4996-4CEE-8B7B-CA973A9D0CE3}">
      <text>
        <r>
          <rPr>
            <b/>
            <sz val="9"/>
            <color indexed="81"/>
            <rFont val="Tahoma"/>
            <family val="2"/>
          </rPr>
          <t>Max Arnson:</t>
        </r>
        <r>
          <rPr>
            <sz val="9"/>
            <color indexed="81"/>
            <rFont val="Tahoma"/>
            <family val="2"/>
          </rPr>
          <t xml:space="preserve">
maximum payload
</t>
        </r>
      </text>
    </comment>
    <comment ref="CD17" authorId="1" shapeId="0" xr:uid="{78CBBB95-38FE-421C-BDFB-389F0F68C51A}">
      <text>
        <r>
          <rPr>
            <b/>
            <sz val="9"/>
            <color indexed="81"/>
            <rFont val="Tahoma"/>
            <family val="2"/>
          </rPr>
          <t>Max Arnson:</t>
        </r>
        <r>
          <rPr>
            <sz val="9"/>
            <color indexed="81"/>
            <rFont val="Tahoma"/>
            <family val="2"/>
          </rPr>
          <t xml:space="preserve">
maximum </t>
        </r>
      </text>
    </comment>
    <comment ref="CE17" authorId="0" shapeId="0" xr:uid="{E88E43C4-59AC-430E-930A-6D244B071C15}">
      <text>
        <r>
          <rPr>
            <sz val="11"/>
            <color theme="1"/>
            <rFont val="Calibri"/>
            <family val="2"/>
            <scheme val="minor"/>
          </rPr>
          <t xml:space="preserve">Patel, Janki:
max
</t>
        </r>
      </text>
    </comment>
    <comment ref="CF17" authorId="0" shapeId="0" xr:uid="{AE7E8AD2-BDE2-49DF-BA64-4FD6CEF8C845}">
      <text>
        <r>
          <rPr>
            <sz val="11"/>
            <color theme="1"/>
            <rFont val="Calibri"/>
            <family val="2"/>
            <scheme val="minor"/>
          </rPr>
          <t xml:space="preserve">Patel, Janki:
max
</t>
        </r>
      </text>
    </comment>
    <comment ref="CG17" authorId="0" shapeId="0" xr:uid="{78403444-959A-4515-914C-04379BFBBF00}">
      <text>
        <r>
          <rPr>
            <sz val="11"/>
            <color theme="1"/>
            <rFont val="Calibri"/>
            <family val="2"/>
            <scheme val="minor"/>
          </rPr>
          <t xml:space="preserve">Patel, Janki:
max
</t>
        </r>
      </text>
    </comment>
    <comment ref="CH17" authorId="1" shapeId="0" xr:uid="{336FFFF6-562B-4D45-9CF4-29925C15E411}">
      <text>
        <r>
          <rPr>
            <b/>
            <sz val="9"/>
            <color indexed="81"/>
            <rFont val="Tahoma"/>
            <family val="2"/>
          </rPr>
          <t>Max Arnson:</t>
        </r>
        <r>
          <rPr>
            <sz val="9"/>
            <color indexed="81"/>
            <rFont val="Tahoma"/>
            <family val="2"/>
          </rPr>
          <t xml:space="preserve">
maximum</t>
        </r>
      </text>
    </comment>
    <comment ref="CI17" authorId="0" shapeId="0" xr:uid="{3F6B04D1-13CF-4AD7-9357-F485EB0C4BBB}">
      <text>
        <r>
          <rPr>
            <sz val="11"/>
            <color theme="1"/>
            <rFont val="Calibri"/>
            <family val="2"/>
            <scheme val="minor"/>
          </rPr>
          <t xml:space="preserve">Patel, Janki:
max
</t>
        </r>
      </text>
    </comment>
    <comment ref="CJ17" authorId="0" shapeId="0" xr:uid="{1A56A3E5-46E0-425A-B703-D37D6A66F0A4}">
      <text>
        <r>
          <rPr>
            <sz val="11"/>
            <color theme="1"/>
            <rFont val="Calibri"/>
            <family val="2"/>
            <scheme val="minor"/>
          </rPr>
          <t xml:space="preserve">Patel, Janki:
max
</t>
        </r>
      </text>
    </comment>
    <comment ref="CK17" authorId="0" shapeId="0" xr:uid="{F048DCA7-EC43-4270-9A2E-CBE93511A08F}">
      <text>
        <r>
          <rPr>
            <sz val="11"/>
            <color theme="1"/>
            <rFont val="Calibri"/>
            <family val="2"/>
            <scheme val="minor"/>
          </rPr>
          <t xml:space="preserve">Patel, Janki:
max
</t>
        </r>
      </text>
    </comment>
    <comment ref="A19" authorId="0" shapeId="0" xr:uid="{152BA789-6E98-4193-87C2-79EBE6BEB27A}">
      <text>
        <r>
          <rPr>
            <sz val="11"/>
            <color theme="1"/>
            <rFont val="Calibri"/>
            <family val="2"/>
            <scheme val="minor"/>
          </rPr>
          <t xml:space="preserve">Patel, Janki:
- for smaller AC, the max landing weight is = to the max takeoff weight (because it does not impact the runway nor the landing gear). </t>
        </r>
      </text>
    </comment>
    <comment ref="FM21" authorId="2" shapeId="0" xr:uid="{211C0401-51E5-4D25-A661-60FC2DAE9C44}">
      <text>
        <r>
          <rPr>
            <sz val="11"/>
            <color theme="1"/>
            <rFont val="Calibri"/>
            <family val="2"/>
            <scheme val="minor"/>
          </rPr>
          <t xml:space="preserve">Tsai, Michael:4 auxiliary Fuel tank </t>
        </r>
      </text>
    </comment>
    <comment ref="A22" authorId="0" shapeId="0" xr:uid="{F88695E8-0F10-42A7-A3DE-2366153636C1}">
      <text>
        <r>
          <rPr>
            <sz val="11"/>
            <color theme="1"/>
            <rFont val="Calibri"/>
            <family val="2"/>
            <scheme val="minor"/>
          </rPr>
          <t xml:space="preserve">Patel, Janki:
Either finding from literature (red) or calculated (black)
</t>
        </r>
      </text>
    </comment>
    <comment ref="AN22" authorId="0" shapeId="0" xr:uid="{03BEBCF0-49E4-45D7-AB6C-9AD957447859}">
      <text>
        <r>
          <rPr>
            <sz val="11"/>
            <color theme="1"/>
            <rFont val="Calibri"/>
            <family val="2"/>
            <scheme val="minor"/>
          </rPr>
          <t xml:space="preserve">Patel, Janki:
jet fuel JetA density used was 807.5 kg/m^3
</t>
        </r>
      </text>
    </comment>
    <comment ref="BD22" authorId="0" shapeId="0" xr:uid="{E4CF16AC-4FE7-442F-AA99-BB030C98B82D}">
      <text>
        <r>
          <rPr>
            <sz val="11"/>
            <color theme="1"/>
            <rFont val="Calibri"/>
            <family val="2"/>
            <scheme val="minor"/>
          </rPr>
          <t xml:space="preserve">Patel, Janki:
jet fuel JetA density used was 807.5 kg/m^3
</t>
        </r>
      </text>
    </comment>
    <comment ref="BX22" authorId="0" shapeId="0" xr:uid="{F1C3694C-BE56-4924-BEF4-C33F4719196B}">
      <text>
        <r>
          <rPr>
            <sz val="11"/>
            <color theme="1"/>
            <rFont val="Calibri"/>
            <family val="2"/>
            <scheme val="minor"/>
          </rPr>
          <t>Patel, Janki:
jet fuel JetA density used was 807.5 kg/m^3</t>
        </r>
      </text>
    </comment>
    <comment ref="A23" authorId="0" shapeId="0" xr:uid="{A7DABAD4-199E-44E6-8F94-ED188575A6BA}">
      <text>
        <r>
          <rPr>
            <sz val="11"/>
            <color theme="1"/>
            <rFont val="Calibri"/>
            <family val="2"/>
            <scheme val="minor"/>
          </rPr>
          <t xml:space="preserve">Patel, Janki:
usable fuel / 
max take off weight *100
</t>
        </r>
      </text>
    </comment>
    <comment ref="DR24" authorId="2" shapeId="0" xr:uid="{0E21A9B3-AEF2-4FE0-B7F8-5D217A8EF804}">
      <text>
        <r>
          <rPr>
            <sz val="11"/>
            <color theme="1"/>
            <rFont val="Calibri"/>
            <family val="2"/>
            <scheme val="minor"/>
          </rPr>
          <t>Tsai, Michael:
Different in Janes used JT3C-6</t>
        </r>
      </text>
    </comment>
    <comment ref="DS24" authorId="2" shapeId="0" xr:uid="{94031268-7537-46D5-BD5A-7707FF3F2539}">
      <text>
        <r>
          <rPr>
            <sz val="11"/>
            <color theme="1"/>
            <rFont val="Calibri"/>
            <family val="2"/>
            <scheme val="minor"/>
          </rPr>
          <t>Tsai, Michael:
Janes: JT4A-3</t>
        </r>
      </text>
    </comment>
    <comment ref="A25" authorId="0" shapeId="0" xr:uid="{9A062118-66E5-430A-9306-64CB8DCF8E8A}">
      <text>
        <r>
          <rPr>
            <sz val="11"/>
            <color theme="1"/>
            <rFont val="Calibri"/>
            <family val="2"/>
            <scheme val="minor"/>
          </rPr>
          <t xml:space="preserve">Patel, Janki:
dry weight
</t>
        </r>
      </text>
    </comment>
    <comment ref="BU25" authorId="1" shapeId="0" xr:uid="{E4C45C16-DE33-4A7F-909E-8F1F4FC7CCEF}">
      <text>
        <r>
          <rPr>
            <b/>
            <sz val="9"/>
            <color indexed="81"/>
            <rFont val="Tahoma"/>
            <family val="2"/>
          </rPr>
          <t>Max Arnson:</t>
        </r>
        <r>
          <rPr>
            <sz val="9"/>
            <color indexed="81"/>
            <rFont val="Tahoma"/>
            <family val="2"/>
          </rPr>
          <t xml:space="preserve">
janes says 690 kg</t>
        </r>
      </text>
    </comment>
    <comment ref="DV25" authorId="2" shapeId="0" xr:uid="{037FB5A2-94AE-47C8-9DAC-CD94FDA20A8E}">
      <text>
        <r>
          <rPr>
            <sz val="11"/>
            <color theme="1"/>
            <rFont val="Calibri"/>
            <family val="2"/>
            <scheme val="minor"/>
          </rPr>
          <t>Tsai, Michael:
12th stage bleed: 4340 ib
9th stage bleed: 4320 ib</t>
        </r>
      </text>
    </comment>
    <comment ref="DW25" authorId="2" shapeId="0" xr:uid="{A5E8EC77-FB45-4E34-A469-F742AECBF079}">
      <text>
        <r>
          <rPr>
            <sz val="11"/>
            <color theme="1"/>
            <rFont val="Calibri"/>
            <family val="2"/>
            <scheme val="minor"/>
          </rPr>
          <t>Tsai, Michael:
12th stage bleed: 4340 ib
9th stage bleed: 4320 ib</t>
        </r>
      </text>
    </comment>
    <comment ref="DX25" authorId="2" shapeId="0" xr:uid="{78E267E1-5226-44A6-A0F5-279C87209B76}">
      <text>
        <r>
          <rPr>
            <sz val="11"/>
            <color theme="1"/>
            <rFont val="Calibri"/>
            <family val="2"/>
            <scheme val="minor"/>
          </rPr>
          <t>Tsai, Michael:
12th stage bleed: 4340 ib
9th stage bleed: 4320 ib</t>
        </r>
      </text>
    </comment>
    <comment ref="DY25" authorId="2" shapeId="0" xr:uid="{25665FD5-BD9A-42BC-9214-AF25200C96AD}">
      <text>
        <r>
          <rPr>
            <sz val="11"/>
            <color theme="1"/>
            <rFont val="Calibri"/>
            <family val="2"/>
            <scheme val="minor"/>
          </rPr>
          <t>Tsai, Michael:
12th stage bleed: 4340 ib
9th stage bleed: 4320 ib</t>
        </r>
      </text>
    </comment>
    <comment ref="FX25" authorId="2" shapeId="0" xr:uid="{271C77EF-119C-4F05-A5A9-049E330BA3A1}">
      <text>
        <r>
          <rPr>
            <sz val="11"/>
            <color theme="1"/>
            <rFont val="Calibri"/>
            <family val="2"/>
            <scheme val="minor"/>
          </rPr>
          <t>Tsai, Michael:
(3)</t>
        </r>
      </text>
    </comment>
    <comment ref="FY25" authorId="2" shapeId="0" xr:uid="{282E0F9A-BB9D-47D7-B0FE-1B32335D1D31}">
      <text>
        <r>
          <rPr>
            <sz val="11"/>
            <color theme="1"/>
            <rFont val="Calibri"/>
            <family val="2"/>
            <scheme val="minor"/>
          </rPr>
          <t>Tsai, Michael:
(3)</t>
        </r>
      </text>
    </comment>
    <comment ref="GD25" authorId="2" shapeId="0" xr:uid="{3E95A06E-5AAD-4B3F-B9A6-59FE81680FB9}">
      <text>
        <r>
          <rPr>
            <sz val="11"/>
            <color theme="1"/>
            <rFont val="Calibri"/>
            <family val="2"/>
            <scheme val="minor"/>
          </rPr>
          <t>Tsai, Michael:
(3)</t>
        </r>
      </text>
    </comment>
    <comment ref="GE25" authorId="2" shapeId="0" xr:uid="{DDC1E153-CF94-41EA-9E6F-A10C624E1653}">
      <text>
        <r>
          <rPr>
            <sz val="11"/>
            <color theme="1"/>
            <rFont val="Calibri"/>
            <family val="2"/>
            <scheme val="minor"/>
          </rPr>
          <t>Tsai, Michael:
(3)</t>
        </r>
      </text>
    </comment>
    <comment ref="A27" authorId="0" shapeId="0" xr:uid="{4CE7ED7A-29A2-4ED6-8A15-DBE7963150EC}">
      <text>
        <r>
          <rPr>
            <sz val="11"/>
            <color theme="1"/>
            <rFont val="Calibri"/>
            <family val="2"/>
            <scheme val="minor"/>
          </rPr>
          <t xml:space="preserve">Patel, Janki:
MW/(m/s) = 1000000 N / 1000 = 1000 kN
</t>
        </r>
      </text>
    </comment>
    <comment ref="BQ27" authorId="0" shapeId="0" xr:uid="{4E632ABD-4606-4CD9-BFC0-D7493AF13085}">
      <text>
        <r>
          <rPr>
            <sz val="11"/>
            <color theme="1"/>
            <rFont val="Calibri"/>
            <family val="2"/>
            <scheme val="minor"/>
          </rPr>
          <t xml:space="preserve">Patel, Janki:
this was found using the max thrust of the IO550B engine. This is allowable because for smaller aircraft, when taking off, full throttle is used. </t>
        </r>
      </text>
    </comment>
    <comment ref="A28" authorId="0" shapeId="0" xr:uid="{7B9071E3-4D1F-4493-99BB-2D90D3DF9E48}">
      <text>
        <r>
          <rPr>
            <sz val="11"/>
            <color theme="1"/>
            <rFont val="Calibri"/>
            <family val="2"/>
            <scheme val="minor"/>
          </rPr>
          <t xml:space="preserve">Patel, Janki:
found max cruise thrust for single engine. and so have multiplied that with # of engines. 
greyish blue - have been taking best cruise which is 75% takeoff power. 
</t>
        </r>
      </text>
    </comment>
    <comment ref="CW28" authorId="0" shapeId="0" xr:uid="{6A2BDACA-0CCB-4571-9175-39598BF7FE22}">
      <text>
        <r>
          <rPr>
            <sz val="11"/>
            <color theme="1"/>
            <rFont val="Calibri"/>
            <family val="2"/>
            <scheme val="minor"/>
          </rPr>
          <t>Patel, Janki:
https://www.jet-engine.net/civtfspec.htm
used this website for this light blue colored data in this row.</t>
        </r>
      </text>
    </comment>
    <comment ref="A32" authorId="0" shapeId="0" xr:uid="{04A20984-40AF-439D-8CF3-3910272A7F14}">
      <text>
        <r>
          <rPr>
            <sz val="11"/>
            <color theme="1"/>
            <rFont val="Calibri"/>
            <family val="2"/>
            <scheme val="minor"/>
          </rPr>
          <t>Patel, Janki:
Total Engine Weight/ 
Max Takeoff Weight</t>
        </r>
      </text>
    </comment>
    <comment ref="A33" authorId="0" shapeId="0" xr:uid="{01BB545F-689F-4F7B-8D25-6F79D13CC469}">
      <text>
        <r>
          <rPr>
            <sz val="11"/>
            <color theme="1"/>
            <rFont val="Calibri"/>
            <family val="2"/>
            <scheme val="minor"/>
          </rPr>
          <t>Patel, Janki:
if we used wing loading to get wing area, the max takeoff weight was used to calcuate the wing area.  (highlight light blue)
W/S = kg/m^2
so 1/(W/S *(1/W))</t>
        </r>
      </text>
    </comment>
    <comment ref="A35" authorId="0" shapeId="0" xr:uid="{6B9BADEF-0910-4706-81E9-7F912A2F36DA}">
      <text>
        <r>
          <rPr>
            <sz val="11"/>
            <color theme="1"/>
            <rFont val="Calibri"/>
            <family val="2"/>
            <scheme val="minor"/>
          </rPr>
          <t xml:space="preserve">Patel, Janki:
calculated values highlighted in blue
</t>
        </r>
      </text>
    </comment>
    <comment ref="A38" authorId="0" shapeId="0" xr:uid="{BD5B3035-AA3C-472E-A93F-5A94959B75DC}">
      <text>
        <r>
          <rPr>
            <sz val="11"/>
            <color theme="1"/>
            <rFont val="Calibri"/>
            <family val="2"/>
            <scheme val="minor"/>
          </rPr>
          <t xml:space="preserve">Patel, Janki:
of single engine 
WORDS IN RED ARE SFC OF TAKEOFF
</t>
        </r>
      </text>
    </comment>
    <comment ref="AO38" authorId="0" shapeId="0" xr:uid="{494DAD46-8E8A-4448-9AF3-AE2ED08BCACC}">
      <text>
        <r>
          <rPr>
            <sz val="11"/>
            <color theme="1"/>
            <rFont val="Calibri"/>
            <family val="2"/>
            <scheme val="minor"/>
          </rPr>
          <t xml:space="preserve">Patel, Janki:
was given BSFC which is fuel consumption / power produced, so took BSFC of the cruise segment and divided it by the power at that segment. </t>
        </r>
      </text>
    </comment>
    <comment ref="BR38" authorId="3" shapeId="0" xr:uid="{FFFCD0FB-92B5-436D-9A3D-30A6C5015347}">
      <text>
        <r>
          <rPr>
            <sz val="11"/>
            <color theme="1"/>
            <rFont val="Calibri"/>
            <family val="2"/>
            <scheme val="minor"/>
          </rPr>
          <t xml:space="preserve">Arnson, Maxfield:
these next 20 aircraft are reported in pounds per hour per effective horsepower since they are prop aircraft
</t>
        </r>
      </text>
    </comment>
    <comment ref="CC38" authorId="1" shapeId="0" xr:uid="{02C5D72D-DBB2-400B-8675-9DCB881C6853}">
      <text>
        <r>
          <rPr>
            <b/>
            <sz val="9"/>
            <color indexed="81"/>
            <rFont val="Tahoma"/>
            <family val="2"/>
          </rPr>
          <t>Max Arnson:</t>
        </r>
        <r>
          <rPr>
            <sz val="9"/>
            <color indexed="81"/>
            <rFont val="Tahoma"/>
            <family val="2"/>
          </rPr>
          <t xml:space="preserve">
not explicitly stated but alll 127 variants with the exception of 127G are 77.6</t>
        </r>
      </text>
    </comment>
    <comment ref="HR38" authorId="2" shapeId="0" xr:uid="{870EF7FC-8143-4B10-B65B-3FD26C0031C1}">
      <text>
        <r>
          <rPr>
            <sz val="11"/>
            <color theme="1"/>
            <rFont val="Calibri"/>
            <family val="2"/>
            <scheme val="minor"/>
          </rPr>
          <t>Tsai, Michael:
1124 spec</t>
        </r>
      </text>
    </comment>
    <comment ref="A39" authorId="0" shapeId="0" xr:uid="{5D32B387-D419-46DE-B86E-F957715FCFEA}">
      <text>
        <r>
          <rPr>
            <sz val="11"/>
            <color theme="1"/>
            <rFont val="Calibri"/>
            <family val="2"/>
            <scheme val="minor"/>
          </rPr>
          <t xml:space="preserve">Patel, Janki:
if over 50 ft, color light red
</t>
        </r>
      </text>
    </comment>
    <comment ref="AC39" authorId="0" shapeId="0" xr:uid="{F06627D6-FBBE-4581-B621-8B58378C1171}">
      <text>
        <r>
          <rPr>
            <sz val="11"/>
            <color theme="1"/>
            <rFont val="Calibri"/>
            <family val="2"/>
            <scheme val="minor"/>
          </rPr>
          <t xml:space="preserve">Patel, Janki:
not switched, but the ground might be a combo of roll and landing... not sure how they split it up and didnt find a definitive answer...
Ground roll is the distance needed after landing 
Takeoff ground run deosnt include the 50ft obstacle. </t>
        </r>
      </text>
    </comment>
    <comment ref="BS39" authorId="1" shapeId="0" xr:uid="{E7C1743A-F303-4189-93F1-E43796612C7C}">
      <text>
        <r>
          <rPr>
            <b/>
            <sz val="9"/>
            <color indexed="81"/>
            <rFont val="Tahoma"/>
            <family val="2"/>
          </rPr>
          <t>Max Arnson:</t>
        </r>
        <r>
          <rPr>
            <sz val="9"/>
            <color indexed="81"/>
            <rFont val="Tahoma"/>
            <family val="2"/>
          </rPr>
          <t xml:space="preserve">
Sea Level
no flaps</t>
        </r>
      </text>
    </comment>
    <comment ref="FS39" authorId="2" shapeId="0" xr:uid="{2C6A84F4-2A97-463A-82D9-9B5301BC11D4}">
      <text>
        <r>
          <rPr>
            <sz val="11"/>
            <color theme="1"/>
            <rFont val="Calibri"/>
            <family val="2"/>
            <scheme val="minor"/>
          </rPr>
          <t xml:space="preserve">Tsai, Michael:
Using 737-9 data </t>
        </r>
      </text>
    </comment>
    <comment ref="HJ39" authorId="2" shapeId="0" xr:uid="{999619B2-B922-4F4E-B53D-A76E508FD9E6}">
      <text>
        <r>
          <rPr>
            <sz val="11"/>
            <color theme="1"/>
            <rFont val="Calibri"/>
            <family val="2"/>
            <scheme val="minor"/>
          </rPr>
          <t>Tsai, Michael:
used leap</t>
        </r>
      </text>
    </comment>
    <comment ref="A40" authorId="0" shapeId="0" xr:uid="{1BE7EB1A-6AE6-4F75-BA51-BE2D1DB45C9B}">
      <text>
        <r>
          <rPr>
            <sz val="11"/>
            <color theme="1"/>
            <rFont val="Calibri"/>
            <family val="2"/>
            <scheme val="minor"/>
          </rPr>
          <t xml:space="preserve">Patel, Janki:
if over 50 ft, color light red
</t>
        </r>
      </text>
    </comment>
    <comment ref="FS40" authorId="2" shapeId="0" xr:uid="{BB156407-BF20-4796-BA45-4282FE4C3532}">
      <text>
        <r>
          <rPr>
            <sz val="11"/>
            <color theme="1"/>
            <rFont val="Calibri"/>
            <family val="2"/>
            <scheme val="minor"/>
          </rPr>
          <t xml:space="preserve">Tsai, Michael:
Using 737-9 data </t>
        </r>
      </text>
    </comment>
    <comment ref="A41" authorId="0" shapeId="0" xr:uid="{BEACE64C-E020-492E-9C9F-74F126D9A3F5}">
      <text>
        <r>
          <rPr>
            <sz val="11"/>
            <color theme="1"/>
            <rFont val="Calibri"/>
            <family val="2"/>
            <scheme val="minor"/>
          </rPr>
          <t xml:space="preserve">Patel, Janki:
highlight orange for variant AR.
</t>
        </r>
      </text>
    </comment>
    <comment ref="AX41" authorId="0" shapeId="0" xr:uid="{CB01AD9B-245C-49AB-B968-F407F182A826}">
      <text>
        <r>
          <rPr>
            <sz val="11"/>
            <color theme="1"/>
            <rFont val="Calibri"/>
            <family val="2"/>
            <scheme val="minor"/>
          </rPr>
          <t>Patel, Janki:
Equation b^2/A</t>
        </r>
      </text>
    </comment>
    <comment ref="A42" authorId="0" shapeId="0" xr:uid="{3E846D46-A5DB-44A8-B29D-35FFD647AA52}">
      <text>
        <r>
          <rPr>
            <sz val="11"/>
            <color theme="1"/>
            <rFont val="Calibri"/>
            <family val="2"/>
            <scheme val="minor"/>
          </rPr>
          <t xml:space="preserve">Patel, Janki:
takeoff thrust/weight (color) 
</t>
        </r>
      </text>
    </comment>
    <comment ref="DM42" authorId="0" shapeId="0" xr:uid="{20AC3C56-720B-4294-8E0F-93CF4D08CA58}">
      <text>
        <r>
          <rPr>
            <sz val="11"/>
            <color theme="1"/>
            <rFont val="Calibri"/>
            <family val="2"/>
            <scheme val="minor"/>
          </rPr>
          <t xml:space="preserve">Patel, Janki:
this color is calculated
</t>
        </r>
      </text>
    </comment>
    <comment ref="DO42" authorId="0" shapeId="0" xr:uid="{934E6783-023F-462B-9C61-44E1794F579F}">
      <text>
        <r>
          <rPr>
            <sz val="11"/>
            <color theme="1"/>
            <rFont val="Calibri"/>
            <family val="2"/>
            <scheme val="minor"/>
          </rPr>
          <t xml:space="preserve">Patel, Janki:
this color is calculated
</t>
        </r>
      </text>
    </comment>
    <comment ref="A43" authorId="0" shapeId="0" xr:uid="{0391FBD0-27E4-4A9F-9286-2153A82DE5BC}">
      <text>
        <r>
          <rPr>
            <sz val="11"/>
            <color theme="1"/>
            <rFont val="Calibri"/>
            <family val="2"/>
            <scheme val="minor"/>
          </rPr>
          <t xml:space="preserve">Patel, Janki:
of single engine 
WORDS IN RED ARE SFC OF TAKEOFF
</t>
        </r>
      </text>
    </comment>
    <comment ref="GC43" authorId="2" shapeId="0" xr:uid="{C4ACC853-0E4A-4B06-A27D-0833776F493A}">
      <text>
        <r>
          <rPr>
            <sz val="11"/>
            <color theme="1"/>
            <rFont val="Calibri"/>
            <family val="2"/>
            <scheme val="minor"/>
          </rPr>
          <t>Tsai, Michael:
used 2040</t>
        </r>
      </text>
    </comment>
    <comment ref="CR44" authorId="0" shapeId="0" xr:uid="{827CD736-F985-4FEF-9665-98BE49A5761A}">
      <text>
        <r>
          <rPr>
            <sz val="11"/>
            <color theme="1"/>
            <rFont val="Calibri"/>
            <family val="2"/>
            <scheme val="minor"/>
          </rPr>
          <t xml:space="preserve">Patel, Janki:
withdrawn in 1993 by easa
</t>
        </r>
      </text>
    </comment>
    <comment ref="CU44" authorId="0" shapeId="0" xr:uid="{A55C1D82-3CAE-4D69-9DAA-726DC192176D}">
      <text>
        <r>
          <rPr>
            <sz val="11"/>
            <color theme="1"/>
            <rFont val="Calibri"/>
            <family val="2"/>
            <scheme val="minor"/>
          </rPr>
          <t xml:space="preserve">Patel, Janki:
withdrawn in 1993 by easa
</t>
        </r>
      </text>
    </comment>
    <comment ref="CW44" authorId="0" shapeId="0" xr:uid="{4CE08D6B-329F-46B9-9742-CD523DE27A7E}">
      <text>
        <r>
          <rPr>
            <sz val="11"/>
            <color theme="1"/>
            <rFont val="Calibri"/>
            <family val="2"/>
            <scheme val="minor"/>
          </rPr>
          <t xml:space="preserve">Patel, Janki:
for different engine (CF6-80C2B7F) that is the same as this one so took the year of the engine in this note. </t>
        </r>
      </text>
    </comment>
    <comment ref="DA44" authorId="0" shapeId="0" xr:uid="{681753D1-319A-4F3D-85C2-FD4968AD5945}">
      <text>
        <r>
          <rPr>
            <sz val="11"/>
            <color theme="1"/>
            <rFont val="Calibri"/>
            <family val="2"/>
            <scheme val="minor"/>
          </rPr>
          <t xml:space="preserve">Patel, Janki:
very large discrepancy
</t>
        </r>
      </text>
    </comment>
    <comment ref="DC44" authorId="0" shapeId="0" xr:uid="{D2F7E89E-0A6D-4D9F-A7E6-2B757F645B30}">
      <text>
        <r>
          <rPr>
            <sz val="11"/>
            <color theme="1"/>
            <rFont val="Calibri"/>
            <family val="2"/>
            <scheme val="minor"/>
          </rPr>
          <t xml:space="preserve">Patel, Janki:
for different engine (CF6-80C2B7F) that is the same as this one so took the year of the engine in this note. </t>
        </r>
      </text>
    </comment>
    <comment ref="DP44" authorId="0" shapeId="0" xr:uid="{2544F7F5-A0A2-498B-A4BA-5BB785FD3317}">
      <text>
        <r>
          <rPr>
            <sz val="11"/>
            <color theme="1"/>
            <rFont val="Calibri"/>
            <family val="2"/>
            <scheme val="minor"/>
          </rPr>
          <t>Patel, Janki:
the latest year for the family entry to service</t>
        </r>
      </text>
    </comment>
    <comment ref="GD44" authorId="0" shapeId="0" xr:uid="{12073357-632F-4228-BAEF-EB52D754E62D}">
      <text>
        <r>
          <rPr>
            <sz val="11"/>
            <color theme="1"/>
            <rFont val="Calibri"/>
            <family val="2"/>
            <scheme val="minor"/>
          </rPr>
          <t xml:space="preserve">Patel, Janki:
latest date for that model since it gives a family range. </t>
        </r>
      </text>
    </comment>
    <comment ref="GE44" authorId="0" shapeId="0" xr:uid="{4EBC42F9-369D-4519-B236-E8465E93A8B2}">
      <text>
        <r>
          <rPr>
            <sz val="11"/>
            <color theme="1"/>
            <rFont val="Calibri"/>
            <family val="2"/>
            <scheme val="minor"/>
          </rPr>
          <t xml:space="preserve">Patel, Janki:
latest date for that model since it gives a family range. </t>
        </r>
      </text>
    </comment>
    <comment ref="GJ44" authorId="0" shapeId="0" xr:uid="{BF399B28-7A09-4D63-8FB6-8F8A97779692}">
      <text>
        <r>
          <rPr>
            <sz val="11"/>
            <color theme="1"/>
            <rFont val="Calibri"/>
            <family val="2"/>
            <scheme val="minor"/>
          </rPr>
          <t xml:space="preserve">Patel, Janki:
Seems way too drastic of a difference 
</t>
        </r>
      </text>
    </comment>
    <comment ref="Z45" authorId="4" shapeId="0" xr:uid="{FFC10899-72A6-4C33-AA82-5B048F4612B3}">
      <text>
        <t>[Threaded comment]
Your version of Excel allows you to read this threaded comment; however, any edits to it will get removed if the file is opened in a newer version of Excel. Learn more: https://go.microsoft.com/fwlink/?linkid=870924
Comment:
    https://en.wikipedia.org/wiki/Cessna_425</t>
      </text>
    </comment>
    <comment ref="CD46" authorId="5" shapeId="0" xr:uid="{389BF4C0-FCE2-49BD-88D5-1A040C0B87E4}">
      <text>
        <t xml:space="preserve">[Threaded comment]
Your version of Excel allows you to read this threaded comment; however, any edits to it will get removed if the file is opened in a newer version of Excel. Learn more: https://go.microsoft.com/fwlink/?linkid=870924
Comment:
    No net information for ATRXXX
approximately take 25000 feet
</t>
      </text>
    </comment>
    <comment ref="DV46" authorId="6" shapeId="0" xr:uid="{99126E9E-E2FD-4A85-BD26-12DD764D94F2}">
      <text>
        <t>[Threaded comment]
Your version of Excel allows you to read this threaded comment; however, any edits to it will get removed if the file is opened in a newer version of Excel. Learn more: https://go.microsoft.com/fwlink/?linkid=870924
Comment:
    There is no net information for DC8-xxx planes. Different values are given in different sources, they were written as averages.</t>
      </text>
    </comment>
    <comment ref="DV48" authorId="7" shapeId="0" xr:uid="{BD2F098C-69A8-4F4B-B34E-D8F10B5084E5}">
      <text>
        <t>[Threaded comment]
Your version of Excel allows you to read this threaded comment; however, any edits to it will get removed if the file is opened in a newer version of Excel. Learn more: https://go.microsoft.com/fwlink/?linkid=870924
Comment:
    There is no net information for DC8-xxx planes. Different values are given in different sources, they were written as averages.</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Patel, Janki</author>
    <author>Max Arnson</author>
    <author>Arnson, Maxfield</author>
    <author>tc={2CD9D484-62D6-4FAE-9780-F9CE9517E81F}</author>
    <author>tc={83A23F94-EA8D-4C97-83B4-437D1E4AFB9E}</author>
  </authors>
  <commentList>
    <comment ref="A1" authorId="0" shapeId="0" xr:uid="{32306E06-13F5-4D1B-9E88-EA83531CA3A0}">
      <text>
        <r>
          <rPr>
            <sz val="11"/>
            <color theme="1"/>
            <rFont val="Calibri"/>
            <family val="2"/>
            <scheme val="minor"/>
          </rPr>
          <t xml:space="preserve">Patel, Janki:
Peach = in SOW
Dark Orange = added aircraft
Light Blue = repeated planes with slight variation (either in engine or weight variant). 
</t>
        </r>
      </text>
    </comment>
    <comment ref="AS1" authorId="0" shapeId="0" xr:uid="{B4CB306B-BEFC-47EB-B768-693F7DBD46E9}">
      <text>
        <r>
          <rPr>
            <sz val="11"/>
            <color theme="1"/>
            <rFont val="Calibri"/>
            <family val="2"/>
            <scheme val="minor"/>
          </rPr>
          <t>Patel, Janki:
for serial numbers 7440001 - 7640065 and 7640067 - 7640071</t>
        </r>
      </text>
    </comment>
    <comment ref="AT1" authorId="0" shapeId="0" xr:uid="{05940126-8D95-4442-82FF-D16FD40CF17B}">
      <text>
        <r>
          <rPr>
            <sz val="11"/>
            <color theme="1"/>
            <rFont val="Calibri"/>
            <family val="2"/>
            <scheme val="minor"/>
          </rPr>
          <t>Patel, Janki:
for serial numbers 7640066 and 7640072 and up</t>
        </r>
      </text>
    </comment>
    <comment ref="AU1" authorId="0" shapeId="0" xr:uid="{7CC9288B-80C7-42B4-B329-D405FB2EEE6D}">
      <text>
        <r>
          <rPr>
            <sz val="11"/>
            <color theme="1"/>
            <rFont val="Calibri"/>
            <family val="2"/>
            <scheme val="minor"/>
          </rPr>
          <t xml:space="preserve">Patel, Janki:
POH not available anymore
</t>
        </r>
      </text>
    </comment>
    <comment ref="AV1" authorId="0" shapeId="0" xr:uid="{5D8614EC-4712-42B2-BC46-F079EB86D162}">
      <text>
        <r>
          <rPr>
            <sz val="11"/>
            <color theme="1"/>
            <rFont val="Calibri"/>
            <family val="2"/>
            <scheme val="minor"/>
          </rPr>
          <t xml:space="preserve">Patel, Janki:
POH not available anymore
</t>
        </r>
      </text>
    </comment>
    <comment ref="BU1" authorId="1" shapeId="0" xr:uid="{F029CA21-FC1F-49AA-A1B0-C6877A9F7634}">
      <text>
        <r>
          <rPr>
            <b/>
            <sz val="9"/>
            <color indexed="81"/>
            <rFont val="Tahoma"/>
            <family val="2"/>
          </rPr>
          <t>Max Arnson:</t>
        </r>
        <r>
          <rPr>
            <sz val="9"/>
            <color indexed="81"/>
            <rFont val="Tahoma"/>
            <family val="2"/>
          </rPr>
          <t xml:space="preserve">
not a lot of info on this one besides this website which I found in the references from a wikipedia article: https://web.archive.org/web/20161006005926/http://www2.bombardier.com/q400/en/specifications.jsp</t>
        </r>
      </text>
    </comment>
    <comment ref="B2" authorId="0" shapeId="0" xr:uid="{79F6B453-5536-47A6-933F-A5382B375813}">
      <text>
        <r>
          <rPr>
            <sz val="11"/>
            <color theme="1"/>
            <rFont val="Calibri"/>
            <family val="2"/>
            <scheme val="minor"/>
          </rPr>
          <t xml:space="preserve">Patel, Janki:
https://reaa.ru/attachments/o300d-pdf.160219/
http://www.monticellofc.org/aircraft/C172F%20POH.pdf
https://customer-janes-com.proxy.lib.umich.edu/explorer/Equipment_6954?bc=7f7247e9-0c8f-465e-b0bb-8c89bc4e1130
</t>
        </r>
      </text>
    </comment>
    <comment ref="C2" authorId="0" shapeId="0" xr:uid="{73C1D654-F54A-4D4D-AAEF-115CD931DC33}">
      <text>
        <r>
          <rPr>
            <sz val="11"/>
            <color theme="1"/>
            <rFont val="Calibri"/>
            <family val="2"/>
            <scheme val="minor"/>
          </rPr>
          <t xml:space="preserve">Patel, Janki:
https://reaa.ru/attachments/o300d-pdf.160219/
http://www.monticellofc.org/aircraft/C172F%20POH.pdf
https://customer-janes-com.proxy.lib.umich.edu/explorer/Equipment_6954?bc=7f7247e9-0c8f-465e-b0bb-8c89bc4e1130
</t>
        </r>
      </text>
    </comment>
    <comment ref="D2" authorId="0" shapeId="0" xr:uid="{7C9F1B09-7A59-4BF8-BD70-1872ABD5BB2C}">
      <text>
        <r>
          <rPr>
            <sz val="11"/>
            <color theme="1"/>
            <rFont val="Calibri"/>
            <family val="2"/>
            <scheme val="minor"/>
          </rPr>
          <t>Patel, Janki:
https://www.lycoming.com/sites/default/files/O-320%20Operator%20Manual%2060297-30.pdf
https://www.befa.org/wp-content/uploads/2019/12/POH-Cessna-172P.pdf</t>
        </r>
      </text>
    </comment>
    <comment ref="E2" authorId="0" shapeId="0" xr:uid="{0572CEEC-2A13-4C14-9FE7-E9AD30196C8E}">
      <text>
        <r>
          <rPr>
            <sz val="11"/>
            <color theme="1"/>
            <rFont val="Calibri"/>
            <family val="2"/>
            <scheme val="minor"/>
          </rPr>
          <t xml:space="preserve">Patel, Janki:
https://www.flygoodyear.com/images/downloads/Cessna%20CE-172SP%20POH.pdf
https://www.easa.europa.eu/downloads/7741/en
https://customer-janes-com.proxy.lib.umich.edu/explorer/Equipment_6954?bc=b5257297-a95f-432f-9186-f98c38125b04&amp;explorerState=7d242b38-f5de-4e4a-a571-bdd45b034d04
</t>
        </r>
      </text>
    </comment>
    <comment ref="F2" authorId="0" shapeId="0" xr:uid="{35E58CBC-F0CC-4F0B-B6DC-50B39AAF93F3}">
      <text>
        <r>
          <rPr>
            <sz val="11"/>
            <color theme="1"/>
            <rFont val="Calibri"/>
            <family val="2"/>
            <scheme val="minor"/>
          </rPr>
          <t xml:space="preserve">Patel, Janki:
https://wayman.edu/files/172R-POH.pdf
https://www.easa.europa.eu/downloads/7741/en
https://customer-janes-com.proxy.lib.umich.edu/Janes/Display/JAE_A095-JAE_
</t>
        </r>
      </text>
    </comment>
    <comment ref="G2" authorId="0" shapeId="0" xr:uid="{94044F11-A358-44A5-9C54-77F620371B6D}">
      <text>
        <r>
          <rPr>
            <sz val="11"/>
            <color theme="1"/>
            <rFont val="Calibri"/>
            <family val="2"/>
            <scheme val="minor"/>
          </rPr>
          <t xml:space="preserve">Patel, Janki:
https://www.continental.aero/engines/500.aspx
http://kirtlandflightcenter.org/wp-content/uploads/T-41_POH.pdf
</t>
        </r>
      </text>
    </comment>
    <comment ref="H2" authorId="0" shapeId="0" xr:uid="{51EEE166-05DB-40A7-8E27-7AD9423E6502}">
      <text>
        <r>
          <rPr>
            <sz val="11"/>
            <color theme="1"/>
            <rFont val="Calibri"/>
            <family val="2"/>
            <scheme val="minor"/>
          </rPr>
          <t xml:space="preserve">Patel, Janki:
https://rgl.faa.gov/REGULATORY_AND_GUIDANCE_LIBRARY/RGMAKEMODEL.NSF/0/3f839365ab8ff3e68525670e0047b644/$FILE/E8ce.pdf
https://customer-janes-com.proxy.lib.umich.edu/explorer/Equipment_14922?bc=5c3fbf81-ebf8-496a-8406-2561c7c11c61
</t>
        </r>
      </text>
    </comment>
    <comment ref="I2" authorId="0" shapeId="0" xr:uid="{A24367D1-B124-4257-9679-B8039DE611C0}">
      <text>
        <r>
          <rPr>
            <sz val="11"/>
            <color theme="1"/>
            <rFont val="Calibri"/>
            <family val="2"/>
            <scheme val="minor"/>
          </rPr>
          <t xml:space="preserve">Patel, Janki:
https://aeroresourcesinc.com/proj98-ci/WebContent/uploads/198303-1983%20Cessna%20T-303%20Crusader.pdf
https://rgl.faa.gov/Regulatory_and_Guidance_Library/rgMakeModel.nsf/0/7bfb5a7ace53d4c486257085006e9e7b/$FILE/E-274.pdf
https://customer-janes-com.proxy.lib.umich.edu/explorer/Equipment_13276?bc=57823ea8-69d8-450d-947b-c3b433a9207f&amp;explorerState=eb2bddd3-4420-4fd0-ab1a-ff01d2616474
</t>
        </r>
      </text>
    </comment>
    <comment ref="J2" authorId="0" shapeId="0" xr:uid="{DCE61B93-7991-4E49-985F-78C8F7D35072}">
      <text>
        <r>
          <rPr>
            <sz val="11"/>
            <color theme="1"/>
            <rFont val="Calibri"/>
            <family val="2"/>
            <scheme val="minor"/>
          </rPr>
          <t xml:space="preserve">Patel, Janki:
https://aerowoodaviation.com/site/wp-content/uploads/2022/06/172M-POH-1973.pdf
https://rgl.faa.gov/Regulatory_and_Guidance_Library/rgMakeModel.nsf/0/7bfb5a7ace53d4c486257085006e9e7b/$FILE/E-274.pdf
https://customer-janes-com.proxy.lib.umich.edu/explorer/Equipment_6960?bc=03d85392-0f5a-4f36-9ad6-bc11d7e9862f&amp;explorerState=21b3b564-900a-4106-a361-283ee190a831
</t>
        </r>
      </text>
    </comment>
    <comment ref="K2" authorId="0" shapeId="0" xr:uid="{AD5A4A8F-537B-4A32-A809-67CDBCD3A3A9}">
      <text>
        <r>
          <rPr>
            <sz val="11"/>
            <color theme="1"/>
            <rFont val="Calibri"/>
            <family val="2"/>
            <scheme val="minor"/>
          </rPr>
          <t xml:space="preserve">Patel, Janki:
https://aerowoodaviation.com/site/wp-content/uploads/2022/06/Cessna-150G-Owners-Manual.pdf
https://www.continental.aero/uploadedFiles/Content/Engines/Gasoline_engines/200AvGas-SpecSheet.pdf
https://customer-janes-com.proxy.lib.umich.edu/Janes/Display/JAU_9060-JAU_
</t>
        </r>
      </text>
    </comment>
    <comment ref="L2" authorId="0" shapeId="0" xr:uid="{8A42A118-0557-4B1C-8B3E-D33D737AE24D}">
      <text>
        <r>
          <rPr>
            <sz val="11"/>
            <color theme="1"/>
            <rFont val="Calibri"/>
            <family val="2"/>
            <scheme val="minor"/>
          </rPr>
          <t xml:space="preserve">Patel, Janki:
https://www.continental.aero/uploadedFiles/Content/Engines/Gasoline_engines/200AvGas-SpecSheet.pdf
https://aerowoodaviation.com/site/wp-content/uploads/2019/11/N19289_POH.pdf
https://customer-janes-com.proxy.lib.umich.edu/Janes/Display/JAU_9060-JAU_
</t>
        </r>
      </text>
    </comment>
    <comment ref="M2" authorId="0" shapeId="0" xr:uid="{0FD7057D-02E4-47A3-90AC-B8F682662652}">
      <text>
        <r>
          <rPr>
            <sz val="11"/>
            <color theme="1"/>
            <rFont val="Calibri"/>
            <family val="2"/>
            <scheme val="minor"/>
          </rPr>
          <t xml:space="preserve">Patel, Janki:
http://www.continental.aero/uploadedFiles/Content/xHome/Billboards/500series_032012.pdf
https://static1.squarespace.com/static/5a99aa44506fbed0986eea14/t/5a9a1dc8e2c48369e0efaaba/1520049616086/C207POH_part1.pdf
https://customer-janes-com.proxy.lib.umich.edu/explorer/Equipment_11225?bc=55e06a77-280d-42c1-ae1b-b2a8eb2d020c&amp;explorerState=aea8f1ed-aa88-4820-b8b5-33ddcb93c512
</t>
        </r>
      </text>
    </comment>
    <comment ref="N2" authorId="0" shapeId="0" xr:uid="{570BB045-3EF1-402A-86ED-29A7A667905F}">
      <text>
        <r>
          <rPr>
            <sz val="11"/>
            <color theme="1"/>
            <rFont val="Calibri"/>
            <family val="2"/>
            <scheme val="minor"/>
          </rPr>
          <t xml:space="preserve">Patel, Janki:
https://www.bidnet.com/bneattachments?/356166363.pdf
https://caravannation.com/208BG1000POH.pdf
https://customer-janes-com.proxy.lib.umich.edu/explorer/Equipment_13766?bc=b52eb2c5-2c21-43e1-aed1-7066d1625ba2&amp;explorerState=c614d572-21e9-4644-8e68-f297005c1e2c
</t>
        </r>
      </text>
    </comment>
    <comment ref="O2" authorId="0" shapeId="0" xr:uid="{236BDBA4-F36B-4641-8D63-4A6AA12CBD5E}">
      <text>
        <r>
          <rPr>
            <sz val="11"/>
            <color theme="1"/>
            <rFont val="Calibri"/>
            <family val="2"/>
            <scheme val="minor"/>
          </rPr>
          <t xml:space="preserve">Patel, Janki:
https://takeflightsandiego.com/assets/documents/Cessna%20205%20POH.pdf
https://www.continental.aero/engines/400/
</t>
        </r>
      </text>
    </comment>
    <comment ref="P2" authorId="0" shapeId="0" xr:uid="{2DD03793-E225-498D-A2AD-206334EA5C22}">
      <text>
        <r>
          <rPr>
            <sz val="11"/>
            <color theme="1"/>
            <rFont val="Calibri"/>
            <family val="2"/>
            <scheme val="minor"/>
          </rPr>
          <t xml:space="preserve">Patel, Janki:
https://jasonblair.net/wp-content/uploads/2015/09/Cessna-310K-POH.pdf
https://www.continental.aero/engines/400/
https://customer-janes-com.proxy.lib.umich.edu/explorer/Equipment_13277?bc=566defb0-eaf6-44ab-8920-c230eea7faca&amp;explorerState=4b839a28-6a73-4cde-aa37-451374086b92
</t>
        </r>
      </text>
    </comment>
    <comment ref="Q2" authorId="0" shapeId="0" xr:uid="{65C28ACC-E0D6-4D85-A2DC-7ABEC4771830}">
      <text>
        <r>
          <rPr>
            <sz val="11"/>
            <color theme="1"/>
            <rFont val="Calibri"/>
            <family val="2"/>
            <scheme val="minor"/>
          </rPr>
          <t xml:space="preserve">Patel, Janki:
https://www.redcliffeaeroclub.com.au/files/aircraft/C310R_POH.pdf
http://www.continental.aero/uploadedFiles/Content/xHome/Billboards/500series_032012.pdf
https://customer-janes-com.proxy.lib.umich.edu/explorer/Equipment_13307?bc=749ca6e8-a8a9-4855-a872-5e822f31800e&amp;explorerState=c2560584-612a-42cf-9362-9ddbe5812900
</t>
        </r>
      </text>
    </comment>
    <comment ref="R2" authorId="0" shapeId="0" xr:uid="{44121CC5-66FB-4A26-A8BC-FED53C57FF04}">
      <text>
        <r>
          <rPr>
            <sz val="11"/>
            <color theme="1"/>
            <rFont val="Calibri"/>
            <family val="2"/>
            <scheme val="minor"/>
          </rPr>
          <t xml:space="preserve">Patel, Janki:
http://www.continental.aero/uploadedFiles/Content/xHome/Billboards/300series_032012.pdf
https://jasonblair.net/wp-content/uploads/2015/06/Cessna-1971-Super-Skymaster-337-POH.pdf
</t>
        </r>
      </text>
    </comment>
    <comment ref="S2" authorId="0" shapeId="0" xr:uid="{3649E19C-C802-4B6E-968F-00F8E0A13121}">
      <text>
        <r>
          <rPr>
            <sz val="11"/>
            <color theme="1"/>
            <rFont val="Calibri"/>
            <family val="2"/>
            <scheme val="minor"/>
          </rPr>
          <t xml:space="preserve">Patel, Janki:
http://www.continental.aero/uploadedFiles/Content/xHome/Billboards/300series_032012.pdf
https://jasonblair.net/wp-content/uploads/2015/06/Cessna-1971-Super-Skymaster-337-POH.pdf
https://customer-janes-com.proxy.lib.umich.edu/explorer/Equipment_10721?bc=c0f68f45-7d5a-4d04-b12d-c028130b158a&amp;explorerState=fb8bdd0e-0738-4871-95be-a2914cfb5b6c
</t>
        </r>
      </text>
    </comment>
    <comment ref="T2" authorId="0" shapeId="0" xr:uid="{8C72F85F-A173-43B1-A330-33D057280B6E}">
      <text>
        <r>
          <rPr>
            <sz val="11"/>
            <color theme="1"/>
            <rFont val="Calibri"/>
            <family val="2"/>
            <scheme val="minor"/>
          </rPr>
          <t xml:space="preserve">Patel, Janki:
http://www.continental.aero/uploadedFiles/Content/xHome/Billboards/500series_032012.pdf
https://takeflightsandiego.com/assets/documents/1972%20Cessna%20210L%20POH.pdf
https://customer-janes-com.proxy.lib.umich.edu/explorer/Equipment_4708?bc=5d326089-e829-4dbe-99ef-e6f7f04929dc&amp;explorerState=6496893b-dc3c-440d-9246-9ade63b06b80
</t>
        </r>
      </text>
    </comment>
    <comment ref="U2" authorId="0" shapeId="0" xr:uid="{EC1FD5D8-042B-496B-86CF-60C9AECAB4C2}">
      <text>
        <r>
          <rPr>
            <sz val="11"/>
            <color theme="1"/>
            <rFont val="Calibri"/>
            <family val="2"/>
            <scheme val="minor"/>
          </rPr>
          <t xml:space="preserve">Patel, Janki:
http://www.continental.aero/uploadedFiles/Content/xHome/Billboards/500series_032012.pdf
https://takeflightsandiego.com/assets/documents/1972%20Cessna%20210L%20POH.pdf
https://customer-janes-com.proxy.lib.umich.edu/explorer/Equipment_13265?bc=80083f61-3aed-481c-a18c-75c0f5b51113&amp;explorerState=a99d30ed-620a-4bb8-a955-96b5145a9258
</t>
        </r>
      </text>
    </comment>
    <comment ref="V2" authorId="0" shapeId="0" xr:uid="{D36B7FA2-9FEA-4594-A914-8171933735FB}">
      <text>
        <r>
          <rPr>
            <sz val="11"/>
            <color theme="1"/>
            <rFont val="Calibri"/>
            <family val="2"/>
            <scheme val="minor"/>
          </rPr>
          <t xml:space="preserve">Patel, Janki:
http://www.redcliffeaeroclub.com.au/files/aircraft/C206G_POH.pdf
http://www.continental.aero/uploadedFiles/Content/xHome/Billboards/500series_032012.pdf
https://customer-janes-com.proxy.lib.umich.edu/explorer/Equipment_6966?bc=f423fc63-b046-47a1-b4e1-6b58cb41768a&amp;explorerState=5c00bec9-5ac1-49ea-b67e-ca23f9e6af84
</t>
        </r>
      </text>
    </comment>
    <comment ref="W2" authorId="0" shapeId="0" xr:uid="{6C1B5394-6881-4273-B7D6-ED7CD3960255}">
      <text>
        <r>
          <rPr>
            <sz val="11"/>
            <color theme="1"/>
            <rFont val="Calibri"/>
            <family val="2"/>
            <scheme val="minor"/>
          </rPr>
          <t xml:space="preserve">Patel, Janki:
https://www.malibuaerospace.com/application/files/5615/1844/3403/TC_Data_-_e14ea.pdf
http://blueskyaviation.cz/wp-content/uploads/2016/11/POH_T206H-OK-MCP.pdf
https://customer-janes-com.proxy.lib.umich.edu/explorer/Equipment_6970?bc=deb4173c-82c8-473c-9887-3edb0872cbaf&amp;explorerState=98ce8b6e-a4ff-4f78-8923-5dea97580c39
</t>
        </r>
      </text>
    </comment>
    <comment ref="X2" authorId="0" shapeId="0" xr:uid="{7D48E0BC-746B-4D41-AF1F-FB0E4FDEBE5C}">
      <text>
        <r>
          <rPr>
            <sz val="11"/>
            <color theme="1"/>
            <rFont val="Calibri"/>
            <family val="2"/>
            <scheme val="minor"/>
          </rPr>
          <t xml:space="preserve">Patel, Janki:
https://www.rainierflightservice.com/aircraftdocs/182-poh.pdf
https://www.lycoming.com/sites/default/files/O%20%26%20IO-540%20Oper%20Manual%2060297-10.pdf
https://customer-janes-com.proxy.lib.umich.edu/explorer/Equipment_14880?bc=e7c29543-cefc-44b4-8acf-27953fcb9c8d&amp;explorerState=7bfdadc2-35d3-4f95-83bf-d178b310e464
</t>
        </r>
      </text>
    </comment>
    <comment ref="Y2" authorId="0" shapeId="0" xr:uid="{95FB8493-0424-47CD-A4B2-3FB5DD98C236}">
      <text>
        <r>
          <rPr>
            <sz val="11"/>
            <color theme="1"/>
            <rFont val="Calibri"/>
            <family val="2"/>
            <scheme val="minor"/>
          </rPr>
          <t xml:space="preserve">Patel, Janki:
https://www.continental.aero/engines/200.aspx#:~:text=The%20O%2D200%2DD%20lightweight,continuous%20horsepower%20at%202750%20RPM.
https://cessnaflighttraining.kingschools.com/secure/ccf/ccfppv1/documents/162PHUS%20111110.pdf
</t>
        </r>
      </text>
    </comment>
    <comment ref="Z2" authorId="0" shapeId="0" xr:uid="{A82FE466-0558-411F-AA53-279B1DCA7D43}">
      <text>
        <r>
          <rPr>
            <sz val="11"/>
            <color theme="1"/>
            <rFont val="Calibri"/>
            <family val="2"/>
            <scheme val="minor"/>
          </rPr>
          <t xml:space="preserve">Patel, Janki:
http://www.iascanada.com/engmodels.html
https://www.globalair.com/aircraft-for-sale/specifications?specid=195
https://aeroresourcesinc.com/uploads/201202-1981%20Cessna%20425%20Conquest%20I.pdf
</t>
        </r>
      </text>
    </comment>
    <comment ref="AA2" authorId="0" shapeId="0" xr:uid="{B67AFD6F-DCAD-4683-988A-6984FEB02398}">
      <text>
        <r>
          <rPr>
            <sz val="11"/>
            <color theme="1"/>
            <rFont val="Calibri"/>
            <family val="2"/>
            <scheme val="minor"/>
          </rPr>
          <t xml:space="preserve">Patel, Janki:
https://www.lycoming.com/sites/default/files/O-320%20Operator%20Manual%2060297-30.pdf
https://www.sunshinecoastflyingschool.com.au/wp-content/uploads/2019/03/R2160-Robin-Flight-Manual.pdf
</t>
        </r>
      </text>
    </comment>
    <comment ref="AB2" authorId="0" shapeId="0" xr:uid="{BDE6A01B-91EA-4A1F-A7DC-B65B86198639}">
      <text>
        <r>
          <rPr>
            <sz val="11"/>
            <color theme="1"/>
            <rFont val="Calibri"/>
            <family val="2"/>
            <scheme val="minor"/>
          </rPr>
          <t xml:space="preserve">Patel, Janki:
https://stpeteair.org/wp-content/uploads/cirrus-sr20-poh.pdf
https://www.continental.aero/engines/300.aspx
https://customer-janes-com.proxy.lib.umich.edu/explorer/Equipment_72873?bc=2b6693fd-1e5c-4d3e-8e65-c619e8558daf&amp;explorerState=26dba936-45a3-4366-9a6d-c2a94e4f3bc3
</t>
        </r>
      </text>
    </comment>
    <comment ref="AC2" authorId="0" shapeId="0" xr:uid="{A03C4623-C4CB-4BF2-B72F-CDA863543C22}">
      <text>
        <r>
          <rPr>
            <sz val="11"/>
            <color theme="1"/>
            <rFont val="Calibri"/>
            <family val="2"/>
            <scheme val="minor"/>
          </rPr>
          <t xml:space="preserve">Patel, Janki:
https://cirrusaircraft.com/aircraft/sr22/
https://www.continental.aero/engines/500.aspx
https://jasonblair.net/wp-content/uploads/2015/06/Cirrus-SR22-POH.pdf
https://customer-janes-com.proxy.lib.umich.edu/explorer/Equipment_7599?bc=da40c877-e54b-42ba-a952-9e118f3ca5d5&amp;explorerState=3a51a5a3-d41a-4f55-bf4e-5ec10045482f
</t>
        </r>
      </text>
    </comment>
    <comment ref="AD2" authorId="0" shapeId="0" xr:uid="{16BA7BD7-9992-4C4B-9CA6-475F02A388D6}">
      <text>
        <r>
          <rPr>
            <sz val="11"/>
            <color theme="1"/>
            <rFont val="Calibri"/>
            <family val="2"/>
            <scheme val="minor"/>
          </rPr>
          <t xml:space="preserve">Patel, Janki:
https://www.continental.aero/uploadedFiles/Content/Engines/Gasoline_engines/550AvGas-SpecSheet.pdf
https://takeflightsandiego.com/assets/documents/SR22T%20G5%20POH.pdf
https://customer-janes-com.proxy.lib.umich.edu/explorer/Equipment_7600?bc=b6e7243a-7f67-423d-b544-1bf79dbcf582&amp;explorerState=9b4d1a05-a72c-450d-91c5-34d4c7caca44
https://cirrusaircraft.com/aircraft/sr22t/
</t>
        </r>
      </text>
    </comment>
    <comment ref="AE2" authorId="0" shapeId="0" xr:uid="{FBE15FCA-BC87-4102-A6A7-5E97B6C17813}">
      <text>
        <r>
          <rPr>
            <sz val="11"/>
            <color theme="1"/>
            <rFont val="Calibri"/>
            <family val="2"/>
            <scheme val="minor"/>
          </rPr>
          <t xml:space="preserve">Patel, Janki:
https://www.diamondaircraft.com/fileadmin/diamondaircraft/documents/da20/DA20_Factsheet.pdf
https://www.continental.aero/uploadedFiles/Content/Engines/Gasoline_engines/200AvGas-SpecSheet.pdf
https://customer-janes-com.proxy.lib.umich.edu/explorer/Equipment_5808?bc=578c8f92-fa07-43eb-9bed-7410ea2b4895&amp;explorerState=b1de5536-d585-4f02-bba1-9880aa2952d4
</t>
        </r>
      </text>
    </comment>
    <comment ref="AF2" authorId="0" shapeId="0" xr:uid="{9BDF2D2C-950C-415F-99F0-FB2F6851865E}">
      <text>
        <r>
          <rPr>
            <sz val="11"/>
            <color theme="1"/>
            <rFont val="Calibri"/>
            <family val="2"/>
            <scheme val="minor"/>
          </rPr>
          <t xml:space="preserve">Patel, Janki:
https://www.diamondaircraft.com/en/private-owners/aircraft/da50/tech-specs/
https://www.continental.aero/diesel/engines/cd300.aspx
https://customer-janes-com.proxy.lib.umich.edu/explorer/Equipment_8264?bc=2bafe9d0-e2a5-415d-940d-10bccddc3709&amp;explorerState=cc848dc9-7274-4d85-bd60-023d5f4d680a
</t>
        </r>
      </text>
    </comment>
    <comment ref="AG2" authorId="0" shapeId="0" xr:uid="{C54C6FF8-EF03-423F-B16A-BB7A4FE3BCD7}">
      <text>
        <r>
          <rPr>
            <sz val="11"/>
            <color theme="1"/>
            <rFont val="Calibri"/>
            <family val="2"/>
            <scheme val="minor"/>
          </rPr>
          <t xml:space="preserve">Patel, Janki:
https://www.austroengine.at/uploads/pdf/mod_products9/AE330FactSheet.pdf
https://www.diamondaircraft.com/en/private-owners/aircraft/da40/tech-specs/
https://customer-janes-com.proxy.lib.umich.edu/explorer/Equipment_18187?bc=4aafdd14-fd84-4f11-bef4-0340c1e330e1&amp;explorerState=4f2f2d63-83c7-454a-8046-2ced136a4839
http://www.airmart.com/sites/default/files/DIAMOND%20DA40%20NG%20PERFORMANCE%20AND%20SPECS.pdf
</t>
        </r>
      </text>
    </comment>
    <comment ref="AH2" authorId="0" shapeId="0" xr:uid="{69C311F9-A839-4204-84CA-8A4043F92FF7}">
      <text>
        <r>
          <rPr>
            <sz val="11"/>
            <color theme="1"/>
            <rFont val="Calibri"/>
            <family val="2"/>
            <scheme val="minor"/>
          </rPr>
          <t xml:space="preserve">Patel, Janki:
https://www.lycoming.com/sites/default/files/%28L%29IO-360-M1A%20Oper%20%26%20Install%20Manual%2060297-36.pdf
https://www.diamondaircraft.com/en/private-owners/aircraft/da40/tech-specs/
http://www.airmart.com/sites/default/files/DIAMOND%20DA40%20NG%20PERFORMANCE%20AND%20SPECS.pdf
https://customer-janes-com.proxy.lib.umich.edu/explorer/Equipment_18187?bc=4aafdd14-fd84-4f11-bef4-0340c1e330e1&amp;explorerState=4f2f2d63-83c7-454a-8046-2ced136a4839
</t>
        </r>
      </text>
    </comment>
    <comment ref="AI2" authorId="0" shapeId="0" xr:uid="{293E7B98-BB75-431A-B01F-87DEC2CB8D17}">
      <text>
        <r>
          <rPr>
            <sz val="11"/>
            <color theme="1"/>
            <rFont val="Calibri"/>
            <family val="2"/>
            <scheme val="minor"/>
          </rPr>
          <t>Patel, Janki:
https://www.comco-ikarus.de/wp-content/uploads/2019/11/POH-C42-Series-Issue-4-Rev._5_23.08.2019.pdf</t>
        </r>
      </text>
    </comment>
    <comment ref="AJ2" authorId="0" shapeId="0" xr:uid="{123EE410-F423-40AB-B224-0A4970B302FB}">
      <text>
        <r>
          <rPr>
            <sz val="11"/>
            <color theme="1"/>
            <rFont val="Calibri"/>
            <family val="2"/>
            <scheme val="minor"/>
          </rPr>
          <t xml:space="preserve">Patel, Janki:
https://www.rotax.com/en/products/rotax-powertrains/details/rotax-582-ul.html
https://www.aeromarine-lsa.com/wp-content/uploads/2020/03/Merlin-Pilot-handbook.pdf
https://customer-janes-com.proxy.lib.umich.edu/explorer/Equipment_95540?bc=832d1960-05e6-49bf-aa2e-df0784500f3c&amp;explorerState=6ad206a7-a200-47ff-b3b1-096c2ad25398
</t>
        </r>
      </text>
    </comment>
    <comment ref="AK2" authorId="0" shapeId="0" xr:uid="{3687B7BD-7E11-440A-B830-8281B46970BE}">
      <text>
        <r>
          <rPr>
            <sz val="11"/>
            <color theme="1"/>
            <rFont val="Calibri"/>
            <family val="2"/>
            <scheme val="minor"/>
          </rPr>
          <t xml:space="preserve">Patel, Janki:
https://www.easa.europa.eu/downloads/7787/en
https://www.pilatus-aircraft.com/data/document/Pilatus-Aircraft-Ltd-PC-12NGX-Factsheet.pdf
https://customer-janes-com.proxy.lib.umich.edu/explorer/Equipment_106199?explorerState=c2d319ee-0d4c-4d82-b11f-3ca2890816cf
</t>
        </r>
      </text>
    </comment>
    <comment ref="AL2" authorId="0" shapeId="0" xr:uid="{A0F8CCD2-FFB0-4C75-B097-EE847625023F}">
      <text>
        <r>
          <rPr>
            <sz val="11"/>
            <color theme="1"/>
            <rFont val="Calibri"/>
            <family val="2"/>
            <scheme val="minor"/>
          </rPr>
          <t xml:space="preserve">Patel, Janki:
https://www.lycoming.com/sites/default/files/TIO-540-AE2A%20Operator%20Manual%2060297-27.pdf
https://planephd.com/wizard/details/839/PIPER-M350-specifications-performance-operating-cost-valuation
https://www.piper.com/wp-content/uploads/2019/05/M350-Aircraft-Brochure-2019.pdf
</t>
        </r>
      </text>
    </comment>
    <comment ref="AM2" authorId="0" shapeId="0" xr:uid="{DDC3DD2E-6A59-4F6D-8EFD-D04BF84DE9D7}">
      <text>
        <r>
          <rPr>
            <sz val="11"/>
            <color theme="1"/>
            <rFont val="Calibri"/>
            <family val="2"/>
            <scheme val="minor"/>
          </rPr>
          <t xml:space="preserve">Patel, Janki:
https://www.regionflyers.com/wp-content/uploads/2017/06/Piper-Arrow-II-Specs.pdf
https://aerowoodaviation.com/site/wp-content/uploads/2020/12/12-5-20-N98JG-Owners-Handbook.pdf
https://customer-janes-com.proxy.lib.umich.edu/Janes/Display/JAWA1392-JAWA
</t>
        </r>
      </text>
    </comment>
    <comment ref="AN2" authorId="0" shapeId="0" xr:uid="{5E9DA198-4E34-428F-A756-C72080323F43}">
      <text>
        <r>
          <rPr>
            <sz val="11"/>
            <color theme="1"/>
            <rFont val="Calibri"/>
            <family val="2"/>
            <scheme val="minor"/>
          </rPr>
          <t xml:space="preserve">Patel, Janki:
http://www.iascanada.com/engmodels.html
http://www.redcliffeaeroclub.com.au/files/aircraft/Kodiak100_POH.pdf
https://kodiak.aero/kodiak/
https://customer-janes-com.proxy.lib.umich.edu/Janes/Display/JAWAA123-JAWA#Description%20%E2%80%93%20in%20service-Kodiak%20100
https://customer-janes-com.proxy.lib.umich.edu/Janes/Display/JAE_0481-JAE_#Description%20%E2%80%93%20in%20service-PT6A-34
</t>
        </r>
      </text>
    </comment>
    <comment ref="AO2" authorId="0" shapeId="0" xr:uid="{F09E4453-C5AF-48AB-AFA2-AD823519A4AD}">
      <text>
        <r>
          <rPr>
            <sz val="11"/>
            <color theme="1"/>
            <rFont val="Calibri"/>
            <family val="2"/>
            <scheme val="minor"/>
          </rPr>
          <t xml:space="preserve">Patel, Janki:
https://documents.lancair.com/aircraft_documents/Legacy/legRG_POH_2008_WM.pdf
https://lancair.com/legacy/
https://customer-janes-com.proxy.lib.umich.edu/Janes/Display/jawa5117-jawa
</t>
        </r>
      </text>
    </comment>
    <comment ref="AP2" authorId="0" shapeId="0" xr:uid="{E56EE6D6-C317-4331-88DC-A9F1AFC3EEDA}">
      <text>
        <r>
          <rPr>
            <sz val="11"/>
            <color theme="1"/>
            <rFont val="Calibri"/>
            <family val="2"/>
            <scheme val="minor"/>
          </rPr>
          <t xml:space="preserve">Patel, Janki:
https://www.lycoming.com/sites/default/files/O-320%20Operator%20Manual%2060297-30.pdf
https://www.montereynavyflyingclub.org/Other%20Docs/Piper-PA-28-161-Cherokee-Warrior-II-POH.pdf
https://customer-janes-com.proxy.lib.umich.edu/Janes/Display/JAU_1630-JAU_
</t>
        </r>
      </text>
    </comment>
    <comment ref="AQ2" authorId="0" shapeId="0" xr:uid="{444525F7-36EC-48B7-8631-15354F07CBF2}">
      <text>
        <r>
          <rPr>
            <sz val="11"/>
            <color theme="1"/>
            <rFont val="Calibri"/>
            <family val="2"/>
            <scheme val="minor"/>
          </rPr>
          <t xml:space="preserve">Patel, Janki:
https://www.lycoming.com/sites/default/files/O-320%20Operator%20Manual%2060297-30.pdf
https://assets.website-files.com/5cd9f35707d65349921db6bf/5cfa581763d027196b6737c8_POH%20%20PA%2028%20-%20140%20HK-1791-G%2012%20JULIO%202018.pdf
</t>
        </r>
      </text>
    </comment>
    <comment ref="AR2" authorId="0" shapeId="0" xr:uid="{767BC287-0F34-462B-AACE-85FB3A92A6E8}">
      <text>
        <r>
          <rPr>
            <sz val="11"/>
            <color theme="1"/>
            <rFont val="Calibri"/>
            <family val="2"/>
            <scheme val="minor"/>
          </rPr>
          <t xml:space="preserve">Patel, Janki:
http://www.airmart.com/sites/default/files/Piper%20Archer%20II%20Performance%20and%20Specifications.pdf
https://img1.wsimg.com/blobby/go/7bcbfb3a-90d8-4b8d-961b-6ec6bac4d62d/downloads/VB-2960_thru_R01_5.5x8.5_doublesided_color.pdf?ver=1636507390098
https://www.easa.europa.eu/downloads/7741/en
</t>
        </r>
      </text>
    </comment>
    <comment ref="AS2" authorId="0" shapeId="0" xr:uid="{354C3A95-2826-4686-8433-9BC5A210D821}">
      <text>
        <r>
          <rPr>
            <sz val="11"/>
            <color theme="1"/>
            <rFont val="Calibri"/>
            <family val="2"/>
            <scheme val="minor"/>
          </rPr>
          <t>Patel, Janki:
https://jasonblair.net/wp-content/uploads/2015/06/Piper-PA-32-300POH.pdf
https://customer-janes-com.proxy.lib.umich.edu/Janes/Display/JAU_1637-JAU_</t>
        </r>
      </text>
    </comment>
    <comment ref="AT2" authorId="0" shapeId="0" xr:uid="{21FF4332-9DC1-4EBE-8A0A-7180CDC74441}">
      <text>
        <r>
          <rPr>
            <sz val="11"/>
            <color theme="1"/>
            <rFont val="Calibri"/>
            <family val="2"/>
            <scheme val="minor"/>
          </rPr>
          <t>Patel, Janki:
https://jasonblair.net/wp-content/uploads/2015/06/Piper-PA-32-300POH.pdf
https://customer-janes-com.proxy.lib.umich.edu/Janes/Display/JAU_1637-JAU_</t>
        </r>
      </text>
    </comment>
    <comment ref="AU2" authorId="0" shapeId="0" xr:uid="{572C95C6-8EA1-4E69-9A2B-BAB80EB8F446}">
      <text>
        <r>
          <rPr>
            <sz val="11"/>
            <color theme="1"/>
            <rFont val="Calibri"/>
            <family val="2"/>
            <scheme val="minor"/>
          </rPr>
          <t xml:space="preserve">Patel, Janki:
http://www.airmart.com/sites/default/files/Piper%20Lance%20II%20-%20Turbo%20Lance%20II%20Performance.pdf
https://www.lycoming.com/sites/default/files/O%20%26%20IO-540%20Oper%20Manual%2060297-10.pdf
</t>
        </r>
      </text>
    </comment>
    <comment ref="AV2" authorId="0" shapeId="0" xr:uid="{3E3733A6-1DF5-40DB-852C-BA4B01632C15}">
      <text>
        <r>
          <rPr>
            <sz val="11"/>
            <color theme="1"/>
            <rFont val="Calibri"/>
            <family val="2"/>
            <scheme val="minor"/>
          </rPr>
          <t xml:space="preserve">Patel, Janki:
https://www.lycoming.com/sites/default/files/60297-23A.pdf
http://www.airmart.com/sites/default/files/Piper%20Lance%20II%20-%20Turbo%20Lance%20II%20Performance.pdf
</t>
        </r>
      </text>
    </comment>
    <comment ref="AW2" authorId="0" shapeId="0" xr:uid="{D5224313-8CC3-4217-BF63-62D9541E44CE}">
      <text>
        <r>
          <rPr>
            <sz val="11"/>
            <color theme="1"/>
            <rFont val="Calibri"/>
            <family val="2"/>
            <scheme val="minor"/>
          </rPr>
          <t xml:space="preserve">Patel, Janki:
https://desertflying.club/wp-content/uploads/2018/06/Piper-Aztec-POH.pdf
https://www.aopa.org/go-fly/aircraft-and-ownership/aircraft-fact-sheets/piper-aztec
https://www.lycoming.com/sites/default/files/60297-23P.pdf
https://customer-janes-com.proxy.lib.umich.edu/Janes/Display/JAU_9247-JAU_
</t>
        </r>
      </text>
    </comment>
    <comment ref="AX2" authorId="0" shapeId="0" xr:uid="{5B330540-CC8B-4485-9765-5061DB8099FA}">
      <text>
        <r>
          <rPr>
            <sz val="11"/>
            <color theme="1"/>
            <rFont val="Calibri"/>
            <family val="2"/>
            <scheme val="minor"/>
          </rPr>
          <t xml:space="preserve">Patel, Janki:
https://www.easa.europa.eu/downloads/7741/en
http://www.ameacademy.com/pdf/piper/Piper-Seneca-Information-Manual-PA34-200.pdf
</t>
        </r>
      </text>
    </comment>
    <comment ref="AY2" authorId="0" shapeId="0" xr:uid="{3B4DE7D1-7300-4AB7-9A40-8C71D0BE2A69}">
      <text>
        <r>
          <rPr>
            <sz val="11"/>
            <color theme="1"/>
            <rFont val="Calibri"/>
            <family val="2"/>
            <scheme val="minor"/>
          </rPr>
          <t xml:space="preserve">Patel, Janki:
https://www.rochesterair.com/documents/Piper-Seneca-II-POH.pdf
https://customer-janes-com.proxy.lib.umich.edu/explorer/Equipment_4886?bc=0c364af5-77d6-47d6-9180-905455bd70e7&amp;explorerState=3587b2c9-cd33-40e6-a56a-9f540fc8ac16
</t>
        </r>
      </text>
    </comment>
    <comment ref="AZ2" authorId="0" shapeId="0" xr:uid="{7057C68D-DE60-4832-BF8C-EC52495E085D}">
      <text>
        <r>
          <rPr>
            <sz val="11"/>
            <color theme="1"/>
            <rFont val="Calibri"/>
            <family val="2"/>
            <scheme val="minor"/>
          </rPr>
          <t xml:space="preserve">Patel, Janki:
https://mmopa.com/wp-content/uploads/2019/02/MMOPA-Fact-Sheet-Specs-Comparison.pdf
https://rwrpilottraining.com/uploads/3/0/3/7/3037605/767-045_pa46-500tp_meridian-avidn_2006-2009_sn4697198216-398_less-340.pdf
https://www.easa.europa.eu/downloads/7669/en
https://customer-janes-com.proxy.lib.umich.edu/Janes/Display/JAE_0481-JAE_
</t>
        </r>
      </text>
    </comment>
    <comment ref="BA2" authorId="0" shapeId="0" xr:uid="{8D63898C-8969-4E22-86EC-6CE1106DD0A3}">
      <text>
        <r>
          <rPr>
            <sz val="11"/>
            <color theme="1"/>
            <rFont val="Calibri"/>
            <family val="2"/>
            <scheme val="minor"/>
          </rPr>
          <t xml:space="preserve">Patel, Janki:
http://www.iascanada.com/engmodels.html
https://www.globalair.com/aircraft-for-sale/specifications?specid=118
https://www.aeroresourcesinc.com/uploads/198706-1987%20Piper%20PA-42-720%20Cheyenne%20IIIA.pdf
https://customer-janes-com.proxy.lib.umich.edu/Janes/Display/JAE_0481-JAE_
</t>
        </r>
      </text>
    </comment>
    <comment ref="BB2" authorId="0" shapeId="0" xr:uid="{9D666DEA-DDDE-47CC-B6DE-E48E95530739}">
      <text>
        <r>
          <rPr>
            <sz val="11"/>
            <color theme="1"/>
            <rFont val="Calibri"/>
            <family val="2"/>
            <scheme val="minor"/>
          </rPr>
          <t xml:space="preserve">Patel, Janki:
http://www.jasonblair.net/wp-content/uploads/2015/11/Piper-PA44-180-POH.pdf
https://www.globalair.com/aircraft-for-sale/specifications?specid=453
https://www.lycoming.com/sites/default/files/O-HO-IO-HIO-AIO%20%26%20TIO-360%20Oper%20Manual%2060297-12.pdf
https://customer-janes-com.proxy.lib.umich.edu/Janes/Display/JAWA1396-JAWA
</t>
        </r>
      </text>
    </comment>
    <comment ref="BC2" authorId="0" shapeId="0" xr:uid="{247A88EB-6207-47CC-B4A4-C30B086E1558}">
      <text>
        <r>
          <rPr>
            <sz val="11"/>
            <color theme="1"/>
            <rFont val="Calibri"/>
            <family val="2"/>
            <scheme val="minor"/>
          </rPr>
          <t xml:space="preserve">Patel, Janki:
https://www.lycoming.com/sites/default/files/TO-360%20%2876%20Series%29%20Operator%20Manual%2060297-26.pdf
https://www.globalair.com/aircraft-for-sale/specifications?specid=439
https://salt.aero/wp-content/uploads/2016/04/POH-PA-44-180T-1.pdf
</t>
        </r>
      </text>
    </comment>
    <comment ref="BD2" authorId="0" shapeId="0" xr:uid="{7C95FC8A-39E5-4BE3-9AF4-62BBDA178A47}">
      <text>
        <r>
          <rPr>
            <sz val="11"/>
            <color theme="1"/>
            <rFont val="Calibri"/>
            <family val="2"/>
            <scheme val="minor"/>
          </rPr>
          <t xml:space="preserve">Patel, Janki:
http://support.diamond-air.at/fileadmin/uploads/files/after_sales_support/DA62/Airplane_Flight_Manual/Basic_Manual/70125e-r4-complete.pdf
https://www.austroengine.at/uploads/pdf/mod_products1/AustroEngineBrochure.pdf
https://www.flyingmag.com/we-fly-diamond-da62/
</t>
        </r>
      </text>
    </comment>
    <comment ref="BE2" authorId="0" shapeId="0" xr:uid="{77C67B9A-9BF8-44DE-B60B-C047995C8A37}">
      <text>
        <r>
          <rPr>
            <sz val="11"/>
            <color theme="1"/>
            <rFont val="Calibri"/>
            <family val="2"/>
            <scheme val="minor"/>
          </rPr>
          <t xml:space="preserve">Patel, Janki:
https://aviaforum.ams3.cdn.digitaloceanspaces.com/data/attachment-files/2015/06/687782_84bb0b46fa721d371a9e5388cfb37d0e.pdf
https://www.vikingair.com/sites/default/files/Viking-Twin-Otter-Series-400-Technical-Specifications-R-01-2018.pdf
http://www.iascanada.com/engmodels.html
https://customer-janes-com.proxy.lib.umich.edu/Janes/Display/JAE_0481-JAE_#Description%20%E2%80%93%20in%20service-PT6A-34
https://customer-janes-com.proxy.lib.umich.edu/Janes/Display/JAWAA417-JAWA
</t>
        </r>
      </text>
    </comment>
    <comment ref="BF2" authorId="0" shapeId="0" xr:uid="{3FF42DCE-6C42-4AC9-A7CA-BD89620C74D0}">
      <text>
        <r>
          <rPr>
            <sz val="11"/>
            <color theme="1"/>
            <rFont val="Calibri"/>
            <family val="2"/>
            <scheme val="minor"/>
          </rPr>
          <t>Patel, Janki:
http://www.iascanada.com/engmodels.html
https://www.globalair.com/aircraft-for-sale/specifications?specid=156
https://www.manualslib.com/manual/1614650/Daher-Socata-Tbm-700-Series.html?page=339&amp;term=range&amp;selected=1#manual
https://customer-janes-com.proxy.lib.umich.edu/Janes/Display/JAE_0481-JAE_#Description%20%E2%80%93%20in%20service-PT6A-34
https://customer-janes-com.proxy.lib.umich.edu/Janes/Display/JAWAA275-JAWA</t>
        </r>
      </text>
    </comment>
    <comment ref="BG2" authorId="0" shapeId="0" xr:uid="{4A800A21-4F2C-4770-8B8C-51383C6AB57B}">
      <text>
        <r>
          <rPr>
            <sz val="11"/>
            <color theme="1"/>
            <rFont val="Calibri"/>
            <family val="2"/>
            <scheme val="minor"/>
          </rPr>
          <t xml:space="preserve">Patel, Janki:
https://www.easa.europa.eu/downloads/7787/en
https://www.smartcockpit.com/docs/P180_Avanti-Specification_and_Description.pdf
https://customer-janes-com.proxy.lib.umich.edu/Janes/Display/JAWA0562-JAWA
</t>
        </r>
      </text>
    </comment>
    <comment ref="BH2" authorId="0" shapeId="0" xr:uid="{43801577-475A-4BD0-A747-FDD21A11773C}">
      <text>
        <r>
          <rPr>
            <sz val="11"/>
            <color theme="1"/>
            <rFont val="Calibri"/>
            <family val="2"/>
            <scheme val="minor"/>
          </rPr>
          <t xml:space="preserve">Patel, Janki:
https://www.continental.aero/engines/500.aspx
https://beechcraft.txtav.com/en/baron-g58#specs
https://customer-janes-com.proxy.lib.umich.edu/Janes/Display/JAWA1415-JAWA
</t>
        </r>
      </text>
    </comment>
    <comment ref="BI2" authorId="0" shapeId="0" xr:uid="{86D0776C-B8CD-4111-AF84-39F8EEF4C136}">
      <text>
        <r>
          <rPr>
            <sz val="11"/>
            <color theme="1"/>
            <rFont val="Calibri"/>
            <family val="2"/>
            <scheme val="minor"/>
          </rPr>
          <t xml:space="preserve">Patel, Janki:
https://www.lycoming.com/sites/default/files/TIO-541%20Operator%20Manual%2060297-13.pdf
https://www.aeroresourcesinc.com/uploads/198302-1983%20Beech%20Duke%20B60.pdf
</t>
        </r>
      </text>
    </comment>
    <comment ref="BJ2" authorId="0" shapeId="0" xr:uid="{1C906C47-0932-44A5-8EC0-63F19A93DE28}">
      <text>
        <r>
          <rPr>
            <sz val="11"/>
            <color theme="1"/>
            <rFont val="Calibri"/>
            <family val="2"/>
            <scheme val="minor"/>
          </rPr>
          <t xml:space="preserve">Patel, Janki:
https://www.lycoming.com/sites/default/files/O-235%26O-290%20Operator%20Manual%2060297-9.pdf
https://www.globalair.com/aircraft-for-sale/specifications?specid=677
https://pathfinderaviation.com.au/wp-content/uploads/2020/12/beechcraft-skipper-pilot-operating-handbook.pdf
</t>
        </r>
      </text>
    </comment>
    <comment ref="BK2" authorId="0" shapeId="0" xr:uid="{07E670CB-8D4D-429F-8541-EFD4FA2D4D23}">
      <text>
        <r>
          <rPr>
            <sz val="11"/>
            <color theme="1"/>
            <rFont val="Calibri"/>
            <family val="2"/>
            <scheme val="minor"/>
          </rPr>
          <t>Patel, Janki:
https://beechcraft.txtav.com/king-air-360
https://beechcraft.txtav.com/-/media/beechcraft/files/brochure/ka360_brochure.ashx
https://www.globalair.com/aircraft-for-sale/specifications?specid=1682
https://customer-janes-com.proxy.lib.umich.edu/Janes/Display/JAE_0481-JAE_#Description%20%E2%80%93%20in%20service-PT6A-34</t>
        </r>
      </text>
    </comment>
    <comment ref="BL2" authorId="0" shapeId="0" xr:uid="{A5366DA4-37ED-4A54-9EB6-55BB5FE1A314}">
      <text>
        <r>
          <rPr>
            <sz val="11"/>
            <color theme="1"/>
            <rFont val="Calibri"/>
            <family val="2"/>
            <scheme val="minor"/>
          </rPr>
          <t xml:space="preserve">Patel, Janki:
https://beechcraft.txtav.com/en/king-air-360er#specs
https://customer-janes-com.proxy.lib.umich.edu/Janes/Display/JAE_0481-JAE_#Description%20%E2%80%93%20in%20service-PT6A-34
</t>
        </r>
      </text>
    </comment>
    <comment ref="BM2" authorId="0" shapeId="0" xr:uid="{B2ACBD57-7B8E-440E-AC5F-36F9A2BD1F85}">
      <text>
        <r>
          <rPr>
            <sz val="11"/>
            <color theme="1"/>
            <rFont val="Calibri"/>
            <family val="2"/>
            <scheme val="minor"/>
          </rPr>
          <t xml:space="preserve">Patel, Janki:
https://beechcraft.txtav.com/king-air-260
http://www.iascanada.com/engmodels.html
https://customer-janes-com.proxy.lib.umich.edu/Janes/Display/JAWAC145-JAWA
</t>
        </r>
      </text>
    </comment>
    <comment ref="BN2" authorId="0" shapeId="0" xr:uid="{A637E2ED-5A3D-4A34-B5B0-FD2A613F18F4}">
      <text>
        <r>
          <rPr>
            <sz val="11"/>
            <color theme="1"/>
            <rFont val="Calibri"/>
            <family val="2"/>
            <scheme val="minor"/>
          </rPr>
          <t xml:space="preserve">Patel, Janki:
https://beechcraft.txtav.com/-/media/beechcraft/files/brochure/king_air_250_brochure.ashx
https://www.easa.europa.eu/downloads/7669/en 
http://www.africair.com/wp-content/uploads/2016/03/SD-KA250-Unit-250-to-TBD-2015-Oct.pdf
</t>
        </r>
      </text>
    </comment>
    <comment ref="BO2" authorId="0" shapeId="0" xr:uid="{983C999F-CE97-4312-9298-DC515575D279}">
      <text>
        <r>
          <rPr>
            <sz val="11"/>
            <color theme="1"/>
            <rFont val="Calibri"/>
            <family val="2"/>
            <scheme val="minor"/>
          </rPr>
          <t xml:space="preserve">Patel, Janki:
https://www.jubilantenpro.com/aerospace/king-air-350er
https://www.beechcraft.com/assets/files/beechcraft_ain_0114.pdf
http://www.iascanada.com/engmodels.html
https://customer-janes-com.proxy.lib.umich.edu/Janes/Display/JAE_0481-JAE_#Description%20%E2%80%93%20in%20service-PT6A-34
</t>
        </r>
      </text>
    </comment>
    <comment ref="BP2" authorId="0" shapeId="0" xr:uid="{AFDF8184-6D06-44FA-B426-064F99B7FA8D}">
      <text>
        <r>
          <rPr>
            <sz val="11"/>
            <color theme="1"/>
            <rFont val="Calibri"/>
            <family val="2"/>
            <scheme val="minor"/>
          </rPr>
          <t xml:space="preserve">Patel, Janki:
https://rps3.com/Files/Starship/Flight%20Deck%20Publications/Starship%20Pilot's%20Operating%20Manual.pdf
http://www.iascanada.com/engmodels.html
https://rps3.com/Pages/Starship-FAQ.htm#:~:text=The%20Starship%20was%20supposed%20to,knots%20and%201%2C575%20nm%20respectively.
https://customer-janes-com.proxy.lib.umich.edu/Janes/Display/JAE_0481-JAE_#Description%20%E2%80%93%20in%20service-PT6A-34
</t>
        </r>
      </text>
    </comment>
    <comment ref="BQ2" authorId="0" shapeId="0" xr:uid="{2DED218C-B76D-4A57-B6BC-A759FD8895AE}">
      <text>
        <r>
          <rPr>
            <sz val="11"/>
            <color theme="1"/>
            <rFont val="Calibri"/>
            <family val="2"/>
            <scheme val="minor"/>
          </rPr>
          <t>Patel, Janki:
https://www.continental.aero/uploadedFiles/Content/Engines/Gasoline_engines/550AvGas-SpecSheet.pdf
https://beechcraft.txtav.com/-/media/beechcraft/files/brochure/bonanza_g36_brochure.ashx
https://beechcraft.txtav.com/en/bonanza-g36
http://airmart.com/sites/default/files/Beechcraft%20G36%20Bonanza%20Performance%20and%20Specs.pdf</t>
        </r>
      </text>
    </comment>
    <comment ref="BR2" authorId="0" shapeId="0" xr:uid="{C8228125-DDAC-4861-9740-06C393804895}">
      <text>
        <r>
          <rPr>
            <sz val="11"/>
            <color theme="1"/>
            <rFont val="Calibri"/>
            <family val="2"/>
            <scheme val="minor"/>
          </rPr>
          <t xml:space="preserve">Patel, Janki:
http://www.fairchild-dornier.com/resources/Dornier_328TP_page+2.pdf
https://skybrary.aero/aircraft/d328
https://www.easa.europa.eu/downloads/7725/en
</t>
        </r>
      </text>
    </comment>
    <comment ref="BS2" authorId="0" shapeId="0" xr:uid="{BD4087FE-BED0-4F44-A19C-E1FB786EB122}">
      <text>
        <r>
          <rPr>
            <sz val="11"/>
            <color theme="1"/>
            <rFont val="Calibri"/>
            <family val="2"/>
            <scheme val="minor"/>
          </rPr>
          <t xml:space="preserve">Patel, Janki:
https://hangar.flights/aircraft/bombardier-q200/#description
https://airandspace.si.edu/collection-objects/pratt--whitney-canada-pw123-turboprop-engine/nasm_A19900255000
https://customer.aero.bombardier.com/webd/BAG/CustSite/BRAD/RACSDocument.nsf/51aae8b2b3bfdf6685256c300045ff31/ec63f8639ff3ab9d85257c1500635bd8/$FILE/ATTYXCO6.pdf/D8200-APM.pdf
</t>
        </r>
      </text>
    </comment>
    <comment ref="BT2" authorId="0" shapeId="0" xr:uid="{90B4902F-4757-404E-8517-1916B8E16D60}">
      <text>
        <r>
          <rPr>
            <sz val="11"/>
            <color theme="1"/>
            <rFont val="Calibri"/>
            <family val="2"/>
            <scheme val="minor"/>
          </rPr>
          <t>Patel, Janki:
https://customer.aero.bombardier.com/webd/BAG/CustSite/BRAD/RACSDocument.nsf/51aae8b2b3bfdf6685256c300045ff31/ec63f8639ff3ab9d85257c1500635bd8/$FILE/ATT3MP36.pdf/D8300-APM.pdf
https://www.aerospace-technology.com/projects/bombardier_q300/
https://www.easa.europa.eu/sites/default/files/dfu/EASA-TCDS-E.041_(IM)_Pratt_and_Whitney_Canada_PW100_series_engines-02-06062008.pdf
https://www.airlines-inform.com/commercial-aircraft/dash-8q300.html</t>
        </r>
      </text>
    </comment>
    <comment ref="BU2" authorId="0" shapeId="0" xr:uid="{DBFAB789-C591-41A8-9E08-96864E009FB9}">
      <text>
        <r>
          <rPr>
            <sz val="11"/>
            <color theme="1"/>
            <rFont val="Calibri"/>
            <family val="2"/>
            <scheme val="minor"/>
          </rPr>
          <t xml:space="preserve">Patel, Janki:
https://www.globalair.com/aircraft-for-sale/specifications?specid=1151
https://www.aerospace-technology.com/projects/dash8/#:~:text=Dash%208%20Q400%20cabin,with%20limited%20ground%20support%20facilities.
https://customer.aero.bombardier.com/webd/BAG/CustSite/BRAD/RACSDocument.nsf/51aae8b2b3bfdf6685256c300045ff31/ec63f8639ff3ab9d85257c1500635bd8/$FILE/ATTNBEOB.pdf/D8400-APM.pdf
</t>
        </r>
      </text>
    </comment>
    <comment ref="BV2" authorId="0" shapeId="0" xr:uid="{3A1BA349-3B9D-4E95-831E-7BBF80092128}">
      <text>
        <r>
          <rPr>
            <sz val="11"/>
            <color theme="1"/>
            <rFont val="Calibri"/>
            <family val="2"/>
            <scheme val="minor"/>
          </rPr>
          <t>Patel, Janki:
https://www.easa.europa.eu/downloads/7725/en
https://customer.aero.bombardier.com/webd/BAG/CustSite/BRAD/RACSDocument.nsf/51aae8b2b3bfdf6685256c300045ff31/ec63f8639ff3ab9d85257c1500635bd8/$FILE/ATT19ELL.pdf/D8100-APM.pdf
https://hangar.flights/aircraft/bombardier-q100-dash-8-100/#specifications</t>
        </r>
      </text>
    </comment>
    <comment ref="BW2" authorId="0" shapeId="0" xr:uid="{FA478833-C3E0-4FE1-9F3E-29D1C1067F18}">
      <text>
        <r>
          <rPr>
            <sz val="11"/>
            <color theme="1"/>
            <rFont val="Calibri"/>
            <family val="2"/>
            <scheme val="minor"/>
          </rPr>
          <t xml:space="preserve">Patel, Janki:
https://www.easa.europa.eu/downloads/7725/en
https://customer.aero.bombardier.com/webd/BAG/CustSite/BRAD/RACSDocument.nsf/51aae8b2b3bfdf6685256c300045ff31/ec63f8639ff3ab9d85257c1500635bd8/$FILE/ATT19ELL.pdf/D8100-APM.pdf
https://hangar.flights/aircraft/bombardier-q100-dash-8-100/#specifications
</t>
        </r>
      </text>
    </comment>
    <comment ref="BX2" authorId="0" shapeId="0" xr:uid="{882AC977-5FCD-4E31-A4C5-805245DF8A92}">
      <text>
        <r>
          <rPr>
            <sz val="11"/>
            <color theme="1"/>
            <rFont val="Calibri"/>
            <family val="2"/>
            <scheme val="minor"/>
          </rPr>
          <t xml:space="preserve">Patel, Janki:
https://www.saab.com/products/saab-340
https://www.saab.com/globalassets/products/support-and-services/saab-3402000-support/saab-regional-aircraft.pdf
https://www.easa.europa.eu/downloads/7783/en
https://flightsafety.org/ap/ap_oct01.pdf
</t>
        </r>
      </text>
    </comment>
    <comment ref="BY2" authorId="0" shapeId="0" xr:uid="{1684008F-2B33-4CEB-8299-3FBEE0C8A3C6}">
      <text>
        <r>
          <rPr>
            <sz val="11"/>
            <color theme="1"/>
            <rFont val="Calibri"/>
            <family val="2"/>
            <scheme val="minor"/>
          </rPr>
          <t xml:space="preserve">Patel, Janki:
https://skybrary.aero/aircraft/e120
https://www.easa.europa.eu/downloads/7725/en
https://www.flyembraer.com/irj/go/km/docs/download_center/Anonymous/Ergonomia/Home%20Page/Documents/APM_120.pdf
</t>
        </r>
      </text>
    </comment>
    <comment ref="BZ2" authorId="0" shapeId="0" xr:uid="{20D3D712-BEF1-4712-81C9-5479A65FE400}">
      <text>
        <r>
          <rPr>
            <sz val="11"/>
            <color theme="1"/>
            <rFont val="Calibri"/>
            <family val="2"/>
            <scheme val="minor"/>
          </rPr>
          <t xml:space="preserve">Patel, Janki:
https://skybrary.aero/aircraft/e120
https://www.easa.europa.eu/downloads/7725/en
https://www.flyembraer.com/irj/go/km/docs/download_center/Anonymous/Ergonomia/Home%20Page/Documents/APM_120.pdf
</t>
        </r>
      </text>
    </comment>
    <comment ref="CA2" authorId="0" shapeId="0" xr:uid="{812A6F32-4C95-4A99-A5A2-971A9F5207FB}">
      <text>
        <r>
          <rPr>
            <sz val="11"/>
            <color theme="1"/>
            <rFont val="Calibri"/>
            <family val="2"/>
            <scheme val="minor"/>
          </rPr>
          <t xml:space="preserve">Patel, Janki:
https://skybrary.aero/aircraft/e120
https://www.easa.europa.eu/downloads/7725/en
https://www.flyembraer.com/irj/go/km/docs/download_center/Anonymous/Ergonomia/Home%20Page/Documents/APM_120.pdf
</t>
        </r>
      </text>
    </comment>
    <comment ref="CB2" authorId="0" shapeId="0" xr:uid="{00DF81F0-43C9-4BC6-9F86-B6C8711D7BE2}">
      <text>
        <r>
          <rPr>
            <sz val="11"/>
            <color theme="1"/>
            <rFont val="Calibri"/>
            <family val="2"/>
            <scheme val="minor"/>
          </rPr>
          <t xml:space="preserve">Patel, Janki:
https://skybrary.aero/aircraft/e120
https://www.easa.europa.eu/downloads/7725/en
https://www.flyembraer.com/irj/go/km/docs/download_center/Anonymous/Ergonomia/Home%20Page/Documents/APM_120.pdf
</t>
        </r>
      </text>
    </comment>
    <comment ref="CC2" authorId="0" shapeId="0" xr:uid="{93A5074E-5CB0-42A2-A076-E5A9583586EA}">
      <text>
        <r>
          <rPr>
            <sz val="11"/>
            <color theme="1"/>
            <rFont val="Calibri"/>
            <family val="2"/>
            <scheme val="minor"/>
          </rPr>
          <t xml:space="preserve">Patel, Janki:
https://www.atr-aircraft.com/our-aircraft/atr-42-600/
https://skybrary.aero/sites/default/files/bookshelf/3695.pdf
https://www.easa.europa.eu/downloads/7725/en
</t>
        </r>
      </text>
    </comment>
    <comment ref="CD2" authorId="0" shapeId="0" xr:uid="{B6258BEC-E64F-4C8E-A931-DD72B546CECF}">
      <text>
        <r>
          <rPr>
            <sz val="11"/>
            <color theme="1"/>
            <rFont val="Calibri"/>
            <family val="2"/>
            <scheme val="minor"/>
          </rPr>
          <t xml:space="preserve">Patel, Janki:
https://www.easa.europa.eu/downloads/7725/en
http://www.atr-aircraft.com/wp-content/uploads/2020/07/42-300.pdf
</t>
        </r>
      </text>
    </comment>
    <comment ref="CE2" authorId="0" shapeId="0" xr:uid="{94839BF9-6063-43C5-B880-B41F62F3BE7A}">
      <text>
        <r>
          <rPr>
            <sz val="11"/>
            <color theme="1"/>
            <rFont val="Calibri"/>
            <family val="2"/>
            <scheme val="minor"/>
          </rPr>
          <t xml:space="preserve">Patel, Janki:
http://www.feamtechnicaltraining.com/files/ATR%2042%20REFRESHER.pdf
http://www.atr-aircraft.com/wp-content/uploads/2020/07/42-320.pdf
https://www.easa.europa.eu/downloads/7725/en
</t>
        </r>
      </text>
    </comment>
    <comment ref="CF2" authorId="0" shapeId="0" xr:uid="{D42338C1-BF96-4DE9-9A7E-94530B33A3D3}">
      <text>
        <r>
          <rPr>
            <sz val="11"/>
            <color theme="1"/>
            <rFont val="Calibri"/>
            <family val="2"/>
            <scheme val="minor"/>
          </rPr>
          <t xml:space="preserve">Patel, Janki:
https://www.easa.europa.eu/downloads/7725/en
https://skybrary.aero/sites/default/files/bookshelf/3694.pdf
</t>
        </r>
      </text>
    </comment>
    <comment ref="CG2" authorId="0" shapeId="0" xr:uid="{F8988571-1300-4F54-8B9D-A5DA29DC835E}">
      <text>
        <r>
          <rPr>
            <sz val="11"/>
            <color theme="1"/>
            <rFont val="Calibri"/>
            <family val="2"/>
            <scheme val="minor"/>
          </rPr>
          <t xml:space="preserve">Patel, Janki:
https://www.easa.europa.eu/downloads/7725/en
http://www.aeropolis.it/workshop2018/Seminario%202018%20-9%20giugno/DocumentazionePresentazioni/ATR%20FAMILY%20-%20Livret%20ATR%202011.pdf
</t>
        </r>
      </text>
    </comment>
    <comment ref="CH2" authorId="0" shapeId="0" xr:uid="{EC0057DE-C330-462D-BD17-BFFAECCDC7C8}">
      <text>
        <r>
          <rPr>
            <sz val="11"/>
            <color theme="1"/>
            <rFont val="Calibri"/>
            <family val="2"/>
            <scheme val="minor"/>
          </rPr>
          <t xml:space="preserve">Patel, Janki:
https://skybrary.aero/sites/default/files/bookshelf/3696.pdf
https://www.atr-aircraft.com/our-aircraft/atr-72-600/
https://www.easa.europa.eu/downloads/7725/en
</t>
        </r>
      </text>
    </comment>
    <comment ref="CI2" authorId="0" shapeId="0" xr:uid="{6626FE0B-A580-42F2-9A89-8F4916F01D95}">
      <text>
        <r>
          <rPr>
            <sz val="11"/>
            <color theme="1"/>
            <rFont val="Calibri"/>
            <family val="2"/>
            <scheme val="minor"/>
          </rPr>
          <t xml:space="preserve">Patel, Janki:
https://www.atr-aircraft.com/wp-content/uploads/2020/07/72-500.pdf
https://www.easa.europa.eu/downloads/7725/en
</t>
        </r>
      </text>
    </comment>
    <comment ref="CJ2" authorId="0" shapeId="0" xr:uid="{E4A32FB1-6B41-409F-AD7B-F312200B8C3E}">
      <text>
        <r>
          <rPr>
            <sz val="11"/>
            <color theme="1"/>
            <rFont val="Calibri"/>
            <family val="2"/>
            <scheme val="minor"/>
          </rPr>
          <t xml:space="preserve">Patel, Janki:
https://www.atr-aircraft.com/wp-content/uploads/2020/07/72-200.pdf
https://www.easa.europa.eu/downloads/7725/en
</t>
        </r>
      </text>
    </comment>
    <comment ref="CK2" authorId="0" shapeId="0" xr:uid="{7296E1E8-590A-452C-8741-AE351576E2AD}">
      <text>
        <r>
          <rPr>
            <sz val="11"/>
            <color theme="1"/>
            <rFont val="Calibri"/>
            <family val="2"/>
            <scheme val="minor"/>
          </rPr>
          <t xml:space="preserve">Patel, Janki:
https://www.easa.europa.eu/downloads/7725/en
https://www.atr-aircraft.com/wp-content/uploads/2020/07/72-210.pdf
</t>
        </r>
      </text>
    </comment>
    <comment ref="CL2" authorId="0" shapeId="0" xr:uid="{3A74B1A2-EB4E-4D36-A49C-53F36382B666}">
      <text>
        <r>
          <rPr>
            <sz val="11"/>
            <color theme="1"/>
            <rFont val="Calibri"/>
            <family val="2"/>
            <scheme val="minor"/>
          </rPr>
          <t xml:space="preserve">Patel, Janki:
https://skybrary.aero/aircraft/b772
https://www.boeing.com/resources/boeingdotcom/commercial/airports/acaps/777_23.pdf
https://aircraft-database.com/database/engine-models/pw4077
https://customer-janes-com.proxy.lib.umich.edu/Janes/Display/JAWA1209-JAWA
https://customer-janes-com.proxy.lib.umich.edu/Janes/Display/JAE_A020-JAE_
</t>
        </r>
      </text>
    </comment>
    <comment ref="CM2" authorId="0" shapeId="0" xr:uid="{2469FE80-79E7-4A89-87EC-8CB3AEF8C7E9}">
      <text>
        <r>
          <rPr>
            <sz val="11"/>
            <color theme="1"/>
            <rFont val="Calibri"/>
            <family val="2"/>
            <scheme val="minor"/>
          </rPr>
          <t>Patel, Janki:
https://rgl.faa.gov/Regulatory_and_Guidance_Library/rgMakeModel.nsf/0/69c65e492f1588bd862579a00066f840/$FILE/E46NE%20Rev%208.pdf
https://www.jet-engine.net/civtfspec.htm
https://www.flightdeckfriend.com/ask-a-pilot/what-speed-does-a-boeing-777-takeoff-and-land/
https://modernairliners.com/boeing-777/boeing-777-specs/
https://customer-janes-com.proxy.lib.umich.edu/Janes/Display/JAWA1209-JAWA
https://customer-janes-com.proxy.lib.umich.edu/Janes/Display/JAE_A020-JAE_</t>
        </r>
      </text>
    </comment>
    <comment ref="CN2" authorId="0" shapeId="0" xr:uid="{C44592B7-DCD7-43C4-AEA4-684A743EABAA}">
      <text>
        <r>
          <rPr>
            <sz val="11"/>
            <color theme="1"/>
            <rFont val="Calibri"/>
            <family val="2"/>
            <scheme val="minor"/>
          </rPr>
          <t xml:space="preserve">Patel, Janki:
https://www.flightdeckfriend.com/ask-a-pilot/what-speed-does-a-boeing-777-takeoff-and-land/#:~:text=The%20Boeing%20777%2D200ER%20take,which%20is%20approximately%20165%20mph.
https://modernairliners.com/boeing-777/boeing-777-specs/
https://www.easa.europa.eu/downloads/7799/en
http://www.ameacademy.com/pdf/boeing/777_2lr3er.pdf
https://customer-janes-com.proxy.lib.umich.edu/janes/search?q=%20777&amp;pg=1
https://customer-janes-com.proxy.lib.umich.edu/Janes/Display/JAE_0735-JAE_
</t>
        </r>
      </text>
    </comment>
    <comment ref="CO2" authorId="0" shapeId="0" xr:uid="{B660CC66-9050-442B-8E0B-2D41460A90F5}">
      <text>
        <r>
          <rPr>
            <sz val="11"/>
            <color theme="1"/>
            <rFont val="Calibri"/>
            <family val="2"/>
            <scheme val="minor"/>
          </rPr>
          <t>Patel, Janki:
https://www.airbus.com/sites/g/files/jlcbta136/files/2021-11/Airbus-Commercial-Aircraft-AC-A340-500_600.pdf
https://www.easa.europa.eu/downloads/7701/en
https://customer-janes-com.proxy.lib.umich.edu/Janes/Display/JAU_A165-JAU_
https://customer-janes-com.proxy.lib.umich.edu/Janes/Display/JAE_A003-JAE_</t>
        </r>
      </text>
    </comment>
    <comment ref="CP2" authorId="0" shapeId="0" xr:uid="{E1BB10DA-48E6-4A52-B89B-1D3704C07154}">
      <text>
        <r>
          <rPr>
            <sz val="11"/>
            <color theme="1"/>
            <rFont val="Calibri"/>
            <family val="2"/>
            <scheme val="minor"/>
          </rPr>
          <t>Patel, Janki:
https://www.easa.europa.eu/sites/default/files/dfu/EASA-TCDS-E.060_Rolls--Royce_plc_RB211_Trent_500_series_engines-01-26102007.pdf
https://www.airbus.com/sites/g/files/jlcbta136/files/2021-11/Airbus-Commercial-Aircraft-AC-A340-500_600.pdf
https://skybrary.aero/aircraft/a346
https://customer-janes-com.proxy.lib.umich.edu/Janes/Display/JAU_A165-JAU_
https://customer-janes-com.proxy.lib.umich.edu/Janes/Display/JAE_A003-JAE_</t>
        </r>
      </text>
    </comment>
    <comment ref="CQ2" authorId="0" shapeId="0" xr:uid="{DD30A3BE-7B8C-4EE2-80DC-714E1C6B3C9B}">
      <text>
        <r>
          <rPr>
            <sz val="11"/>
            <color theme="1"/>
            <rFont val="Calibri"/>
            <family val="2"/>
            <scheme val="minor"/>
          </rPr>
          <t>Patel, Janki:
https://www.easa.europa.eu/downloads/7797/en
https://www.airbus.com/sites/g/files/jlcbta136/files/2021-11/Airbus-Commercial-Aircraft-AC-A340-200-300.pdf
https://customer-janes-com.proxy.lib.umich.edu/Janes/Display/JAE_0631-JAE_#Description%20-%20in%20service-CFM56-5C2
https://skybrary.aero/aircraft/a343
https://customer-janes-com.proxy.lib.umich.edu/Janes/Display/JAU_A165-JAU_?highlights=#Description%20%E2%80%93%20in%20service-A340-200</t>
        </r>
      </text>
    </comment>
    <comment ref="CR2" authorId="0" shapeId="0" xr:uid="{C9AC3636-E73E-4DCC-A3B0-18A456C6F9FE}">
      <text>
        <r>
          <rPr>
            <sz val="11"/>
            <color theme="1"/>
            <rFont val="Calibri"/>
            <family val="2"/>
            <scheme val="minor"/>
          </rPr>
          <t>Patel, Janki:
https://www.easa.europa.eu/downloads/7797/en
https://www.airbus.com/sites/g/files/jlcbta136/files/2021-11/Airbus-Commercial-Aircraft-AC-A340-200-300.pdf
https://customer-janes-com.proxy.lib.umich.edu/Janes/Display/JAE_0631-JAE_#Description%20-%20in%20service-CFM56-5C2
https://skybrary.aero/aircraft/a343
https://customer-janes-com.proxy.lib.umich.edu/Janes/Display/JAU_A165-JAU_?highlights=#Description%20%E2%80%93%20in%20service-A340-200</t>
        </r>
      </text>
    </comment>
    <comment ref="CS2" authorId="0" shapeId="0" xr:uid="{6318FF54-D790-4E9E-BB1B-2995C9220FDE}">
      <text>
        <r>
          <rPr>
            <sz val="11"/>
            <color theme="1"/>
            <rFont val="Calibri"/>
            <family val="2"/>
            <scheme val="minor"/>
          </rPr>
          <t>Patel, Janki:
https://www.easa.europa.eu/downloads/7797/en
https://www.airbus.com/sites/g/files/jlcbta136/files/2021-11/Airbus-Commercial-Aircraft-AC-A340-200-300.pdf
https://customer-janes-com.proxy.lib.umich.edu/Janes/Display/JAE_0631-JAE_#Description%20-%20in%20service-CFM56-5C2
https://skybrary.aero/aircraft/a343
https://customer-janes-com.proxy.lib.umich.edu/Janes/Display/JAU_A165-JAU_?highlights=#Description%20%E2%80%93%20in%20service-A340-200</t>
        </r>
      </text>
    </comment>
    <comment ref="CT2" authorId="0" shapeId="0" xr:uid="{ADA62930-91E4-4EA0-9329-9759D7B50592}">
      <text>
        <r>
          <rPr>
            <sz val="11"/>
            <color theme="1"/>
            <rFont val="Calibri"/>
            <family val="2"/>
            <scheme val="minor"/>
          </rPr>
          <t>Patel, Janki:
https://www.easa.europa.eu/downloads/7797/en
https://www.airbus.com/sites/g/files/jlcbta136/files/2021-11/Airbus-Commercial-Aircraft-AC-A340-200-300.pdf
https://customer-janes-com.proxy.lib.umich.edu/Janes/Display/JAU_A165-JAU_?highlights=#Description%20%E2%80%93%20in%20service-A340-200
https://skybrary.aero/aircraft/a342</t>
        </r>
      </text>
    </comment>
    <comment ref="CU2" authorId="0" shapeId="0" xr:uid="{87B8AB41-97C0-45EF-BB8F-75488709B9C8}">
      <text>
        <r>
          <rPr>
            <sz val="11"/>
            <color theme="1"/>
            <rFont val="Calibri"/>
            <family val="2"/>
            <scheme val="minor"/>
          </rPr>
          <t>Patel, Janki:
https://www.easa.europa.eu/downloads/7797/en
https://www.airbus.com/sites/g/files/jlcbta136/files/2021-11/Airbus-Commercial-Aircraft-AC-A340-200-300.pdf
https://customer-janes-com.proxy.lib.umich.edu/Janes/Display/JAE_0631-JAE_#Description%20-%20in%20service-CFM56-5C2
https://customer-janes-com.proxy.lib.umich.edu/Janes/Display/JAU_A165-JAU_?highlights=#Description%20%E2%80%93%20in%20service-A340-200
https://skybrary.aero/aircraft/a342</t>
        </r>
      </text>
    </comment>
    <comment ref="CV2" authorId="0" shapeId="0" xr:uid="{C6DC285D-D366-43C8-BAC9-0BA9BC123562}">
      <text>
        <r>
          <rPr>
            <sz val="11"/>
            <color theme="1"/>
            <rFont val="Calibri"/>
            <family val="2"/>
            <scheme val="minor"/>
          </rPr>
          <t>Patel, Janki:
https://www.easa.europa.eu/downloads/7797/en
https://www.airbus.com/sites/g/files/jlcbta136/files/2021-11/Airbus-Commercial-Aircraft-AC-A340-200-300.pdf
https://customer-janes-com.proxy.lib.umich.edu/Janes/Display/JAU_A165-JAU_?highlights=#Description%20%E2%80%93%20in%20service-A340-200
https://customer-janes-com.proxy.lib.umich.edu/Janes/Display/JAE_0631-JAE_#Description%20-%20in%20service-CFM56-5C2
https://skybrary.aero/aircraft/a342</t>
        </r>
      </text>
    </comment>
    <comment ref="CW2" authorId="0" shapeId="0" xr:uid="{E3F38720-F9FF-4394-A441-E807BDF31976}">
      <text>
        <r>
          <rPr>
            <sz val="11"/>
            <color theme="1"/>
            <rFont val="Calibri"/>
            <family val="2"/>
            <scheme val="minor"/>
          </rPr>
          <t>Patel, Janki:
https://www.boeing.com/assets/pdf/commercial/airports/acaps/747_4.pdf
https://www.boeing.com/resources/boeingdotcom/company/about_bca/startup/pdf/historical/747-400-passenger.pdf
https://www.easa.europa.eu/downloads/136365/en
https://kingla.files.wordpress.com/2011/07/boeing747-400flightmanual.pdf
https://customer-janes-com.proxy.lib.umich.edu/Janes/Display/JAE_0731-JAE_
http://wpage.unina.it/fabrnico/DIDATTICA/PGV/Specifiche_Esercitazioni/B747-8/Manuale%20747_4.pdf</t>
        </r>
      </text>
    </comment>
    <comment ref="CX2" authorId="0" shapeId="0" xr:uid="{BC814050-C88B-4821-9F6C-BA4A666F264A}">
      <text>
        <r>
          <rPr>
            <sz val="11"/>
            <color theme="1"/>
            <rFont val="Calibri"/>
            <family val="2"/>
            <scheme val="minor"/>
          </rPr>
          <t xml:space="preserve">Patel, Janki:
https://www.easa.europa.eu/downloads/7713/en
https://www.boeing.com/assets/pdf/commercial/airports/acaps/747_4.pdf
http://wpage.unina.it/fabrnico/DIDATTICA/PGV/Specifiche_Esercitazioni/B747-8/Manuale%20747_4.pdf
https://customer-janes-com.proxy.lib.umich.edu/Janes/Display/JAE_A018-JAE_
</t>
        </r>
      </text>
    </comment>
    <comment ref="CY2" authorId="0" shapeId="0" xr:uid="{C9C0C468-7AD6-45C2-A999-46B9A5F45478}">
      <text>
        <r>
          <rPr>
            <sz val="11"/>
            <color theme="1"/>
            <rFont val="Calibri"/>
            <family val="2"/>
            <scheme val="minor"/>
          </rPr>
          <t xml:space="preserve">Patel, Janki:
https://www.easa.europa.eu/downloads/22523/en
https://www.boeing.com/assets/pdf/commercial/airports/acaps/747_4.pdf
http://wpage.unina.it/fabrnico/DIDATTICA/PGV/Specifiche_Esercitazioni/B747-8/Manuale%20747_4.pdf
</t>
        </r>
      </text>
    </comment>
    <comment ref="CZ2" authorId="0" shapeId="0" xr:uid="{B1AAC777-D1E5-4907-B2B1-470DD2D839FF}">
      <text>
        <r>
          <rPr>
            <sz val="11"/>
            <color theme="1"/>
            <rFont val="Calibri"/>
            <family val="2"/>
            <scheme val="minor"/>
          </rPr>
          <t>Patel, Janki:
https://www.smartcockpit.com/docs/A330_Flight_Deck_and_Systems_Briefing_For_Pilots.pdf
https://www.airbus.com/sites/g/files/jlcbta136/files/2021-11/Airbus-Commercial-Aircraft-AC-A330.pdf
https://www.delta.com/us/en/aircraft/airbus/a330-300
https://customer-janes-com.proxy.lib.umich.edu/Janes/Display/jawa0422-jawa?highlights=
https://customer-janes-com.proxy.lib.umich.edu/Janes/Display/JAE_0446-JAE_#Description%20%E2%80%93%20in%20service-CF6-80E1A3</t>
        </r>
      </text>
    </comment>
    <comment ref="DA2" authorId="0" shapeId="0" xr:uid="{E7F8F574-B63B-44B8-B086-21E4A77DAB04}">
      <text>
        <r>
          <rPr>
            <sz val="11"/>
            <color theme="1"/>
            <rFont val="Calibri"/>
            <family val="2"/>
            <scheme val="minor"/>
          </rPr>
          <t>Patel, Janki:
https://rgl.faa.gov/Regulatory_and_Guidance_Library/rgMakeModel.nsf/0/2a822313bea2157886257f060055beb1/$FILE/E24NE_Rev_13.pdf
https://www.boeing.com/resources/boeingdotcom/commercial/airports/acaps/767.pdf
https://www.united.com/ual/en/us/fly/travel/inflight/aircraft/767-300er.html
https://skybrary.aero/aircraft/b763
https://customer-janes-com.proxy.lib.umich.edu/Janes/Display/JAE_A018-JAE_#Description%20-%20in%20service-PW4062
https://customer-janes-com.proxy.lib.umich.edu/Janes/Display/JAWA1207-JAWA</t>
        </r>
      </text>
    </comment>
    <comment ref="DB2" authorId="0" shapeId="0" xr:uid="{7A38093A-34CA-4D19-A42C-5859976B00D6}">
      <text>
        <r>
          <rPr>
            <sz val="11"/>
            <color theme="1"/>
            <rFont val="Calibri"/>
            <family val="2"/>
            <scheme val="minor"/>
          </rPr>
          <t>Patel, Janki:
https://rgl.faa.gov/Regulatory_and_Guidance_Library/rgMakeModel.nsf/0/2a822313bea2157886257f060055beb1/$FILE/E24NE_Rev_13.pdf
https://www.boeing.com/resources/boeingdotcom/commercial/airports/acaps/767.pdf
https://skybrary.aero/aircraft/b763</t>
        </r>
      </text>
    </comment>
    <comment ref="DC2" authorId="0" shapeId="0" xr:uid="{2D908E92-7ACD-41AA-9B56-A88C254B41A1}">
      <text>
        <r>
          <rPr>
            <sz val="11"/>
            <color theme="1"/>
            <rFont val="Calibri"/>
            <family val="2"/>
            <scheme val="minor"/>
          </rPr>
          <t xml:space="preserve">Patel, Janki:
https://www.easa.europa.eu/downloads/136365/en
https://www.boeing.com/resources/boeingdotcom/commercial/airports/acaps/767.pdf
https://customer-janes-com.proxy.lib.umich.edu/Janes/Display/JAWA1207-JAWA
https://customer-janes-com.proxy.lib.umich.edu/Janes/Display/JAE_0731-JAE_#Description%20-%20out%20of%20service-CF6-80C2B7F
</t>
        </r>
      </text>
    </comment>
    <comment ref="DD2" authorId="0" shapeId="0" xr:uid="{C7080567-A805-490B-8A03-DEC32A200669}">
      <text>
        <r>
          <rPr>
            <sz val="11"/>
            <color theme="1"/>
            <rFont val="Calibri"/>
            <family val="2"/>
            <scheme val="minor"/>
          </rPr>
          <t>Patel, Janki:
https://rgl.faa.gov/Regulatory_and_Guidance_Library/rgMakeModel.nsf/0/2a822313bea2157886257f060055beb1/$FILE/E24NE_Rev_13.pdf
https://www.boeing.com/resources/boeingdotcom/commercial/airports/acaps/767.pdf
https://skybrary.aero/aircraft/b764
https://customer-janes-com.proxy.lib.umich.edu/Janes/Display/JAE_A018-JAE_#Description%20-%20in%20service-PW4060
https://customer-janes-com.proxy.lib.umich.edu/Janes/Display/JAWA1207-JAWA</t>
        </r>
      </text>
    </comment>
    <comment ref="DE2" authorId="0" shapeId="0" xr:uid="{10E60A9A-CE0A-406E-99D3-A86E60E81EEE}">
      <text>
        <r>
          <rPr>
            <sz val="11"/>
            <color theme="1"/>
            <rFont val="Calibri"/>
            <family val="2"/>
            <scheme val="minor"/>
          </rPr>
          <t>Patel, Janki:
https://rgl.faa.gov/Regulatory_and_Guidance_Library/rgMakeModel.nsf/0/2a822313bea2157886257f060055beb1/$FILE/E24NE_Rev_13.pdf
https://www.boeing.com/resources/boeingdotcom/commercial/airports/acaps/767.pdf
https://skybrary.aero/aircraft/b764
https://customer-janes-com.proxy.lib.umich.edu/Janes/Display/JAWA1207-JAWA
https://customer-janes-com.proxy.lib.umich.edu/Janes/Display/JAE_0731-JAE_#Description%20-%20in%20service-CF6-80C2B8F</t>
        </r>
      </text>
    </comment>
    <comment ref="DF2" authorId="0" shapeId="0" xr:uid="{2769048A-CBDA-4203-8FF8-DFE8EBD57F5D}">
      <text>
        <r>
          <rPr>
            <sz val="11"/>
            <color theme="1"/>
            <rFont val="Calibri"/>
            <family val="2"/>
            <scheme val="minor"/>
          </rPr>
          <t xml:space="preserve">Patel, Janki:
https://www.easa.europa.eu/downloads/7635/en
https://skybrary.aero/aircraft/a359
https://www.airbus.com/sites/g/files/jlcbta136/files/2021-11/Airbus-Commercial-Aircraft-AC-A350-900-1000.pdf
https://customer-janes-com.proxy.lib.umich.edu/Janes/Display/JAWAA054-JAWA
https://customer-janes-com.proxy.lib.umich.edu/Janes/Display/JAE_A008-JAE_
https://sites.google.com/site/starkincforces/home/airbus/information/a350-900-1
</t>
        </r>
      </text>
    </comment>
    <comment ref="DG2" authorId="0" shapeId="0" xr:uid="{B6B58CD9-489D-475A-976D-4F921ED3DEED}">
      <text>
        <r>
          <rPr>
            <sz val="11"/>
            <color theme="1"/>
            <rFont val="Calibri"/>
            <family val="2"/>
            <scheme val="minor"/>
          </rPr>
          <t>Patel, Janki:
https://www.easa.europa.eu/downloads/7635/en
https://www.airbus.com/sites/g/files/jlcbta136/files/2021-11/Airbus-Commercial-Aircraft-AC-A350-900-1000.pdf
https://customer-janes-com.proxy.lib.umich.edu/Janes/Display/JAWAA054-JAWA
https://customer-janes-com.proxy.lib.umich.edu/Janes/Display/JAE_A008-JAE_
https://sites.google.com/site/starkincforces/home/airbus/information/a350-900-1</t>
        </r>
      </text>
    </comment>
    <comment ref="DH2" authorId="0" shapeId="0" xr:uid="{6469ED3C-3DE3-4A4B-B077-7B7B8A21C2EA}">
      <text>
        <r>
          <rPr>
            <sz val="11"/>
            <color theme="1"/>
            <rFont val="Calibri"/>
            <family val="2"/>
            <scheme val="minor"/>
          </rPr>
          <t xml:space="preserve">Patel, Janki:
https://www.jet-engine.net/civtfspec.htm
http://wpage.unina.it/fabrnico/DIDATTICA/PGV/Specifiche_Esercitazioni/TRIM_MD11/Manuale%20dc10.pdf
https://skybrary.aero/aircraft/dc10
https://customer-janes-com.proxy.lib.umich.edu/Janes/Display/JAU_1430-JAU_
https://customer-janes-com.proxy.lib.umich.edu/Janes/Display/JAE_0281-JAE_
</t>
        </r>
      </text>
    </comment>
    <comment ref="DI2" authorId="0" shapeId="0" xr:uid="{D0CABFDC-B6D0-4C02-9A66-F0E6848F21EF}">
      <text>
        <r>
          <rPr>
            <sz val="11"/>
            <color theme="1"/>
            <rFont val="Calibri"/>
            <family val="2"/>
            <scheme val="minor"/>
          </rPr>
          <t xml:space="preserve">Patel, Janki:
https://www.jet-engine.net/civtfspec.htm
http://wpage.unina.it/fabrnico/DIDATTICA/PGV/Specifiche_Esercitazioni/TRIM_MD11/Manuale%20dc10.pdf
https://customer-janes-com.proxy.lib.umich.edu/Janes/Display/JAE_0281-JAE_
https://customer-janes-com.proxy.lib.umich.edu/Janes/Display/JAU_1430-JAU_
</t>
        </r>
      </text>
    </comment>
    <comment ref="DJ2" authorId="0" shapeId="0" xr:uid="{6D71C2BA-563B-464B-84A3-938C4CA88428}">
      <text>
        <r>
          <rPr>
            <sz val="11"/>
            <color theme="1"/>
            <rFont val="Calibri"/>
            <family val="2"/>
            <scheme val="minor"/>
          </rPr>
          <t xml:space="preserve">Patel, Janki:
https://www.jet-engine.net/civtfspec.htm
http://wpage.unina.it/fabrnico/DIDATTICA/PGV/Specifiche_Esercitazioni/TRIM_MD11/Manuale%20dc10.pdf
https://customer-janes-com.proxy.lib.umich.edu/Janes/Display/jau_1430-jau_?highlights=
https://customer-janes-com.proxy.lib.umich.edu/Janes/Display/JAE_0281-JAE_
</t>
        </r>
      </text>
    </comment>
    <comment ref="DK2" authorId="0" shapeId="0" xr:uid="{6BFFAA8B-D0AB-4897-A2BF-25E4111A10AE}">
      <text>
        <r>
          <rPr>
            <sz val="11"/>
            <color theme="1"/>
            <rFont val="Calibri"/>
            <family val="2"/>
            <scheme val="minor"/>
          </rPr>
          <t xml:space="preserve">Patel, Janki:
https://www.jet-engine.net/civtfspec.htm
http://wpage.unina.it/fabrnico/DIDATTICA/PGV/Specifiche_Esercitazioni/TRIM_MD11/Manuale%20dc10.pdf
https://customer-janes-com.proxy.lib.umich.edu/Janes/Display/jau_1430-jau_?highlights=
https://customer-janes-com.proxy.lib.umich.edu/Janes/Display/JAE_0281-JAE_
</t>
        </r>
      </text>
    </comment>
    <comment ref="DL2" authorId="0" shapeId="0" xr:uid="{97212EC0-3316-46EE-8F49-77FD68E54988}">
      <text>
        <r>
          <rPr>
            <sz val="11"/>
            <color theme="1"/>
            <rFont val="Calibri"/>
            <family val="2"/>
            <scheme val="minor"/>
          </rPr>
          <t xml:space="preserve">Patel, Janki:
https://www.jet-engine.net/civtfspec.htm
http://wpage.unina.it/fabrnico/DIDATTICA/PGV/Specifiche_Esercitazioni/TRIM_MD11/Manuale%20dc10.pdf
https://customer-janes-com.proxy.lib.umich.edu/Janes/Display/jau_1430-jau_?highlights=
https://customer-janes-com.proxy.lib.umich.edu/Janes/Display/JAE_0747-JAE_
</t>
        </r>
      </text>
    </comment>
    <comment ref="DM2" authorId="0" shapeId="0" xr:uid="{5B00454D-2780-4CB7-BC40-4721F5D6BD37}">
      <text>
        <r>
          <rPr>
            <sz val="11"/>
            <color theme="1"/>
            <rFont val="Calibri"/>
            <family val="2"/>
            <scheme val="minor"/>
          </rPr>
          <t xml:space="preserve">Patel, Janki:
https://www.jet-engine.net/civtfspec.htm
http://wpage.unina.it/fabrnico/DIDATTICA/PGV/Specifiche_Esercitazioni/TRIM_MD11/Manuale%20dc10.pdf
https://customer-janes-com.proxy.lib.umich.edu/Janes/Display/jau_1430-jau_?highlights=
https://customer-janes-com.proxy.lib.umich.edu/Janes/Display/JAE_0747-JAE_#Description%20%E2%80%93%20in%20service-JT9D-59A,%20-70A
</t>
        </r>
      </text>
    </comment>
    <comment ref="DN2" authorId="0" shapeId="0" xr:uid="{F419983E-9768-4F6A-93EE-7631278AD0B7}">
      <text>
        <r>
          <rPr>
            <sz val="11"/>
            <color theme="1"/>
            <rFont val="Calibri"/>
            <family val="2"/>
            <scheme val="minor"/>
          </rPr>
          <t xml:space="preserve">Patel, Janki:
https://skybrary.aero/aircraft/a388
http://webserver.dmt.upm.es/~isidoro/bk3/c17/Aerospace%20engine%20data.pdf
https://modernairliners.com/airbus-a380/airbus-a380-specs/
https://www.airbus.com/sites/g/files/jlcbta136/files/2021-11/Airbus-Aircraft-AC-A380.pdf
https://customer-janes-com.proxy.lib.umich.edu/Janes/Display/JAE_A006-JAE_
https://customer-janes-com.proxy.lib.umich.edu/Janes/Display/JAWA5306-JAWA
</t>
        </r>
      </text>
    </comment>
    <comment ref="DO2" authorId="0" shapeId="0" xr:uid="{59EB69DC-32D9-4354-AF02-64A4C9BBB8E7}">
      <text>
        <r>
          <rPr>
            <sz val="11"/>
            <color theme="1"/>
            <rFont val="Calibri"/>
            <family val="2"/>
            <scheme val="minor"/>
          </rPr>
          <t xml:space="preserve">Patel, Janki:
https://rgl.faa.gov/Regulatory_and_Guidance_Library/rgMakeModel.nsf/0/2a822313bea2157886257f060055beb1/$FILE/E24NE_Rev_13.pdf
https://www.boeing.com/commercial/aeromagazine/aero_21/747ER.pdf
https://www.topspeed.com/aviation/aviation-reviews/boeing/2002-2010-boeing-747-400er-ar85833.html
https://customer-janes-com.proxy.lib.umich.edu/Janes/Display/jae_0536-jae_?highlights=#Description%20%E2%80%93%20in%20service-RB211-524G/H-T
http://wpage.unina.it/fabrnico/DIDATTICA/PGV/Specifiche_Esercitazioni/B747-8/Manuale%20747_4.pdf
</t>
        </r>
      </text>
    </comment>
    <comment ref="DP2" authorId="0" shapeId="0" xr:uid="{E3F6E2A5-2FEB-47A8-A4A0-89AC6D155508}">
      <text>
        <r>
          <rPr>
            <sz val="11"/>
            <color theme="1"/>
            <rFont val="Calibri"/>
            <family val="2"/>
            <scheme val="minor"/>
          </rPr>
          <t xml:space="preserve">Patel, Janki:
https://www.easa.europa.eu/downloads/22523/en
https://www.boeing.com/commercial/aeromagazine/aero_21/747ER.pdf
https://www.topspeed.com/aviation/aviation-reviews/boeing/2002-2010-boeing-747-400er-ar85833.html
.umich.edu/Janes/Display/jae_0536-jae_?highlights=#Description%20–%20in%20service-RB211-524G/H-T
http://wpage.unina.it/fabrnico/DIDATTICA/PGV/Specifiche_Esercitazioni/B747-8/Manuale%20747_4.pdf
</t>
        </r>
      </text>
    </comment>
    <comment ref="DQ2" authorId="0" shapeId="0" xr:uid="{428CFC22-26D5-47E7-9C96-3373984E3590}">
      <text>
        <r>
          <rPr>
            <sz val="11"/>
            <color theme="1"/>
            <rFont val="Calibri"/>
            <family val="2"/>
            <scheme val="minor"/>
          </rPr>
          <t xml:space="preserve">Patel, Janki:
https://www.easa.europa.eu/downloads/136365/en
https://www.boeing.com/commercial/aeromagazine/aero_21/747ER.pdf
https://www.topspeed.com/aviation/aviation-reviews/boeing/2002-2010-boeing-747-400er-ar85833.html
http://wpage.unina.it/fabrnico/DIDATTICA/PGV/Specifiche_Esercitazioni/B747-8/Manuale%20747_4.pdf
https://customer-janes-com.proxy.lib.umich.edu/Janes/Display/JAE_0731-JAE_#Description%20-%20in%20service-CF6-80C2B5F
</t>
        </r>
      </text>
    </comment>
    <comment ref="A7" authorId="0" shapeId="0" xr:uid="{A4A45B08-84B4-4A9A-BD94-911A17D60436}">
      <text>
        <r>
          <rPr>
            <sz val="11"/>
            <color theme="1"/>
            <rFont val="Calibri"/>
            <family val="2"/>
            <scheme val="minor"/>
          </rPr>
          <t xml:space="preserve">Patel, Janki:
max pax, not including 2 pilot seats and not including flight attendants (for planes that could have them)
grey = includes pilot. 
</t>
        </r>
      </text>
    </comment>
    <comment ref="A8" authorId="0" shapeId="0" xr:uid="{1ECA17E6-7A91-49F4-A234-01814BD70C08}">
      <text>
        <r>
          <rPr>
            <sz val="11"/>
            <color theme="1"/>
            <rFont val="Calibri"/>
            <family val="2"/>
            <scheme val="minor"/>
          </rPr>
          <t xml:space="preserve">Patel, Janki:
typical payload load range/ max passenger payload (black)
max range (with no payload) (red)
highlight light orange for cruise range (instead of optimal range in POH) 
</t>
        </r>
      </text>
    </comment>
    <comment ref="BS8" authorId="1" shapeId="0" xr:uid="{6B49E93E-B30D-4290-9CE5-720C98307772}">
      <text>
        <r>
          <rPr>
            <b/>
            <sz val="9"/>
            <color indexed="81"/>
            <rFont val="Tahoma"/>
            <family val="2"/>
          </rPr>
          <t>Max Arnson:</t>
        </r>
        <r>
          <rPr>
            <sz val="9"/>
            <color indexed="81"/>
            <rFont val="Tahoma"/>
            <family val="2"/>
          </rPr>
          <t xml:space="preserve">
@ 36 pax 90kg ea</t>
        </r>
      </text>
    </comment>
    <comment ref="A9" authorId="0" shapeId="0" xr:uid="{22E91A5D-E83F-45B4-8F16-8B5A776EC6AA}">
      <text>
        <r>
          <rPr>
            <sz val="11"/>
            <color theme="1"/>
            <rFont val="Calibri"/>
            <family val="2"/>
            <scheme val="minor"/>
          </rPr>
          <t xml:space="preserve">Patel, Janki:
rotation velocity, flaps up 
KIAS = KTAS at standard atmospheric conditions so doesn't matter the knots the data is collected from. (can assume info is for standard atmospheric temps). 
Vtakeoff minimum can be ESTIMATED as 1.2*Vstall (purple)
</t>
        </r>
      </text>
    </comment>
    <comment ref="CO9" authorId="0" shapeId="0" xr:uid="{DAE8301A-46C7-47FE-A4B3-B64AEEE62F0B}">
      <text>
        <r>
          <rPr>
            <sz val="11"/>
            <color theme="1"/>
            <rFont val="Calibri"/>
            <family val="2"/>
            <scheme val="minor"/>
          </rPr>
          <t xml:space="preserve">Patel, Janki:
used stall speed for A340-300 to calculate takeoff... *1.1 for civil AC
</t>
        </r>
      </text>
    </comment>
    <comment ref="CP9" authorId="0" shapeId="0" xr:uid="{0C70780C-41B8-4FDA-AA54-9BB02D8890E0}">
      <text>
        <r>
          <rPr>
            <sz val="11"/>
            <color theme="1"/>
            <rFont val="Calibri"/>
            <family val="2"/>
            <scheme val="minor"/>
          </rPr>
          <t xml:space="preserve">Patel, Janki:
Patel, Janki:
used stall speed for A340-300 to calculate takeoff... *1.1 for civil AC
</t>
        </r>
      </text>
    </comment>
    <comment ref="CQ9" authorId="0" shapeId="0" xr:uid="{9C9E371E-30E6-4B29-A307-4B53236C2150}">
      <text>
        <r>
          <rPr>
            <sz val="11"/>
            <color theme="1"/>
            <rFont val="Calibri"/>
            <family val="2"/>
            <scheme val="minor"/>
          </rPr>
          <t xml:space="preserve">Patel, Janki:
Patel, Janki:
used stall speed for A340-300 to calculate takeoff... *1.1 for civil AC
</t>
        </r>
      </text>
    </comment>
    <comment ref="CR9" authorId="0" shapeId="0" xr:uid="{8537D250-18EC-4954-8103-7151810A569E}">
      <text>
        <r>
          <rPr>
            <sz val="11"/>
            <color theme="1"/>
            <rFont val="Calibri"/>
            <family val="2"/>
            <scheme val="minor"/>
          </rPr>
          <t xml:space="preserve">Patel, Janki:
Patel, Janki:
used stall speed for A340-300 to calculate takeoff... *1.1 for civil AC
</t>
        </r>
      </text>
    </comment>
    <comment ref="CS9" authorId="0" shapeId="0" xr:uid="{92652264-DE58-45EF-BC35-D69847EE15A8}">
      <text>
        <r>
          <rPr>
            <sz val="11"/>
            <color theme="1"/>
            <rFont val="Calibri"/>
            <family val="2"/>
            <scheme val="minor"/>
          </rPr>
          <t xml:space="preserve">Patel, Janki:
Patel, Janki:
used stall speed for A340-300 to calculate takeoff... *1.1 for civil AC
</t>
        </r>
      </text>
    </comment>
    <comment ref="CT9" authorId="0" shapeId="0" xr:uid="{9877E61B-DDDA-4CCE-9B0C-3A9F2278FA54}">
      <text>
        <r>
          <rPr>
            <sz val="11"/>
            <color theme="1"/>
            <rFont val="Calibri"/>
            <family val="2"/>
            <scheme val="minor"/>
          </rPr>
          <t xml:space="preserve">Patel, Janki:
Patel, Janki:
used stall speed for A340-300 to calculate takeoff... *1.1 for civil AC
</t>
        </r>
      </text>
    </comment>
    <comment ref="CU9" authorId="0" shapeId="0" xr:uid="{F061C9D1-DCBC-4697-808E-C068962350A2}">
      <text>
        <r>
          <rPr>
            <sz val="11"/>
            <color theme="1"/>
            <rFont val="Calibri"/>
            <family val="2"/>
            <scheme val="minor"/>
          </rPr>
          <t xml:space="preserve">Patel, Janki:
Patel, Janki:
used stall speed for A340-300 to calculate takeoff... *1.1 for civil AC
</t>
        </r>
      </text>
    </comment>
    <comment ref="CV9" authorId="0" shapeId="0" xr:uid="{7A50ED73-2918-4630-B6C1-41424D4A8936}">
      <text>
        <r>
          <rPr>
            <sz val="11"/>
            <color theme="1"/>
            <rFont val="Calibri"/>
            <family val="2"/>
            <scheme val="minor"/>
          </rPr>
          <t xml:space="preserve">Patel, Janki:
Patel, Janki:
used stall speed for A340-300 to calculate takeoff... *1.1 for civil AC
</t>
        </r>
      </text>
    </comment>
    <comment ref="DH9" authorId="0" shapeId="0" xr:uid="{39CBE8CB-56DF-4D7A-8C1A-8825B34BCC51}">
      <text>
        <r>
          <rPr>
            <sz val="11"/>
            <color theme="1"/>
            <rFont val="Calibri"/>
            <family val="2"/>
            <scheme val="minor"/>
          </rPr>
          <t xml:space="preserve">Patel, Janki:
Took these from DC20 series 30, kind of similar in speed.
</t>
        </r>
      </text>
    </comment>
    <comment ref="DO9" authorId="0" shapeId="0" xr:uid="{10DF0168-F256-4A2E-8152-7C50EFD048A7}">
      <text>
        <r>
          <rPr>
            <sz val="11"/>
            <color theme="1"/>
            <rFont val="Calibri"/>
            <family val="2"/>
            <scheme val="minor"/>
          </rPr>
          <t xml:space="preserve">Patel, Janki:
These grey ones are values from 747-400 b/c could not find any for 400ER. In theory this would be greater b/c the weight is greater, but thats not the case for other airplanes.
</t>
        </r>
      </text>
    </comment>
    <comment ref="A12" authorId="0" shapeId="0" xr:uid="{C39E6A83-1E84-42D4-A823-291B0F033F72}">
      <text>
        <r>
          <rPr>
            <sz val="11"/>
            <color theme="1"/>
            <rFont val="Calibri"/>
            <family val="2"/>
            <scheme val="minor"/>
          </rPr>
          <t xml:space="preserve">Patel, Janki:
mach calculated by using cruise alt --&gt; temp --&gt; speed of sound (cruise speed / speed of sound) (orange)
max altitude, could not find cruise alt. (brown)
</t>
        </r>
      </text>
    </comment>
    <comment ref="CA13" authorId="1" shapeId="0" xr:uid="{36109AC6-4930-45A4-9551-BACD92DBA73D}">
      <text>
        <r>
          <rPr>
            <b/>
            <sz val="9"/>
            <color indexed="81"/>
            <rFont val="Tahoma"/>
            <family val="2"/>
          </rPr>
          <t>Max Arnson:</t>
        </r>
        <r>
          <rPr>
            <sz val="9"/>
            <color indexed="81"/>
            <rFont val="Tahoma"/>
            <family val="2"/>
          </rPr>
          <t xml:space="preserve">
im seeing that planes with 118A cruise a little faster. And the extended range cruises slower</t>
        </r>
      </text>
    </comment>
    <comment ref="A17" authorId="0" shapeId="0" xr:uid="{28FECD69-F93B-4B4C-AAC7-56AEA9114819}">
      <text>
        <r>
          <rPr>
            <sz val="11"/>
            <color theme="1"/>
            <rFont val="Calibri"/>
            <family val="2"/>
            <scheme val="minor"/>
          </rPr>
          <t xml:space="preserve">Patel, Janki: 
For Piston Engine &lt; 19 Passengers, the design payload is often just the gross weight (max weight since it includes avg passenger weight and baggage weight and fuel).  </t>
        </r>
      </text>
    </comment>
    <comment ref="BM17" authorId="0" shapeId="0" xr:uid="{C39F776D-9A96-496F-A27E-AE1AF83B79A8}">
      <text>
        <r>
          <rPr>
            <sz val="11"/>
            <color theme="1"/>
            <rFont val="Calibri"/>
            <family val="2"/>
            <scheme val="minor"/>
          </rPr>
          <t>Patel, Janki:
all of these are for full fuel payload. not design PL</t>
        </r>
      </text>
    </comment>
    <comment ref="BR17" authorId="1" shapeId="0" xr:uid="{E9FE86C6-DB97-4527-AE47-510678593E82}">
      <text>
        <r>
          <rPr>
            <b/>
            <sz val="9"/>
            <color indexed="81"/>
            <rFont val="Tahoma"/>
            <family val="2"/>
          </rPr>
          <t>Max Arnson:</t>
        </r>
        <r>
          <rPr>
            <sz val="9"/>
            <color indexed="81"/>
            <rFont val="Tahoma"/>
            <family val="2"/>
          </rPr>
          <t xml:space="preserve">
range listed for 30 pax payload. Not sure what weight this corresponds to. Or: 3690 kg max reported on janes</t>
        </r>
      </text>
    </comment>
    <comment ref="BV17" authorId="1" shapeId="0" xr:uid="{72E91027-FFF3-4CAF-9355-9898D9AB1E8E}">
      <text>
        <r>
          <rPr>
            <b/>
            <sz val="9"/>
            <color indexed="81"/>
            <rFont val="Tahoma"/>
            <family val="2"/>
          </rPr>
          <t>Max Arnson:</t>
        </r>
        <r>
          <rPr>
            <sz val="9"/>
            <color indexed="81"/>
            <rFont val="Tahoma"/>
            <family val="2"/>
          </rPr>
          <t xml:space="preserve">
max payload
</t>
        </r>
      </text>
    </comment>
    <comment ref="BW17" authorId="1" shapeId="0" xr:uid="{FED0E558-8C73-4600-AD2A-88B265A7EBA5}">
      <text>
        <r>
          <rPr>
            <b/>
            <sz val="9"/>
            <color indexed="81"/>
            <rFont val="Tahoma"/>
            <family val="2"/>
          </rPr>
          <t>Max Arnson:</t>
        </r>
        <r>
          <rPr>
            <sz val="9"/>
            <color indexed="81"/>
            <rFont val="Tahoma"/>
            <family val="2"/>
          </rPr>
          <t xml:space="preserve">
max payload</t>
        </r>
      </text>
    </comment>
    <comment ref="BX17" authorId="2" shapeId="0" xr:uid="{ED869E61-2873-4D80-9F83-0864ED2221E3}">
      <text>
        <r>
          <rPr>
            <sz val="11"/>
            <color theme="1"/>
            <rFont val="Calibri"/>
            <family val="2"/>
            <scheme val="minor"/>
          </rPr>
          <t xml:space="preserve">Arnson, Maxfield:
35 PAX@90kg ea
</t>
        </r>
      </text>
    </comment>
    <comment ref="CC17" authorId="1" shapeId="0" xr:uid="{6A502323-7D9B-4B4B-8FA3-2F1B74F08A3C}">
      <text>
        <r>
          <rPr>
            <b/>
            <sz val="9"/>
            <color indexed="81"/>
            <rFont val="Tahoma"/>
            <family val="2"/>
          </rPr>
          <t>Max Arnson:</t>
        </r>
        <r>
          <rPr>
            <sz val="9"/>
            <color indexed="81"/>
            <rFont val="Tahoma"/>
            <family val="2"/>
          </rPr>
          <t xml:space="preserve">
maximum payload
</t>
        </r>
      </text>
    </comment>
    <comment ref="CD17" authorId="1" shapeId="0" xr:uid="{4ED24E80-75CC-44E5-ABFA-1B7FFFE6D7E0}">
      <text>
        <r>
          <rPr>
            <b/>
            <sz val="9"/>
            <color indexed="81"/>
            <rFont val="Tahoma"/>
            <family val="2"/>
          </rPr>
          <t>Max Arnson:</t>
        </r>
        <r>
          <rPr>
            <sz val="9"/>
            <color indexed="81"/>
            <rFont val="Tahoma"/>
            <family val="2"/>
          </rPr>
          <t xml:space="preserve">
maximum </t>
        </r>
      </text>
    </comment>
    <comment ref="CE17" authorId="0" shapeId="0" xr:uid="{821CE767-97DD-429C-82AC-246C566E9379}">
      <text>
        <r>
          <rPr>
            <sz val="11"/>
            <color theme="1"/>
            <rFont val="Calibri"/>
            <family val="2"/>
            <scheme val="minor"/>
          </rPr>
          <t xml:space="preserve">Patel, Janki:
max
</t>
        </r>
      </text>
    </comment>
    <comment ref="CF17" authorId="0" shapeId="0" xr:uid="{46E937DC-9205-45F4-BBE2-9092F8815DD3}">
      <text>
        <r>
          <rPr>
            <sz val="11"/>
            <color theme="1"/>
            <rFont val="Calibri"/>
            <family val="2"/>
            <scheme val="minor"/>
          </rPr>
          <t xml:space="preserve">Patel, Janki:
max
</t>
        </r>
      </text>
    </comment>
    <comment ref="CG17" authorId="0" shapeId="0" xr:uid="{EE0DC1BC-0DE7-40B1-AD1A-8F4CBD20491F}">
      <text>
        <r>
          <rPr>
            <sz val="11"/>
            <color theme="1"/>
            <rFont val="Calibri"/>
            <family val="2"/>
            <scheme val="minor"/>
          </rPr>
          <t xml:space="preserve">Patel, Janki:
max
</t>
        </r>
      </text>
    </comment>
    <comment ref="CH17" authorId="1" shapeId="0" xr:uid="{6D2005EC-A132-4DD8-A35C-7F4AD5D352C4}">
      <text>
        <r>
          <rPr>
            <b/>
            <sz val="9"/>
            <color indexed="81"/>
            <rFont val="Tahoma"/>
            <family val="2"/>
          </rPr>
          <t>Max Arnson:</t>
        </r>
        <r>
          <rPr>
            <sz val="9"/>
            <color indexed="81"/>
            <rFont val="Tahoma"/>
            <family val="2"/>
          </rPr>
          <t xml:space="preserve">
maximum</t>
        </r>
      </text>
    </comment>
    <comment ref="CI17" authorId="0" shapeId="0" xr:uid="{9835271D-758A-4179-B7A0-3AAA7D62B618}">
      <text>
        <r>
          <rPr>
            <sz val="11"/>
            <color theme="1"/>
            <rFont val="Calibri"/>
            <family val="2"/>
            <scheme val="minor"/>
          </rPr>
          <t xml:space="preserve">Patel, Janki:
max
</t>
        </r>
      </text>
    </comment>
    <comment ref="CJ17" authorId="0" shapeId="0" xr:uid="{C1E34025-58A3-4886-BFF0-45D9D377C135}">
      <text>
        <r>
          <rPr>
            <sz val="11"/>
            <color theme="1"/>
            <rFont val="Calibri"/>
            <family val="2"/>
            <scheme val="minor"/>
          </rPr>
          <t xml:space="preserve">Patel, Janki:
max
</t>
        </r>
      </text>
    </comment>
    <comment ref="CK17" authorId="0" shapeId="0" xr:uid="{B0FDD9A8-E978-4628-A063-759A2E03BC2B}">
      <text>
        <r>
          <rPr>
            <sz val="11"/>
            <color theme="1"/>
            <rFont val="Calibri"/>
            <family val="2"/>
            <scheme val="minor"/>
          </rPr>
          <t xml:space="preserve">Patel, Janki:
max
</t>
        </r>
      </text>
    </comment>
    <comment ref="A19" authorId="0" shapeId="0" xr:uid="{38C3DD5F-B71A-4A1C-BD6F-4DA48ADC6223}">
      <text>
        <r>
          <rPr>
            <sz val="11"/>
            <color theme="1"/>
            <rFont val="Calibri"/>
            <family val="2"/>
            <scheme val="minor"/>
          </rPr>
          <t xml:space="preserve">Patel, Janki:
- for smaller AC, the max landing weight is = to the max takeoff weight (because it does not impact the runway nor the landing gear). </t>
        </r>
      </text>
    </comment>
    <comment ref="A22" authorId="0" shapeId="0" xr:uid="{6807A850-F7DF-4EA1-80D0-8E19102D0E3A}">
      <text>
        <r>
          <rPr>
            <sz val="11"/>
            <color theme="1"/>
            <rFont val="Calibri"/>
            <family val="2"/>
            <scheme val="minor"/>
          </rPr>
          <t xml:space="preserve">Patel, Janki:
Either finding from literature (red) or calculated (black)
</t>
        </r>
      </text>
    </comment>
    <comment ref="AN22" authorId="0" shapeId="0" xr:uid="{78E7CB7A-CE0E-4D24-93C3-313DDA61D1F3}">
      <text>
        <r>
          <rPr>
            <sz val="11"/>
            <color theme="1"/>
            <rFont val="Calibri"/>
            <family val="2"/>
            <scheme val="minor"/>
          </rPr>
          <t xml:space="preserve">Patel, Janki:
jet fuel JetA density used was 807.5 kg/m^3
</t>
        </r>
      </text>
    </comment>
    <comment ref="BD22" authorId="0" shapeId="0" xr:uid="{56024B27-0B55-4287-BB3B-2C6293D89A3E}">
      <text>
        <r>
          <rPr>
            <sz val="11"/>
            <color theme="1"/>
            <rFont val="Calibri"/>
            <family val="2"/>
            <scheme val="minor"/>
          </rPr>
          <t xml:space="preserve">Patel, Janki:
jet fuel JetA density used was 807.5 kg/m^3
</t>
        </r>
      </text>
    </comment>
    <comment ref="BX22" authorId="0" shapeId="0" xr:uid="{347F6BFB-5787-43E2-BBF8-B414F1FF803E}">
      <text>
        <r>
          <rPr>
            <sz val="11"/>
            <color theme="1"/>
            <rFont val="Calibri"/>
            <family val="2"/>
            <scheme val="minor"/>
          </rPr>
          <t>Patel, Janki:
jet fuel JetA density used was 807.5 kg/m^3</t>
        </r>
      </text>
    </comment>
    <comment ref="A23" authorId="0" shapeId="0" xr:uid="{DA5540EF-E8AC-4B69-ACF9-E3A6AB907EE5}">
      <text>
        <r>
          <rPr>
            <sz val="11"/>
            <color theme="1"/>
            <rFont val="Calibri"/>
            <family val="2"/>
            <scheme val="minor"/>
          </rPr>
          <t xml:space="preserve">Patel, Janki:
usable fuel / 
max take off weight *100
</t>
        </r>
      </text>
    </comment>
    <comment ref="A25" authorId="0" shapeId="0" xr:uid="{DE1AB3B1-9B0C-41A2-9C89-D4B7D2E000A4}">
      <text>
        <r>
          <rPr>
            <sz val="11"/>
            <color theme="1"/>
            <rFont val="Calibri"/>
            <family val="2"/>
            <scheme val="minor"/>
          </rPr>
          <t xml:space="preserve">Patel, Janki:
dry weight
</t>
        </r>
      </text>
    </comment>
    <comment ref="BU25" authorId="1" shapeId="0" xr:uid="{26A84179-00B0-4421-BD18-0F1D1C0E4506}">
      <text>
        <r>
          <rPr>
            <b/>
            <sz val="9"/>
            <color indexed="81"/>
            <rFont val="Tahoma"/>
            <family val="2"/>
          </rPr>
          <t>Max Arnson:</t>
        </r>
        <r>
          <rPr>
            <sz val="9"/>
            <color indexed="81"/>
            <rFont val="Tahoma"/>
            <family val="2"/>
          </rPr>
          <t xml:space="preserve">
janes says 690 kg</t>
        </r>
      </text>
    </comment>
    <comment ref="A27" authorId="0" shapeId="0" xr:uid="{57DE9AE0-CA61-405D-879C-0C63CEFFC24F}">
      <text>
        <r>
          <rPr>
            <sz val="11"/>
            <color theme="1"/>
            <rFont val="Calibri"/>
            <family val="2"/>
            <scheme val="minor"/>
          </rPr>
          <t xml:space="preserve">Patel, Janki:
MW/(m/s) = 1000000 N / 1000 = 1000 kN
</t>
        </r>
      </text>
    </comment>
    <comment ref="BQ27" authorId="0" shapeId="0" xr:uid="{60BFD2E2-05B0-4E4C-85B6-6A6E1D0E0FE8}">
      <text>
        <r>
          <rPr>
            <sz val="11"/>
            <color theme="1"/>
            <rFont val="Calibri"/>
            <family val="2"/>
            <scheme val="minor"/>
          </rPr>
          <t xml:space="preserve">Patel, Janki:
this was found using the max thrust of the IO550B engine. This is allowable because for smaller aircraft, when taking off, full throttle is used. </t>
        </r>
      </text>
    </comment>
    <comment ref="A28" authorId="0" shapeId="0" xr:uid="{99F126D1-0B39-422B-99D4-D2AA8201649F}">
      <text>
        <r>
          <rPr>
            <sz val="11"/>
            <color theme="1"/>
            <rFont val="Calibri"/>
            <family val="2"/>
            <scheme val="minor"/>
          </rPr>
          <t xml:space="preserve">Patel, Janki:
found max cruise thrust for single engine. and so have multiplied that with # of engines. 
greyish blue - have been taking best cruise which is 75% takeoff power. 
</t>
        </r>
      </text>
    </comment>
    <comment ref="CW28" authorId="0" shapeId="0" xr:uid="{75865473-7718-42BF-92F2-0F2F7F8D6D05}">
      <text>
        <r>
          <rPr>
            <sz val="11"/>
            <color theme="1"/>
            <rFont val="Calibri"/>
            <family val="2"/>
            <scheme val="minor"/>
          </rPr>
          <t>Patel, Janki:
https://www.jet-engine.net/civtfspec.htm
used this website for this light blue colored data in this row.</t>
        </r>
      </text>
    </comment>
    <comment ref="A32" authorId="0" shapeId="0" xr:uid="{87FB7837-F6B3-4719-8FB0-45C05A062E9B}">
      <text>
        <r>
          <rPr>
            <sz val="11"/>
            <color theme="1"/>
            <rFont val="Calibri"/>
            <family val="2"/>
            <scheme val="minor"/>
          </rPr>
          <t>Patel, Janki:
Total Engine Weight/ 
Max Takeoff Weight</t>
        </r>
      </text>
    </comment>
    <comment ref="A33" authorId="0" shapeId="0" xr:uid="{A874EABA-FC98-4AC8-96FB-2512BA347FF2}">
      <text>
        <r>
          <rPr>
            <sz val="11"/>
            <color theme="1"/>
            <rFont val="Calibri"/>
            <family val="2"/>
            <scheme val="minor"/>
          </rPr>
          <t>Patel, Janki:
if we used wing loading to get wing area, the max takeoff weight was used to calcuate the wing area.  (highlight light blue)
W/S = kg/m^2
so 1/(W/S *(1/W))</t>
        </r>
      </text>
    </comment>
    <comment ref="A35" authorId="0" shapeId="0" xr:uid="{F688C9D8-8998-4749-9776-2C909CBC0320}">
      <text>
        <r>
          <rPr>
            <sz val="11"/>
            <color theme="1"/>
            <rFont val="Calibri"/>
            <family val="2"/>
            <scheme val="minor"/>
          </rPr>
          <t xml:space="preserve">Patel, Janki:
calculated values highlighted in blue
</t>
        </r>
      </text>
    </comment>
    <comment ref="A38" authorId="0" shapeId="0" xr:uid="{96E1E866-12D6-4733-B01E-8C605F71FBF5}">
      <text>
        <r>
          <rPr>
            <sz val="11"/>
            <color theme="1"/>
            <rFont val="Calibri"/>
            <family val="2"/>
            <scheme val="minor"/>
          </rPr>
          <t xml:space="preserve">Patel, Janki:
of single engine 
WORDS IN RED ARE SFC OF TAKEOFF
</t>
        </r>
      </text>
    </comment>
    <comment ref="AO38" authorId="0" shapeId="0" xr:uid="{B1D1AC25-B4F6-4366-A4D2-001CA9335DE9}">
      <text>
        <r>
          <rPr>
            <sz val="11"/>
            <color theme="1"/>
            <rFont val="Calibri"/>
            <family val="2"/>
            <scheme val="minor"/>
          </rPr>
          <t xml:space="preserve">Patel, Janki:
was given BSFC which is fuel consumption / power produced, so took BSFC of the cruise segment and divided it by the power at that segment. </t>
        </r>
      </text>
    </comment>
    <comment ref="BR38" authorId="2" shapeId="0" xr:uid="{096E8C5D-6306-4ED7-AB82-C6F92E71A0A2}">
      <text>
        <r>
          <rPr>
            <sz val="11"/>
            <color theme="1"/>
            <rFont val="Calibri"/>
            <family val="2"/>
            <scheme val="minor"/>
          </rPr>
          <t xml:space="preserve">Arnson, Maxfield:
these next 20 aircraft are reported in pounds per hour per effective horsepower since they are prop aircraft
</t>
        </r>
      </text>
    </comment>
    <comment ref="CC38" authorId="1" shapeId="0" xr:uid="{DCE9C459-FA67-44F8-AADC-874335C433BE}">
      <text>
        <r>
          <rPr>
            <b/>
            <sz val="9"/>
            <color indexed="81"/>
            <rFont val="Tahoma"/>
            <family val="2"/>
          </rPr>
          <t>Max Arnson:</t>
        </r>
        <r>
          <rPr>
            <sz val="9"/>
            <color indexed="81"/>
            <rFont val="Tahoma"/>
            <family val="2"/>
          </rPr>
          <t xml:space="preserve">
not explicitly stated but alll 127 variants with the exception of 127G are 77.6</t>
        </r>
      </text>
    </comment>
    <comment ref="A39" authorId="0" shapeId="0" xr:uid="{F1C28B4F-BB58-4665-9AD7-348D7BE7D82B}">
      <text>
        <r>
          <rPr>
            <sz val="11"/>
            <color theme="1"/>
            <rFont val="Calibri"/>
            <family val="2"/>
            <scheme val="minor"/>
          </rPr>
          <t xml:space="preserve">Patel, Janki:
if over 50 ft, color light red
</t>
        </r>
      </text>
    </comment>
    <comment ref="AC39" authorId="0" shapeId="0" xr:uid="{39655824-E532-45A3-8B6B-B2297B4B51FF}">
      <text>
        <r>
          <rPr>
            <sz val="11"/>
            <color theme="1"/>
            <rFont val="Calibri"/>
            <family val="2"/>
            <scheme val="minor"/>
          </rPr>
          <t xml:space="preserve">Patel, Janki:
not switched, but the ground might be a combo of roll and landing... not sure how they split it up and didnt find a definitive answer...
Ground roll is the distance needed after landing 
Takeoff ground run deosnt include the 50ft obstacle. </t>
        </r>
      </text>
    </comment>
    <comment ref="BS39" authorId="1" shapeId="0" xr:uid="{72F2059B-C367-416E-B19B-E8D9845FF9C0}">
      <text>
        <r>
          <rPr>
            <b/>
            <sz val="9"/>
            <color indexed="81"/>
            <rFont val="Tahoma"/>
            <family val="2"/>
          </rPr>
          <t>Max Arnson:</t>
        </r>
        <r>
          <rPr>
            <sz val="9"/>
            <color indexed="81"/>
            <rFont val="Tahoma"/>
            <family val="2"/>
          </rPr>
          <t xml:space="preserve">
Sea Level
no flaps</t>
        </r>
      </text>
    </comment>
    <comment ref="A40" authorId="0" shapeId="0" xr:uid="{B101F414-80E2-44F0-8A43-231A2F67BF36}">
      <text>
        <r>
          <rPr>
            <sz val="11"/>
            <color theme="1"/>
            <rFont val="Calibri"/>
            <family val="2"/>
            <scheme val="minor"/>
          </rPr>
          <t xml:space="preserve">Patel, Janki:
if over 50 ft, color light red
</t>
        </r>
      </text>
    </comment>
    <comment ref="A41" authorId="0" shapeId="0" xr:uid="{CD0C0515-E0B0-4907-95A9-4DD37E7AAFDB}">
      <text>
        <r>
          <rPr>
            <sz val="11"/>
            <color theme="1"/>
            <rFont val="Calibri"/>
            <family val="2"/>
            <scheme val="minor"/>
          </rPr>
          <t xml:space="preserve">Patel, Janki:
highlight orange for variant AR.
</t>
        </r>
      </text>
    </comment>
    <comment ref="AX41" authorId="0" shapeId="0" xr:uid="{8139AA5D-07DF-4C98-B343-FFAC3CF30A85}">
      <text>
        <r>
          <rPr>
            <sz val="11"/>
            <color theme="1"/>
            <rFont val="Calibri"/>
            <family val="2"/>
            <scheme val="minor"/>
          </rPr>
          <t>Patel, Janki:
Equation b^2/A</t>
        </r>
      </text>
    </comment>
    <comment ref="A42" authorId="0" shapeId="0" xr:uid="{F8D91530-334A-4D09-B2A9-A8D47AF6AA51}">
      <text>
        <r>
          <rPr>
            <sz val="11"/>
            <color theme="1"/>
            <rFont val="Calibri"/>
            <family val="2"/>
            <scheme val="minor"/>
          </rPr>
          <t xml:space="preserve">Patel, Janki:
takeoff thrust/weight (color) 
</t>
        </r>
      </text>
    </comment>
    <comment ref="DM42" authorId="0" shapeId="0" xr:uid="{6A1BF957-5C3D-4FFD-8C83-FCB4D9C70C9A}">
      <text>
        <r>
          <rPr>
            <sz val="11"/>
            <color theme="1"/>
            <rFont val="Calibri"/>
            <family val="2"/>
            <scheme val="minor"/>
          </rPr>
          <t xml:space="preserve">Patel, Janki:
this color is calculated
</t>
        </r>
      </text>
    </comment>
    <comment ref="DO42" authorId="0" shapeId="0" xr:uid="{A88972DC-1E95-4F16-9037-551C0EAE9EDF}">
      <text>
        <r>
          <rPr>
            <sz val="11"/>
            <color theme="1"/>
            <rFont val="Calibri"/>
            <family val="2"/>
            <scheme val="minor"/>
          </rPr>
          <t xml:space="preserve">Patel, Janki:
this color is calculated
</t>
        </r>
      </text>
    </comment>
    <comment ref="A43" authorId="0" shapeId="0" xr:uid="{C1058A3D-3232-4E72-B082-C80AD37B2596}">
      <text>
        <r>
          <rPr>
            <sz val="11"/>
            <color theme="1"/>
            <rFont val="Calibri"/>
            <family val="2"/>
            <scheme val="minor"/>
          </rPr>
          <t xml:space="preserve">Patel, Janki:
of single engine 
WORDS IN RED ARE SFC OF TAKEOFF
</t>
        </r>
      </text>
    </comment>
    <comment ref="CR44" authorId="0" shapeId="0" xr:uid="{A58AABE6-54A0-404A-ADD6-EBA8328427EC}">
      <text>
        <r>
          <rPr>
            <sz val="11"/>
            <color theme="1"/>
            <rFont val="Calibri"/>
            <family val="2"/>
            <scheme val="minor"/>
          </rPr>
          <t xml:space="preserve">Patel, Janki:
withdrawn in 1993 by easa
</t>
        </r>
      </text>
    </comment>
    <comment ref="CU44" authorId="0" shapeId="0" xr:uid="{FF3B5E5A-3563-49BF-ACB1-02BB5E5D36F1}">
      <text>
        <r>
          <rPr>
            <sz val="11"/>
            <color theme="1"/>
            <rFont val="Calibri"/>
            <family val="2"/>
            <scheme val="minor"/>
          </rPr>
          <t xml:space="preserve">Patel, Janki:
withdrawn in 1993 by easa
</t>
        </r>
      </text>
    </comment>
    <comment ref="CW44" authorId="0" shapeId="0" xr:uid="{39C0AB41-0A24-4C6B-B77B-F95D67999F3D}">
      <text>
        <r>
          <rPr>
            <sz val="11"/>
            <color theme="1"/>
            <rFont val="Calibri"/>
            <family val="2"/>
            <scheme val="minor"/>
          </rPr>
          <t xml:space="preserve">Patel, Janki:
for different engine (CF6-80C2B7F) that is the same as this one so took the year of the engine in this note. </t>
        </r>
      </text>
    </comment>
    <comment ref="DA44" authorId="0" shapeId="0" xr:uid="{6C31CD36-4B56-498E-88BA-A331795371ED}">
      <text>
        <r>
          <rPr>
            <sz val="11"/>
            <color theme="1"/>
            <rFont val="Calibri"/>
            <family val="2"/>
            <scheme val="minor"/>
          </rPr>
          <t xml:space="preserve">Patel, Janki:
very large discrepancy
</t>
        </r>
      </text>
    </comment>
    <comment ref="DC44" authorId="0" shapeId="0" xr:uid="{FD0018EF-5F70-4B8D-B6A2-AA33BC9FECE8}">
      <text>
        <r>
          <rPr>
            <sz val="11"/>
            <color theme="1"/>
            <rFont val="Calibri"/>
            <family val="2"/>
            <scheme val="minor"/>
          </rPr>
          <t xml:space="preserve">Patel, Janki:
for different engine (CF6-80C2B7F) that is the same as this one so took the year of the engine in this note. </t>
        </r>
      </text>
    </comment>
    <comment ref="DP44" authorId="0" shapeId="0" xr:uid="{7A039448-46B8-4262-A31D-2A5392D7BCEC}">
      <text>
        <r>
          <rPr>
            <sz val="11"/>
            <color theme="1"/>
            <rFont val="Calibri"/>
            <family val="2"/>
            <scheme val="minor"/>
          </rPr>
          <t>Patel, Janki:
the latest year for the family entry to service</t>
        </r>
      </text>
    </comment>
    <comment ref="Z45" authorId="3" shapeId="0" xr:uid="{2CD9D484-62D6-4FAE-9780-F9CE9517E81F}">
      <text>
        <t>[Threaded comment]
Your version of Excel allows you to read this threaded comment; however, any edits to it will get removed if the file is opened in a newer version of Excel. Learn more: https://go.microsoft.com/fwlink/?linkid=870924
Comment:
    https://en.wikipedia.org/wiki/Cessna_425</t>
      </text>
    </comment>
    <comment ref="CD46" authorId="4" shapeId="0" xr:uid="{83A23F94-EA8D-4C97-83B4-437D1E4AFB9E}">
      <text>
        <t xml:space="preserve">[Threaded comment]
Your version of Excel allows you to read this threaded comment; however, any edits to it will get removed if the file is opened in a newer version of Excel. Learn more: https://go.microsoft.com/fwlink/?linkid=870924
Comment:
    No net information for ATRXXX
approximately take 25000 feet
</t>
      </text>
    </comment>
    <comment ref="BO76" authorId="0" shapeId="0" xr:uid="{3E8856B3-0ACE-41C5-BFED-B533B6DF5D9D}">
      <text>
        <r>
          <rPr>
            <sz val="11"/>
            <color theme="1"/>
            <rFont val="Calibri"/>
            <family val="2"/>
            <scheme val="minor"/>
          </rPr>
          <t xml:space="preserve">Patel, Janki:
Peach = in SOW
Dark Orange = added aircraft
Light Blue = repeated planes with slight variation (either in engine or weight variant). 
</t>
        </r>
      </text>
    </comment>
    <comment ref="BP76" authorId="0" shapeId="0" xr:uid="{E3BB3EF9-4A87-401B-9CD4-1B39AD4FC422}">
      <text>
        <r>
          <rPr>
            <sz val="11"/>
            <color theme="1"/>
            <rFont val="Calibri"/>
            <family val="2"/>
            <scheme val="minor"/>
          </rPr>
          <t xml:space="preserve">Patel, Janki:
Peach = in SOW
Dark Orange = added aircraft
Light Blue = repeated planes with slight variation (either in engine or weight variant). 
</t>
        </r>
      </text>
    </comment>
    <comment ref="BP79" authorId="0" shapeId="0" xr:uid="{EBABA49D-8A4D-41C2-9BCE-31C5E268DC1A}">
      <text>
        <r>
          <rPr>
            <sz val="11"/>
            <color theme="1"/>
            <rFont val="Calibri"/>
            <family val="2"/>
            <scheme val="minor"/>
          </rPr>
          <t xml:space="preserve">Patel, Janki:
dates on POH light green highlight
blank is the certification year (FAA)... first flight 
</t>
        </r>
      </text>
    </comment>
    <comment ref="BO83" authorId="0" shapeId="0" xr:uid="{B344B273-EA9A-4DD4-82B2-B0A6903602A0}">
      <text>
        <r>
          <rPr>
            <sz val="11"/>
            <color theme="1"/>
            <rFont val="Calibri"/>
            <family val="2"/>
            <scheme val="minor"/>
          </rPr>
          <t xml:space="preserve">Patel, Janki:
max pax, not including 2 pilot seats and not including flight attendants (for planes that could have them)
grey = includes pilot. 
</t>
        </r>
      </text>
    </comment>
    <comment ref="BP83" authorId="0" shapeId="0" xr:uid="{57D7022C-D530-4345-9522-31B852D3E159}">
      <text>
        <r>
          <rPr>
            <sz val="11"/>
            <color theme="1"/>
            <rFont val="Calibri"/>
            <family val="2"/>
            <scheme val="minor"/>
          </rPr>
          <t xml:space="preserve">Patel, Janki:
max pax, not including 2 pilot seats and not including flight attendants (for planes that could have them)
grey = includes pilot. 
</t>
        </r>
      </text>
    </comment>
    <comment ref="BO84" authorId="0" shapeId="0" xr:uid="{4229C73F-06D8-416A-BCF2-1914FE4B95A1}">
      <text>
        <r>
          <rPr>
            <sz val="11"/>
            <color theme="1"/>
            <rFont val="Calibri"/>
            <family val="2"/>
            <scheme val="minor"/>
          </rPr>
          <t xml:space="preserve">Patel, Janki:
typical payload load range/ max passenger payload (black)
max range (with no payload) (red)
</t>
        </r>
      </text>
    </comment>
    <comment ref="BP84" authorId="0" shapeId="0" xr:uid="{004C1D0F-44D2-4AFB-AB80-778C6C6033C1}">
      <text>
        <r>
          <rPr>
            <sz val="11"/>
            <color theme="1"/>
            <rFont val="Calibri"/>
            <family val="2"/>
            <scheme val="minor"/>
          </rPr>
          <t xml:space="preserve">Patel, Janki:
typical payload load range/ max passenger payload (black)
max range (with no payload) (red)
highlight light orange for cruise range (instead of optimal range in POH) 
</t>
        </r>
      </text>
    </comment>
    <comment ref="BO85" authorId="0" shapeId="0" xr:uid="{E4097232-0B6D-4B1F-A458-5DBBC1873AC2}">
      <text>
        <r>
          <rPr>
            <sz val="11"/>
            <color theme="1"/>
            <rFont val="Calibri"/>
            <family val="2"/>
            <scheme val="minor"/>
          </rPr>
          <t xml:space="preserve">Patel, Janki:
rotation velocity, flaps up 
KIAS = KTAS at standard atmospheric conditions so doesn't matter the knots the data is collected from. (can assume info is for standard atmospheric temps). 
Vtakeoff minimum can be ESTIMATED as 1.2*Vstall (purple)
</t>
        </r>
      </text>
    </comment>
    <comment ref="BP85" authorId="0" shapeId="0" xr:uid="{F0EDF72A-AA3D-4F42-8C7F-124EA9F09463}">
      <text>
        <r>
          <rPr>
            <sz val="11"/>
            <color theme="1"/>
            <rFont val="Calibri"/>
            <family val="2"/>
            <scheme val="minor"/>
          </rPr>
          <t xml:space="preserve">Patel, Janki:
rotation velocity, flaps up 
KIAS = KTAS at standard atmospheric conditions so doesn't matter the knots the data is collected from. (can assume info is for standard atmospheric temps). 
Vtakeoff minimum can be ESTIMATED as 1.2*Vstall (purple)
</t>
        </r>
      </text>
    </comment>
    <comment ref="BO88" authorId="0" shapeId="0" xr:uid="{A887F84B-4A71-4CDE-BB12-0773A4F2970A}">
      <text>
        <r>
          <rPr>
            <sz val="11"/>
            <color theme="1"/>
            <rFont val="Calibri"/>
            <family val="2"/>
            <scheme val="minor"/>
          </rPr>
          <t>Patel, Janki:
mach calculated by using cruise alt --&gt; temp --&gt; speed of sound (cruise speed / speed of sound) (orange)
max altitude, could not find cruise alt. (brown)</t>
        </r>
      </text>
    </comment>
    <comment ref="BP88" authorId="0" shapeId="0" xr:uid="{617388B9-B985-4743-A7F0-398196C346E1}">
      <text>
        <r>
          <rPr>
            <sz val="11"/>
            <color theme="1"/>
            <rFont val="Calibri"/>
            <family val="2"/>
            <scheme val="minor"/>
          </rPr>
          <t xml:space="preserve">Patel, Janki:
mach calculated by using cruise alt --&gt; temp --&gt; speed of sound (cruise speed / speed of sound) (orange)
max altitude, could not find cruise alt. (brown)
</t>
        </r>
      </text>
    </comment>
    <comment ref="BO89" authorId="0" shapeId="0" xr:uid="{46656793-8A23-4F55-B7CD-049A3E00F923}">
      <text>
        <r>
          <rPr>
            <sz val="11"/>
            <color theme="1"/>
            <rFont val="Calibri"/>
            <family val="2"/>
            <scheme val="minor"/>
          </rPr>
          <t>Patel, Janki:
KIAS (black)
KTAS (blue)
kts (no specification, green)
found using speed of sound at cruise altitude and mach number (orange)</t>
        </r>
      </text>
    </comment>
    <comment ref="BP89" authorId="0" shapeId="0" xr:uid="{2EC251C3-469C-462C-BE9F-26D34DBEA417}">
      <text>
        <r>
          <rPr>
            <sz val="11"/>
            <color theme="1"/>
            <rFont val="Calibri"/>
            <family val="2"/>
            <scheme val="minor"/>
          </rPr>
          <t>Patel, Janki:
KIAS (black)
KTAS (blue)
kts (no specification, green)
found using speed of sound at cruise altitude and mach number (orange)</t>
        </r>
      </text>
    </comment>
    <comment ref="BP96" authorId="0" shapeId="0" xr:uid="{CFD89F4B-612F-4292-92FA-9B093C4491B6}">
      <text>
        <r>
          <rPr>
            <sz val="11"/>
            <color theme="1"/>
            <rFont val="Calibri"/>
            <family val="2"/>
            <scheme val="minor"/>
          </rPr>
          <t xml:space="preserve">Patel, Janki:
- for smaller AC, the max landing weight is = to the max takeoff weight (because it does not impact the runway nor the landing gear). </t>
        </r>
      </text>
    </comment>
    <comment ref="BO99" authorId="0" shapeId="0" xr:uid="{31B62300-B699-4F06-9282-FCA8C48CAF7C}">
      <text>
        <r>
          <rPr>
            <sz val="11"/>
            <color theme="1"/>
            <rFont val="Calibri"/>
            <family val="2"/>
            <scheme val="minor"/>
          </rPr>
          <t xml:space="preserve">Patel, Janki:
Either finding from literature (red) or calculated (black)
</t>
        </r>
      </text>
    </comment>
    <comment ref="BP99" authorId="0" shapeId="0" xr:uid="{7AE420C0-DEFA-421D-82B7-E0F7AE16021E}">
      <text>
        <r>
          <rPr>
            <sz val="11"/>
            <color theme="1"/>
            <rFont val="Calibri"/>
            <family val="2"/>
            <scheme val="minor"/>
          </rPr>
          <t xml:space="preserve">Patel, Janki:
Either finding from literature (red) or calculated (black)
</t>
        </r>
      </text>
    </comment>
    <comment ref="BO100" authorId="0" shapeId="0" xr:uid="{BEF62B63-B2A8-4846-8690-F54F89D62A73}">
      <text>
        <r>
          <rPr>
            <sz val="11"/>
            <color theme="1"/>
            <rFont val="Calibri"/>
            <family val="2"/>
            <scheme val="minor"/>
          </rPr>
          <t xml:space="preserve">Patel, Janki:
usable fuel / 
max take off weight *100
</t>
        </r>
      </text>
    </comment>
    <comment ref="BP100" authorId="0" shapeId="0" xr:uid="{A3F32E97-71B8-4F79-91FB-45488B7B2007}">
      <text>
        <r>
          <rPr>
            <sz val="11"/>
            <color theme="1"/>
            <rFont val="Calibri"/>
            <family val="2"/>
            <scheme val="minor"/>
          </rPr>
          <t xml:space="preserve">Patel, Janki:
usable fuel / 
max take off weight *100
</t>
        </r>
      </text>
    </comment>
    <comment ref="BO102" authorId="0" shapeId="0" xr:uid="{24E2BDC6-C752-41F6-A39F-26FB19EF8584}">
      <text>
        <r>
          <rPr>
            <sz val="11"/>
            <color theme="1"/>
            <rFont val="Calibri"/>
            <family val="2"/>
            <scheme val="minor"/>
          </rPr>
          <t xml:space="preserve">Patel, Janki:
dry weight
</t>
        </r>
      </text>
    </comment>
    <comment ref="BP102" authorId="0" shapeId="0" xr:uid="{B58301D2-5234-4AC1-926C-FF0879EAD27D}">
      <text>
        <r>
          <rPr>
            <sz val="11"/>
            <color theme="1"/>
            <rFont val="Calibri"/>
            <family val="2"/>
            <scheme val="minor"/>
          </rPr>
          <t xml:space="preserve">Patel, Janki:
dry weight
</t>
        </r>
      </text>
    </comment>
    <comment ref="BO104" authorId="0" shapeId="0" xr:uid="{D3C48798-CCA6-4AD8-A056-F7D3E1CC59DB}">
      <text>
        <r>
          <rPr>
            <sz val="11"/>
            <color theme="1"/>
            <rFont val="Calibri"/>
            <family val="2"/>
            <scheme val="minor"/>
          </rPr>
          <t xml:space="preserve">Patel, Janki:
MW/(m/s) = 1000000 N / 1000 = 1000 kN
</t>
        </r>
      </text>
    </comment>
    <comment ref="BP104" authorId="0" shapeId="0" xr:uid="{0F6E9D40-D42C-4E4C-90C4-9ECD50590D16}">
      <text>
        <r>
          <rPr>
            <sz val="11"/>
            <color theme="1"/>
            <rFont val="Calibri"/>
            <family val="2"/>
            <scheme val="minor"/>
          </rPr>
          <t xml:space="preserve">Patel, Janki:
MW/(m/s) = 1000000 N / 1000 = 1000 kN
</t>
        </r>
      </text>
    </comment>
    <comment ref="BO105" authorId="0" shapeId="0" xr:uid="{2A13C120-7BB5-40DA-BD66-680040B117D3}">
      <text>
        <r>
          <rPr>
            <sz val="11"/>
            <color theme="1"/>
            <rFont val="Calibri"/>
            <family val="2"/>
            <scheme val="minor"/>
          </rPr>
          <t xml:space="preserve">Patel, Janki:
total take off thrust * .2 (b/c thrust at sea level for an engine is the total take off thrust at sea level / # of engines since take off occurs at sea level (the ideal version we are recording from found data)).
</t>
        </r>
      </text>
    </comment>
    <comment ref="BP105" authorId="0" shapeId="0" xr:uid="{FE0AD72F-5887-487C-90D8-16F1C1C87C81}">
      <text>
        <r>
          <rPr>
            <sz val="11"/>
            <color theme="1"/>
            <rFont val="Calibri"/>
            <family val="2"/>
            <scheme val="minor"/>
          </rPr>
          <t xml:space="preserve">Patel, Janki:
found max cruise thrust for single engine. and so have multiplied that with # of engines. 
</t>
        </r>
      </text>
    </comment>
    <comment ref="BO109" authorId="0" shapeId="0" xr:uid="{088A4157-2F7B-44CB-9E19-BFF9CA5274F2}">
      <text>
        <r>
          <rPr>
            <sz val="11"/>
            <color theme="1"/>
            <rFont val="Calibri"/>
            <family val="2"/>
            <scheme val="minor"/>
          </rPr>
          <t>Patel, Janki:
Total Engine Weight/ 
Max Takeoff Weight</t>
        </r>
      </text>
    </comment>
    <comment ref="BP109" authorId="0" shapeId="0" xr:uid="{2FEEED54-C1BC-4ABD-8C66-FA2B458ED9FF}">
      <text>
        <r>
          <rPr>
            <sz val="11"/>
            <color theme="1"/>
            <rFont val="Calibri"/>
            <family val="2"/>
            <scheme val="minor"/>
          </rPr>
          <t>Patel, Janki:
Total Engine Weight/ 
Max Takeoff Weight</t>
        </r>
      </text>
    </comment>
    <comment ref="BP110" authorId="0" shapeId="0" xr:uid="{C10DBCD6-46E1-4C87-9D77-BCCB809EE844}">
      <text>
        <r>
          <rPr>
            <sz val="11"/>
            <color theme="1"/>
            <rFont val="Calibri"/>
            <family val="2"/>
            <scheme val="minor"/>
          </rPr>
          <t>Patel, Janki:
if we used wing loading to get wing area, the max takeoff weight was used to calcuate the wing area.  (highlight light blue)
W/S = kg/m^2
so 1/(W/S *(1/W))</t>
        </r>
      </text>
    </comment>
    <comment ref="BP112" authorId="0" shapeId="0" xr:uid="{B5F45DE2-7319-497B-9321-D08018A0BFB7}">
      <text>
        <r>
          <rPr>
            <sz val="11"/>
            <color theme="1"/>
            <rFont val="Calibri"/>
            <family val="2"/>
            <scheme val="minor"/>
          </rPr>
          <t xml:space="preserve">Patel, Janki:
calculated values highlighted in blue
</t>
        </r>
      </text>
    </comment>
    <comment ref="BP115" authorId="0" shapeId="0" xr:uid="{30AEA2E5-FB7B-4D00-9209-F5A99162F081}">
      <text>
        <r>
          <rPr>
            <sz val="11"/>
            <color theme="1"/>
            <rFont val="Calibri"/>
            <family val="2"/>
            <scheme val="minor"/>
          </rPr>
          <t xml:space="preserve">Patel, Janki:
of single engine 
WORDS IN RED ARE SFC OF TAKEOFF
</t>
        </r>
      </text>
    </comment>
    <comment ref="BP116" authorId="0" shapeId="0" xr:uid="{B8CB8982-EA81-4B22-A34A-D058104AF8B9}">
      <text>
        <r>
          <rPr>
            <sz val="11"/>
            <color theme="1"/>
            <rFont val="Calibri"/>
            <family val="2"/>
            <scheme val="minor"/>
          </rPr>
          <t xml:space="preserve">Patel, Janki:
if over 50 ft, color light red
</t>
        </r>
      </text>
    </comment>
    <comment ref="BP117" authorId="0" shapeId="0" xr:uid="{6F0EFE81-E2BE-4A36-B719-40BB3EE06F62}">
      <text>
        <r>
          <rPr>
            <sz val="11"/>
            <color theme="1"/>
            <rFont val="Calibri"/>
            <family val="2"/>
            <scheme val="minor"/>
          </rPr>
          <t xml:space="preserve">Patel, Janki:
if over 50 ft, color light red
</t>
        </r>
      </text>
    </comment>
    <comment ref="BP118" authorId="0" shapeId="0" xr:uid="{1B96DFCA-7708-4479-8477-D89CB136E8EF}">
      <text>
        <r>
          <rPr>
            <sz val="11"/>
            <color theme="1"/>
            <rFont val="Calibri"/>
            <family val="2"/>
            <scheme val="minor"/>
          </rPr>
          <t xml:space="preserve">Patel, Janki:
highlight orange for variant AR.
</t>
        </r>
      </text>
    </comment>
    <comment ref="BP119" authorId="0" shapeId="0" xr:uid="{664D76D2-BE35-4587-AD4F-204B3EE18D88}">
      <text>
        <r>
          <rPr>
            <sz val="11"/>
            <color theme="1"/>
            <rFont val="Calibri"/>
            <family val="2"/>
            <scheme val="minor"/>
          </rPr>
          <t xml:space="preserve">Patel, Janki:
takeoff weight/ takeoff thrust (color) (kg/kN)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Tsai, Michael</author>
    <author>Patel, Janki</author>
  </authors>
  <commentList>
    <comment ref="A1" authorId="0" shapeId="0" xr:uid="{9860D6AB-DAB9-43A7-AA55-FD2C01D3BF71}">
      <text>
        <r>
          <rPr>
            <sz val="11"/>
            <color theme="1"/>
            <rFont val="Calibri"/>
            <family val="2"/>
            <scheme val="minor"/>
          </rPr>
          <t xml:space="preserve">Tsai, Michael:
Highlighted Yellow: accounted for two separate class
</t>
        </r>
      </text>
    </comment>
    <comment ref="J1" authorId="0" shapeId="0" xr:uid="{EF2A64E2-F02F-4EC1-9B28-FD4DBC26DECF}">
      <text>
        <r>
          <rPr>
            <sz val="11"/>
            <color theme="1"/>
            <rFont val="Calibri"/>
            <family val="2"/>
            <scheme val="minor"/>
          </rPr>
          <t xml:space="preserve">Tsai, Michael:
With 1130 Gallon Fuselage Auxiliary Fuel Tanks </t>
        </r>
      </text>
    </comment>
    <comment ref="K1" authorId="0" shapeId="0" xr:uid="{C362D911-3093-45F3-B03B-75974B29F550}">
      <text>
        <r>
          <rPr>
            <sz val="11"/>
            <color theme="1"/>
            <rFont val="Calibri"/>
            <family val="2"/>
            <scheme val="minor"/>
          </rPr>
          <t>Tsai, Michael:
Has Freighter version</t>
        </r>
      </text>
    </comment>
    <comment ref="M1" authorId="0" shapeId="0" xr:uid="{A613B0C6-C97F-4AE7-A5C7-018B16B1203E}">
      <text>
        <r>
          <rPr>
            <sz val="11"/>
            <color theme="1"/>
            <rFont val="Calibri"/>
            <family val="2"/>
            <scheme val="minor"/>
          </rPr>
          <t>Tsai, Michael:
Has Freighter version</t>
        </r>
      </text>
    </comment>
    <comment ref="N1" authorId="0" shapeId="0" xr:uid="{3DF6119A-1DA4-4932-A0C0-B952393DE41A}">
      <text>
        <r>
          <rPr>
            <sz val="11"/>
            <color theme="1"/>
            <rFont val="Calibri"/>
            <family val="2"/>
            <scheme val="minor"/>
          </rPr>
          <t>Tsai, Michael:
Has Freighter version</t>
        </r>
      </text>
    </comment>
    <comment ref="O1" authorId="0" shapeId="0" xr:uid="{B0B42453-D3F7-45FA-A7F5-F61C3C41C1F0}">
      <text>
        <r>
          <rPr>
            <sz val="11"/>
            <color theme="1"/>
            <rFont val="Calibri"/>
            <family val="2"/>
            <scheme val="minor"/>
          </rPr>
          <t>Tsai, Michael:
Has Freighter version</t>
        </r>
      </text>
    </comment>
    <comment ref="T1" authorId="0" shapeId="0" xr:uid="{7CE63DA0-7856-4977-8363-4466AA9AC665}">
      <text>
        <r>
          <rPr>
            <sz val="11"/>
            <color theme="1"/>
            <rFont val="Calibri"/>
            <family val="2"/>
            <scheme val="minor"/>
          </rPr>
          <t xml:space="preserve">Tsai, Michael:
There is a Freighter Version  </t>
        </r>
      </text>
    </comment>
    <comment ref="U1" authorId="0" shapeId="0" xr:uid="{26DA1474-AD13-47B5-B849-5DD31BAD3433}">
      <text>
        <r>
          <rPr>
            <sz val="11"/>
            <color theme="1"/>
            <rFont val="Calibri"/>
            <family val="2"/>
            <scheme val="minor"/>
          </rPr>
          <t>Tsai, Michael:
There is a Freighter Version</t>
        </r>
      </text>
    </comment>
    <comment ref="V1" authorId="0" shapeId="0" xr:uid="{51AAA619-8C4F-429F-B954-ADF9820F0E18}">
      <text>
        <r>
          <rPr>
            <sz val="11"/>
            <color theme="1"/>
            <rFont val="Calibri"/>
            <family val="2"/>
            <scheme val="minor"/>
          </rPr>
          <t>Tsai, Michael:
There is a Freighter Version</t>
        </r>
      </text>
    </comment>
    <comment ref="W1" authorId="0" shapeId="0" xr:uid="{DE757AED-D469-4D37-947E-DA76DB0EC3C4}">
      <text>
        <r>
          <rPr>
            <sz val="11"/>
            <color theme="1"/>
            <rFont val="Calibri"/>
            <family val="2"/>
            <scheme val="minor"/>
          </rPr>
          <t>Tsai, Michael:
There is a Freighter Version</t>
        </r>
      </text>
    </comment>
    <comment ref="X1" authorId="0" shapeId="0" xr:uid="{A79A6861-6130-4C86-BB05-9137E22AA6BA}">
      <text>
        <r>
          <rPr>
            <sz val="11"/>
            <color theme="1"/>
            <rFont val="Calibri"/>
            <family val="2"/>
            <scheme val="minor"/>
          </rPr>
          <t>Tsai, Michael:
There is a Freighter Version</t>
        </r>
      </text>
    </comment>
    <comment ref="Y1" authorId="0" shapeId="0" xr:uid="{CE647FE0-2668-43E5-8C84-38DDEA562AB8}">
      <text>
        <r>
          <rPr>
            <sz val="11"/>
            <color theme="1"/>
            <rFont val="Calibri"/>
            <family val="2"/>
            <scheme val="minor"/>
          </rPr>
          <t>Tsai, Michael:
There is a Freighter Version</t>
        </r>
      </text>
    </comment>
    <comment ref="Z1" authorId="0" shapeId="0" xr:uid="{2C4DCBF9-080C-461D-A1AC-F4829E96166D}">
      <text>
        <r>
          <rPr>
            <sz val="11"/>
            <color theme="1"/>
            <rFont val="Calibri"/>
            <family val="2"/>
            <scheme val="minor"/>
          </rPr>
          <t>Tsai, Michael:
There is a Freighter Version</t>
        </r>
      </text>
    </comment>
    <comment ref="AS1" authorId="0" shapeId="0" xr:uid="{E69103EA-87D6-45E2-A12C-C52B2A21BF53}">
      <text>
        <r>
          <rPr>
            <sz val="11"/>
            <color theme="1"/>
            <rFont val="Calibri"/>
            <family val="2"/>
            <scheme val="minor"/>
          </rPr>
          <t>Tsai, Michael:
5 Abreast</t>
        </r>
      </text>
    </comment>
    <comment ref="AT1" authorId="0" shapeId="0" xr:uid="{7AC87843-B69C-4B69-B97E-F5C34AAD7D16}">
      <text>
        <r>
          <rPr>
            <sz val="11"/>
            <color theme="1"/>
            <rFont val="Calibri"/>
            <family val="2"/>
            <scheme val="minor"/>
          </rPr>
          <t xml:space="preserve">Tsai, Michael:
6 Abreast
</t>
        </r>
      </text>
    </comment>
    <comment ref="AU1" authorId="0" shapeId="0" xr:uid="{B32D3E1B-B273-4F08-B9A3-1B46E883CB74}">
      <text>
        <r>
          <rPr>
            <sz val="11"/>
            <color theme="1"/>
            <rFont val="Calibri"/>
            <family val="2"/>
            <scheme val="minor"/>
          </rPr>
          <t>Tsai, Michael:
5 Abreast</t>
        </r>
      </text>
    </comment>
    <comment ref="AV1" authorId="0" shapeId="0" xr:uid="{50842298-6E9F-4DB1-8D5F-82C0A996A57F}">
      <text>
        <r>
          <rPr>
            <sz val="11"/>
            <color theme="1"/>
            <rFont val="Calibri"/>
            <family val="2"/>
            <scheme val="minor"/>
          </rPr>
          <t>Tsai, Michael:
6 Abreast</t>
        </r>
      </text>
    </comment>
    <comment ref="AW1" authorId="0" shapeId="0" xr:uid="{7FC2EE5C-5752-42EE-9064-09014EB68F8B}">
      <text>
        <r>
          <rPr>
            <sz val="11"/>
            <color theme="1"/>
            <rFont val="Calibri"/>
            <family val="2"/>
            <scheme val="minor"/>
          </rPr>
          <t>Tsai, Michael:
5 Abreast</t>
        </r>
      </text>
    </comment>
    <comment ref="AX1" authorId="0" shapeId="0" xr:uid="{AB254CEA-6891-4766-B9EF-DE9955A7E8F4}">
      <text>
        <r>
          <rPr>
            <sz val="11"/>
            <color theme="1"/>
            <rFont val="Calibri"/>
            <family val="2"/>
            <scheme val="minor"/>
          </rPr>
          <t>Tsai, Michael:
6 Abreast</t>
        </r>
      </text>
    </comment>
    <comment ref="AY1" authorId="0" shapeId="0" xr:uid="{DADCC3DD-349F-4A90-A0FC-D403E1C80156}">
      <text>
        <r>
          <rPr>
            <sz val="11"/>
            <color theme="1"/>
            <rFont val="Calibri"/>
            <family val="2"/>
            <scheme val="minor"/>
          </rPr>
          <t xml:space="preserve">Tsai, Michael:
5 Abreast
C for combi (Faster conversion between passenger and cargo)
</t>
        </r>
      </text>
    </comment>
    <comment ref="AZ1" authorId="0" shapeId="0" xr:uid="{4118FCEB-F563-4069-A9C9-806BC1663FE0}">
      <text>
        <r>
          <rPr>
            <sz val="11"/>
            <color theme="1"/>
            <rFont val="Calibri"/>
            <family val="2"/>
            <scheme val="minor"/>
          </rPr>
          <t xml:space="preserve">Tsai, Michael:
6 Abreast
NOTE: has executive version
</t>
        </r>
      </text>
    </comment>
    <comment ref="BK1" authorId="0" shapeId="0" xr:uid="{043E5E19-3394-413D-A9E2-217ACBF7C389}">
      <text>
        <r>
          <rPr>
            <sz val="11"/>
            <color theme="1"/>
            <rFont val="Calibri"/>
            <family val="2"/>
            <scheme val="minor"/>
          </rPr>
          <t xml:space="preserve">Tsai, Michael:
Business Jet from 737-700 </t>
        </r>
      </text>
    </comment>
    <comment ref="BL1" authorId="0" shapeId="0" xr:uid="{813EA89C-4243-4FBB-8C00-580A3EF07669}">
      <text>
        <r>
          <rPr>
            <sz val="11"/>
            <color theme="1"/>
            <rFont val="Calibri"/>
            <family val="2"/>
            <scheme val="minor"/>
          </rPr>
          <t xml:space="preserve">Tsai, Michael:
Business Jet from 737-800
</t>
        </r>
      </text>
    </comment>
    <comment ref="BO1" authorId="0" shapeId="0" xr:uid="{70B8CA26-A71D-4C52-BCBE-4CA90AC23751}">
      <text>
        <r>
          <rPr>
            <sz val="11"/>
            <color theme="1"/>
            <rFont val="Calibri"/>
            <family val="2"/>
            <scheme val="minor"/>
          </rPr>
          <t>Tsai, Michael:
Higher Passenger Capacity MAX 8 model 200+ passenger</t>
        </r>
      </text>
    </comment>
    <comment ref="BQ1" authorId="0" shapeId="0" xr:uid="{560EEE06-069D-4054-8AB9-A15414084A10}">
      <text>
        <r>
          <rPr>
            <sz val="11"/>
            <color theme="1"/>
            <rFont val="Calibri"/>
            <family val="2"/>
            <scheme val="minor"/>
          </rPr>
          <t>Tsai, Michael:
Information on 737-10 is preliminary</t>
        </r>
      </text>
    </comment>
    <comment ref="BT1" authorId="0" shapeId="0" xr:uid="{023B5DED-16E1-4374-A071-5B8F8ED8F79F}">
      <text>
        <r>
          <rPr>
            <sz val="11"/>
            <color theme="1"/>
            <rFont val="Calibri"/>
            <family val="2"/>
            <scheme val="minor"/>
          </rPr>
          <t>Tsai, Michael:
Pratt and Whitney Engine</t>
        </r>
      </text>
    </comment>
    <comment ref="BU1" authorId="0" shapeId="0" xr:uid="{872DD9BA-F8D7-4ABE-96B0-561C40C883BA}">
      <text>
        <r>
          <rPr>
            <sz val="11"/>
            <color theme="1"/>
            <rFont val="Calibri"/>
            <family val="2"/>
            <scheme val="minor"/>
          </rPr>
          <t>Tsai, Michael:
Pratt and Whitney Engine</t>
        </r>
      </text>
    </comment>
    <comment ref="BV1" authorId="0" shapeId="0" xr:uid="{C5B40ADA-D8DB-4158-A36C-2C78587A07C4}">
      <text>
        <r>
          <rPr>
            <sz val="11"/>
            <color theme="1"/>
            <rFont val="Calibri"/>
            <family val="2"/>
            <scheme val="minor"/>
          </rPr>
          <t>Tsai, Michael:
Roll Royce Engine</t>
        </r>
      </text>
    </comment>
    <comment ref="BW1" authorId="0" shapeId="0" xr:uid="{53A58DBD-785D-4B25-9019-DB3DF41694AC}">
      <text>
        <r>
          <rPr>
            <sz val="11"/>
            <color theme="1"/>
            <rFont val="Calibri"/>
            <family val="2"/>
            <scheme val="minor"/>
          </rPr>
          <t>Tsai, Michael:
Roll Royce Engine</t>
        </r>
      </text>
    </comment>
    <comment ref="BX1" authorId="0" shapeId="0" xr:uid="{DA7F444B-5A30-4C8F-990F-3AA47A062F3B}">
      <text>
        <r>
          <rPr>
            <sz val="11"/>
            <color theme="1"/>
            <rFont val="Calibri"/>
            <family val="2"/>
            <scheme val="minor"/>
          </rPr>
          <t>Tsai, Michael:
Pratt and Whitney Engine</t>
        </r>
      </text>
    </comment>
    <comment ref="BY1" authorId="0" shapeId="0" xr:uid="{F562ADA1-5C2F-42F5-A694-52A9F79D05CD}">
      <text>
        <r>
          <rPr>
            <sz val="11"/>
            <color theme="1"/>
            <rFont val="Calibri"/>
            <family val="2"/>
            <scheme val="minor"/>
          </rPr>
          <t>Tsai, Michael:
Pratt and Whitney Engine</t>
        </r>
      </text>
    </comment>
    <comment ref="BZ1" authorId="0" shapeId="0" xr:uid="{9794FD34-D61C-4A74-B448-20A9C73BC0C6}">
      <text>
        <r>
          <rPr>
            <sz val="11"/>
            <color theme="1"/>
            <rFont val="Calibri"/>
            <family val="2"/>
            <scheme val="minor"/>
          </rPr>
          <t>Tsai, Michael:
Pratt and Whitney</t>
        </r>
      </text>
    </comment>
    <comment ref="CA1" authorId="0" shapeId="0" xr:uid="{154DC3DC-1FBF-4441-B28B-21C3F8C12C14}">
      <text>
        <r>
          <rPr>
            <sz val="11"/>
            <color theme="1"/>
            <rFont val="Calibri"/>
            <family val="2"/>
            <scheme val="minor"/>
          </rPr>
          <t>Tsai, Michael:
Pratt and Whitney</t>
        </r>
      </text>
    </comment>
    <comment ref="CB1" authorId="0" shapeId="0" xr:uid="{A9F6E8FE-B292-40D3-9BE3-0E3695663B09}">
      <text>
        <r>
          <rPr>
            <sz val="11"/>
            <color theme="1"/>
            <rFont val="Calibri"/>
            <family val="2"/>
            <scheme val="minor"/>
          </rPr>
          <t>Tsai, Michael:
Pratt and Whitney</t>
        </r>
      </text>
    </comment>
    <comment ref="CC1" authorId="0" shapeId="0" xr:uid="{9F806D30-C5F9-4BEB-97BF-D1C35CDDE5E8}">
      <text>
        <r>
          <rPr>
            <sz val="11"/>
            <color theme="1"/>
            <rFont val="Calibri"/>
            <family val="2"/>
            <scheme val="minor"/>
          </rPr>
          <t>Tsai, Michael:
Pratt and Whitney</t>
        </r>
      </text>
    </comment>
    <comment ref="CY1" authorId="0" shapeId="0" xr:uid="{AD91BDF1-4F5C-4637-88D0-A35AE61AEE67}">
      <text>
        <r>
          <rPr>
            <sz val="11"/>
            <color theme="1"/>
            <rFont val="Calibri"/>
            <family val="2"/>
            <scheme val="minor"/>
          </rPr>
          <t xml:space="preserve">Tsai, Michael:
Has Business Jet Version (ACJ) </t>
        </r>
      </text>
    </comment>
    <comment ref="CZ1" authorId="0" shapeId="0" xr:uid="{27CA84B5-BA23-4EA6-9BC7-DB2B696FE69E}">
      <text>
        <r>
          <rPr>
            <sz val="11"/>
            <color theme="1"/>
            <rFont val="Calibri"/>
            <family val="2"/>
            <scheme val="minor"/>
          </rPr>
          <t xml:space="preserve">Tsai, Michael:
Has Business Jet Version (ACJ) </t>
        </r>
      </text>
    </comment>
    <comment ref="DC1" authorId="0" shapeId="0" xr:uid="{8DE2527F-A1E7-4B57-94B7-51D78B53417C}">
      <text>
        <r>
          <rPr>
            <sz val="11"/>
            <color theme="1"/>
            <rFont val="Calibri"/>
            <family val="2"/>
            <scheme val="minor"/>
          </rPr>
          <t>Tsai, Michael:
- With Sharklet
- Has ACJ version</t>
        </r>
      </text>
    </comment>
    <comment ref="DE1" authorId="0" shapeId="0" xr:uid="{E5AA8C8B-5896-4EC1-B703-78D138AB9262}">
      <text>
        <r>
          <rPr>
            <sz val="11"/>
            <color theme="1"/>
            <rFont val="Calibri"/>
            <family val="2"/>
            <scheme val="minor"/>
          </rPr>
          <t>Tsai, Michael:
With Sharklet</t>
        </r>
      </text>
    </comment>
    <comment ref="DG1" authorId="0" shapeId="0" xr:uid="{CB08003B-1E29-47FA-BB4F-EDB9E2CF7E56}">
      <text>
        <r>
          <rPr>
            <sz val="11"/>
            <color theme="1"/>
            <rFont val="Calibri"/>
            <family val="2"/>
            <scheme val="minor"/>
          </rPr>
          <t>Tsai, Michael:
Has ACJ version</t>
        </r>
      </text>
    </comment>
    <comment ref="DL1" authorId="0" shapeId="0" xr:uid="{6644E57C-CA6F-4540-BE4A-5A3109FE632E}">
      <text>
        <r>
          <rPr>
            <sz val="11"/>
            <color theme="1"/>
            <rFont val="Calibri"/>
            <family val="2"/>
            <scheme val="minor"/>
          </rPr>
          <t>Tsai, Michael:
with Sharklet</t>
        </r>
      </text>
    </comment>
    <comment ref="DM1" authorId="0" shapeId="0" xr:uid="{01A96D1D-3A3C-45CA-8C59-16B5BFC667B0}">
      <text>
        <r>
          <rPr>
            <sz val="11"/>
            <color theme="1"/>
            <rFont val="Calibri"/>
            <family val="2"/>
            <scheme val="minor"/>
          </rPr>
          <t>Tsai, Michael:
with Sharklet</t>
        </r>
      </text>
    </comment>
    <comment ref="DO1" authorId="0" shapeId="0" xr:uid="{81A1FCAD-42F5-49D4-A6D6-0466839682CA}">
      <text>
        <r>
          <rPr>
            <sz val="11"/>
            <color theme="1"/>
            <rFont val="Calibri"/>
            <family val="2"/>
            <scheme val="minor"/>
          </rPr>
          <t>Tsai, Michael:
Has ACJ version</t>
        </r>
      </text>
    </comment>
    <comment ref="DR1" authorId="0" shapeId="0" xr:uid="{E1A74DCC-A5CB-4D3C-9752-11DABF824D3D}">
      <text>
        <r>
          <rPr>
            <sz val="11"/>
            <color theme="1"/>
            <rFont val="Calibri"/>
            <family val="2"/>
            <scheme val="minor"/>
          </rPr>
          <t>Tsai, Michael:
Has ACJ version</t>
        </r>
      </text>
    </comment>
    <comment ref="DS1" authorId="0" shapeId="0" xr:uid="{9DFA5DD7-63A6-4EA9-8118-D4E01B1D973E}">
      <text>
        <r>
          <rPr>
            <sz val="11"/>
            <color theme="1"/>
            <rFont val="Calibri"/>
            <family val="2"/>
            <scheme val="minor"/>
          </rPr>
          <t xml:space="preserve">Tsai, Michael:
Has ACJ version
</t>
        </r>
      </text>
    </comment>
    <comment ref="DT1" authorId="0" shapeId="0" xr:uid="{EB7DEB3D-8F9F-44F5-860E-DDA250E73E96}">
      <text>
        <r>
          <rPr>
            <sz val="11"/>
            <color theme="1"/>
            <rFont val="Calibri"/>
            <family val="2"/>
            <scheme val="minor"/>
          </rPr>
          <t>Tsai, Michael:
-100 vs -200: 
-200 higher MTOW +350 nm more range</t>
        </r>
      </text>
    </comment>
    <comment ref="DU1" authorId="0" shapeId="0" xr:uid="{C9770282-8F18-407B-BB70-204F7C1ECC84}">
      <text>
        <r>
          <rPr>
            <sz val="11"/>
            <color theme="1"/>
            <rFont val="Calibri"/>
            <family val="2"/>
            <scheme val="minor"/>
          </rPr>
          <t>Tsai, Michael:
with Sharklet</t>
        </r>
      </text>
    </comment>
    <comment ref="DX1" authorId="0" shapeId="0" xr:uid="{A046E2B7-60D1-4415-BB17-41B69E89B08B}">
      <text>
        <r>
          <rPr>
            <sz val="11"/>
            <color theme="1"/>
            <rFont val="Calibri"/>
            <family val="2"/>
            <scheme val="minor"/>
          </rPr>
          <t>Tsai, Michael:
Sharklet</t>
        </r>
      </text>
    </comment>
    <comment ref="EB1" authorId="0" shapeId="0" xr:uid="{511330BE-B146-41EB-9719-8241392F20E9}">
      <text>
        <r>
          <rPr>
            <sz val="11"/>
            <color theme="1"/>
            <rFont val="Calibri"/>
            <family val="2"/>
            <scheme val="minor"/>
          </rPr>
          <t>Tsai, Michael:
has ACF
2act</t>
        </r>
      </text>
    </comment>
    <comment ref="C2" authorId="0" shapeId="0" xr:uid="{C1C8C32F-A6D0-4D72-B579-79227D67492A}">
      <text>
        <r>
          <rPr>
            <sz val="11"/>
            <color theme="1"/>
            <rFont val="Calibri"/>
            <family val="2"/>
            <scheme val="minor"/>
          </rPr>
          <t xml:space="preserve">Tsai, Michael:
1.  Use fuel capacity kg MTOW kg Weight Variant 
chrome-extension://efaidnbmnnnibpcajpcglclefindmkaj/https://www.boeing.com/resources/boeingdotcom/commercial/airports/acaps/md90.pdf
2.
https://skybrary.aero/aircraft/md90
3.
chrome-extension://efaidnbmnnnibpcajpcglclefindmkaj/https://rgl.faa.gov/Regulatory_and_Guidance_Library/rgMakeModel.nsf/0/fa74c08d4bd2d02386258281006d02a1/$FILE/E40NE_Rev_13.pdf
4.
https://prattwhitney.com/products-and-services/products/commercial-engines/v2500
5. 
https://customer.janes.com/Janes/Display/JAU_9145-JAU_
6. 
https://links.prattwhitney.com/i-a-e/products.html
7.
https://customer.janes.com/Janes/Display/JAE_0635-JAE_
</t>
        </r>
      </text>
    </comment>
    <comment ref="D2" authorId="0" shapeId="0" xr:uid="{02EBC470-6539-47D3-8CE4-9EE43EF3157F}">
      <text>
        <r>
          <rPr>
            <sz val="11"/>
            <color theme="1"/>
            <rFont val="Calibri"/>
            <family val="2"/>
            <scheme val="minor"/>
          </rPr>
          <t xml:space="preserve">Tsai, Michael:
1.  Use fuel capacity kg MTOW kg Weight Variant 
chrome-extension://efaidnbmnnnibpcajpcglclefindmkaj/https://www.boeing.com/resources/boeingdotcom/commercial/airports/acaps/md90.pdf
2.
https://skybrary.aero/aircraft/md90
3.
chrome-extension://efaidnbmnnnibpcajpcglclefindmkaj/https://rgl.faa.gov/Regulatory_and_Guidance_Library/rgMakeModel.nsf/0/fa74c08d4bd2d02386258281006d02a1/$FILE/E40NE_Rev_13.pdf
4.
5. 
</t>
        </r>
      </text>
    </comment>
    <comment ref="E2" authorId="0" shapeId="0" xr:uid="{166F2E06-4EA4-4E00-AE18-CA0B5D44089C}">
      <text>
        <r>
          <rPr>
            <sz val="11"/>
            <color theme="1"/>
            <rFont val="Calibri"/>
            <family val="2"/>
            <scheme val="minor"/>
          </rPr>
          <t xml:space="preserve">Tsai, Michael:
1.  Use fuel capacity 17766 kg MTOW 63504 kg Weight Variant 
chrome-extension://efaidnbmnnnibpcajpcglclefindmkaj/https://www.boeing.com/resources/boeingdotcom/commercial/airports/acaps/md80.pdf
2.
https://skybrary.aero/aircraft/md81
3.
chrome-extension://efaidnbmnnnibpcajpcglclefindmkaj/https://rgl.faa.gov/Regulatory_and_Guidance_Library/rgMakeModel.nsf/0/e902a54c589cfaca862586b800631b4f/$FILE/E9NE%20Rev%2012.pdf
4.
5. 
</t>
        </r>
      </text>
    </comment>
    <comment ref="F2" authorId="0" shapeId="0" xr:uid="{BFEA02DA-3C26-4DC0-B133-4A4C0D4101DE}">
      <text>
        <r>
          <rPr>
            <sz val="11"/>
            <color theme="1"/>
            <rFont val="Calibri"/>
            <family val="2"/>
            <scheme val="minor"/>
          </rPr>
          <t xml:space="preserve">Tsai, Michael:
1.  Use fuel capacity 17766 kg MTOW 67812 kg Weight Variant 
chrome-extension://efaidnbmnnnibpcajpcglclefindmkaj/https://www.boeing.com/resources/boeingdotcom/commercial/airports/acaps/md80.pdf
2.
https://skybrary.aero/aircraft/md82
3.
chrome-extension://efaidnbmnnnibpcajpcglclefindmkaj/https://rgl.faa.gov/Regulatory_and_Guidance_Library/rgMakeModel.nsf/0/e902a54c589cfaca862586b800631b4f/$FILE/E9NE%20Rev%2012.pdf
4.
5. 
</t>
        </r>
      </text>
    </comment>
    <comment ref="G2" authorId="0" shapeId="0" xr:uid="{A555994E-7C48-4685-942C-03FF54AE3BFD}">
      <text>
        <r>
          <rPr>
            <sz val="11"/>
            <color theme="1"/>
            <rFont val="Calibri"/>
            <family val="2"/>
            <scheme val="minor"/>
          </rPr>
          <t xml:space="preserve">Tsai, Michael:
1.  Use fuel capacity 17766 kg MTOW 67812 kg Weight Variant 
chrome-extension://efaidnbmnnnibpcajpcglclefindmkaj/https://www.boeing.com/resources/boeingdotcom/commercial/airports/acaps/md80.pdf
2.
https://skybrary.aero/aircraft/md82
3.
chrome-extension://efaidnbmnnnibpcajpcglclefindmkaj/https://rgl.faa.gov/Regulatory_and_Guidance_Library/rgMakeModel.nsf/0/e902a54c589cfaca862586b800631b4f/$FILE/E9NE%20Rev%2012.pdf
4.
5. 
</t>
        </r>
      </text>
    </comment>
    <comment ref="H2" authorId="0" shapeId="0" xr:uid="{4140CBDC-DA76-4B89-B002-C8D252F3E6E3}">
      <text>
        <r>
          <rPr>
            <sz val="11"/>
            <color theme="1"/>
            <rFont val="Calibri"/>
            <family val="2"/>
            <scheme val="minor"/>
          </rPr>
          <t xml:space="preserve">Tsai, Michael:
1.  Use fuel capacity 21216 kg MTOW 72575 kg Weight Variant 
chrome-extension://efaidnbmnnnibpcajpcglclefindmkaj/https://www.boeing.com/resources/boeingdotcom/commercial/airports/acaps/md80.pdf
2.
https://skybrary.aero/aircraft/md83
3.
chrome-extension://efaidnbmnnnibpcajpcglclefindmkaj/https://rgl.faa.gov/Regulatory_and_Guidance_Library/rgMakeModel.nsf/0/e902a54c589cfaca862586b800631b4f/$FILE/E9NE%20Rev%2012.pdf
4.
chrome-extension://efaidnbmnnnibpcajpcglclefindmkaj/https://usermanual.wiki/buckets/114020/2058891157/md80_aom_v2_rev_16_03___full_manual_2b858d41-259e-4d2a-89a2-df9cfc7ddc4e.pdf
5. 
</t>
        </r>
      </text>
    </comment>
    <comment ref="I2" authorId="0" shapeId="0" xr:uid="{C8FBEA78-7010-4FA9-8366-ECDA280A7AB2}">
      <text>
        <r>
          <rPr>
            <sz val="11"/>
            <color theme="1"/>
            <rFont val="Calibri"/>
            <family val="2"/>
            <scheme val="minor"/>
          </rPr>
          <t xml:space="preserve">Tsai, Michael:
1.  Use fuel capacity 17764 kg MTOW 63503 kg Weight Variant 
chrome-extension://efaidnbmnnnibpcajpcglclefindmkaj/https://www.boeing.com/resources/boeingdotcom/commercial/airports/acaps/md80.pdf
2.
https://skybrary.aero/aircraft/md87
3.
chrome-extension://efaidnbmnnnibpcajpcglclefindmkaj/https://rgl.faa.gov/Regulatory_and_Guidance_Library/rgMakeModel.nsf/0/e902a54c589cfaca862586b800631b4f/$FILE/E9NE%20Rev%2012.pdf
4.
5. 
</t>
        </r>
      </text>
    </comment>
    <comment ref="J2" authorId="0" shapeId="0" xr:uid="{BCAC712B-FE7A-4B57-9346-607DE84F5BC3}">
      <text>
        <r>
          <rPr>
            <sz val="11"/>
            <color theme="1"/>
            <rFont val="Calibri"/>
            <family val="2"/>
            <scheme val="minor"/>
          </rPr>
          <t xml:space="preserve">Tsai, Michael:
1.  Use fuel capacity 21213 kg MTOW 67812 kg Weight Variant 
chrome-extension://efaidnbmnnnibpcajpcglclefindmkaj/https://www.boeing.com/resources/boeingdotcom/commercial/airports/acaps/md80.pdf
2.
https://skybrary.aero/aircraft/md87
3.
chrome-extension://efaidnbmnnnibpcajpcglclefindmkaj/https://rgl.faa.gov/Regulatory_and_Guidance_Library/rgMakeModel.nsf/0/e902a54c589cfaca862586b800631b4f/$FILE/E9NE%20Rev%2012.pdf
4.
5. 
</t>
        </r>
      </text>
    </comment>
    <comment ref="K2" authorId="0" shapeId="0" xr:uid="{8902DF7D-13C5-47B0-B5DE-3D482EC44029}">
      <text>
        <r>
          <rPr>
            <sz val="11"/>
            <color theme="1"/>
            <rFont val="Calibri"/>
            <family val="2"/>
            <scheme val="minor"/>
          </rPr>
          <t xml:space="preserve">Tsai, Michael:
1.  Use fuel capacity 11223 kg MTOW 41141 kg Weight Variant 
chrome-extension://efaidnbmnnnibpcajpcglclefindmkaj/https://www.boeing.com/resources/boeingdotcom/commercial/airports/acaps/dc9.pdf
2.
https://modernairliners.com/douglas-dc-9/
3.
https://skybrary.aero/aircraft/dc91
4.
chrome-extension://efaidnbmnnnibpcajpcglclefindmkaj/https://rgl.faa.gov/Regulatory_and_Guidance_Library/rgMakeModel.nsf/0/d63b4dd4434fdace862586b80050164d/$FILE/E2EA.pdf
5. 
https://customer.janes.com/Janes/Display/JAU_1428-JAU_
6.
https://customer.janes.com/Janes/Display/JAE_0746-JAE_
</t>
        </r>
      </text>
    </comment>
    <comment ref="L2" authorId="0" shapeId="0" xr:uid="{1FDF23A8-8431-47AA-AA3E-706BFED81C23}">
      <text>
        <r>
          <rPr>
            <sz val="11"/>
            <color theme="1"/>
            <rFont val="Calibri"/>
            <family val="2"/>
            <scheme val="minor"/>
          </rPr>
          <t xml:space="preserve">Tsai, Michael:
1.  Use fuel capacity 11181 kg MTOW 45359 kg Weight Variant 
chrome-extension://efaidnbmnnnibpcajpcglclefindmkaj/https://www.boeing.com/resources/boeingdotcom/commercial/airports/acaps/dc9.pdf
2.
https://modernairliners.com/douglas-dc-9/
3.
https://skybrary.aero/aircraft/dc92
4.
chrome-extension://efaidnbmnnnibpcajpcglclefindmkaj/https://rgl.faa.gov/Regulatory_and_Guidance_Library/rgMakeModel.nsf/0/d63b4dd4434fdace862586b80050164d/$FILE/E2EA.pdf
5. 
</t>
        </r>
      </text>
    </comment>
    <comment ref="M2" authorId="0" shapeId="0" xr:uid="{1F42A8CA-6E20-4341-BD04-C06518E0F0A9}">
      <text>
        <r>
          <rPr>
            <sz val="11"/>
            <color theme="1"/>
            <rFont val="Calibri"/>
            <family val="2"/>
            <scheme val="minor"/>
          </rPr>
          <t xml:space="preserve">Tsai, Michael:
1.  Use fuel capacity 11181 kg MTOW 48988 kg Weight Variant 
chrome-extension://efaidnbmnnnibpcajpcglclefindmkaj/https://www.boeing.com/resources/boeingdotcom/commercial/airports/acaps/dc9.pdf
2.
https://modernairliners.com/douglas-dc-9/
3.
https://skybrary.aero/aircraft/dc93
4.
chrome-extension://efaidnbmnnnibpcajpcglclefindmkaj/https://rgl.faa.gov/Regulatory_and_Guidance_Library/rgMakeModel.nsf/0/d63b4dd4434fdace862586b80050164d/$FILE/E2EA.pdf
5. 
</t>
        </r>
      </text>
    </comment>
    <comment ref="N2" authorId="0" shapeId="0" xr:uid="{CDEEDF8F-B092-444D-8807-A0D1A36B61CD}">
      <text>
        <r>
          <rPr>
            <sz val="11"/>
            <color theme="1"/>
            <rFont val="Calibri"/>
            <family val="2"/>
            <scheme val="minor"/>
          </rPr>
          <t xml:space="preserve">Tsai, Michael:
1.  Use fuel capacity 11181 kg MTOW 51710 kg Weight Variant 
chrome-extension://efaidnbmnnnibpcajpcglclefindmkaj/https://www.boeing.com/resources/boeingdotcom/commercial/airports/acaps/dc9.pdf
2.
https://modernairliners.com/douglas-dc-9/
3.
https://skybrary.aero/aircraft/dc94
4.
chrome-extension://efaidnbmnnnibpcajpcglclefindmkaj/https://rgl.faa.gov/Regulatory_and_Guidance_Library/rgMakeModel.nsf/0/d63b4dd4434fdace862586b80050164d/$FILE/E2EA.pdf
5. 
</t>
        </r>
      </text>
    </comment>
    <comment ref="O2" authorId="0" shapeId="0" xr:uid="{E86595CD-8C72-49EA-A12B-63C9ACC20184}">
      <text>
        <r>
          <rPr>
            <sz val="11"/>
            <color theme="1"/>
            <rFont val="Calibri"/>
            <family val="2"/>
            <scheme val="minor"/>
          </rPr>
          <t xml:space="preserve">Tsai, Michael:
1.  Use fuel capacity 11181 kg MTOW 54885 kg Weight Variant 
chrome-extension://efaidnbmnnnibpcajpcglclefindmkaj/https://www.boeing.com/resources/boeingdotcom/commercial/airports/acaps/dc9.pdf
2.
https://modernairliners.com/douglas-dc-9/
3.
https://skybrary.aero/aircraft/dc95
4.
chrome-extension://efaidnbmnnnibpcajpcglclefindmkaj/https://rgl.faa.gov/Regulatory_and_Guidance_Library/rgMakeModel.nsf/0/d63b4dd4434fdace862586b80050164d/$FILE/E2EA.pdf
5. 
</t>
        </r>
      </text>
    </comment>
    <comment ref="P2" authorId="0" shapeId="0" xr:uid="{F3D5D7B9-BD4C-410B-B869-959D88EB8065}">
      <text>
        <r>
          <rPr>
            <sz val="11"/>
            <color theme="1"/>
            <rFont val="Calibri"/>
            <family val="2"/>
            <scheme val="minor"/>
          </rPr>
          <t xml:space="preserve">Tsai, Michael:
1.  Use fuel capacity 53,183.94 kg MTOW 123800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chrome-extension://efaidnbmnnnibpcajpcglclefindmkaj/https://rgl.faa.gov/Regulatory_and_Guidance_Library/rgMakeModel.nsf/0/14218f17e8459a128525670d0061ae8d/$FILE/E-290.pdf
5. 
https://customer.janes.com/Janes/Display/JAU_1426-JAU_
6. 
</t>
        </r>
      </text>
    </comment>
    <comment ref="Q2" authorId="0" shapeId="0" xr:uid="{B268E105-A37D-4CA5-B647-A4BB8B95D714}">
      <text>
        <r>
          <rPr>
            <sz val="11"/>
            <color theme="1"/>
            <rFont val="Calibri"/>
            <family val="2"/>
            <scheme val="minor"/>
          </rPr>
          <t>Tsai, Michael:
1.  Use fuel capacity 53,183.94 kg MTOW 125200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chrome-extension://efaidnbmnnnibpcajpcglclefindmkaj/https://rgl.faa.gov/Regulatory_and_Guidance_Library/rgMakeModel.nsf/0/14218f17e8459a128525670d0061ae8d/$FILE/E-290.pdf
5. 
https://customer.janes.com/Janes/Display/jae_0323-jae_
6.
https://customer.janes.com/Janes/Display/JAU_1426-JAU_</t>
        </r>
      </text>
    </comment>
    <comment ref="R2" authorId="0" shapeId="0" xr:uid="{776C8BB6-ED2F-42EA-8B48-5622E0824DC1}">
      <text>
        <r>
          <rPr>
            <sz val="11"/>
            <color theme="1"/>
            <rFont val="Calibri"/>
            <family val="2"/>
            <scheme val="minor"/>
          </rPr>
          <t xml:space="preserve">Tsai, Michael:
1.  Use fuel capacity 53,183.94 kg MTOW 142884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chrome-extension://efaidnbmnnnibpcajpcglclefindmkaj/https://rgl.faa.gov/Regulatory_and_Guidance_Library/rgMakeModel.nsf/0/14218f17e8459a128525670d0061ae8d/$FILE/E-290.pdf
5. 
</t>
        </r>
      </text>
    </comment>
    <comment ref="S2" authorId="0" shapeId="0" xr:uid="{930A22B3-36C8-4C9F-B612-55D7C841A22B}">
      <text>
        <r>
          <rPr>
            <sz val="11"/>
            <color theme="1"/>
            <rFont val="Calibri"/>
            <family val="2"/>
            <scheme val="minor"/>
          </rPr>
          <t xml:space="preserve">Tsai, Michael:
1.  Use fuel capacity 71093 kg MTOW 142884 kg Weight Variant 
chrome-extension://efaidnbmnnnibpcajpcglclefindmkaj/https://www.boeing.com/resources/boeingdotcom/commercial/airports/acaps/dc8.pdf
2.
https://modernairliners.com/douglas-dc8/
3.
https://manualzz.com/doc/6893004/-707-captain--flight-manual-part-iii-%E2%80%93-operations
4.
https://www.thisdayinaviation.com/tag/rolls-royce-conway-508/
5. 
https://www.enginehistory.org/members/Conway.php
</t>
        </r>
      </text>
    </comment>
    <comment ref="T2" authorId="0" shapeId="0" xr:uid="{E0D59A76-BAF9-405F-9EAD-339208D54925}">
      <text>
        <r>
          <rPr>
            <sz val="11"/>
            <color theme="1"/>
            <rFont val="Calibri"/>
            <family val="2"/>
            <scheme val="minor"/>
          </rPr>
          <t xml:space="preserve">Tsai, Michael:
1.  Use fuel capacity 71,093 kg MTOW 147420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chrome-extension://efaidnbmnnnibpcajpcglclefindmkaj/https://rgl.faa.gov/Regulatory_and_Guidance_Library/rgMakeModel.nsf/0/4f009e533a182a5e8525670d0062cfc6/$FILE/1e8.pdf
5. 
https://skybrary.aero/aircraft/dc85
6. 
https://customer.janes.com/Janes/Display/JAE_0745-JAE_
</t>
        </r>
      </text>
    </comment>
    <comment ref="U2" authorId="0" shapeId="0" xr:uid="{AF69E3F5-22A1-4CBB-A246-B4E82310F7EA}">
      <text>
        <r>
          <rPr>
            <sz val="11"/>
            <color theme="1"/>
            <rFont val="Calibri"/>
            <family val="2"/>
            <scheme val="minor"/>
          </rPr>
          <t xml:space="preserve">Tsai, Michael:
1.  Use fuel capacity 71,093 kg MTOW 147420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chrome-extension://efaidnbmnnnibpcajpcglclefindmkaj/https://rgl.faa.gov/Regulatory_and_Guidance_Library/rgMakeModel.nsf/0/4f009e533a182a5e8525670d0062cfc6/$FILE/1e8.pdf
5. 
https://skybrary.aero/aircraft/dc86
</t>
        </r>
      </text>
    </comment>
    <comment ref="V2" authorId="0" shapeId="0" xr:uid="{2EE36BF4-9B12-42A5-9CA5-7D03809230AD}">
      <text>
        <r>
          <rPr>
            <sz val="11"/>
            <color theme="1"/>
            <rFont val="Calibri"/>
            <family val="2"/>
            <scheme val="minor"/>
          </rPr>
          <t xml:space="preserve">Tsai, Michael:
1.  Use fuel capacity 73,774 kg MTOW 158760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chrome-extension://efaidnbmnnnibpcajpcglclefindmkaj/https://rgl.faa.gov/Regulatory_and_Guidance_Library/rgMakeModel.nsf/0/4f009e533a182a5e8525670d0062cfc6/$FILE/1e8.pdf
5. 
https://skybrary.aero/aircraft/dc86
</t>
        </r>
      </text>
    </comment>
    <comment ref="W2" authorId="0" shapeId="0" xr:uid="{A0CFD6C9-8A68-46F6-A9D0-3B7CC5FFECFD}">
      <text>
        <r>
          <rPr>
            <sz val="11"/>
            <color theme="1"/>
            <rFont val="Calibri"/>
            <family val="2"/>
            <scheme val="minor"/>
          </rPr>
          <t xml:space="preserve">Tsai, Michael:
1.  Use fuel capacity kg MTOW 161028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chrome-extension://efaidnbmnnnibpcajpcglclefindmkaj/https://rgl.faa.gov/Regulatory_and_Guidance_Library/rgMakeModel.nsf/0/4f009e533a182a5e8525670d0062cfc6/$FILE/1e8.pdf
5. 
https://skybrary.aero/aircraft/dc86
</t>
        </r>
      </text>
    </comment>
    <comment ref="X2" authorId="0" shapeId="0" xr:uid="{16DA01C1-54EB-4F1C-B0DF-3327ADEAA4A8}">
      <text>
        <r>
          <rPr>
            <sz val="11"/>
            <color theme="1"/>
            <rFont val="Calibri"/>
            <family val="2"/>
            <scheme val="minor"/>
          </rPr>
          <t xml:space="preserve">Tsai, Michael:
1.  Use fuel capacity kg MTOW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chrome-extension://efaidnbmnnnibpcajpcglclefindmkaj/https://rgl.faa.gov/Regulatory_and_Guidance_Library/rgMakeModel.nsf/0/962114acaa05711c862587f300570fc1/$FILE/E21EU%20Revision%2013.pdf
5. 
https://skybrary.aero/aircraft/dc86
</t>
        </r>
      </text>
    </comment>
    <comment ref="Y2" authorId="0" shapeId="0" xr:uid="{8067FBBF-D7F4-4EA3-83B2-1A13976D01E1}">
      <text>
        <r>
          <rPr>
            <sz val="11"/>
            <color theme="1"/>
            <rFont val="Calibri"/>
            <family val="2"/>
            <scheme val="minor"/>
          </rPr>
          <t xml:space="preserve">Tsai, Michael:
1.  Use fuel capacity kg MTOW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chrome-extension://efaidnbmnnnibpcajpcglclefindmkaj/https://rgl.faa.gov/Regulatory_and_Guidance_Library/rgMakeModel.nsf/0/962114acaa05711c862587f300570fc1/$FILE/E21EU%20Revision%2013.pdf
5. 
https://skybrary.aero/aircraft/dc86
</t>
        </r>
      </text>
    </comment>
    <comment ref="Z2" authorId="0" shapeId="0" xr:uid="{255A574E-57E5-4805-A811-529C273DB763}">
      <text>
        <r>
          <rPr>
            <sz val="11"/>
            <color theme="1"/>
            <rFont val="Calibri"/>
            <family val="2"/>
            <scheme val="minor"/>
          </rPr>
          <t xml:space="preserve">Tsai, Michael:
1.  Use fuel capacity kg MTOW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chrome-extension://efaidnbmnnnibpcajpcglclefindmkaj/https://rgl.faa.gov/Regulatory_and_Guidance_Library/rgMakeModel.nsf/0/962114acaa05711c862587f300570fc1/$FILE/E21EU%20Revision%2013.pdf
5. 
https://skybrary.aero/aircraft/dc86
</t>
        </r>
      </text>
    </comment>
    <comment ref="AA2" authorId="0" shapeId="0" xr:uid="{01860CA1-9C8C-40E0-B70F-9501DA42B642}">
      <text>
        <r>
          <rPr>
            <sz val="11"/>
            <color theme="1"/>
            <rFont val="Calibri"/>
            <family val="2"/>
            <scheme val="minor"/>
          </rPr>
          <t xml:space="preserve">Tsai, Michael:
1.  Use fuel capacity 52,658.08 kg MTOW 117000 kg Weight Variant 
chrome-extension://efaidnbmnnnibpcajpcglclefindmkaj/https://www.boeing.com/resources/boeingdotcom/commercial/airports/acaps/707.pdf
2.
https://skybrary.aero/aircraft/b701
3.
https://modernairliners.com/boeing-707/
4.
chrome-extension://efaidnbmnnnibpcajpcglclefindmkaj/https://rgl.faa.gov/Regulatory_and_Guidance_Library/rgMakeModel.nsf/0/14218f17e8459a128525670d0061ae8d/$FILE/E-290.pdf
5. 
https://manualzz.com/doc/6893004/-707-captain--flight-manual-part-iii-%E2%80%93-operations
6.
https://customer.janes.com/Janes/Display/jau_1413-jau_
7. 
</t>
        </r>
      </text>
    </comment>
    <comment ref="AB2" authorId="0" shapeId="0" xr:uid="{FCA74224-D9BE-4EDE-A94F-CCB1201395F9}">
      <text>
        <r>
          <rPr>
            <sz val="11"/>
            <color theme="1"/>
            <rFont val="Calibri"/>
            <family val="2"/>
            <scheme val="minor"/>
          </rPr>
          <t xml:space="preserve">Tsai, Michael:
1.  Use fuel capacity 52,658.08 kg MTOW 117000 kg Weight Variant 
chrome-extension://efaidnbmnnnibpcajpcglclefindmkaj/https://www.boeing.com/resources/boeingdotcom/commercial/airports/acaps/707.pdf
2.
https://skybrary.aero/aircraft/b701
3.
https://modernairliners.com/boeing-707/
4.
chrome-extension://efaidnbmnnnibpcajpcglclefindmkaj/https://rgl.faa.gov/Regulatory_and_Guidance_Library/rgMakeModel.nsf/0/4f009e533a182a5e8525670d0062cfc6/$FILE/1e8.pdf
5. 
https://manualzz.com/doc/6893004/-707-captain--flight-manual-part-iii-%E2%80%93-operations
6.
http://www.all-aero.com/index.php/contactus/64-engines-power/13428-pratt-whitney-jt3d-tf33
</t>
        </r>
      </text>
    </comment>
    <comment ref="AC2" authorId="0" shapeId="0" xr:uid="{A0CDCFC8-33A0-4CAC-ADC0-686B59B251B0}">
      <text>
        <r>
          <rPr>
            <sz val="11"/>
            <color theme="1"/>
            <rFont val="Calibri"/>
            <family val="2"/>
            <scheme val="minor"/>
          </rPr>
          <t xml:space="preserve">Tsai, Michael:
1.  Use fuel capacity 52,658.08 kg MTOW 117000 kg Weight Variant 
chrome-extension://efaidnbmnnnibpcajpcglclefindmkaj/https://www.boeing.com/resources/boeingdotcom/commercial/airports/acaps/707.pdf
2.
https://skybrary.aero/aircraft/b701
3.
https://modernairliners.com/boeing-707/
4.
chrome-extension://efaidnbmnnnibpcajpcglclefindmkaj/https://rgl.faa.gov/Regulatory_and_Guidance_Library/rgMakeModel.nsf/0/4f009e533a182a5e8525670d0062cfc6/$FILE/1e8.pdf
5. 
https://manualzz.com/doc/6893004/-707-captain--flight-manual-part-iii-%E2%80%93-operations
6. 
https://customer.janes.com/Janes/DisplayFile/JAU_1412
</t>
        </r>
      </text>
    </comment>
    <comment ref="AD2" authorId="0" shapeId="0" xr:uid="{273FBB10-C506-47F9-A775-C95C239808B2}">
      <text>
        <r>
          <rPr>
            <sz val="11"/>
            <color theme="1"/>
            <rFont val="Calibri"/>
            <family val="2"/>
            <scheme val="minor"/>
          </rPr>
          <t xml:space="preserve">Tsai, Michael:
1.  Use fuel capacity 72384 kg MTOW 141700 kg Weight Variant 
chrome-extension://efaidnbmnnnibpcajpcglclefindmkaj/https://www.boeing.com/resources/boeingdotcom/commercial/airports/acaps/707.pdf
2.
https://skybrary.aero/aircraft/b703
3.
https://modernairliners.com/boeing-707/
4.
chrome-extension://efaidnbmnnnibpcajpcglclefindmkaj/https://rgl.faa.gov/Regulatory_and_Guidance_Library/rgMakeModel.nsf/0/9b73f02385ceaed28525670d0061c80e/$FILE/E-291.pdf
5. 
https://manualzz.com/doc/6893004/-707-captain--flight-manual-part-iii-%E2%80%93-operations
</t>
        </r>
      </text>
    </comment>
    <comment ref="AE2" authorId="0" shapeId="0" xr:uid="{5043D6F2-2F84-4E18-86A4-5E2A6771054B}">
      <text>
        <r>
          <rPr>
            <sz val="11"/>
            <color theme="1"/>
            <rFont val="Calibri"/>
            <family val="2"/>
            <scheme val="minor"/>
          </rPr>
          <t xml:space="preserve">Tsai, Michael:
1.  Use fuel capacity 72384 kg MTOW 141700 kg Weight Variant 
chrome-extension://efaidnbmnnnibpcajpcglclefindmkaj/https://www.boeing.com/resources/boeingdotcom/commercial/airports/acaps/707.pdf
2.
https://skybrary.aero/aircraft/b703
3.
https://modernairliners.com/boeing-707/
4.
https://www.thisdayinaviation.com/tag/rolls-royce-conway-508/
5. 
https://manualzz.com/doc/6893004/-707-captain--flight-manual-part-iii-%E2%80%93-operations
</t>
        </r>
      </text>
    </comment>
    <comment ref="AF2" authorId="0" shapeId="0" xr:uid="{E68A20C8-9C78-403F-BD85-DE630A26A78A}">
      <text>
        <r>
          <rPr>
            <sz val="11"/>
            <color theme="1"/>
            <rFont val="Calibri"/>
            <family val="2"/>
            <scheme val="minor"/>
          </rPr>
          <t xml:space="preserve">Tsai, Michael:
1.  Use fuel capacity  72,488.16 kg MTOW 148500 kg Weight Variant 
chrome-extension://efaidnbmnnnibpcajpcglclefindmkaj/https://www.boeing.com/resources/boeingdotcom/commercial/airports/acaps/707.pdf
2.
https://skybrary.aero/aircraft/b703
3.
https://modernairliners.com/boeing-707/
4.
chrome-extension://efaidnbmnnnibpcajpcglclefindmkaj/https://rgl.faa.gov/Regulatory_and_Guidance_Library/rgMakeModel.nsf/0/4f009e533a182a5e8525670d0062cfc6/$FILE/1e8.pdf
5. 
https://manualzz.com/doc/6893004/-707-captain--flight-manual-part-iii-%E2%80%93-operations
</t>
        </r>
      </text>
    </comment>
    <comment ref="AG2" authorId="0" shapeId="0" xr:uid="{3AF08EF7-4840-45D9-83D4-1FBEBA07B6A4}">
      <text>
        <r>
          <rPr>
            <sz val="11"/>
            <color theme="1"/>
            <rFont val="Calibri"/>
            <family val="2"/>
            <scheme val="minor"/>
          </rPr>
          <t xml:space="preserve">Tsai, Michael:
1.  Use fuel capacity kg MTOW kg Weight Variant 
chrome-extension://efaidnbmnnnibpcajpcglclefindmkaj/https://www.boeing.com/resources/boeingdotcom/commercial/airports/acaps/707.pdf
2.
https://skybrary.aero/aircraft/b703
3.
https://modernairliners.com/boeing-707/
4.
chrome-extension://efaidnbmnnnibpcajpcglclefindmkaj/https://rgl.faa.gov/Regulatory_and_Guidance_Library/rgMakeModel.nsf/0/4f009e533a182a5e8525670d0062cfc6/$FILE/1e8.pdf
5. 
https://manualzz.com/doc/6893004/-707-captain--flight-manual-part-iii-%E2%80%93-operations
6.
https://aircraft-database.com/database/engine-models/jt3d-7
7.
chrome-extension://efaidnbmnnnibpcajpcglclefindmkaj/https://link.springer.com/content/pdf/bbm:978-1-4614-3532-7/1.pdf
</t>
        </r>
      </text>
    </comment>
    <comment ref="AH2" authorId="0" shapeId="0" xr:uid="{5D776EAF-4BEA-4A78-9C41-419C90EF53B1}">
      <text>
        <r>
          <rPr>
            <sz val="11"/>
            <color theme="1"/>
            <rFont val="Calibri"/>
            <family val="2"/>
            <scheme val="minor"/>
          </rPr>
          <t xml:space="preserve">Tsai, Michael:
1.  Use fuel capacity 11163 kg MTOW 53524 kg Weight Variant 
chrome-extension://efaidnbmnnnibpcajpcglclefindmkaj/https://www.boeing.com/resources/boeingdotcom/commercial/airports/acaps/717.pdf
2.
https://skybrary.aero/aircraft/b712
3.
https://modernairliners.com/boeing-717-and-boeing-717-specs/
4.
chrome-extension://efaidnbmnnnibpcajpcglclefindmkaj/https://rgl.faa.gov/Regulatory_and_Guidance_Library/rgMakeModel.nsf/0/96de5f9c8d8dc161862572a60049bc9b/$FILE/E00061EN.pdf
5. 
</t>
        </r>
      </text>
    </comment>
    <comment ref="AI2" authorId="0" shapeId="0" xr:uid="{955AAF8D-3C3F-44E7-98B5-88EBC5939233}">
      <text>
        <r>
          <rPr>
            <sz val="11"/>
            <color theme="1"/>
            <rFont val="Calibri"/>
            <family val="2"/>
            <scheme val="minor"/>
          </rPr>
          <t xml:space="preserve">Tsai, Michael:
1.  Use fuel capacity 13382 kg MTOW 54884 kg Weight Variant 
chrome-extension://efaidnbmnnnibpcajpcglclefindmkaj/https://www.boeing.com/resources/boeingdotcom/commercial/airports/acaps/717.pdf
2.
https://skybrary.aero/aircraft/b712
3.
https://modernairliners.com/boeing-717-and-boeing-717-specs/
4.
chrome-extension://efaidnbmnnnibpcajpcglclefindmkaj/https://rgl.faa.gov/Regulatory_and_Guidance_Library/rgMakeModel.nsf/0/96de5f9c8d8dc161862572a60049bc9b/$FILE/E00061EN.pdf
5. 
</t>
        </r>
      </text>
    </comment>
    <comment ref="AJ2" authorId="0" shapeId="0" xr:uid="{B302B455-905E-41D6-B45F-2DAA8C999DCD}">
      <text>
        <r>
          <rPr>
            <sz val="11"/>
            <color theme="1"/>
            <rFont val="Calibri"/>
            <family val="2"/>
            <scheme val="minor"/>
          </rPr>
          <t xml:space="preserve">Tsai, Michael:
1.  Use fuel capacity 23360 kg MTOW 72600 kg Weight Variant 
chrome-extension://efaidnbmnnnibpcajpcglclefindmkaj/https://www.boeing.com/resources/boeingdotcom/commercial/airports/acaps/727.pdf
2.
https://skybrary.aero/aircraft/b721
3.
https://modernairliners.com/boeing-727-and-boeing-727-specs/
4.
chrome-extension://efaidnbmnnnibpcajpcglclefindmkaj/https://rgl.faa.gov/Regulatory_and_Guidance_Library/rgMakeModel.nsf/0/d63b4dd4434fdace862586b80050164d/$FILE/E2EA.pdf
5. (Takeoff Reference)
https://www.boeing-727.com/Data/fly%20odds/thumb.html
</t>
        </r>
      </text>
    </comment>
    <comment ref="AK2" authorId="0" shapeId="0" xr:uid="{7C9A52AF-46A5-45F1-B237-173935A13CB3}">
      <text>
        <r>
          <rPr>
            <sz val="11"/>
            <color theme="1"/>
            <rFont val="Calibri"/>
            <family val="2"/>
            <scheme val="minor"/>
          </rPr>
          <t xml:space="preserve">Tsai, Michael:
1.  Use fuel capacity 23360 kg MTOW 76700 kg Weight Variant 
chrome-extension://efaidnbmnnnibpcajpcglclefindmkaj/https://www.boeing.com/resources/boeingdotcom/commercial/airports/acaps/727.pdf
2.
https://skybrary.aero/aircraft/b721
3.
https://modernairliners.com/boeing-727-and-boeing-727-specs/
4.
chrome-extension://efaidnbmnnnibpcajpcglclefindmkaj/https://rgl.faa.gov/Regulatory_and_Guidance_Library/rgMakeModel.nsf/0/d63b4dd4434fdace862586b80050164d/$FILE/E2EA.pdf
</t>
        </r>
      </text>
    </comment>
    <comment ref="AL2" authorId="0" shapeId="0" xr:uid="{AB7D00F0-5DBD-4F3C-83CD-279F7CD6C507}">
      <text>
        <r>
          <rPr>
            <sz val="11"/>
            <color theme="1"/>
            <rFont val="Calibri"/>
            <family val="2"/>
            <scheme val="minor"/>
          </rPr>
          <t xml:space="preserve">Tsai, Michael:
1.  Use fuel capacity 23360 kg MTOW 72600 kg Weight Variant 
chrome-extension://efaidnbmnnnibpcajpcglclefindmkaj/https://www.boeing.com/resources/boeingdotcom/commercial/airports/acaps/727.pdf
2.
https://skybrary.aero/aircraft/b721
3.
https://modernairliners.com/boeing-727-and-boeing-727-specs/
4.
chrome-extension://efaidnbmnnnibpcajpcglclefindmkaj/https://rgl.faa.gov/Regulatory_and_Guidance_Library/rgMakeModel.nsf/0/d63b4dd4434fdace862586b80050164d/$FILE/E2EA.pdf
</t>
        </r>
      </text>
    </comment>
    <comment ref="AM2" authorId="0" shapeId="0" xr:uid="{B4D5B60A-F025-4E50-A1C1-6BFF9E4E3866}">
      <text>
        <r>
          <rPr>
            <sz val="11"/>
            <color theme="1"/>
            <rFont val="Calibri"/>
            <family val="2"/>
            <scheme val="minor"/>
          </rPr>
          <t xml:space="preserve">Tsai, Michael:
1.  Use fuel capacity 23360 kg MTOW 76700 kg Weight Variant 
chrome-extension://efaidnbmnnnibpcajpcglclefindmkaj/https://www.boeing.com/resources/boeingdotcom/commercial/airports/acaps/727.pdf
2.
https://skybrary.aero/aircraft/b721
3.
https://modernairliners.com/boeing-727-and-boeing-727-specs/
4.
chrome-extension://efaidnbmnnnibpcajpcglclefindmkaj/https://rgl.faa.gov/Regulatory_and_Guidance_Library/rgMakeModel.nsf/0/d63b4dd4434fdace862586b80050164d/$FILE/E2EA.pdf
</t>
        </r>
      </text>
    </comment>
    <comment ref="AN2" authorId="0" shapeId="0" xr:uid="{7CE650F3-D2D2-4719-8998-8B39A71741EE}">
      <text>
        <r>
          <rPr>
            <sz val="11"/>
            <color theme="1"/>
            <rFont val="Calibri"/>
            <family val="2"/>
            <scheme val="minor"/>
          </rPr>
          <t xml:space="preserve">Tsai, Michael:
1.  Use fuel capacity 24600 kg MTOW 78100 kg Weight Variant 
chrome-extension://efaidnbmnnnibpcajpcglclefindmkaj/https://www.boeing.com/resources/boeingdotcom/commercial/airports/acaps/727.pdf
2.
https://skybrary.aero/aircraft/b722
3.
https://modernairliners.com/boeing-727-and-boeing-727-specs/
4.
chrome-extension://efaidnbmnnnibpcajpcglclefindmkaj/https://rgl.faa.gov/Regulatory_and_Guidance_Library/rgMakeModel.nsf/0/d63b4dd4434fdace862586b80050164d/$FILE/E2EA.pdf
</t>
        </r>
      </text>
    </comment>
    <comment ref="AO2" authorId="0" shapeId="0" xr:uid="{66223F4B-AC98-4A37-8887-7CCEA1591784}">
      <text>
        <r>
          <rPr>
            <sz val="11"/>
            <color theme="1"/>
            <rFont val="Calibri"/>
            <family val="2"/>
            <scheme val="minor"/>
          </rPr>
          <t xml:space="preserve">Tsai, Michael:
1.  Use fuel capacity 24600 kg MTOW 83900 kg Weight Variant 
chrome-extension://efaidnbmnnnibpcajpcglclefindmkaj/https://www.boeing.com/resources/boeingdotcom/commercial/airports/acaps/727.pdf
2.
https://skybrary.aero/aircraft/b722
3.
https://modernairliners.com/boeing-727-and-boeing-727-specs/
4.
chrome-extension://efaidnbmnnnibpcajpcglclefindmkaj/https://rgl.faa.gov/Regulatory_and_Guidance_Library/rgMakeModel.nsf/0/d63b4dd4434fdace862586b80050164d/$FILE/E2EA.pdf
</t>
        </r>
      </text>
    </comment>
    <comment ref="AP2" authorId="0" shapeId="0" xr:uid="{7D8B0BCF-5B93-4B51-8A29-13E13E57AEE9}">
      <text>
        <r>
          <rPr>
            <sz val="11"/>
            <color theme="1"/>
            <rFont val="Calibri"/>
            <family val="2"/>
            <scheme val="minor"/>
          </rPr>
          <t xml:space="preserve">Tsai, Michael:
1.  Use fuel capacity 27105 kg MTOW 86500 kg Weight Variant 
chrome-extension://efaidnbmnnnibpcajpcglclefindmkaj/https://www.boeing.com/resources/boeingdotcom/commercial/airports/acaps/727.pdf
2.
https://skybrary.aero/aircraft/b722
3.
https://modernairliners.com/boeing-727-and-boeing-727-specs/
4.
chrome-extension://efaidnbmnnnibpcajpcglclefindmkaj/https://rgl.faa.gov/Regulatory_and_Guidance_Library/rgMakeModel.nsf/0/d63b4dd4434fdace862586b80050164d/$FILE/E2EA.pdf
</t>
        </r>
      </text>
    </comment>
    <comment ref="AQ2" authorId="0" shapeId="0" xr:uid="{E9C77DAD-37A3-401A-BAAF-38779FFF78D9}">
      <text>
        <r>
          <rPr>
            <sz val="11"/>
            <color theme="1"/>
            <rFont val="Calibri"/>
            <family val="2"/>
            <scheme val="minor"/>
          </rPr>
          <t xml:space="preserve">Tsai, Michael:
1.  Use fuel capacity 32165 kg MTOW 95300 kg Weight Variant 
chrome-extension://efaidnbmnnnibpcajpcglclefindmkaj/https://www.boeing.com/resources/boeingdotcom/commercial/airports/acaps/727.pdf
2.
https://skybrary.aero/aircraft/b722
3.
https://modernairliners.com/boeing-727-and-boeing-727-specs/
4.
chrome-extension://efaidnbmnnnibpcajpcglclefindmkaj/https://rgl.faa.gov/Regulatory_and_Guidance_Library/rgMakeModel.nsf/0/d63b4dd4434fdace862586b80050164d/$FILE/E2EA.pdf
</t>
        </r>
      </text>
    </comment>
    <comment ref="AR2" authorId="0" shapeId="0" xr:uid="{F11CCE8E-44C6-4C5D-9D53-E4C237527279}">
      <text>
        <r>
          <rPr>
            <sz val="11"/>
            <color theme="1"/>
            <rFont val="Calibri"/>
            <family val="2"/>
            <scheme val="minor"/>
          </rPr>
          <t xml:space="preserve">Tsai, Michael:
1. Use middle Weight Variant (USABLE FUEL: 13399 L)
chrome-extension://efaidnbmnnnibpcajpcglclefindmkaj/https://www.boeing.com/resources/boeingdotcom/commercial/airports/acaps/737NG_REV%20C.pdf
2. 
https://skybrary.aero/aircraft/b731
3.
http://www.b737.org.uk/techspecsdetailed.htm
4. 
chrome-extension://efaidnbmnnnibpcajpcglclefindmkaj/https://rgl.faa.gov/Regulatory_and_Guidance_Library/rgMakeModel.nsf/0/a53bc308954e167e862579a500782155/$FILE/A16WE%20Rev%2050.pdf
</t>
        </r>
      </text>
    </comment>
    <comment ref="AS2" authorId="0" shapeId="0" xr:uid="{0A4D61E2-1638-4A4C-84AB-8F4C420E4798}">
      <text>
        <r>
          <rPr>
            <sz val="11"/>
            <color theme="1"/>
            <rFont val="Calibri"/>
            <family val="2"/>
            <scheme val="minor"/>
          </rPr>
          <t xml:space="preserve">Tsai, Michael:
1. Use middle-right Weight Variant (USABLE FUEL: 18090 L)
chrome-extension://efaidnbmnnnibpcajpcglclefindmkaj/https://www.boeing.com/resources/boeingdotcom/commercial/airports/acaps/737NG_REV%20C.pdf
2. 
https://skybrary.aero/aircraft/b732
3.
http://www.b737.org.uk/techspecsdetailed.htm
4. 
chrome-extension://efaidnbmnnnibpcajpcglclefindmkaj/https://rgl.faa.gov/Regulatory_and_Guidance_Library/rgMakeModel.nsf/0/a53bc308954e167e862579a500782155/$FILE/A16WE%20Rev%2050.pdf
5.
https://customer.janes.com/Janes/Display/JAWA1202-JAWA
</t>
        </r>
      </text>
    </comment>
    <comment ref="AT2" authorId="0" shapeId="0" xr:uid="{C0C8128C-3698-4BE0-BE19-3A1F642BACF7}">
      <text>
        <r>
          <rPr>
            <sz val="11"/>
            <color theme="1"/>
            <rFont val="Calibri"/>
            <family val="2"/>
            <scheme val="minor"/>
          </rPr>
          <t xml:space="preserve">Tsai, Michael:
1. Use middle-right Weight Variant (USABLE FUEL: 18090 L)
chrome-extension://efaidnbmnnnibpcajpcglclefindmkaj/https://www.boeing.com/resources/boeingdotcom/commercial/airports/acaps/737NG_REV%20C.pdf
2. 
https://skybrary.aero/aircraft/b732
3.
http://www.b737.org.uk/techspecsdetailed.htm
4. 
chrome-extension://efaidnbmnnnibpcajpcglclefindmkaj/https://rgl.faa.gov/Regulatory_and_Guidance_Library/rgMakeModel.nsf/0/a53bc308954e167e862579a500782155/$FILE/A16WE%20Rev%2050.pdf
</t>
        </r>
      </text>
    </comment>
    <comment ref="AU2" authorId="0" shapeId="0" xr:uid="{748285CE-9A6E-41E4-9843-2CE10B614950}">
      <text>
        <r>
          <rPr>
            <sz val="11"/>
            <color theme="1"/>
            <rFont val="Calibri"/>
            <family val="2"/>
            <scheme val="minor"/>
          </rPr>
          <t xml:space="preserve">1. Use 19530 L Variant (First from left weight variant) 
chrome-extension://efaidnbmnnnibpcajpcglclefindmkaj/https://www.boeing.com/resources/boeingdotcom/commercial/airports/acaps/737NG_REV%20C.pdf
2. 
https://skybrary.aero/aircraft/b731
</t>
        </r>
      </text>
    </comment>
    <comment ref="AV2" authorId="0" shapeId="0" xr:uid="{28A17CE2-CD84-FA4B-A132-309C61D43C4C}">
      <text>
        <r>
          <rPr>
            <sz val="11"/>
            <color theme="1"/>
            <rFont val="Calibri"/>
            <family val="2"/>
            <scheme val="minor"/>
          </rPr>
          <t xml:space="preserve">1. Use 19530 L Variant (second from left weight variant) 
chrome-extension://efaidnbmnnnibpcajpcglclefindmkaj/https://www.boeing.com/resources/boeingdotcom/commercial/airports/acaps/737NG_REV%20C.pdf
2. 
https://skybrary.aero/aircraft/b731
</t>
        </r>
      </text>
    </comment>
    <comment ref="AW2" authorId="0" shapeId="0" xr:uid="{2B5D5C9C-78DB-4B32-B683-733D71BC3505}">
      <text>
        <r>
          <rPr>
            <sz val="11"/>
            <color theme="1"/>
            <rFont val="Calibri"/>
            <family val="2"/>
            <scheme val="minor"/>
          </rPr>
          <t xml:space="preserve">1. Use 21000 L Variant 
chrome-extension://efaidnbmnnnibpcajpcglclefindmkaj/https://www.boeing.com/resources/boeingdotcom/commercial/airports/acaps/737NG_REV%20C.pdf
2. 
https://skybrary.aero/aircraft/b731
</t>
        </r>
      </text>
    </comment>
    <comment ref="AX2" authorId="0" shapeId="0" xr:uid="{E26949A0-5502-420A-87F9-D65A7BC49E54}">
      <text>
        <r>
          <rPr>
            <sz val="11"/>
            <color theme="1"/>
            <rFont val="Calibri"/>
            <family val="2"/>
            <scheme val="minor"/>
          </rPr>
          <t xml:space="preserve">1. Use Fuel Capacity 22600 L Variant 
chrome-extension://efaidnbmnnnibpcajpcglclefindmkaj/https://www.boeing.com/resources/boeingdotcom/commercial/airports/acaps/737NG_REV%20C.pdf
2. 
https://skybrary.aero/aircraft/b731
</t>
        </r>
      </text>
    </comment>
    <comment ref="AY2" authorId="0" shapeId="0" xr:uid="{8E881F03-A38D-4F4C-BC16-01B644DCCB6E}">
      <text>
        <r>
          <rPr>
            <sz val="11"/>
            <color theme="1"/>
            <rFont val="Calibri"/>
            <family val="2"/>
            <scheme val="minor"/>
          </rPr>
          <t xml:space="preserve">Tsai, Michael:
1. Use Fuel Capacity 19530 L most right weight variant  
chrome-extension://efaidnbmnnnibpcajpcglclefindmkaj/https://www.boeing.com/resources/boeingdotcom/commercial/airports/acaps/737NG_REV%20C.pdf
2. 
</t>
        </r>
      </text>
    </comment>
    <comment ref="AZ2" authorId="0" shapeId="0" xr:uid="{8D0712D6-23BC-4D9A-AA98-FB47C8D65041}">
      <text>
        <r>
          <rPr>
            <sz val="11"/>
            <color theme="1"/>
            <rFont val="Calibri"/>
            <family val="2"/>
            <scheme val="minor"/>
          </rPr>
          <t xml:space="preserve">Tsai, Michael:
1. Use Fuel Capacity 19530 L most right weight variant  
chrome-extension://efaidnbmnnnibpcajpcglclefindmkaj/https://www.boeing.com/resources/boeingdotcom/commercial/airports/acaps/737NG_REV%20C.pdf
2. 
</t>
        </r>
      </text>
    </comment>
    <comment ref="BA2" authorId="0" shapeId="0" xr:uid="{D044E7DA-DB1B-4253-A34B-ECE2D4632857}">
      <text>
        <r>
          <rPr>
            <sz val="11"/>
            <color theme="1"/>
            <rFont val="Calibri"/>
            <family val="2"/>
            <scheme val="minor"/>
          </rPr>
          <t xml:space="preserve">Tsai, Michael:
1. Use Fuel Cap 20102 L weight variant  
chrome-extension://efaidnbmnnnibpcajpcglclefindmkaj/https://www.boeing.com/resources/boeingdotcom/commercial/airports/acaps/737NG_REV%20C.pdf
2. 
https://skybrary.aero/aircraft/b733
3. http://www.b737.org.uk/techspecsdetailed.htm
4. 
chrome-extension://efaidnbmnnnibpcajpcglclefindmkaj/https://www.easa.europa.eu/downloads/7691/en
5. 
chrome-extension://efaidnbmnnnibpcajpcglclefindmkaj/https://rgl.faa.gov/Regulatory_and_Guidance_Library/rgMakeModel.nsf/0/a53bc308954e167e862579a500782155/$FILE/A16WE%20Rev%2050.pdf
6.
https://customer.janes.com/Janes/Display/JAE_0631-JAE_
</t>
        </r>
      </text>
    </comment>
    <comment ref="BB2" authorId="0" shapeId="0" xr:uid="{A584FD08-540C-44F6-8FCF-705F8B3D6916}">
      <text>
        <r>
          <rPr>
            <sz val="11"/>
            <color theme="1"/>
            <rFont val="Calibri"/>
            <family val="2"/>
            <scheme val="minor"/>
          </rPr>
          <t xml:space="preserve">Tsai, Michael:
1. Use Fuel Cap 21960 L weight variant  
chrome-extension://efaidnbmnnnibpcajpcglclefindmkaj/https://www.boeing.com/resources/boeingdotcom/commercial/airports/acaps/737NG_REV%20C.pdf
2. 
https://skybrary.aero/aircraft/b733
3. http://www.b737.org.uk/techspecsdetailed.htm
4. 
chrome-extension://efaidnbmnnnibpcajpcglclefindmkaj/https://www.easa.europa.eu/downloads/7691/en
5. 
chrome-extension://efaidnbmnnnibpcajpcglclefindmkaj/https://rgl.faa.gov/Regulatory_and_Guidance_Library/rgMakeModel.nsf/0/a53bc308954e167e862579a500782155/$FILE/A16WE%20Rev%2050.pdf
</t>
        </r>
      </text>
    </comment>
    <comment ref="BC2" authorId="0" shapeId="0" xr:uid="{37DF9229-347F-40F9-8717-9B8AA5C17940}">
      <text>
        <r>
          <rPr>
            <sz val="11"/>
            <color theme="1"/>
            <rFont val="Calibri"/>
            <family val="2"/>
            <scheme val="minor"/>
          </rPr>
          <t xml:space="preserve">Tsai, Michael:
1. Use Fuel Cap 20102 L Left most Weight Variant 
chrome-extension://efaidnbmnnnibpcajpcglclefindmkaj/https://www.boeing.com/resources/boeingdotcom/commercial/airports/acaps/737NG_REV%20C.pdf
2. 
https://skybrary.aero/aircraft/b734
3. 
chrome-extension://efaidnbmnnnibpcajpcglclefindmkaj/https://rgl.faa.gov/Regulatory_and_Guidance_Library/rgMakeModel.nsf/0/a53bc308954e167e862579a500782155/$FILE/A16WE%20Rev%2050.pdf
4. 
chrome-extension://efaidnbmnnnibpcajpcglclefindmkaj/https://www.easa.europa.eu/downloads/7691/en
</t>
        </r>
      </text>
    </comment>
    <comment ref="BD2" authorId="0" shapeId="0" xr:uid="{F4F1E454-1226-451A-B427-8514ECCDDA56}">
      <text>
        <r>
          <rPr>
            <sz val="11"/>
            <color theme="1"/>
            <rFont val="Calibri"/>
            <family val="2"/>
            <scheme val="minor"/>
          </rPr>
          <t xml:space="preserve">Tsai, Michael:
1. Use Fuel Capacity 21960 L Weight Variant 
chrome-extension://efaidnbmnnnibpcajpcglclefindmkaj/https://www.boeing.com/resources/boeingdotcom/commercial/airports/acaps/737NG_REV%20C.pdf
2. 
https://skybrary.aero/aircraft/b734
3.
chrome-extension://efaidnbmnnnibpcajpcglclefindmkaj/https://rgl.faa.gov/Regulatory_and_Guidance_Library/rgMakeModel.nsf/0/a53bc308954e167e862579a500782155/$FILE/A16WE%20Rev%2050.pdf
4. 
chrome-extension://efaidnbmnnnibpcajpcglclefindmkaj/https://www.easa.europa.eu/downloads/7691/en
</t>
        </r>
      </text>
    </comment>
    <comment ref="BE2" authorId="0" shapeId="0" xr:uid="{0CDF222D-73FC-48B3-8B5F-5B420BBC2976}">
      <text>
        <r>
          <rPr>
            <sz val="11"/>
            <color theme="1"/>
            <rFont val="Calibri"/>
            <family val="2"/>
            <scheme val="minor"/>
          </rPr>
          <t xml:space="preserve">Tsai, Michael:
1. Use Fuel Capacity 20,102 L Weight Variant 
chrome-extension://efaidnbmnnnibpcajpcglclefindmkaj/https://www.boeing.com/resources/boeingdotcom/commercial/airports/acaps/737NG_REV%20C.pdf
2. 
https://skybrary.aero/aircraft/b735
3.
chrome-extension://efaidnbmnnnibpcajpcglclefindmkaj/https://rgl.faa.gov/Regulatory_and_Guidance_Library/rgMakeModel.nsf/0/a53bc308954e167e862579a500782155/$FILE/A16WE%20Rev%2050.pdf
4.
</t>
        </r>
      </text>
    </comment>
    <comment ref="BF2" authorId="0" shapeId="0" xr:uid="{6B7C4FBB-DD7F-4FE4-9401-41911DC9D478}">
      <text>
        <r>
          <rPr>
            <sz val="11"/>
            <color theme="1"/>
            <rFont val="Calibri"/>
            <family val="2"/>
            <scheme val="minor"/>
          </rPr>
          <t xml:space="preserve">Tsai, Michael:
1. Use Fuel Capacity 26022L MTOW 56245 kg Weight Variant 
chrome-extension://efaidnbmnnnibpcajpcglclefindmkaj/https://www.boeing.com/resources/boeingdotcom/commercial/airports/acaps/737NG_REV%20C.pdf
2. 
https://skybrary.aero/aircraft/b736
3.
http://www.b737.org.uk/techspecsdetailed.htm
4.
https://modernairliners.com/boeing-737/boeing-737-specifications/
5.
chrome-extension://efaidnbmnnnibpcajpcglclefindmkaj/https://www.easa.europa.eu/downloads/7795/en
6.
chrome-extension://efaidnbmnnnibpcajpcglclefindmkaj/https://rgl.faa.gov/Regulatory_and_Guidance_Library/rgMakeModel.nsf/0/a53bc308954e167e862579a500782155/$FILE/A16WE%20Rev%2050.pdf
</t>
        </r>
      </text>
    </comment>
    <comment ref="BG2" authorId="0" shapeId="0" xr:uid="{CE18C0B3-6599-4BFE-BCFE-93EB2AE0424A}">
      <text>
        <r>
          <rPr>
            <sz val="11"/>
            <color theme="1"/>
            <rFont val="Calibri"/>
            <family val="2"/>
            <scheme val="minor"/>
          </rPr>
          <t xml:space="preserve">Tsai, Michael:
1. Use Fuel Capacity 26022 L Max Weight Variant 
chrome-extension://efaidnbmnnnibpcajpcglclefindmkaj/https://www.boeing.com/resources/boeingdotcom/commercial/airports/acaps/737NG_REV%20C.pdf
2. 
https://skybrary.aero/aircraft/b731
3. 
chrome-extension://efaidnbmnnnibpcajpcglclefindmkaj/https://www.easa.europa.eu/downloads/7795/en
4. 
chrome-extension://efaidnbmnnnibpcajpcglclefindmkaj/https://rgl.faa.gov/Regulatory_and_Guidance_Library/rgMakeModel.nsf/0/a53bc308954e167e862579a500782155/$FILE/A16WE%20Rev%2050.pdf
5.
https://modernairliners.com/boeing-737/boeing-737-specifications/
</t>
        </r>
      </text>
    </comment>
    <comment ref="BH2" authorId="0" shapeId="0" xr:uid="{CE9B0DC0-6398-4E48-A937-96914804ED8A}">
      <text>
        <r>
          <rPr>
            <sz val="11"/>
            <color theme="1"/>
            <rFont val="Calibri"/>
            <family val="2"/>
            <scheme val="minor"/>
          </rPr>
          <t xml:space="preserve">Tsai, Michael:
1. Use Fuel Capacity 26022 L MTOW 79016 kg Weight Variant 
chrome-extension://efaidnbmnnnibpcajpcglclefindmkaj/https://www.boeing.com/resources/boeingdotcom/commercial/airports/acaps/737NG_REV%20C.pdf
2. 
https://skybrary.aero/aircraft/b738
3.
chrome-extension://efaidnbmnnnibpcajpcglclefindmkaj/https://www.boeing.com/resources/boeingdotcom/commercial/airports/acaps/737NG_REV%20C.pdf
4.
chrome-extension://efaidnbmnnnibpcajpcglclefindmkaj/https://www.easa.europa.eu/downloads/7795/en
</t>
        </r>
      </text>
    </comment>
    <comment ref="BI2" authorId="0" shapeId="0" xr:uid="{B9C2BFF0-EB7F-430C-9345-6279B3204057}">
      <text>
        <r>
          <rPr>
            <sz val="11"/>
            <color theme="1"/>
            <rFont val="Calibri"/>
            <family val="2"/>
            <scheme val="minor"/>
          </rPr>
          <t xml:space="preserve">Tsai, Michael:
1. Use Fuel Capacity 26022 L MTOW 70534 kg Weight Variant 
chrome-extension://efaidnbmnnnibpcajpcglclefindmkaj/https://www.boeing.com/resources/boeingdotcom/commercial/airports/acaps/737NG_REV%20C.pdf
2. 
https://skybrary.aero/aircraft/b739
3.
chrome-extension://efaidnbmnnnibpcajpcglclefindmkaj/https://www.boeing.com/resources/boeingdotcom/commercial/airports/acaps/737NG_REV%20C.pdf
4.
chrome-extension://efaidnbmnnnibpcajpcglclefindmkaj/https://www.easa.europa.eu/downloads/7795/en
</t>
        </r>
      </text>
    </comment>
    <comment ref="BJ2" authorId="0" shapeId="0" xr:uid="{5C630CC0-3691-4662-AB8F-BD73E0AFB231}">
      <text>
        <r>
          <rPr>
            <sz val="11"/>
            <color theme="1"/>
            <rFont val="Calibri"/>
            <family val="2"/>
            <scheme val="minor"/>
          </rPr>
          <t xml:space="preserve">Tsai, Michael:
1. Use Fuel Capacity 29666 L MTOW 85,139 kg Weight Variant 
chrome-extension://efaidnbmnnnibpcajpcglclefindmkaj/https://www.boeing.com/resources/boeingdotcom/commercial/airports/acaps/737NG_REV%20C.pdf
2. 
https://skybrary.aero/aircraft/b739
3.
chrome-extension://efaidnbmnnnibpcajpcglclefindmkaj/https://www.boeing.com/resources/boeingdotcom/commercial/airports/acaps/737NG_REV%20C.pdf
4.
chrome-extension://efaidnbmnnnibpcajpcglclefindmkaj/https://www.easa.europa.eu/downloads/7795/en
</t>
        </r>
      </text>
    </comment>
    <comment ref="BK2" authorId="0" shapeId="0" xr:uid="{47055A29-3E55-4EE7-93DC-2F0FEDE68231}">
      <text>
        <r>
          <rPr>
            <sz val="11"/>
            <color theme="1"/>
            <rFont val="Calibri"/>
            <family val="2"/>
            <scheme val="minor"/>
          </rPr>
          <t xml:space="preserve">Tsai, Michael:
1. Use Fuel Capacity 27095 kg Weight Variant 
chrome-extension://efaidnbmnnnibpcajpcglclefindmkaj/https://www.boeing.com/resources/boeingdotcom/commercial/airports/acaps/737NG_REV%20C.pdf
2. 
https://skybrary.aero/aircraft/b737
</t>
        </r>
      </text>
    </comment>
    <comment ref="BL2" authorId="0" shapeId="0" xr:uid="{6F64759C-4762-4838-84BF-91A58C0E787A}">
      <text>
        <r>
          <rPr>
            <sz val="11"/>
            <color theme="1"/>
            <rFont val="Calibri"/>
            <family val="2"/>
            <scheme val="minor"/>
          </rPr>
          <t xml:space="preserve">Tsai, Michael:
1. Use fuel capacity 30214 kg Weight Variant 
chrome-extension://efaidnbmnnnibpcajpcglclefindmkaj/https://www.boeing.com/resources/boeingdotcom/commercial/airports/acaps/737NG_REV%20C.pdf
2. 
https://skybrary.aero/aircraft/b738
</t>
        </r>
      </text>
    </comment>
    <comment ref="BM2" authorId="0" shapeId="0" xr:uid="{357F3E59-FFF9-4AA7-BFE5-59F2D3705F2F}">
      <text>
        <r>
          <rPr>
            <sz val="11"/>
            <color theme="1"/>
            <rFont val="Calibri"/>
            <family val="2"/>
            <scheme val="minor"/>
          </rPr>
          <t xml:space="preserve">Tsai, Michael:
1. Use fuel capacity 20730 kg MTOW 80285 kg Weight Variant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3. chrome-extension://efaidnbmnnnibpcajpcglclefindmkaj/https://arc-aiaa-org.proxy.lib.umich.edu/doi/pdf/10.2514/6.2019-2763
4. 
http://www.b737.org.uk/techspecsdetailed.htm
5. 
</t>
        </r>
      </text>
    </comment>
    <comment ref="BN2" authorId="0" shapeId="0" xr:uid="{AEAF8697-0EC7-4551-BFED-0FD20CDA05AD}">
      <text>
        <r>
          <rPr>
            <sz val="11"/>
            <color theme="1"/>
            <rFont val="Calibri"/>
            <family val="2"/>
            <scheme val="minor"/>
          </rPr>
          <t xml:space="preserve">Tsai, Michael:
1. Use fuel capacity 20730 kg MTOW 82644 kg Weight Variant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t>
        </r>
      </text>
    </comment>
    <comment ref="BO2" authorId="0" shapeId="0" xr:uid="{14686F55-3B4D-4987-B8FC-3AD53F042DED}">
      <text>
        <r>
          <rPr>
            <sz val="11"/>
            <color theme="1"/>
            <rFont val="Calibri"/>
            <family val="2"/>
            <scheme val="minor"/>
          </rPr>
          <t xml:space="preserve">Tsai, Michael:
1. Use fuel capacity 20730 kg MTOW 82644 Weight Variant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t>
        </r>
      </text>
    </comment>
    <comment ref="BP2" authorId="0" shapeId="0" xr:uid="{CFA022E4-18C2-414F-83EA-18C3024E2AF8}">
      <text>
        <r>
          <rPr>
            <sz val="11"/>
            <color theme="1"/>
            <rFont val="Calibri"/>
            <family val="2"/>
            <scheme val="minor"/>
          </rPr>
          <t xml:space="preserve">Tsai, Michael:
1. Use fuel capacity 20730 kg MTOW 88314 kg Weight Variant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3.
https://modernairliners.com/boeing-737/boeing-737-specifications/
</t>
        </r>
      </text>
    </comment>
    <comment ref="BQ2" authorId="0" shapeId="0" xr:uid="{AB2B08C1-2A0C-4749-9994-AB1E4A26A2F3}">
      <text>
        <r>
          <rPr>
            <sz val="11"/>
            <color theme="1"/>
            <rFont val="Calibri"/>
            <family val="2"/>
            <scheme val="minor"/>
          </rPr>
          <t xml:space="preserve">Tsai, Michael:
1. Use fuel capacity  kg Weight Variant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3. 
http://www.b737.org.uk/737max10.htm
</t>
        </r>
      </text>
    </comment>
    <comment ref="BR2" authorId="0" shapeId="0" xr:uid="{7074A832-4A49-4BB0-B0BA-DF3608BED459}">
      <text>
        <r>
          <rPr>
            <sz val="11"/>
            <color theme="1"/>
            <rFont val="Calibri"/>
            <family val="2"/>
            <scheme val="minor"/>
          </rPr>
          <t xml:space="preserve">Tsai, Michael:
1. Use fuel capacity  28347 kg MTOW 82644 kg Weight Variant (1 FWD and 4 AFT auxiliary tank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t>
        </r>
      </text>
    </comment>
    <comment ref="BS2" authorId="0" shapeId="0" xr:uid="{89B8E7FF-CC84-453F-903E-50F66AD559F2}">
      <text>
        <r>
          <rPr>
            <sz val="11"/>
            <color theme="1"/>
            <rFont val="Calibri"/>
            <family val="2"/>
            <scheme val="minor"/>
          </rPr>
          <t xml:space="preserve">Tsai, Michael:
1.  Use fuel capacity  28342 kg MTOW 88314 kg Weight Variant (1 FWD and 4 AFT auxiliary tank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t>
        </r>
      </text>
    </comment>
    <comment ref="BT2" authorId="0" shapeId="0" xr:uid="{5C5C92C3-C1F4-4AE8-ADAD-514D09B66C93}">
      <text>
        <r>
          <rPr>
            <sz val="11"/>
            <color theme="1"/>
            <rFont val="Calibri"/>
            <family val="2"/>
            <scheme val="minor"/>
          </rPr>
          <t xml:space="preserve">Tsai, Michael:
1.  Use fuel capacity   kg MTOW  kg Weight Variant 
chrome-extension://efaidnbmnnnibpcajpcglclefindmkaj/https://www.boeing.com/resources/boeingdotcom/commercial/airports/acaps/757_23.pdf
2.
https://skybrary.aero/aircraft/b752
3.
chrome-extension://efaidnbmnnnibpcajpcglclefindmkaj/https://rgl.faa.gov/Regulatory_and_Guidance_Library/rgMakeModel.nsf/0/a5a31d7df6f5cec28625718b0065c20b/$FILE/A2NM.pdf
4.
chrome-extension://efaidnbmnnnibpcajpcglclefindmkaj/https://www.flightglobal.com/download?ac=79070
</t>
        </r>
      </text>
    </comment>
    <comment ref="BU2" authorId="0" shapeId="0" xr:uid="{36995B73-E40A-4EE5-8A69-DCF70C08B250}">
      <text>
        <r>
          <rPr>
            <sz val="11"/>
            <color theme="1"/>
            <rFont val="Calibri"/>
            <family val="2"/>
            <scheme val="minor"/>
          </rPr>
          <t xml:space="preserve">Tsai, Michael:
1.  Use fuel capacity   kg MTOW  kg Weight Variant 
chrome-extension://efaidnbmnnnibpcajpcglclefindmkaj/https://www.boeing.com/resources/boeingdotcom/commercial/airports/acaps/757_23.pdf
2.
https://skybrary.aero/aircraft/b752
3.
chrome-extension://efaidnbmnnnibpcajpcglclefindmkaj/https://rgl.faa.gov/Regulatory_and_Guidance_Library/rgMakeModel.nsf/0/a5a31d7df6f5cec28625718b0065c20b/$FILE/A2NM.pdf
4.
chrome-extension://efaidnbmnnnibpcajpcglclefindmkaj/https://www.flightglobal.com/download?ac=79070
</t>
        </r>
      </text>
    </comment>
    <comment ref="BV2" authorId="0" shapeId="0" xr:uid="{A1B03FB4-813C-4209-9A4C-B252DBFACED0}">
      <text>
        <r>
          <rPr>
            <sz val="11"/>
            <color theme="1"/>
            <rFont val="Calibri"/>
            <family val="2"/>
            <scheme val="minor"/>
          </rPr>
          <t xml:space="preserve">Tsai, Michael:
1.  Use fuel capacity   34260 kg MTOW 108850 kg Weight Variant 
chrome-extension://efaidnbmnnnibpcajpcglclefindmkaj/https://www.boeing.com/resources/boeingdotcom/commercial/airports/acaps/757_23.pdf
2.
https://skybrary.aero/aircraft/b752
3.
chrome-extension://efaidnbmnnnibpcajpcglclefindmkaj/https://www.easa.europa.eu/downloads/7699/en
4.
chrome-extension://efaidnbmnnnibpcajpcglclefindmkaj/https://rgl.faa.gov/Regulatory_and_Guidance_Library/rgMakeModel.nsf/0/a5a31d7df6f5cec28625718b0065c20b/$FILE/A2NM.pdf
</t>
        </r>
      </text>
    </comment>
    <comment ref="BW2" authorId="0" shapeId="0" xr:uid="{B8AEF4A3-C610-40FF-87EC-7CF8D609E54F}">
      <text>
        <r>
          <rPr>
            <sz val="11"/>
            <color theme="1"/>
            <rFont val="Calibri"/>
            <family val="2"/>
            <scheme val="minor"/>
          </rPr>
          <t xml:space="preserve">Tsai, Michael:
1.  Use fuel capacity 34260 kg MTOW 115650 kg Weight Variant 
chrome-extension://efaidnbmnnnibpcajpcglclefindmkaj/https://www.boeing.com/resources/boeingdotcom/commercial/airports/acaps/757_23.pdf
2.
https://skybrary.aero/aircraft/b752
3.
chrome-extension://efaidnbmnnnibpcajpcglclefindmkaj/https://www.easa.europa.eu/downloads/7699/en
4.
chrome-extension://efaidnbmnnnibpcajpcglclefindmkaj/https://rgl.faa.gov/Regulatory_and_Guidance_Library/rgMakeModel.nsf/0/a5a31d7df6f5cec28625718b0065c20b/$FILE/A2NM.pdf
</t>
        </r>
      </text>
    </comment>
    <comment ref="BX2" authorId="0" shapeId="0" xr:uid="{6EAFF45A-A6B5-4CD7-9021-4341765C68F2}">
      <text>
        <r>
          <rPr>
            <sz val="11"/>
            <color theme="1"/>
            <rFont val="Calibri"/>
            <family val="2"/>
            <scheme val="minor"/>
          </rPr>
          <t xml:space="preserve">Tsai, Michael:
1.  Use fuel capacity 34260 kg MTOW 113400 kg Weight Variant 
chrome-extension://efaidnbmnnnibpcajpcglclefindmkaj/https://www.boeing.com/resources/boeingdotcom/commercial/airports/acaps/757_23.pdf
2.
https://skybrary.aero/aircraft/b752
3.
chrome-extension://efaidnbmnnnibpcajpcglclefindmkaj/https://rgl.faa.gov/Regulatory_and_Guidance_Library/rgMakeModel.nsf/0/a5a31d7df6f5cec28625718b0065c20b/$FILE/A2NM.pdf
4.
chrome-extension://efaidnbmnnnibpcajpcglclefindmkaj/https://www.flightglobal.com/download?ac=79070
</t>
        </r>
      </text>
    </comment>
    <comment ref="BY2" authorId="0" shapeId="0" xr:uid="{4D08465D-E4C9-468E-A62F-16885C9CDBA0}">
      <text>
        <r>
          <rPr>
            <sz val="11"/>
            <color theme="1"/>
            <rFont val="Calibri"/>
            <family val="2"/>
            <scheme val="minor"/>
          </rPr>
          <t xml:space="preserve">Tsai, Michael:
1.  Use fuel capacity 34260 kg MTOW 116650 kg Weight Variant 
chrome-extension://efaidnbmnnnibpcajpcglclefindmkaj/https://www.boeing.com/resources/boeingdotcom/commercial/airports/acaps/757_23.pdf
2.
https://skybrary.aero/aircraft/b752
3.
chrome-extension://efaidnbmnnnibpcajpcglclefindmkaj/https://rgl.faa.gov/Regulatory_and_Guidance_Library/rgMakeModel.nsf/0/a5a31d7df6f5cec28625718b0065c20b/$FILE/A2NM.pdf
4. 
chrome-extension://efaidnbmnnnibpcajpcglclefindmkaj/https://www.flightglobal.com/download?ac=79070
</t>
        </r>
      </text>
    </comment>
    <comment ref="BZ2" authorId="0" shapeId="0" xr:uid="{E9594213-BC3D-45DD-8461-BDE1E3A0834F}">
      <text>
        <r>
          <rPr>
            <sz val="11"/>
            <color theme="1"/>
            <rFont val="Calibri"/>
            <family val="2"/>
            <scheme val="minor"/>
          </rPr>
          <t xml:space="preserve">Tsai, Michael:
1.  Use fuel capacity 34930 kg MTOW 122470 kg Weight Variant 
chrome-extension://efaidnbmnnnibpcajpcglclefindmkaj/https://www.boeing.com/resources/boeingdotcom/commercial/airports/acaps/757_23.pdf
2.
https://skybrary.aero/aircraft/b753
3.
chrome-extension://efaidnbmnnnibpcajpcglclefindmkaj/https://rgl.faa.gov/Regulatory_and_Guidance_Library/rgMakeModel.nsf/0/a5a31d7df6f5cec28625718b0065c20b/$FILE/A2NM.pdf
4.
chrome-extension://efaidnbmnnnibpcajpcglclefindmkaj/https://www.flightglobal.com/download?ac=79070
</t>
        </r>
      </text>
    </comment>
    <comment ref="CA2" authorId="0" shapeId="0" xr:uid="{ED85FA52-F3C7-4877-B9AB-720198BCB7DC}">
      <text>
        <r>
          <rPr>
            <sz val="11"/>
            <color theme="1"/>
            <rFont val="Calibri"/>
            <family val="2"/>
            <scheme val="minor"/>
          </rPr>
          <t xml:space="preserve">Tsai, Michael:
1.  Use fuel capacity 34930 kg MTOW 122470 kg Weight Variant 
chrome-extension://efaidnbmnnnibpcajpcglclefindmkaj/https://www.boeing.com/resources/boeingdotcom/commercial/airports/acaps/757_23.pdf
2.
https://skybrary.aero/aircraft/b753
3.
chrome-extension://efaidnbmnnnibpcajpcglclefindmkaj/https://rgl.faa.gov/Regulatory_and_Guidance_Library/rgMakeModel.nsf/0/a5a31d7df6f5cec28625718b0065c20b/$FILE/A2NM.pdf
4.
chrome-extension://efaidnbmnnnibpcajpcglclefindmkaj/https://www.flightglobal.com/download?ac=79070
</t>
        </r>
      </text>
    </comment>
    <comment ref="CB2" authorId="0" shapeId="0" xr:uid="{3951D3A0-DE0A-4B28-8A6A-BD04248BCE56}">
      <text>
        <r>
          <rPr>
            <sz val="11"/>
            <color theme="1"/>
            <rFont val="Calibri"/>
            <family val="2"/>
            <scheme val="minor"/>
          </rPr>
          <t xml:space="preserve">Tsai, Michael:
1.  Use fuel capacity 34930 kg MTOW  kg Weight Variant 
chrome-extension://efaidnbmnnnibpcajpcglclefindmkaj/https://www.boeing.com/resources/boeingdotcom/commercial/airports/acaps/757_23.pdf
2.
https://skybrary.aero/aircraft/b753
3.
chrome-extension://efaidnbmnnnibpcajpcglclefindmkaj/https://rgl.faa.gov/Regulatory_and_Guidance_Library/rgMakeModel.nsf/0/a5a31d7df6f5cec28625718b0065c20b/$FILE/A2NM.pdf
</t>
        </r>
      </text>
    </comment>
    <comment ref="CC2" authorId="0" shapeId="0" xr:uid="{C5E98E14-468E-43D3-8E80-680FD447ADD6}">
      <text>
        <r>
          <rPr>
            <sz val="11"/>
            <color theme="1"/>
            <rFont val="Calibri"/>
            <family val="2"/>
            <scheme val="minor"/>
          </rPr>
          <t xml:space="preserve">Tsai, Michael:
1.  Use fuel capacity 34930 kg MTOW 122470 kg Weight Variant 
chrome-extension://efaidnbmnnnibpcajpcglclefindmkaj/https://www.boeing.com/resources/boeingdotcom/commercial/airports/acaps/757_23.pdf
2.
https://skybrary.aero/aircraft/b753
3.
chrome-extension://efaidnbmnnnibpcajpcglclefindmkaj/https://www.easa.europa.eu/downloads/7699/en
4.
chrome-extension://efaidnbmnnnibpcajpcglclefindmkaj/https://rgl.faa.gov/Regulatory_and_Guidance_Library/rgMakeModel.nsf/0/a5a31d7df6f5cec28625718b0065c20b/$FILE/A2NM.pdf
</t>
        </r>
      </text>
    </comment>
    <comment ref="CD2" authorId="0" shapeId="0" xr:uid="{5E319E76-2432-492A-8AC6-4A71CD7A969C}">
      <text>
        <r>
          <rPr>
            <sz val="11"/>
            <color theme="1"/>
            <rFont val="Calibri"/>
            <family val="2"/>
            <scheme val="minor"/>
          </rPr>
          <t xml:space="preserve">Tsai, Michael:
1.  Use fuel capacity 36894 kg MTOW 127913 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chrome-extension://efaidnbmnnnibpcajpcglclefindmkaj/https://rgl.faa.gov/Regulatory_and_Guidance_Library/rgMakeModel.nsf/0/1f744c3819e0622a86258443003da885/$FILE/E3NE_Rev16.pdf
</t>
        </r>
      </text>
    </comment>
    <comment ref="CE2" authorId="0" shapeId="0" xr:uid="{94F4408E-1555-4EDB-A00A-2C0A2E884AE5}">
      <text>
        <r>
          <rPr>
            <sz val="11"/>
            <color theme="1"/>
            <rFont val="Calibri"/>
            <family val="2"/>
            <scheme val="minor"/>
          </rPr>
          <t xml:space="preserve">Tsai, Michael:
1.  Use fuel capacity 50753 kg MTOW 136,078 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chrome-extension://efaidnbmnnnibpcajpcglclefindmkaj/https://rgl.faa.gov/Regulatory_and_Guidance_library/rgMakeModel.nsf/0/706579a7e83efab48625727b00751aff/$FILE/E13NE.pdf
</t>
        </r>
      </text>
    </comment>
    <comment ref="CF2" authorId="0" shapeId="0" xr:uid="{5A9FA9CB-04B1-499D-A076-B2D9D97118A2}">
      <text>
        <r>
          <rPr>
            <sz val="11"/>
            <color theme="1"/>
            <rFont val="Calibri"/>
            <family val="2"/>
            <scheme val="minor"/>
          </rPr>
          <t xml:space="preserve">Tsai, Michael:
1.  Use fuel capacity 50753 kg MTOWkg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chrome-extension://efaidnbmnnnibpcajpcglclefindmkaj/https://rgl.faa.gov/Regulatory_and_Guidance_Library/rgMakeModel.nsf/0/1f744c3819e0622a86258443003da885/$FILE/E3NE_Rev16.pdf
</t>
        </r>
      </text>
    </comment>
    <comment ref="CG2" authorId="0" shapeId="0" xr:uid="{C3B05307-B6CC-4B5E-97D1-CA7E26B5952B}">
      <text>
        <r>
          <rPr>
            <sz val="11"/>
            <color theme="1"/>
            <rFont val="Calibri"/>
            <family val="2"/>
            <scheme val="minor"/>
          </rPr>
          <t xml:space="preserve">Tsai, Michael:
1.  Use fuel capacity 50753 kg MTOWkg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chrome-extension://efaidnbmnnnibpcajpcglclefindmkaj/https://rgl.faa.gov/Regulatory_and_Guidance_library/rgMakeModel.nsf/0/706579a7e83efab48625727b00751aff/$FILE/E13NE.pdf
5.
https://customer.janes.com/Janes/Display/JAE_0282-JAE_
</t>
        </r>
      </text>
    </comment>
    <comment ref="CH2" authorId="0" shapeId="0" xr:uid="{3F7A4437-E50D-4DF6-B7F4-0114F40B88D1}">
      <text>
        <r>
          <rPr>
            <sz val="11"/>
            <color theme="1"/>
            <rFont val="Calibri"/>
            <family val="2"/>
            <scheme val="minor"/>
          </rPr>
          <t xml:space="preserve">Tsai, Michael:
1.  Use fuel capacity 50753 kg MTOWkg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chrome-extension://efaidnbmnnnibpcajpcglclefindmkaj/https://rgl.faa.gov/Regulatory_and_Guidance_Library/rgMakeModel.nsf/0/a54a5cdbed477da18625753c004dd282/$FILE/E24NE.pdf
5. 
https://customer.janes.com/Janes/Display/JAE_A018-JAE_
</t>
        </r>
      </text>
    </comment>
    <comment ref="CI2" authorId="0" shapeId="0" xr:uid="{02E2F793-4612-4093-8B67-5E913D7F1A84}">
      <text>
        <r>
          <rPr>
            <sz val="11"/>
            <color theme="1"/>
            <rFont val="Calibri"/>
            <family val="2"/>
            <scheme val="minor"/>
          </rPr>
          <t xml:space="preserve">Tsai, Michael:
1.  Use fuel capacity 50753 kg MTOWkg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chrome-extension://efaidnbmnnnibpcajpcglclefindmkaj/https://rgl.faa.gov/Regulatory_and_Guidance_library/rgMakeModel.nsf/0/706579a7e83efab48625727b00751aff/$FILE/E13NE.pdf
</t>
        </r>
      </text>
    </comment>
    <comment ref="CJ2" authorId="0" shapeId="0" xr:uid="{0229DB54-F17D-4F18-AC36-86765924EA24}">
      <text>
        <r>
          <rPr>
            <sz val="11"/>
            <color theme="1"/>
            <rFont val="Calibri"/>
            <family val="2"/>
            <scheme val="minor"/>
          </rPr>
          <t xml:space="preserve">Tsai, Michael:
1.  Use fuel capacity 50752 kg MTOW 151,954 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chrome-extension://efaidnbmnnnibpcajpcglclefindmkaj/https://rgl.faa.gov/Regulatory_and_Guidance_library/rgMakeModel.nsf/0/706579a7e83efab48625727b00751aff/$FILE/E13NE.pdf
</t>
        </r>
      </text>
    </comment>
    <comment ref="CK2" authorId="0" shapeId="0" xr:uid="{2E23E1E0-C167-4B02-A303-2F03283A0188}">
      <text>
        <r>
          <rPr>
            <sz val="11"/>
            <color theme="1"/>
            <rFont val="Calibri"/>
            <family val="2"/>
            <scheme val="minor"/>
          </rPr>
          <t xml:space="preserve">Tsai, Michael:
1.  Use fuel capacity 62422kg MTOW 159,211 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chrome-extension://efaidnbmnnnibpcajpcglclefindmkaj/https://rgl.faa.gov/Regulatory_and_Guidance_Library/rgMakeModel.nsf/0/a54a5cdbed477da18625753c004dd282/$FILE/E24NE.pdf
</t>
        </r>
      </text>
    </comment>
    <comment ref="CL2" authorId="0" shapeId="0" xr:uid="{520391B3-3322-4057-A717-9579CED3548C}">
      <text>
        <r>
          <rPr>
            <sz val="11"/>
            <color theme="1"/>
            <rFont val="Calibri"/>
            <family val="2"/>
            <scheme val="minor"/>
          </rPr>
          <t xml:space="preserve">Tsai, Michael:
1.  Use fuel capacity 73,363 kg MTOW 172,365 kg Weight Variant 
chrome-extension://efaidnbmnnnibpcajpcglclefindmkaj/https://www.boeing.com/resources/boeingdotcom/commercial/airports/acaps/767_REV_I.pdf
2.
https://skybrary.aero/aircraft/b762
3.
https://modernairliners.com/boeing-767/
4.
chrome-extension://efaidnbmnnnibpcajpcglclefindmkaj/https://www.easa.europa.eu/downloads/22523/en
</t>
        </r>
      </text>
    </comment>
    <comment ref="CM2" authorId="0" shapeId="0" xr:uid="{FFBC365C-A891-4340-BE35-956E68D93629}">
      <text>
        <r>
          <rPr>
            <sz val="11"/>
            <color theme="1"/>
            <rFont val="Calibri"/>
            <family val="2"/>
            <scheme val="minor"/>
          </rPr>
          <t>Tsai, Michael:
1.  Use fuel capacity 73,363 kg MTOW 175,540 kg Weight Variant 
chrome-extension://efaidnbmnnnibpcajpcglclefindmkaj/https://www.boeing.com/resources/boeingdotcom/commercial/airports/acaps/767_REV_I.pdf
2.
https://skybrary.aero/aircraft/b762
3.
https://modernairliners.com/boeing-767/
4.
chrome-extension://efaidnbmnnnibpcajpcglclefindmkaj/https://www.easa.europa.eu/downloads/22523/en</t>
        </r>
      </text>
    </comment>
    <comment ref="CN2" authorId="0" shapeId="0" xr:uid="{8FA5DD33-D698-49E0-9535-362AC698307B}">
      <text>
        <r>
          <rPr>
            <sz val="11"/>
            <color theme="1"/>
            <rFont val="Calibri"/>
            <family val="2"/>
            <scheme val="minor"/>
          </rPr>
          <t xml:space="preserve">Tsai, Michael:
1.  Use fuel capacity 47940 kg MTOW 132000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chrome-extension://efaidnbmnnnibpcajpcglclefindmkaj/https://rgl.faa.gov/Regulatory_and_Guidance_Library/rgMakeModel.nsf/0/1047854cea0ef5fe86257d56006cb935/$FILE/E13NE_Rev_26.pdf
4.
chrome-extension://efaidnbmnnnibpcajpcglclefindmkaj/https://rgl.faa.gov/Regulatory_and_Guidance_Library/rgMakeModel.nsf/0/7f4dde8d2e4126bb8625870c005e776c/$FILE/A35EU_Rev32.pdf
5. 
chrome-extension://efaidnbmnnnibpcajpcglclefindmkaj/https://www.smartcockpit.com/docs/Getting_to_Grips_With_Aircraft_Performance.pdf
6. 
https://customer.janes.com/Janes/Display/JAE_0282-JAE_
</t>
        </r>
      </text>
    </comment>
    <comment ref="CO2" authorId="0" shapeId="0" xr:uid="{1B0C7E12-D795-4031-8347-351AF413D5C5}">
      <text>
        <r>
          <rPr>
            <sz val="11"/>
            <color theme="1"/>
            <rFont val="Calibri"/>
            <family val="2"/>
            <scheme val="minor"/>
          </rPr>
          <t xml:space="preserve">Tsai, Michael:
1.  Use fuel capacity 47940 kg MTOW 132000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chrome-extension://efaidnbmnnnibpcajpcglclefindmkaj/https://rgl.faa.gov/Regulatory_and_Guidance_Library/rgMakeModel.nsf/0/4a0a9abd64fcce4f862586b800638847/$FILE/E3NE_Rev16.pdf
4.
chrome-extension://efaidnbmnnnibpcajpcglclefindmkaj/https://rgl.faa.gov/Regulatory_and_Guidance_Library/rgMakeModel.nsf/0/7f4dde8d2e4126bb8625870c005e776c/$FILE/A35EU_Rev32.pdf
5. 
</t>
        </r>
      </text>
    </comment>
    <comment ref="CP2" authorId="0" shapeId="0" xr:uid="{3409201D-A05D-45CF-803C-8D8B2F3390E6}">
      <text>
        <r>
          <rPr>
            <sz val="11"/>
            <color theme="1"/>
            <rFont val="Calibri"/>
            <family val="2"/>
            <scheme val="minor"/>
          </rPr>
          <t xml:space="preserve">Tsai, Michael:
1.  Use fuel capacity 47940 kg MTOW 138600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chrome-extension://efaidnbmnnnibpcajpcglclefindmkaj/https://rgl.faa.gov/Regulatory_and_Guidance_Library/rgMakeModel.nsf/0/1047854cea0ef5fe86257d56006cb935/$FILE/E13NE_Rev_26.pdf
4.
chrome-extension://efaidnbmnnnibpcajpcglclefindmkaj/https://rgl.faa.gov/Regulatory_and_Guidance_Library/rgMakeModel.nsf/0/7f4dde8d2e4126bb8625870c005e776c/$FILE/A35EU_Rev32.pdf
5. 
</t>
        </r>
      </text>
    </comment>
    <comment ref="CQ2" authorId="0" shapeId="0" xr:uid="{391CF75E-5920-4886-BCC8-B6E2A71A8EAF}">
      <text>
        <r>
          <rPr>
            <sz val="11"/>
            <color theme="1"/>
            <rFont val="Calibri"/>
            <family val="2"/>
            <scheme val="minor"/>
          </rPr>
          <t xml:space="preserve">Tsai, Michael:
1.  Use fuel capacity 47940 kg MTOW 142000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chrome-extension://efaidnbmnnnibpcajpcglclefindmkaj/https://rgl.faa.gov/Regulatory_and_Guidance_Library/rgMakeModel.nsf/0/1047854cea0ef5fe86257d56006cb935/$FILE/E13NE_Rev_26.pdf
4.
chrome-extension://efaidnbmnnnibpcajpcglclefindmkaj/https://rgl.faa.gov/Regulatory_and_Guidance_Library/rgMakeModel.nsf/0/7f4dde8d2e4126bb8625870c005e776c/$FILE/A35EU_Rev32.pdf
5. 
</t>
        </r>
      </text>
    </comment>
    <comment ref="CR2" authorId="0" shapeId="0" xr:uid="{8D3C0EE0-336B-4FCC-AA9C-8A77FB82B02D}">
      <text>
        <r>
          <rPr>
            <sz val="11"/>
            <color theme="1"/>
            <rFont val="Calibri"/>
            <family val="2"/>
            <scheme val="minor"/>
          </rPr>
          <t xml:space="preserve">Tsai, Michael:
1.  Use fuel capacity 47940 kg MTOW 142000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chrome-extension://efaidnbmnnnibpcajpcglclefindmkaj/https://rgl.faa.gov/Regulatory_and_Guidance_Library/rgMakeModel.nsf/0/4a0a9abd64fcce4f862586b800638847/$FILE/E3NE_Rev16.pdf
4.
chrome-extension://efaidnbmnnnibpcajpcglclefindmkaj/https://rgl.faa.gov/Regulatory_and_Guidance_Library/rgMakeModel.nsf/0/7f4dde8d2e4126bb8625870c005e776c/$FILE/A35EU_Rev32.pdf
5. 
</t>
        </r>
      </text>
    </comment>
    <comment ref="CS2" authorId="0" shapeId="0" xr:uid="{CD47F00A-D118-471F-ADA4-6961D5506DD9}">
      <text>
        <r>
          <rPr>
            <sz val="11"/>
            <color theme="1"/>
            <rFont val="Calibri"/>
            <family val="2"/>
            <scheme val="minor"/>
          </rPr>
          <t xml:space="preserve">Tsai, Michael:
1.  Use fuel capacity 47,940 kg MTOW 150000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chrome-extension://efaidnbmnnnibpcajpcglclefindmkaj/https://rgl.faa.gov/Regulatory_and_Guidance_Library/rgMakeModel.nsf/0/1047854cea0ef5fe86257d56006cb935/$FILE/E13NE_Rev_26.pdf
4.
chrome-extension://efaidnbmnnnibpcajpcglclefindmkaj/https://rgl.faa.gov/Regulatory_and_Guidance_Library/rgMakeModel.nsf/0/7f4dde8d2e4126bb8625870c005e776c/$FILE/A35EU_Rev32.pdf
5. 
https://customer.janes.com/Janes/Display/JAE_0731-JAE_
</t>
        </r>
      </text>
    </comment>
    <comment ref="CT2" authorId="0" shapeId="0" xr:uid="{E3046A26-5ADE-47D3-9061-632C7B6EC6F1}">
      <text>
        <r>
          <rPr>
            <sz val="11"/>
            <color theme="1"/>
            <rFont val="Calibri"/>
            <family val="2"/>
            <scheme val="minor"/>
          </rPr>
          <t xml:space="preserve">Tsai, Michael:
1.  Use fuel capacity 47,940 kg MTOW 153000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chrome-extension://efaidnbmnnnibpcajpcglclefindmkaj/https://rgl.faa.gov/Regulatory_and_Guidance_Library/rgMakeModel.nsf/0/4a0a9abd64fcce4f862586b800638847/$FILE/E3NE_Rev16.pdf
4.
chrome-extension://efaidnbmnnnibpcajpcglclefindmkaj/https://rgl.faa.gov/Regulatory_and_Guidance_Library/rgMakeModel.nsf/0/7f4dde8d2e4126bb8625870c005e776c/$FILE/A35EU_Rev32.pdf
5. 
</t>
        </r>
      </text>
    </comment>
    <comment ref="CU2" authorId="0" shapeId="0" xr:uid="{0A42F8F2-AD4B-4F30-A2F2-EEA9967CD2AD}">
      <text>
        <r>
          <rPr>
            <sz val="11"/>
            <color theme="1"/>
            <rFont val="Calibri"/>
            <family val="2"/>
            <scheme val="minor"/>
          </rPr>
          <t xml:space="preserve">Tsai, Michael:
1.  Use fuel capacity 47,940 kg MTOW 160000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chrome-extension://efaidnbmnnnibpcajpcglclefindmkaj/https://rgl.faa.gov/Regulatory_and_Guidance_Library/rgMakeModel.nsf/0/2a822313bea2157886257f060055beb1/$FILE/E24NE_Rev_13.pdf
4.
chrome-extension://efaidnbmnnnibpcajpcglclefindmkaj/https://rgl.faa.gov/Regulatory_and_Guidance_Library/rgMakeModel.nsf/0/7f4dde8d2e4126bb8625870c005e776c/$FILE/A35EU_Rev32.pdf
5. 
https://customer.janes.com/Janes/Display/JAE_A018-JAE_
</t>
        </r>
      </text>
    </comment>
    <comment ref="CV2" authorId="0" shapeId="0" xr:uid="{1D9BF505-FA39-48C8-9B14-356F088FA683}">
      <text>
        <r>
          <rPr>
            <sz val="11"/>
            <color theme="1"/>
            <rFont val="Calibri"/>
            <family val="2"/>
            <scheme val="minor"/>
          </rPr>
          <t xml:space="preserve">Tsai, Michael:
1.  Use fuel capacity 47,940 kg MTOW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chrome-extension://efaidnbmnnnibpcajpcglclefindmkaj/https://rgl.faa.gov/Regulatory_and_Guidance_Library/rgMakeModel.nsf/0/1047854cea0ef5fe86257d56006cb935/$FILE/E13NE_Rev_26.pdf
4.
chrome-extension://efaidnbmnnnibpcajpcglclefindmkaj/https://rgl.faa.gov/Regulatory_and_Guidance_Library/rgMakeModel.nsf/0/7f4dde8d2e4126bb8625870c005e776c/$FILE/A35EU_Rev32.pdf
5. 
</t>
        </r>
      </text>
    </comment>
    <comment ref="CW2" authorId="0" shapeId="0" xr:uid="{BA3ADF62-42B3-4BE1-9696-8CB3FF17FF20}">
      <text>
        <r>
          <rPr>
            <sz val="11"/>
            <color theme="1"/>
            <rFont val="Calibri"/>
            <family val="2"/>
            <scheme val="minor"/>
          </rPr>
          <t xml:space="preserve">Tsai, Michael:
1.  Use fuel capacity kg MTOW kg Weight Variant 
chrome-extension://efaidnbmnnnibpcajpcglclefindmkaj/https://www.airbus.com/sites/g/files/jlcbta136/files/2022-02/Airbus-techdata-AC_A318_0322.pdf
2.
https://skybrary.aero/aircraft/a318
3.
https://modernairliners.com/airbus-a320-introduction/airbus-a320-specs/
4.
chrome-extension://efaidnbmnnnibpcajpcglclefindmkaj/https://rgl.faa.gov/Regulatory_and_Guidance_Library/rgMakeModel.nsf/0/9bf38dfba5668751862583360062baa0/$FILE/E37NE_Rev_14.pdf
5. 
chrome-extension://efaidnbmnnnibpcajpcglclefindmkaj/https://rgl.faa.gov/Regulatory_and_Guidance_Library/rgMakeModel.nsf/0/8b8d7ee0d2db0209862587e200690ef2/$FILE/A28NM_Rev47.pdf
6.
Pilot Operating Manual 
7. 
https://customer.janes.com/Janes/Display/JAE_0631-JAE_
</t>
        </r>
      </text>
    </comment>
    <comment ref="CX2" authorId="0" shapeId="0" xr:uid="{074A151E-4784-4872-AB4B-FE31210A9698}">
      <text>
        <r>
          <rPr>
            <sz val="11"/>
            <color theme="1"/>
            <rFont val="Calibri"/>
            <family val="2"/>
            <scheme val="minor"/>
          </rPr>
          <t xml:space="preserve">Tsai, Michael:
1.  Use fuel capacity kg MTOW kg Weight Variant 
chrome-extension://efaidnbmnnnibpcajpcglclefindmkaj/https://www.airbus.com/sites/g/files/jlcbta136/files/2022-02/Airbus-techdata-AC_A318_0322.pdf
2.
https://skybrary.aero/aircraft/a318
3.
https://modernairliners.com/airbus-a320-introduction/airbus-a320-specs/
4.
chrome-extension://efaidnbmnnnibpcajpcglclefindmkaj/https://rgl.faa.gov/Regulatory_and_Guidance_Library/rgMakeModel.nsf/0/638464a951ad6c908625723a005cb4b8/$FILE/E00064EN.pdf
5. 
chrome-extension://efaidnbmnnnibpcajpcglclefindmkaj/https://rgl.faa.gov/Regulatory_and_Guidance_Library/rgMakeModel.nsf/0/8b8d7ee0d2db0209862587e200690ef2/$FILE/A28NM_Rev47.pdf
6.
Pilot Operating Manual 
</t>
        </r>
      </text>
    </comment>
    <comment ref="CY2" authorId="0" shapeId="0" xr:uid="{979E26C6-35AC-4088-AB51-98B1C67F781E}">
      <text>
        <r>
          <rPr>
            <sz val="11"/>
            <color theme="1"/>
            <rFont val="Calibri"/>
            <family val="2"/>
            <scheme val="minor"/>
          </rPr>
          <t xml:space="preserve">Tsai, Michael:
1.  Use fuel capacity kg MTOW kg Weight Variant 
chrome-extension://efaidnbmnnnibpcajpcglclefindmkaj/https://www.airbus.com/sites/g/files/jlcbta136/files/2022-02/Airbus-techdata-AC_A318_0322.pdf
2.
https://skybrary.aero/aircraft/a318
3.
https://modernairliners.com/airbus-a320-introduction/airbus-a320-specs/
4.
chrome-extension://efaidnbmnnnibpcajpcglclefindmkaj/https://rgl.faa.gov/Regulatory_and_Guidance_Library/rgMakeModel.nsf/0/9bf38dfba5668751862583360062baa0/$FILE/E37NE_Rev_14.pdf
5. 
chrome-extension://efaidnbmnnnibpcajpcglclefindmkaj/https://rgl.faa.gov/Regulatory_and_Guidance_Library/rgMakeModel.nsf/0/8b8d7ee0d2db0209862587e200690ef2/$FILE/A28NM_Rev47.pdf
6.
Pilot Operating Manual 
</t>
        </r>
      </text>
    </comment>
    <comment ref="CZ2" authorId="0" shapeId="0" xr:uid="{6923CE3F-6AD9-4645-B420-467B9D509750}">
      <text>
        <r>
          <rPr>
            <sz val="11"/>
            <color theme="1"/>
            <rFont val="Calibri"/>
            <family val="2"/>
            <scheme val="minor"/>
          </rPr>
          <t xml:space="preserve">Tsai, Michael:
1.  Use fuel capacity kg MTOW kg Weight Variant 
chrome-extension://efaidnbmnnnibpcajpcglclefindmkaj/https://www.airbus.com/sites/g/files/jlcbta136/files/2022-02/Airbus-techdata-AC_A318_0322.pdf
2.
https://skybrary.aero/aircraft/a318
3.
https://modernairliners.com/airbus-a320-introduction/airbus-a320-specs/
4.
chrome-extension://efaidnbmnnnibpcajpcglclefindmkaj/https://rgl.faa.gov/Regulatory_and_Guidance_Library/rgMakeModel.nsf/0/638464a951ad6c908625723a005cb4b8/$FILE/E00064EN.pdf
5. 
chrome-extension://efaidnbmnnnibpcajpcglclefindmkaj/https://rgl.faa.gov/Regulatory_and_Guidance_Library/rgMakeModel.nsf/0/8b8d7ee0d2db0209862587e200690ef2/$FILE/A28NM_Rev47.pdf
6.
Pilot Operating Manual 
</t>
        </r>
      </text>
    </comment>
    <comment ref="DA2" authorId="0" shapeId="0" xr:uid="{50FFAE97-7039-40DB-93E4-D1EF0CFFE0CB}">
      <text>
        <r>
          <rPr>
            <sz val="11"/>
            <color theme="1"/>
            <rFont val="Calibri"/>
            <family val="2"/>
            <scheme val="minor"/>
          </rPr>
          <t xml:space="preserve">Tsai, Michael:
1.  Use fuel capacity 19,435 kg MTOW 64000 kg Weight Variant 
chrome-extension://efaidnbmnnnibpcajpcglclefindmkaj/https://www.airbus.com/sites/g/files/jlcbta136/files/2022-02/Airbus-techdata-AC_A319_0322.pdf
2.
https://skybrary.aero/aircraft/a319
3.
https://modernairliners.com/airbus-a320-introduction/airbus-a320-specs/
4.
chrome-extension://efaidnbmnnnibpcajpcglclefindmkaj/https://rgl.faa.gov/Regulatory_and_Guidance_Library/rgMakeModel.nsf/0/7c1d9a1a698ab1bf862583360063075f/$FILE/E38NE_Rev_13.pdf
5. 
chrome-extension://efaidnbmnnnibpcajpcglclefindmkaj/https://rgl.faa.gov/Regulatory_and_Guidance_Library/rgMakeModel.nsf/0/8b8d7ee0d2db0209862587e200690ef2/$FILE/A28NM_Rev47.pdf
6. 
A320 Family Airbus Fligt Training Pilot Manual
</t>
        </r>
      </text>
    </comment>
    <comment ref="DB2" authorId="0" shapeId="0" xr:uid="{8662A33D-858E-4582-8748-5E4AEA6EB121}">
      <text>
        <r>
          <rPr>
            <sz val="11"/>
            <color theme="1"/>
            <rFont val="Calibri"/>
            <family val="2"/>
            <scheme val="minor"/>
          </rPr>
          <t xml:space="preserve">Tsai, Michael:
1.  Use fuel capacity 19,435 kg MTOW 75500 kg Weight Variant 
chrome-extension://efaidnbmnnnibpcajpcglclefindmkaj/https://www.airbus.com/sites/g/files/jlcbta136/files/2022-02/Airbus-techdata-AC_A319_0322.pdf
2.
https://skybrary.aero/aircraft/a319
3.
https://modernairliners.com/airbus-a320-introduction/airbus-a320-specs/
4.
chrome-extension://efaidnbmnnnibpcajpcglclefindmkaj/https://rgl.faa.gov/Regulatory_and_Guidance_Library/rgMakeModel.nsf/0/98e9833c9e9b394f86257b88004d0328/$FILE/E28NE_Rev_7.pdf
5. 
chrome-extension://efaidnbmnnnibpcajpcglclefindmkaj/https://rgl.faa.gov/Regulatory_and_Guidance_Library/rgMakeModel.nsf/0/8b8d7ee0d2db0209862587e200690ef2/$FILE/A28NM_Rev47.pdf
6. 
A320 Family Airbus Fligt Training Pilot Manual
</t>
        </r>
      </text>
    </comment>
    <comment ref="DC2" authorId="0" shapeId="0" xr:uid="{8639DC40-F4D8-4CE4-A069-D220753AE86A}">
      <text>
        <r>
          <rPr>
            <sz val="11"/>
            <color theme="1"/>
            <rFont val="Calibri"/>
            <family val="2"/>
            <scheme val="minor"/>
          </rPr>
          <t xml:space="preserve">Tsai, Michael:
1.   Use fuel capacity 19,435 kg MTOW 75500 kg Weight Variant 
chrome-extension://efaidnbmnnnibpcajpcglclefindmkaj/https://www.airbus.com/sites/g/files/jlcbta136/files/2022-02/Airbus-techdata-AC_A319_0322.pdf
2.
https://skybrary.aero/aircraft/a319
3.
https://modernairliners.com/airbus-a320-introduction/airbus-a320-specs/
4.
chrome-extension://efaidnbmnnnibpcajpcglclefindmkaj/https://rgl.faa.gov/Regulatory_and_Guidance_Library/rgMakeModel.nsf/0/7c1d9a1a698ab1bf862583360063075f/$FILE/E38NE_Rev_13.pdf
5. 
chrome-extension://efaidnbmnnnibpcajpcglclefindmkaj/https://rgl.faa.gov/Regulatory_and_Guidance_Library/rgMakeModel.nsf/0/8b8d7ee0d2db0209862587e200690ef2/$FILE/A28NM_Rev47.pdf
6. 
A320 Family Airbus Fligt Training Pilot Manual
</t>
        </r>
      </text>
    </comment>
    <comment ref="DD2" authorId="0" shapeId="0" xr:uid="{AA8E78AF-7E78-499D-AEB0-215401D41042}">
      <text>
        <r>
          <rPr>
            <sz val="11"/>
            <color theme="1"/>
            <rFont val="Calibri"/>
            <family val="2"/>
            <scheme val="minor"/>
          </rPr>
          <t xml:space="preserve">Tsai, Michael:
1.   Use fuel capacity  19,435 kg MTOW 75500 kg Weight Variant 
chrome-extension://efaidnbmnnnibpcajpcglclefindmkaj/https://www.airbus.com/sites/g/files/jlcbta136/files/2022-02/Airbus-techdata-AC_A319_0322.pdf
2.
https://skybrary.aero/aircraft/a319
3.
https://modernairliners.com/airbus-a320-introduction/airbus-a320-specs/
4.
chrome-extension://efaidnbmnnnibpcajpcglclefindmkaj/https://rgl.faa.gov/Regulatory_and_Guidance_Library/rgMakeModel.nsf/0/fa74c08d4bd2d02386258281006d02a1/$FILE/E40NE_Rev_13.pdf
5. 
chrome-extension://efaidnbmnnnibpcajpcglclefindmkaj/https://rgl.faa.gov/Regulatory_and_Guidance_Library/rgMakeModel.nsf/0/8b8d7ee0d2db0209862587e200690ef2/$FILE/A28NM_Rev47.pdf
6. 
A320 Family Airbus Fligt Training Pilot Manual
7. 
https://customer.janes.com/Janes/Display/JAE_0635-JAE_
</t>
        </r>
      </text>
    </comment>
    <comment ref="DE2" authorId="0" shapeId="0" xr:uid="{51292669-7193-4FD7-8917-515CFDB37B26}">
      <text>
        <r>
          <rPr>
            <sz val="11"/>
            <color theme="1"/>
            <rFont val="Calibri"/>
            <family val="2"/>
            <scheme val="minor"/>
          </rPr>
          <t xml:space="preserve">Tsai, Michael:
1.   Use fuel capacity  19,435 kg MTOW 75500 kg Weight Variant 
chrome-extension://efaidnbmnnnibpcajpcglclefindmkaj/https://www.airbus.com/sites/g/files/jlcbta136/files/2022-02/Airbus-techdata-AC_A319_0322.pdf
2.
https://skybrary.aero/aircraft/a319
3.
https://modernairliners.com/airbus-a320-introduction/airbus-a320-specs/
4.
chrome-extension://efaidnbmnnnibpcajpcglclefindmkaj/https://rgl.faa.gov/Regulatory_and_Guidance_Library/rgMakeModel.nsf/0/fa74c08d4bd2d02386258281006d02a1/$FILE/E40NE_Rev_13.pdf
5. 
chrome-extension://efaidnbmnnnibpcajpcglclefindmkaj/https://rgl.faa.gov/Regulatory_and_Guidance_Library/rgMakeModel.nsf/0/8b8d7ee0d2db0209862587e200690ef2/$FILE/A28NM_Rev47.pdf
6. 
A320 Family Airbus Fligt Training Pilot Manual
</t>
        </r>
      </text>
    </comment>
    <comment ref="DF2" authorId="0" shapeId="0" xr:uid="{160EF62E-F8D4-4AEB-B448-320AC4276693}">
      <text>
        <r>
          <rPr>
            <sz val="11"/>
            <color theme="1"/>
            <rFont val="Calibri"/>
            <family val="2"/>
            <scheme val="minor"/>
          </rPr>
          <t xml:space="preserve">Tsai, Michael:
1.  Use fuel capacity 19059 kg MTOW 64000 kg Weight Variant 
chrome-extension://efaidnbmnnnibpcajpcglclefindmkaj/https://www.airbus.com/sites/g/files/jlcbta136/files/2022-02/Airbus-techdata-AC_A319_0322.pdf
2.
https://skybrary.aero/aircraft/a319n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6. 
A320 Family Airbus Fligt Training Pilot Manual
</t>
        </r>
      </text>
    </comment>
    <comment ref="DG2" authorId="0" shapeId="0" xr:uid="{C7D305A9-2654-42D2-98A6-222B0A2F3459}">
      <text>
        <r>
          <rPr>
            <sz val="11"/>
            <color theme="1"/>
            <rFont val="Calibri"/>
            <family val="2"/>
            <scheme val="minor"/>
          </rPr>
          <t xml:space="preserve">Tsai, Michael:
1.  Use fuel capacity 19059 kg MTOW 75500 kg Weight Variant
chrome-extension://efaidnbmnnnibpcajpcglclefindmkaj/https://www.airbus.com/sites/g/files/jlcbta136/files/2022-02/Airbus-techdata-AC_A319_0322.pdf
2.
https://skybrary.aero/aircraft/a319n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6. 
A320 Family Airbus Fligt Training Pilot Manual
</t>
        </r>
      </text>
    </comment>
    <comment ref="DH2" authorId="0" shapeId="0" xr:uid="{CC7BDA4E-9C4D-47FC-B7CA-72C30ED1DB0F}">
      <text>
        <r>
          <rPr>
            <sz val="11"/>
            <color theme="1"/>
            <rFont val="Calibri"/>
            <family val="2"/>
            <scheme val="minor"/>
          </rPr>
          <t xml:space="preserve">Tsai, Michael:
1. Use fuel capacity 19059 kg MTOW 64000 kg Weight Variant
chrome-extension://efaidnbmnnnibpcajpcglclefindmkaj/https://www.airbus.com/sites/g/files/jlcbta136/files/2022-02/Airbus-techdata-AC_A319_0322.pdf
2.
https://skybrary.aero/aircraft/a319n
3.
https://modernairliners.com/airbus-a320-introduction/airbus-a320-specs/
4.
chrome-extension://efaidnbmnnnibpcajpcglclefindmkaj/https://rgl.faa.gov/Regulatory_and_Guidance_Library/rgMakeModel.nsf/0/74e4c2086661f360862584120046b423/$FILE/E00087EN_Rev6.pdf
5. 
chrome-extension://efaidnbmnnnibpcajpcglclefindmkaj/https://rgl.faa.gov/Regulatory_and_Guidance_Library/rgMakeModel.nsf/0/8b8d7ee0d2db0209862587e200690ef2/$FILE/A28NM_Rev47.pdf
6. 
A320 Family Airbus Flight Training Pilot Manual
</t>
        </r>
      </text>
    </comment>
    <comment ref="DI2" authorId="0" shapeId="0" xr:uid="{B214048E-1BB7-4309-B3A3-795B2EE212C3}">
      <text>
        <r>
          <rPr>
            <sz val="11"/>
            <color theme="1"/>
            <rFont val="Calibri"/>
            <family val="2"/>
            <scheme val="minor"/>
          </rPr>
          <t xml:space="preserve">Tsai, Michael:
1.  Use fuel capacity 19436 kg MTOW 73500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chrome-extension://efaidnbmnnnibpcajpcglclefindmkaj/https://rgl.faa.gov/Regulatory_and_Guidance_Library/rgMakeModel.nsf/0/98e9833c9e9b394f86257b88004d0328/$FILE/E28NE_Rev_7.pdf
5. 
chrome-extension://efaidnbmnnnibpcajpcglclefindmkaj/https://rgl.faa.gov/Regulatory_and_Guidance_Library/rgMakeModel.nsf/0/8b8d7ee0d2db0209862587e200690ef2/$FILE/A28NM_Rev47.pdf
6.
A320 Family Airbus Flight Training Pilot Manual
7.
https://customer.janes.com/Janes/Display/JAE_0631-JAE_
</t>
        </r>
      </text>
    </comment>
    <comment ref="DJ2" authorId="0" shapeId="0" xr:uid="{C0B42284-D88F-4A40-870A-7D64727DDBE2}">
      <text>
        <r>
          <rPr>
            <sz val="11"/>
            <color theme="1"/>
            <rFont val="Calibri"/>
            <family val="2"/>
            <scheme val="minor"/>
          </rPr>
          <t xml:space="preserve">Tsai, Michael:
1.  Use fuel capacity 19436 kg MTOW 73500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chrome-extension://efaidnbmnnnibpcajpcglclefindmkaj/https://rgl.faa.gov/Regulatory_and_Guidance_Library/rgMakeModel.nsf/0/98e9833c9e9b394f86257b88004d0328/$FILE/E28NE_Rev_7.pdf
5. 
chrome-extension://efaidnbmnnnibpcajpcglclefindmkaj/https://rgl.faa.gov/Regulatory_and_Guidance_Library/rgMakeModel.nsf/0/8b8d7ee0d2db0209862587e200690ef2/$FILE/A28NM_Rev47.pdf
6.
A320 Family Airbus Flight Training Pilot Manual
</t>
        </r>
      </text>
    </comment>
    <comment ref="DK2" authorId="0" shapeId="0" xr:uid="{C1DAD401-74C1-4947-A6CC-6CEBB487EF4C}">
      <text>
        <r>
          <rPr>
            <sz val="11"/>
            <color theme="1"/>
            <rFont val="Calibri"/>
            <family val="2"/>
            <scheme val="minor"/>
          </rPr>
          <t xml:space="preserve">Tsai, Michael:
1.  Use fuel capacity 19436 kg MTOW 78000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chrome-extension://efaidnbmnnnibpcajpcglclefindmkaj/https://rgl.faa.gov/Regulatory_and_Guidance_Library/rgMakeModel.nsf/0/7c1d9a1a698ab1bf862583360063075f/$FILE/E38NE_Rev_13.pdf
5. 
chrome-extension://efaidnbmnnnibpcajpcglclefindmkaj/https://rgl.faa.gov/Regulatory_and_Guidance_Library/rgMakeModel.nsf/0/8b8d7ee0d2db0209862587e200690ef2/$FILE/A28NM_Rev47.pdf
6.
A320 Family Airbus Flight Training Pilot Manual
</t>
        </r>
      </text>
    </comment>
    <comment ref="DL2" authorId="0" shapeId="0" xr:uid="{56505F55-E798-4253-A302-59B984C81F90}">
      <text>
        <r>
          <rPr>
            <sz val="11"/>
            <color theme="1"/>
            <rFont val="Calibri"/>
            <family val="2"/>
            <scheme val="minor"/>
          </rPr>
          <t xml:space="preserve">Tsai, Michael:
1.  Use fuel capacity 19155 kg MTOW 73500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chrome-extension://efaidnbmnnnibpcajpcglclefindmkaj/https://rgl.faa.gov/Regulatory_and_Guidance_Library/rgMakeModel.nsf/0/f724dc616b554fc38525670c006a5edb/$FILE/E31ne.pdf
5. 
chrome-extension://efaidnbmnnnibpcajpcglclefindmkaj/https://rgl.faa.gov/Regulatory_and_Guidance_Library/rgMakeModel.nsf/0/8b8d7ee0d2db0209862587e200690ef2/$FILE/A28NM_Rev47.pdf
6.
A320 Family Airbus Flight Training Pilot Manual
</t>
        </r>
      </text>
    </comment>
    <comment ref="DM2" authorId="0" shapeId="0" xr:uid="{5C9B7D43-A66C-4072-87B3-076107752B22}">
      <text>
        <r>
          <rPr>
            <sz val="11"/>
            <color theme="1"/>
            <rFont val="Calibri"/>
            <family val="2"/>
            <scheme val="minor"/>
          </rPr>
          <t xml:space="preserve">Tsai, Michael:
1.  Use fuel capacity 19155 kg MTOW 78000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chrome-extension://efaidnbmnnnibpcajpcglclefindmkaj/https://rgl.faa.gov/Regulatory_and_Guidance_Library/rgMakeModel.nsf/0/fa74c08d4bd2d02386258281006d02a1/$FILE/E40NE_Rev_13.pdf
5. 
chrome-extension://efaidnbmnnnibpcajpcglclefindmkaj/https://rgl.faa.gov/Regulatory_and_Guidance_Library/rgMakeModel.nsf/0/8b8d7ee0d2db0209862587e200690ef2/$FILE/A28NM_Rev47.pdf
6.
A320 Family Airbus Flight Training Pilot Manual
</t>
        </r>
      </text>
    </comment>
    <comment ref="DN2" authorId="0" shapeId="0" xr:uid="{EBDF8E9A-9C55-483A-A5B1-DEF80D11FDDF}">
      <text>
        <r>
          <rPr>
            <sz val="11"/>
            <color theme="1"/>
            <rFont val="Calibri"/>
            <family val="2"/>
            <scheme val="minor"/>
          </rPr>
          <t xml:space="preserve">Tsai, Michael:
1.  Use fuel capacity 19059 kg MTOW 73500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6.
A320 Family Airbus Flight Training Pilot Manual
</t>
        </r>
      </text>
    </comment>
    <comment ref="DO2" authorId="0" shapeId="0" xr:uid="{4E09F194-A545-4988-A312-4F21D4A28EB7}">
      <text>
        <r>
          <rPr>
            <sz val="11"/>
            <color theme="1"/>
            <rFont val="Calibri"/>
            <family val="2"/>
            <scheme val="minor"/>
          </rPr>
          <t xml:space="preserve">Tsai, Michael:
1.  Use fuel capacity 19059 kg MTOW 79000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6.
A320 Family Airbus Flight Training Pilot Manual
</t>
        </r>
      </text>
    </comment>
    <comment ref="DP2" authorId="0" shapeId="0" xr:uid="{925A8339-5DAD-434D-A557-BBAC1B26935F}">
      <text>
        <r>
          <rPr>
            <sz val="11"/>
            <color theme="1"/>
            <rFont val="Calibri"/>
            <family val="2"/>
            <scheme val="minor"/>
          </rPr>
          <t xml:space="preserve">Tsai, Michael:
1.  Use fuel capacity 19059 kg MTOW 79000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chrome-extension://efaidnbmnnnibpcajpcglclefindmkaj/https://rgl.faa.gov/Regulatory_and_Guidance_Library/rgMakeModel.nsf/0/74e4c2086661f360862584120046b423/$FILE/E00087EN_Rev6.pdf
5. 
chrome-extension://efaidnbmnnnibpcajpcglclefindmkaj/https://rgl.faa.gov/Regulatory_and_Guidance_Library/rgMakeModel.nsf/0/8b8d7ee0d2db0209862587e200690ef2/$FILE/A28NM_Rev47.pdf
6.
A320 Family Airbus Flight Training Pilot Manual
</t>
        </r>
      </text>
    </comment>
    <comment ref="DQ2" authorId="0" shapeId="0" xr:uid="{D6E728B3-7515-4D28-AF76-9A390339A559}">
      <text>
        <r>
          <rPr>
            <sz val="11"/>
            <color theme="1"/>
            <rFont val="Calibri"/>
            <family val="2"/>
            <scheme val="minor"/>
          </rPr>
          <t xml:space="preserve">Tsai, Michael:
1.  Use fuel capacity 19059 kg MTOW 73500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chrome-extension://efaidnbmnnnibpcajpcglclefindmkaj/https://rgl.faa.gov/Regulatory_and_Guidance_Library/rgMakeModel.nsf/0/74e4c2086661f360862584120046b423/$FILE/E00087EN_Rev6.pdf
5. 
chrome-extension://efaidnbmnnnibpcajpcglclefindmkaj/https://rgl.faa.gov/Regulatory_and_Guidance_Library/rgMakeModel.nsf/0/8b8d7ee0d2db0209862587e200690ef2/$FILE/A28NM_Rev47.pdf
6.
A320 Family Airbus Flight Training Pilot Manual
</t>
        </r>
      </text>
    </comment>
    <comment ref="DR2" authorId="0" shapeId="0" xr:uid="{9FD2E882-6F5C-4CD4-95C2-BFF2D9CE64AA}">
      <text>
        <r>
          <rPr>
            <sz val="11"/>
            <color theme="1"/>
            <rFont val="Calibri"/>
            <family val="2"/>
            <scheme val="minor"/>
          </rPr>
          <t xml:space="preserve">Tsai, Michael:
1.  Use fuel capacity 19059 kg MTOW 79000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6.
A320 Family Airbus Flight Training Pilot Manual
</t>
        </r>
      </text>
    </comment>
    <comment ref="DS2" authorId="0" shapeId="0" xr:uid="{86581DAB-1AC3-4B64-A7A0-FECC185A3627}">
      <text>
        <r>
          <rPr>
            <sz val="11"/>
            <color theme="1"/>
            <rFont val="Calibri"/>
            <family val="2"/>
            <scheme val="minor"/>
          </rPr>
          <t xml:space="preserve">Tsai, Michael:
1.  Use fuel capacity 19059 kg MTOW 79000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chrome-extension://efaidnbmnnnibpcajpcglclefindmkaj/https://rgl.faa.gov/Regulatory_and_Guidance_Library/rgMakeModel.nsf/0/74e4c2086661f360862584120046b423/$FILE/E00087EN_Rev6.pdf
5. 
chrome-extension://efaidnbmnnnibpcajpcglclefindmkaj/https://rgl.faa.gov/Regulatory_and_Guidance_Library/rgMakeModel.nsf/0/8b8d7ee0d2db0209862587e200690ef2/$FILE/A28NM_Rev47.pdf
6.
A320 Family Airbus Flight Training Pilot Manual
</t>
        </r>
      </text>
    </comment>
    <comment ref="DT2" authorId="0" shapeId="0" xr:uid="{48E50D50-FDA8-4953-9375-264C1677A536}">
      <text>
        <r>
          <rPr>
            <sz val="11"/>
            <color theme="1"/>
            <rFont val="Calibri"/>
            <family val="2"/>
            <scheme val="minor"/>
          </rPr>
          <t xml:space="preserve">Tsai, Michael:
1.  Use fuel capacity 19,308 kg MTOW 83000 kg Weight Variant 
chrome-extension://efaidnbmnnnibpcajpcglclefindmkaj/https://www.airbus.com/sites/g/files/jlcbta136/files/2022-02/Airbus-techdata-AC_A321_0322.pdf
2.
https://skybrary.aero/aircraft/a321
3.
https://modernairliners.com/airbus-a320-introduction/airbus-a320-specs/
4.
chrome-extension://efaidnbmnnnibpcajpcglclefindmkaj/https://rgl.faa.gov/Regulatory_and_Guidance_Library/rgMakeModel.nsf/0/7c1d9a1a698ab1bf862583360063075f/$FILE/E38NE_Rev_13.pdf
5. 
chrome-extension://efaidnbmnnnibpcajpcglclefindmkaj/https://rgl.faa.gov/Regulatory_and_Guidance_Library/rgMakeModel.nsf/0/8b8d7ee0d2db0209862587e200690ef2/$FILE/A28NM_Rev47.pdf
6.
https://customer.janes.com/Janes/Display/JAE_0631-JAE_
</t>
        </r>
      </text>
    </comment>
    <comment ref="DU2" authorId="0" shapeId="0" xr:uid="{41FDF285-F20D-4E12-B23A-ECCE047EA5A4}">
      <text>
        <r>
          <rPr>
            <sz val="11"/>
            <color theme="1"/>
            <rFont val="Calibri"/>
            <family val="2"/>
            <scheme val="minor"/>
          </rPr>
          <t xml:space="preserve">Tsai, Michael:
1.  Use fuel capacity 19,027 kg MTOW 83000 kg Weight Variant 
chrome-extension://efaidnbmnnnibpcajpcglclefindmkaj/https://www.airbus.com/sites/g/files/jlcbta136/files/2022-02/Airbus-techdata-AC_A321_0322.pdf
2.
https://skybrary.aero/aircraft/a321
3.
https://modernairliners.com/airbus-a320-introduction/airbus-a320-specs/
4.
chrome-extension://efaidnbmnnnibpcajpcglclefindmkaj/https://rgl.faa.gov/Regulatory_and_Guidance_Library/rgMakeModel.nsf/0/fa74c08d4bd2d02386258281006d02a1/$FILE/E40NE_Rev_13.pdf
5. 
chrome-extension://efaidnbmnnnibpcajpcglclefindmkaj/https://rgl.faa.gov/Regulatory_and_Guidance_Library/rgMakeModel.nsf/0/8b8d7ee0d2db0209862587e200690ef2/$FILE/A28NM_Rev47.pdf
</t>
        </r>
      </text>
    </comment>
    <comment ref="DV2" authorId="0" shapeId="0" xr:uid="{8464CA91-AD2D-4356-A9F0-664224BCE542}">
      <text>
        <r>
          <rPr>
            <sz val="11"/>
            <color theme="1"/>
            <rFont val="Calibri"/>
            <family val="2"/>
            <scheme val="minor"/>
          </rPr>
          <t xml:space="preserve">Tsai, Michael:
1.  Use fuel capacity 19,308 kg MTOW 89000 kg Weight Variant 
chrome-extension://efaidnbmnnnibpcajpcglclefindmkaj/https://www.airbus.com/sites/g/files/jlcbta136/files/2022-02/Airbus-techdata-AC_A321_0322.pdf
2.
https://skybrary.aero/aircraft/a321
3.
https://modernairliners.com/airbus-a320-introduction/airbus-a320-specs/
4.
chrome-extension://efaidnbmnnnibpcajpcglclefindmkaj/https://rgl.faa.gov/Regulatory_and_Guidance_Library/rgMakeModel.nsf/0/7c1d9a1a698ab1bf862583360063075f/$FILE/E38NE_Rev_13.pdf
5. 
chrome-extension://efaidnbmnnnibpcajpcglclefindmkaj/https://rgl.faa.gov/Regulatory_and_Guidance_Library/rgMakeModel.nsf/0/8b8d7ee0d2db0209862587e200690ef2/$FILE/A28NM_Rev47.pdf
</t>
        </r>
      </text>
    </comment>
    <comment ref="DW2" authorId="0" shapeId="0" xr:uid="{C3992DFB-EE75-4042-AFEC-C83D2C0DA003}">
      <text>
        <r>
          <rPr>
            <sz val="11"/>
            <color theme="1"/>
            <rFont val="Calibri"/>
            <family val="2"/>
            <scheme val="minor"/>
          </rPr>
          <t xml:space="preserve">Tsai, Michael:
1.  Use fuel capacity 19,308 kg MTOW 93500 kg Weight Variant 
chrome-extension://efaidnbmnnnibpcajpcglclefindmkaj/https://www.airbus.com/sites/g/files/jlcbta136/files/2022-02/Airbus-techdata-AC_A321_0322.pdf
2.
https://skybrary.aero/aircraft/a321
3.
https://modernairliners.com/airbus-a320-introduction/airbus-a320-specs/
4.
chrome-extension://efaidnbmnnnibpcajpcglclefindmkaj/https://rgl.faa.gov/Regulatory_and_Guidance_Library/rgMakeModel.nsf/0/7c1d9a1a698ab1bf862583360063075f/$FILE/E38NE_Rev_13.pdf
5. 
chrome-extension://efaidnbmnnnibpcajpcglclefindmkaj/https://rgl.faa.gov/Regulatory_and_Guidance_Library/rgMakeModel.nsf/0/8b8d7ee0d2db0209862587e200690ef2/$FILE/A28NM_Rev47.pdf
</t>
        </r>
      </text>
    </comment>
    <comment ref="DX2" authorId="0" shapeId="0" xr:uid="{61229A0D-3407-456F-AE33-0B820BA365BF}">
      <text>
        <r>
          <rPr>
            <sz val="11"/>
            <color theme="1"/>
            <rFont val="Calibri"/>
            <family val="2"/>
            <scheme val="minor"/>
          </rPr>
          <t xml:space="preserve">Tsai, Michael:
1.  Use fuel capacity 19,027 kg MTOW 93500 kg Weight Variant 
chrome-extension://efaidnbmnnnibpcajpcglclefindmkaj/https://www.airbus.com/sites/g/files/jlcbta136/files/2022-02/Airbus-techdata-AC_A321_0322.pdf
2.
https://skybrary.aero/aircraft/a321
3.
https://modernairliners.com/airbus-a320-introduction/airbus-a320-specs/
4.
chrome-extension://efaidnbmnnnibpcajpcglclefindmkaj/https://rgl.faa.gov/Regulatory_and_Guidance_Library/rgMakeModel.nsf/0/fa74c08d4bd2d02386258281006d02a1/$FILE/E40NE_Rev_13.pdf
5. 
chrome-extension://efaidnbmnnnibpcajpcglclefindmkaj/https://rgl.faa.gov/Regulatory_and_Guidance_Library/rgMakeModel.nsf/0/8b8d7ee0d2db0209862587e200690ef2/$FILE/A28NM_Rev47.pdf
</t>
        </r>
      </text>
    </comment>
    <comment ref="DY2" authorId="0" shapeId="0" xr:uid="{A72649E1-4888-4E71-B079-2D794E67509B}">
      <text>
        <r>
          <rPr>
            <sz val="11"/>
            <color theme="1"/>
            <rFont val="Calibri"/>
            <family val="2"/>
            <scheme val="minor"/>
          </rPr>
          <t xml:space="preserve">Tsai, Michael:
1.  Use fuel capacity 18,859 kg MTOW 89000 kg Weight Variant 
chrome-extension://efaidnbmnnnibpcajpcglclefindmkaj/https://www.airbus.com/sites/g/files/jlcbta136/files/2022-02/Airbus-techdata-AC_A321_0322.pdf
2.
https://skybrary.aero/aircraft/a21n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t>
        </r>
      </text>
    </comment>
    <comment ref="DZ2" authorId="0" shapeId="0" xr:uid="{8B881B6C-5D87-47D5-9F7A-58104793DF0D}">
      <text>
        <r>
          <rPr>
            <sz val="11"/>
            <color theme="1"/>
            <rFont val="Calibri"/>
            <family val="2"/>
            <scheme val="minor"/>
          </rPr>
          <t xml:space="preserve">Tsai, Michael:
1.  Use fuel capacity 18,859 kg MTOW 93500 kg Weight Variant 
chrome-extension://efaidnbmnnnibpcajpcglclefindmkaj/https://www.airbus.com/sites/g/files/jlcbta136/files/2022-02/Airbus-techdata-AC_A321_0322.pdf
2.
https://skybrary.aero/aircraft/a21n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t>
        </r>
      </text>
    </comment>
    <comment ref="EA2" authorId="0" shapeId="0" xr:uid="{4628BE2D-0F93-463E-9D17-37E312C8F166}">
      <text>
        <r>
          <rPr>
            <sz val="11"/>
            <color theme="1"/>
            <rFont val="Calibri"/>
            <family val="2"/>
            <scheme val="minor"/>
          </rPr>
          <t xml:space="preserve">Tsai, Michael:
1.  Use fuel capacity 18,859 kg MTOW 93500 kg Weight Variant 
chrome-extension://efaidnbmnnnibpcajpcglclefindmkaj/https://www.airbus.com/sites/g/files/jlcbta136/files/2022-02/Airbus-techdata-AC_A321_0322.pdf
2.
https://skybrary.aero/aircraft/a21n
3.
https://modernairliners.com/airbus-a320-introduction/airbus-a320-specs/
4.
chrome-extension://efaidnbmnnnibpcajpcglclefindmkaj/https://rgl.faa.gov/Regulatory_and_Guidance_Library/rgMakeModel.nsf/0/74e4c2086661f360862584120046b423/$FILE/E00087EN_Rev6.pdf
5. 
chrome-extension://efaidnbmnnnibpcajpcglclefindmkaj/https://rgl.faa.gov/Regulatory_and_Guidance_Library/rgMakeModel.nsf/0/8b8d7ee0d2db0209862587e200690ef2/$FILE/A28NM_Rev47.pdf
</t>
        </r>
      </text>
    </comment>
    <comment ref="EB2" authorId="0" shapeId="0" xr:uid="{F60AE5CC-7950-485B-89DD-EE6A33A0BC1E}">
      <text>
        <r>
          <rPr>
            <sz val="11"/>
            <color theme="1"/>
            <rFont val="Calibri"/>
            <family val="2"/>
            <scheme val="minor"/>
          </rPr>
          <t xml:space="preserve">Tsai, Michael:
1.  Use fuel capacity 26,448 kg MTOW 97000 kg Weight Variant 
chrome-extension://efaidnbmnnnibpcajpcglclefindmkaj/https://www.airbus.com/sites/g/files/jlcbta136/files/2022-02/Airbus-techdata-AC_A321_0322.pdf
2.
https://skybrary.aero/aircraft/a21n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t>
        </r>
      </text>
    </comment>
    <comment ref="EC2" authorId="0" shapeId="0" xr:uid="{41F0C8BA-F651-48AE-B103-1059B67E49A5}">
      <text>
        <r>
          <rPr>
            <sz val="11"/>
            <color theme="1"/>
            <rFont val="Calibri"/>
            <family val="2"/>
            <scheme val="minor"/>
          </rPr>
          <t xml:space="preserve">Tsai, Michael:
1.  Use fuel capacity kg MTOW 101000 kg Weight Variant 
chrome-extension://efaidnbmnnnibpcajpcglclefindmkaj/https://www.airbus.com/sites/g/files/jlcbta136/files/2022-02/Airbus-techdata-AC_A321_0322.pdf
2.
https://skybrary.aero/aircraft/a21n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t>
        </r>
      </text>
    </comment>
    <comment ref="ED2" authorId="0" shapeId="0" xr:uid="{588C9D1C-E52B-4398-ADB7-684CCE370026}">
      <text>
        <r>
          <rPr>
            <sz val="11"/>
            <color theme="1"/>
            <rFont val="Calibri"/>
            <family val="2"/>
            <scheme val="minor"/>
          </rPr>
          <t xml:space="preserve">Tsai, Michael:
1.  Use fuel capacity 
31,911kg MTOW 101000 kg Weight Variant 
chrome-extension://efaidnbmnnnibpcajpcglclefindmkaj/https://www.airbus.com/sites/g/files/jlcbta136/files/2022-02/Airbus-techdata-AC_A321_0322.pdf
2.
https://skybrary.aero/aircraft/a21n
3.
https://modernairliners.com/airbus-a320-introduction/airbus-a320-specs/
4.
chrome-extension://efaidnbmnnnibpcajpcglclefindmkaj/https://rgl.faa.gov/Regulatory_and_Guidance_Library/rgMakeModel.nsf/0/74e4c2086661f360862584120046b423/$FILE/E00087EN_Rev6.pdf
5. 
chrome-extension://efaidnbmnnnibpcajpcglclefindmkaj/https://rgl.faa.gov/Regulatory_and_Guidance_Library/rgMakeModel.nsf/0/8b8d7ee0d2db0209862587e200690ef2/$FILE/A28NM_Rev47.pdf
</t>
        </r>
      </text>
    </comment>
    <comment ref="EE2" authorId="0" shapeId="0" xr:uid="{E4BF5FBA-A720-43CE-A986-2F8A8AC1CAA1}">
      <text>
        <r>
          <rPr>
            <sz val="11"/>
            <color theme="1"/>
            <rFont val="Calibri"/>
            <family val="2"/>
            <scheme val="minor"/>
          </rPr>
          <t xml:space="preserve">Tsai, Michael:
1.  Use fuel capacity kg MTOW kg Weight Variant 
https://customer.janes.com/Janes/Display/JAWA0061-JAWA
2.
FAA ERJ
3.
ERJ APM
4.
https://skybrary.aero/aircraft/e170
5. 
chrome-extension://efaidnbmnnnibpcajpcglclefindmkaj/https://rgl.faa.gov/Regulatory_and_Guidance_Library/rgMakeModel.nsf/0/8791d80ecf9b508486258074005a16b0/$FILE/E00063EN_Rev_8.pdf
</t>
        </r>
      </text>
    </comment>
    <comment ref="EF2" authorId="0" shapeId="0" xr:uid="{DFD3F630-1B90-4813-AD78-76F6BEE8D7FD}">
      <text>
        <r>
          <rPr>
            <sz val="11"/>
            <color theme="1"/>
            <rFont val="Calibri"/>
            <family val="2"/>
            <scheme val="minor"/>
          </rPr>
          <t xml:space="preserve">Tsai, Michael:
1.  Use fuel capacity kg MTOW kg Weight Variant 
https://customer.janes.com/Janes/Display/JAWA0061-JAWA
2.
FAA ERJ
3.
ERJ APM
4.
5. 
</t>
        </r>
      </text>
    </comment>
    <comment ref="EG2" authorId="0" shapeId="0" xr:uid="{03DEFB4F-9195-4DFB-B5B0-9B5D0B3D4B00}">
      <text>
        <r>
          <rPr>
            <sz val="11"/>
            <color theme="1"/>
            <rFont val="Calibri"/>
            <family val="2"/>
            <scheme val="minor"/>
          </rPr>
          <t xml:space="preserve">Tsai, Michael:
1.  Use fuel capacity kg MTOW kg Weight Variant 
https://customer.janes.com/Janes/Display/JAWA0061-JAWA
2.
FAA ERJ
3.
ERJ APM
4.
5. 
</t>
        </r>
      </text>
    </comment>
    <comment ref="EH2" authorId="0" shapeId="0" xr:uid="{0CD23476-0D83-447B-AFFD-BF27EBEA617C}">
      <text>
        <r>
          <rPr>
            <sz val="11"/>
            <color theme="1"/>
            <rFont val="Calibri"/>
            <family val="2"/>
            <scheme val="minor"/>
          </rPr>
          <t xml:space="preserve">Tsai, Michael:
1.  Use fuel capacity kg MTOW kg Weight Variant 
https://customer.janes.com/Janes/Display/JAWA0061-JAWA
2.
FAA ERJ
3.
ERJ APM
4.
5. 
</t>
        </r>
      </text>
    </comment>
    <comment ref="EI2" authorId="0" shapeId="0" xr:uid="{ACAAF042-8E0C-4FDE-B23D-7D5856FF87D0}">
      <text>
        <r>
          <rPr>
            <sz val="11"/>
            <color theme="1"/>
            <rFont val="Calibri"/>
            <family val="2"/>
            <scheme val="minor"/>
          </rPr>
          <t xml:space="preserve">Tsai, Michael:
1.  Use fuel capacity kg MTOW kg Weight Variant 
https://customer.janes.com/Janes/Display/JAWA0061-JAWA
2.
FAA ERJ
3.
ERJ APM
4.
5. 
</t>
        </r>
      </text>
    </comment>
    <comment ref="EJ2" authorId="0" shapeId="0" xr:uid="{0060E090-CD7C-4B86-9CF9-FE866D7C903F}">
      <text>
        <r>
          <rPr>
            <sz val="11"/>
            <color theme="1"/>
            <rFont val="Calibri"/>
            <family val="2"/>
            <scheme val="minor"/>
          </rPr>
          <t xml:space="preserve">Tsai, Michael:
1.  Use fuel capacity kg MTOW kg Weight Variant 
https://customer.janes.com/Janes/Display/JAWA0061-JAWA
2.
FAA ERJ
3.
ERJ APM
4.
5. 
</t>
        </r>
      </text>
    </comment>
    <comment ref="EK2" authorId="0" shapeId="0" xr:uid="{2B6414E8-D147-4907-81FD-49E7A7C87C0C}">
      <text>
        <r>
          <rPr>
            <sz val="11"/>
            <color theme="1"/>
            <rFont val="Calibri"/>
            <family val="2"/>
            <scheme val="minor"/>
          </rPr>
          <t xml:space="preserve">Tsai, Michael:
1.  Use fuel capacity kg MTOW kg Weight Variant 
https://customer.janes.com/Janes/Display/JAWA0061-JAWA
2.
chrome-extension://efaidnbmnnnibpcajpcglclefindmkaj/https://rgl.faa.gov/Regulatory_and_Guidance_Library/rgMakeModel.nsf/0/f1ceafc6b7c41c07862587d4004dd1a6/$FILE/A57NM_Rev22.pdf
3.
ERJ APM
4.
https://www.skybrary.aero/aircraft/e190
5. 
</t>
        </r>
      </text>
    </comment>
    <comment ref="EL2" authorId="0" shapeId="0" xr:uid="{9DB4FAC8-FA75-40F8-9293-DBE8A9813343}">
      <text>
        <r>
          <rPr>
            <sz val="11"/>
            <color theme="1"/>
            <rFont val="Calibri"/>
            <family val="2"/>
            <scheme val="minor"/>
          </rPr>
          <t xml:space="preserve">Tsai, Michael:
1.  Use fuel capacity kg MTOW kg Weight Variant 
https://customer.janes.com/Janes/Display/JAWA0061-JAWA
2.
chrome-extension://efaidnbmnnnibpcajpcglclefindmkaj/https://rgl.faa.gov/Regulatory_and_Guidance_Library/rgMakeModel.nsf/0/f1ceafc6b7c41c07862587d4004dd1a6/$FILE/A57NM_Rev22.pdf
3.
ERJ APM
4.
5. 
</t>
        </r>
      </text>
    </comment>
    <comment ref="EM2" authorId="0" shapeId="0" xr:uid="{C0896631-4492-4D58-82FD-946CC99FD47D}">
      <text>
        <r>
          <rPr>
            <sz val="11"/>
            <color theme="1"/>
            <rFont val="Calibri"/>
            <family val="2"/>
            <scheme val="minor"/>
          </rPr>
          <t xml:space="preserve">Tsai, Michael:
1.  Use fuel capacity kg MTOW kg Weight Variant 
https://customer.janes.com/Janes/Display/JAWA0061-JAWA
2.
chrome-extension://efaidnbmnnnibpcajpcglclefindmkaj/https://rgl.faa.gov/Regulatory_and_Guidance_Library/rgMakeModel.nsf/0/f1ceafc6b7c41c07862587d4004dd1a6/$FILE/A57NM_Rev22.pdf
3.
ERJ APM
4.
5. 
</t>
        </r>
      </text>
    </comment>
    <comment ref="EN2" authorId="0" shapeId="0" xr:uid="{647FA70E-5273-4318-87D5-29574A19FC83}">
      <text>
        <r>
          <rPr>
            <sz val="11"/>
            <color theme="1"/>
            <rFont val="Calibri"/>
            <family val="2"/>
            <scheme val="minor"/>
          </rPr>
          <t xml:space="preserve">Tsai, Michael:
1.  Use fuel capacity kg MTOW kg Weight Variant 
https://customer.janes.com/Janes/Display/JAWA0061-JAWA
2.
chrome-extension://efaidnbmnnnibpcajpcglclefindmkaj/https://rgl.faa.gov/Regulatory_and_Guidance_Library/rgMakeModel.nsf/0/f1ceafc6b7c41c07862587d4004dd1a6/$FILE/A57NM_Rev22.pdf
3.
ERJ APM
4.
5. 
</t>
        </r>
      </text>
    </comment>
    <comment ref="EO2" authorId="0" shapeId="0" xr:uid="{D8FA5CF1-9B1B-467E-ADC6-D6EF25AE64ED}">
      <text>
        <r>
          <rPr>
            <sz val="11"/>
            <color theme="1"/>
            <rFont val="Calibri"/>
            <family val="2"/>
            <scheme val="minor"/>
          </rPr>
          <t xml:space="preserve">Tsai, Michael:
1.  Use fuel capacity kg MTOW kg Weight Variant 
https://customer.janes.com/Janes/Display/JAWA0061-JAWA
2.
chrome-extension://efaidnbmnnnibpcajpcglclefindmkaj/https://rgl.faa.gov/Regulatory_and_Guidance_Library/rgMakeModel.nsf/0/f1ceafc6b7c41c07862587d4004dd1a6/$FILE/A57NM_Rev22.pdf
3.
ERJ APM
4.
5. 
</t>
        </r>
      </text>
    </comment>
    <comment ref="EP2" authorId="0" shapeId="0" xr:uid="{8F2143CB-2479-495D-8086-41125D09984A}">
      <text>
        <r>
          <rPr>
            <sz val="11"/>
            <color theme="1"/>
            <rFont val="Calibri"/>
            <family val="2"/>
            <scheme val="minor"/>
          </rPr>
          <t xml:space="preserve">Tsai, Michael:
1.  Use fuel capacity kg MTOW kg Weight Variant 
https://customer.janes.com/Janes/Display/JAWA0061-JAWA
2.
chrome-extension://efaidnbmnnnibpcajpcglclefindmkaj/https://rgl.faa.gov/Regulatory_and_Guidance_Library/rgMakeModel.nsf/0/f1ceafc6b7c41c07862587d4004dd1a6/$FILE/A57NM_Rev22.pdf
3.
ERJ APM
4.
5. 
</t>
        </r>
      </text>
    </comment>
    <comment ref="EQ2" authorId="0" shapeId="0" xr:uid="{62404D8B-C81E-459F-9480-9851AA6D3C33}">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ER2" authorId="0" shapeId="0" xr:uid="{86552D96-DE75-4EBB-9EF6-D3A982209EAA}">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ES2" authorId="0" shapeId="0" xr:uid="{2D050755-DA39-4DA5-815A-B72CA0DC14AE}">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ET2" authorId="0" shapeId="0" xr:uid="{42368523-C8C2-45C9-BE9A-E00E7B38FE78}">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EU2" authorId="0" shapeId="0" xr:uid="{0689472A-68EC-4C80-AE29-052691A5BAF2}">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EV2" authorId="0" shapeId="0" xr:uid="{9B22CA70-7853-4B5C-9E62-2EE9A4F06B1A}">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EW2" authorId="0" shapeId="0" xr:uid="{41FD173B-D2CC-437E-9D2F-948BC2AB3EC7}">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EX2" authorId="0" shapeId="0" xr:uid="{74B56581-D2CB-4C4B-83C9-CFC2CDEEDFF4}">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EY2" authorId="0" shapeId="0" xr:uid="{CF011EBA-93E9-4A95-95A0-DB0F11EE7308}">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EZ2" authorId="0" shapeId="0" xr:uid="{52AC063A-0B1A-445A-896D-0FC0D6E51293}">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https://www.klm.com/information/travel-class-extra-options/aircraft-types/embraer-195-e2#about-the-embraer-195-e2
5. 
</t>
        </r>
      </text>
    </comment>
    <comment ref="FA2" authorId="0" shapeId="0" xr:uid="{E1BB5E37-737A-4A0C-AD46-DB2D786A2AEA}">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chrome-extension://efaidnbmnnnibpcajpcglclefindmkaj/https://customer.aero.bombardier.com/webd/BAG/CustSite/BRAD/RACSDocument.nsf/51aae8b2b3bfdf6685256c300045ff31/ec63f8639ff3ab9d85257c1500635bd8/$FILE/ATT1ES4H.pdf/CRJ200APMR8.pdf
3.
4.
5. 
</t>
        </r>
      </text>
    </comment>
    <comment ref="FB2" authorId="0" shapeId="0" xr:uid="{8D52CE8A-652F-4677-A8AA-2BE06A8BDA6B}">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chrome-extension://efaidnbmnnnibpcajpcglclefindmkaj/https://customer.aero.bombardier.com/webd/BAG/CustSite/BRAD/RACSDocument.nsf/51aae8b2b3bfdf6685256c300045ff31/ec63f8639ff3ab9d85257c1500635bd8/$FILE/ATT1ES4H.pdf/CRJ200APMR8.pdf
3.
https://drs.faa.gov/browse/excelExternalWindow/D2BF05B9565184E886257CFC004E7259.0001
4.
5. 
</t>
        </r>
      </text>
    </comment>
    <comment ref="FC2" authorId="0" shapeId="0" xr:uid="{817BD760-EF94-423E-A390-5887705AAC99}">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chrome-extension://efaidnbmnnnibpcajpcglclefindmkaj/https://customer.aero.bombardier.com/webd/BAG/CustSite/BRAD/RACSDocument.nsf/51aae8b2b3bfdf6685256c300045ff31/ec63f8639ff3ab9d85257c1500635bd8/$FILE/ATT1ES4H.pdf/CRJ200APMR8.pdf
3.
4.
5. 
</t>
        </r>
      </text>
    </comment>
    <comment ref="FD2" authorId="0" shapeId="0" xr:uid="{A132AEFA-9FE0-43A7-B572-E8EF088BB100}">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chrome-extension://efaidnbmnnnibpcajpcglclefindmkaj/https://customer.aero.bombardier.com/webd/BAG/CustSite/BRAD/RACSDocument.nsf/51aae8b2b3bfdf6685256c300045ff31/ec63f8639ff3ab9d85257c1500635bd8/$FILE/ATT1ES4H.pdf/CRJ200APMR8.pdf
3.
4.
5. 
</t>
        </r>
      </text>
    </comment>
    <comment ref="FE2" authorId="0" shapeId="0" xr:uid="{4E34B932-1E27-4FFD-9345-1C58FD9BD226}">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chrome-extension://efaidnbmnnnibpcajpcglclefindmkaj/https://customer.aero.bombardier.com/webd/BAG/CustSite/BRAD/RACSDocument.nsf/51aae8b2b3bfdf6685256c300045ff31/ec63f8639ff3ab9d85257c1500635bd8/$FILE/ATT1ES4H.pdf/CRJ200APMR8.pdf
3.
4.
5. 
</t>
        </r>
      </text>
    </comment>
    <comment ref="FF2" authorId="0" shapeId="0" xr:uid="{AA28006C-B9F8-4A32-A169-FB16C61957FA}">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chrome-extension://efaidnbmnnnibpcajpcglclefindmkaj/https://customer.aero.bombardier.com/webd/BAG/CustSite/BRAD/RACSDocument.nsf/51aae8b2b3bfdf6685256c300045ff31/ec63f8639ff3ab9d85257c1500635bd8/$FILE/ATTE8Q23.pdf/CRJ700APMR15.pdf
3.
4.
5. 
</t>
        </r>
      </text>
    </comment>
    <comment ref="FG2" authorId="0" shapeId="0" xr:uid="{EC9C4388-6647-42B1-B85A-6906B9A04BD7}">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chrome-extension://efaidnbmnnnibpcajpcglclefindmkaj/https://customer.aero.bombardier.com/webd/BAG/CustSite/BRAD/RACSDocument.nsf/51aae8b2b3bfdf6685256c300045ff31/ec63f8639ff3ab9d85257c1500635bd8/$FILE/ATTQF1EY.pdf/CRJ900APMR11.pdf
3.
4.
5. 
</t>
        </r>
      </text>
    </comment>
    <comment ref="FH2" authorId="0" shapeId="0" xr:uid="{95B8C471-0388-46C7-97A3-32FE5D094507}">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chrome-extension://efaidnbmnnnibpcajpcglclefindmkaj/https://customer.aero.bombardier.com/webd/BAG/CustSite/BRAD/RACSDocument.nsf/51aae8b2b3bfdf6685256c300045ff31/ec63f8639ff3ab9d85257c1500635bd8/$FILE/ATTQF1EY.pdf/CRJ900APMR11.pdf
3.
4.
5. 
</t>
        </r>
      </text>
    </comment>
    <comment ref="FI2" authorId="0" shapeId="0" xr:uid="{D07319AC-D250-43BB-8633-6BC37178898F}">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chrome-extension://efaidnbmnnnibpcajpcglclefindmkaj/https://customer.aero.bombardier.com/webd/BAG/CustSite/BRAD/RACSDocument.nsf/51aae8b2b3bfdf6685256c300045ff31/ec63f8639ff3ab9d85257c1500635bd8/$FILE/ATT82VLY.pdf/CRJ1000APMR8.pdf
3.
4.
5. 
</t>
        </r>
      </text>
    </comment>
    <comment ref="A5" authorId="0" shapeId="0" xr:uid="{3A4EBC79-2CC3-4D7A-B4B9-16A67A618C40}">
      <text>
        <r>
          <rPr>
            <sz val="11"/>
            <color theme="1"/>
            <rFont val="Calibri"/>
            <family val="2"/>
            <scheme val="minor"/>
          </rPr>
          <t>Tsai, Michael:
&lt;19 TJ (Light Red)
20 - 100 TJ (Light Green)
100 - 250 TJ (Light Blue)
Business Jets (Purple)</t>
        </r>
      </text>
    </comment>
    <comment ref="AG7" authorId="0" shapeId="0" xr:uid="{7EB19750-B50D-4F96-8417-1049F2DAA818}">
      <text>
        <r>
          <rPr>
            <sz val="11"/>
            <color theme="1"/>
            <rFont val="Calibri"/>
            <family val="2"/>
            <scheme val="minor"/>
          </rPr>
          <t>Tsai, Michael:
7 pallets + 69 passenger
or 
13 pallets</t>
        </r>
      </text>
    </comment>
    <comment ref="AR7" authorId="0" shapeId="0" xr:uid="{2CDE0C2A-A79A-4EDA-A5F1-C09C147B99E7}">
      <text>
        <r>
          <rPr>
            <sz val="11"/>
            <color theme="1"/>
            <rFont val="Calibri"/>
            <family val="2"/>
            <scheme val="minor"/>
          </rPr>
          <t xml:space="preserve">Tsai, Michael:
First class: 12 
Economy: 73
</t>
        </r>
      </text>
    </comment>
    <comment ref="C8" authorId="0" shapeId="0" xr:uid="{88757D62-D1B3-4FD3-A296-ECDD203B0E8E}">
      <text>
        <r>
          <rPr>
            <sz val="11"/>
            <color theme="1"/>
            <rFont val="Calibri"/>
            <family val="2"/>
            <scheme val="minor"/>
          </rPr>
          <t>Tsai, Michael:
FAA Exit Limit: 172</t>
        </r>
      </text>
    </comment>
    <comment ref="D8" authorId="0" shapeId="0" xr:uid="{C591C3F9-CE99-4B35-A7BF-024D5073962E}">
      <text>
        <r>
          <rPr>
            <sz val="11"/>
            <color theme="1"/>
            <rFont val="Calibri"/>
            <family val="2"/>
            <scheme val="minor"/>
          </rPr>
          <t>Tsai, Michael:
FAA Exit Limit: 172</t>
        </r>
      </text>
    </comment>
    <comment ref="E8" authorId="0" shapeId="0" xr:uid="{700D97A5-D3C4-4875-B43E-6627F0461E73}">
      <text>
        <r>
          <rPr>
            <sz val="11"/>
            <color theme="1"/>
            <rFont val="Calibri"/>
            <family val="2"/>
            <scheme val="minor"/>
          </rPr>
          <t>Tsai, Michael:
FAA Exit Limit: 172</t>
        </r>
      </text>
    </comment>
    <comment ref="F8" authorId="0" shapeId="0" xr:uid="{695644EA-6FD5-4F0A-A3AD-6984CDA49008}">
      <text>
        <r>
          <rPr>
            <sz val="11"/>
            <color theme="1"/>
            <rFont val="Calibri"/>
            <family val="2"/>
            <scheme val="minor"/>
          </rPr>
          <t xml:space="preserve">Tsai, Michael:
FAA Exit Limit: </t>
        </r>
      </text>
    </comment>
    <comment ref="G8" authorId="0" shapeId="0" xr:uid="{901B8563-DD82-41D8-A0C1-20FE82DF2EEE}">
      <text>
        <r>
          <rPr>
            <sz val="11"/>
            <color theme="1"/>
            <rFont val="Calibri"/>
            <family val="2"/>
            <scheme val="minor"/>
          </rPr>
          <t xml:space="preserve">Tsai, Michael:
FAA Exit Limit: </t>
        </r>
      </text>
    </comment>
    <comment ref="H8" authorId="0" shapeId="0" xr:uid="{F9C7201A-B6CD-4F62-A276-302248E758B4}">
      <text>
        <r>
          <rPr>
            <sz val="11"/>
            <color theme="1"/>
            <rFont val="Calibri"/>
            <family val="2"/>
            <scheme val="minor"/>
          </rPr>
          <t xml:space="preserve">Tsai, Michael:
FAA Exit Limit: </t>
        </r>
      </text>
    </comment>
    <comment ref="I8" authorId="0" shapeId="0" xr:uid="{99AB69A8-99A7-4476-8BE2-BBFFF4F782F8}">
      <text>
        <r>
          <rPr>
            <sz val="11"/>
            <color theme="1"/>
            <rFont val="Calibri"/>
            <family val="2"/>
            <scheme val="minor"/>
          </rPr>
          <t xml:space="preserve">Tsai, Michael:
FAA Exit Limit: </t>
        </r>
      </text>
    </comment>
    <comment ref="J8" authorId="0" shapeId="0" xr:uid="{33E0E6C3-DF4E-4560-B8A7-94C45B38C93F}">
      <text>
        <r>
          <rPr>
            <sz val="11"/>
            <color theme="1"/>
            <rFont val="Calibri"/>
            <family val="2"/>
            <scheme val="minor"/>
          </rPr>
          <t xml:space="preserve">Tsai, Michael:
FAA Exit Limit: </t>
        </r>
      </text>
    </comment>
    <comment ref="AA8" authorId="0" shapeId="0" xr:uid="{347B5023-FAF3-4245-A40C-E2DD5F0566C5}">
      <text>
        <r>
          <rPr>
            <sz val="11"/>
            <color theme="1"/>
            <rFont val="Calibri"/>
            <family val="2"/>
            <scheme val="minor"/>
          </rPr>
          <t xml:space="preserve">Tsai, Michael:
FAA Exit Limit: 156 </t>
        </r>
      </text>
    </comment>
    <comment ref="AB8" authorId="0" shapeId="0" xr:uid="{9D0DE74B-565F-49D8-B508-D32B2A134F5D}">
      <text>
        <r>
          <rPr>
            <sz val="11"/>
            <color theme="1"/>
            <rFont val="Calibri"/>
            <family val="2"/>
            <scheme val="minor"/>
          </rPr>
          <t xml:space="preserve">Tsai, Michael:
FAA Exit Limit: 156 </t>
        </r>
      </text>
    </comment>
    <comment ref="AJ8" authorId="0" shapeId="0" xr:uid="{589912B6-619B-43CA-BDFD-7F421618CA54}">
      <text>
        <r>
          <rPr>
            <sz val="11"/>
            <color theme="1"/>
            <rFont val="Calibri"/>
            <family val="2"/>
            <scheme val="minor"/>
          </rPr>
          <t>Tsai, Michael:
FAA Exit Limit: 125</t>
        </r>
      </text>
    </comment>
    <comment ref="AK8" authorId="0" shapeId="0" xr:uid="{8016DB7D-468E-4152-9A71-AB5ADD603D1A}">
      <text>
        <r>
          <rPr>
            <sz val="11"/>
            <color theme="1"/>
            <rFont val="Calibri"/>
            <family val="2"/>
            <scheme val="minor"/>
          </rPr>
          <t>Tsai, Michael:
FAA Exit Limit: 125</t>
        </r>
      </text>
    </comment>
    <comment ref="AL8" authorId="0" shapeId="0" xr:uid="{71C3C75F-152A-4482-AF8D-4C254BB6BABD}">
      <text>
        <r>
          <rPr>
            <sz val="11"/>
            <color theme="1"/>
            <rFont val="Calibri"/>
            <family val="2"/>
            <scheme val="minor"/>
          </rPr>
          <t>Tsai, Michael:
FAA Exit Limit: 125</t>
        </r>
      </text>
    </comment>
    <comment ref="AM8" authorId="0" shapeId="0" xr:uid="{8FC293D0-0A69-4CE3-A3EA-CC4A6D4CCF11}">
      <text>
        <r>
          <rPr>
            <sz val="11"/>
            <color theme="1"/>
            <rFont val="Calibri"/>
            <family val="2"/>
            <scheme val="minor"/>
          </rPr>
          <t>Tsai, Michael:
FAA Exit Limit: 125</t>
        </r>
      </text>
    </comment>
    <comment ref="AN8" authorId="0" shapeId="0" xr:uid="{EE800735-0AFA-4C20-9B16-06BE058EDC4D}">
      <text>
        <r>
          <rPr>
            <sz val="11"/>
            <color theme="1"/>
            <rFont val="Calibri"/>
            <family val="2"/>
            <scheme val="minor"/>
          </rPr>
          <t>Tsai, Michael:
FAA Exit Limit: 189</t>
        </r>
      </text>
    </comment>
    <comment ref="AO8" authorId="0" shapeId="0" xr:uid="{9AC83753-562F-4E5C-A716-B837FB9EC942}">
      <text>
        <r>
          <rPr>
            <sz val="11"/>
            <color theme="1"/>
            <rFont val="Calibri"/>
            <family val="2"/>
            <scheme val="minor"/>
          </rPr>
          <t>Tsai, Michael:
FAA Exit Limit: 189</t>
        </r>
      </text>
    </comment>
    <comment ref="AP8" authorId="0" shapeId="0" xr:uid="{EE5DB86E-4520-4424-B6F8-2D54583C779E}">
      <text>
        <r>
          <rPr>
            <sz val="11"/>
            <color theme="1"/>
            <rFont val="Calibri"/>
            <family val="2"/>
            <scheme val="minor"/>
          </rPr>
          <t>Tsai, Michael:
FAA Exit Limit: 189</t>
        </r>
      </text>
    </comment>
    <comment ref="AQ8" authorId="0" shapeId="0" xr:uid="{C1954D1A-D76D-453E-8C75-63B41FAE84B3}">
      <text>
        <r>
          <rPr>
            <sz val="11"/>
            <color theme="1"/>
            <rFont val="Calibri"/>
            <family val="2"/>
            <scheme val="minor"/>
          </rPr>
          <t>Tsai, Michael:
FAA Exit Limit: 189</t>
        </r>
      </text>
    </comment>
    <comment ref="AR8" authorId="0" shapeId="0" xr:uid="{C48A8A00-EF74-4B4A-8517-C536D8B91511}">
      <text>
        <r>
          <rPr>
            <sz val="11"/>
            <color theme="1"/>
            <rFont val="Calibri"/>
            <family val="2"/>
            <scheme val="minor"/>
          </rPr>
          <t xml:space="preserve">Tsai, Michael:
FAA exit limit: 124
</t>
        </r>
      </text>
    </comment>
    <comment ref="AS8" authorId="0" shapeId="0" xr:uid="{8A38AA1E-CCC2-488C-BC15-1FB78844A85B}">
      <text>
        <r>
          <rPr>
            <sz val="11"/>
            <color theme="1"/>
            <rFont val="Calibri"/>
            <family val="2"/>
            <scheme val="minor"/>
          </rPr>
          <t xml:space="preserve">Tsai, Michael:
FAA Exit Limit: 136
</t>
        </r>
      </text>
    </comment>
    <comment ref="AT8" authorId="0" shapeId="0" xr:uid="{3F29510D-AC2D-40C8-84EB-23241A3A1EB0}">
      <text>
        <r>
          <rPr>
            <sz val="11"/>
            <color theme="1"/>
            <rFont val="Calibri"/>
            <family val="2"/>
            <scheme val="minor"/>
          </rPr>
          <t>Tsai, Michael:
FAA Exit Limit: 136</t>
        </r>
      </text>
    </comment>
    <comment ref="AU8" authorId="0" shapeId="0" xr:uid="{1DF34C6E-1968-49EB-B455-2CD862C8C116}">
      <text>
        <r>
          <rPr>
            <sz val="11"/>
            <color theme="1"/>
            <rFont val="Calibri"/>
            <family val="2"/>
            <scheme val="minor"/>
          </rPr>
          <t xml:space="preserve">Tsai, Michael:
FAA Exit Limit 136
</t>
        </r>
      </text>
    </comment>
    <comment ref="AV8" authorId="0" shapeId="0" xr:uid="{CF5B16C9-C2E2-8A44-A136-84571DF68B7E}">
      <text>
        <r>
          <rPr>
            <sz val="11"/>
            <color theme="1"/>
            <rFont val="Calibri"/>
            <family val="2"/>
            <scheme val="minor"/>
          </rPr>
          <t xml:space="preserve">Tsai, Michael:
FAA Exit Limit 136
</t>
        </r>
      </text>
    </comment>
    <comment ref="AW8" authorId="0" shapeId="0" xr:uid="{F89F6191-003A-4516-BCC6-126A2D7EFF37}">
      <text>
        <r>
          <rPr>
            <sz val="11"/>
            <color theme="1"/>
            <rFont val="Calibri"/>
            <family val="2"/>
            <scheme val="minor"/>
          </rPr>
          <t xml:space="preserve">Tsai, Michael:
FAA Exit Limit 136
</t>
        </r>
      </text>
    </comment>
    <comment ref="AX8" authorId="0" shapeId="0" xr:uid="{049EDD61-7861-4D17-867F-6F2DDFCF40AC}">
      <text>
        <r>
          <rPr>
            <sz val="11"/>
            <color theme="1"/>
            <rFont val="Calibri"/>
            <family val="2"/>
            <scheme val="minor"/>
          </rPr>
          <t xml:space="preserve">Tsai, Michael:
FAA Exit Limit 136
</t>
        </r>
      </text>
    </comment>
    <comment ref="AZ8" authorId="0" shapeId="0" xr:uid="{0E16907E-81CB-4D0C-ACE7-A2B821866E91}">
      <text>
        <r>
          <rPr>
            <sz val="11"/>
            <color theme="1"/>
            <rFont val="Calibri"/>
            <family val="2"/>
            <scheme val="minor"/>
          </rPr>
          <t>Tsai, Michael:
FAA EXIT limit: 136</t>
        </r>
      </text>
    </comment>
    <comment ref="BA8" authorId="0" shapeId="0" xr:uid="{5C83A6A5-BDC1-4EB5-B99B-EB86319E7B28}">
      <text>
        <r>
          <rPr>
            <sz val="11"/>
            <color theme="1"/>
            <rFont val="Calibri"/>
            <family val="2"/>
            <scheme val="minor"/>
          </rPr>
          <t xml:space="preserve">Tsai, Michael:
FAA Exit Limit: 149
</t>
        </r>
      </text>
    </comment>
    <comment ref="BB8" authorId="0" shapeId="0" xr:uid="{32BCABC1-A3BD-49A0-8FB7-5A3398409369}">
      <text>
        <r>
          <rPr>
            <sz val="11"/>
            <color theme="1"/>
            <rFont val="Calibri"/>
            <family val="2"/>
            <scheme val="minor"/>
          </rPr>
          <t xml:space="preserve">Tsai, Michael:
FAA Exit Limit: 149
</t>
        </r>
      </text>
    </comment>
    <comment ref="BC8" authorId="0" shapeId="0" xr:uid="{236695E8-5211-475F-A090-EDDC7539DB49}">
      <text>
        <r>
          <rPr>
            <sz val="11"/>
            <color theme="1"/>
            <rFont val="Calibri"/>
            <family val="2"/>
            <scheme val="minor"/>
          </rPr>
          <t xml:space="preserve">Tsai, Michael:
FAA Exit Limit: 189
</t>
        </r>
      </text>
    </comment>
    <comment ref="BD8" authorId="0" shapeId="0" xr:uid="{43F5DD23-75EC-4C39-ABBA-FED1E92AD6A8}">
      <text>
        <r>
          <rPr>
            <sz val="11"/>
            <color theme="1"/>
            <rFont val="Calibri"/>
            <family val="2"/>
            <scheme val="minor"/>
          </rPr>
          <t xml:space="preserve">Tsai, Michael:
FAA Exit Limit: 189
</t>
        </r>
      </text>
    </comment>
    <comment ref="BE8" authorId="0" shapeId="0" xr:uid="{F33418EC-5178-4BC6-A8A6-9695650CED6E}">
      <text>
        <r>
          <rPr>
            <sz val="11"/>
            <color theme="1"/>
            <rFont val="Calibri"/>
            <family val="2"/>
            <scheme val="minor"/>
          </rPr>
          <t xml:space="preserve">Tsai, Michael:
FAA Exit Limit: 149
</t>
        </r>
      </text>
    </comment>
    <comment ref="BF8" authorId="0" shapeId="0" xr:uid="{016578D0-09C3-4387-80EC-47A939FCC457}">
      <text>
        <r>
          <rPr>
            <sz val="11"/>
            <color theme="1"/>
            <rFont val="Calibri"/>
            <family val="2"/>
            <scheme val="minor"/>
          </rPr>
          <t xml:space="preserve">Tsai, Michael:
FAA Limit: 149
</t>
        </r>
      </text>
    </comment>
    <comment ref="BG8" authorId="0" shapeId="0" xr:uid="{96D90035-A6B0-481E-86FD-7DF884A08C7F}">
      <text>
        <r>
          <rPr>
            <sz val="11"/>
            <color theme="1"/>
            <rFont val="Calibri"/>
            <family val="2"/>
            <scheme val="minor"/>
          </rPr>
          <t>Tsai, Michael:
FAA Limit: 149</t>
        </r>
      </text>
    </comment>
    <comment ref="BH8" authorId="0" shapeId="0" xr:uid="{E9363F33-2A0B-4D8A-B69C-C0F8506B0734}">
      <text>
        <r>
          <rPr>
            <sz val="11"/>
            <color theme="1"/>
            <rFont val="Calibri"/>
            <family val="2"/>
            <scheme val="minor"/>
          </rPr>
          <t xml:space="preserve">Tsai, Michael:
FAA Limit: 189
</t>
        </r>
      </text>
    </comment>
    <comment ref="BJ8" authorId="0" shapeId="0" xr:uid="{DB627B55-D623-48F3-8E08-CC40BE7238E9}">
      <text>
        <r>
          <rPr>
            <sz val="11"/>
            <color theme="1"/>
            <rFont val="Calibri"/>
            <family val="2"/>
            <scheme val="minor"/>
          </rPr>
          <t>Tsai, Michael:
FAA Exit Limit: 215</t>
        </r>
      </text>
    </comment>
    <comment ref="BO8" authorId="0" shapeId="0" xr:uid="{7BD45DB9-5857-40A5-870F-0D9735E7C17E}">
      <text>
        <r>
          <rPr>
            <sz val="11"/>
            <color theme="1"/>
            <rFont val="Calibri"/>
            <family val="2"/>
            <scheme val="minor"/>
          </rPr>
          <t>Tsai, Michael:
Only has one class configuration</t>
        </r>
      </text>
    </comment>
    <comment ref="BT8" authorId="0" shapeId="0" xr:uid="{C6492B17-85C9-4445-A9B2-2769A0AAB1CE}">
      <text>
        <r>
          <rPr>
            <sz val="11"/>
            <color theme="1"/>
            <rFont val="Calibri"/>
            <family val="2"/>
            <scheme val="minor"/>
          </rPr>
          <t>Tsai, Michael
overwing-exit configuration airplane</t>
        </r>
      </text>
    </comment>
    <comment ref="BU8" authorId="0" shapeId="0" xr:uid="{701DD561-B3FA-4536-BA5C-3BB603F0187C}">
      <text>
        <r>
          <rPr>
            <sz val="11"/>
            <color theme="1"/>
            <rFont val="Calibri"/>
            <family val="2"/>
            <scheme val="minor"/>
          </rPr>
          <t>Tsai, Michael:
Four-Door Configuration</t>
        </r>
      </text>
    </comment>
    <comment ref="BV8" authorId="0" shapeId="0" xr:uid="{A3156F51-ECD3-4149-8273-5040340CC6B2}">
      <text>
        <r>
          <rPr>
            <sz val="11"/>
            <color theme="1"/>
            <rFont val="Calibri"/>
            <family val="2"/>
            <scheme val="minor"/>
          </rPr>
          <t>Tsai, Michael
overwing-exit configuration airplane</t>
        </r>
      </text>
    </comment>
    <comment ref="BW8" authorId="0" shapeId="0" xr:uid="{8D7E542F-30EB-4D68-8A38-EAF3FB6588DD}">
      <text>
        <r>
          <rPr>
            <sz val="11"/>
            <color theme="1"/>
            <rFont val="Calibri"/>
            <family val="2"/>
            <scheme val="minor"/>
          </rPr>
          <t>Tsai, Michael:
Four-Door Configuration</t>
        </r>
      </text>
    </comment>
    <comment ref="BX8" authorId="0" shapeId="0" xr:uid="{749847E9-4B74-418E-ABB4-B7F1FA664699}">
      <text>
        <r>
          <rPr>
            <sz val="11"/>
            <color theme="1"/>
            <rFont val="Calibri"/>
            <family val="2"/>
            <scheme val="minor"/>
          </rPr>
          <t>Tsai, Michael:
Cargo</t>
        </r>
      </text>
    </comment>
    <comment ref="BY8" authorId="0" shapeId="0" xr:uid="{B7DEC05D-FEE8-4814-8ACE-8A853E154B9E}">
      <text>
        <r>
          <rPr>
            <sz val="11"/>
            <color theme="1"/>
            <rFont val="Calibri"/>
            <family val="2"/>
            <scheme val="minor"/>
          </rPr>
          <t>Tsai, Michael:
Cargo</t>
        </r>
      </text>
    </comment>
    <comment ref="CD8" authorId="0" shapeId="0" xr:uid="{6E5BC796-68D1-4B21-B4AD-039D5301104B}">
      <text>
        <r>
          <rPr>
            <sz val="11"/>
            <color theme="1"/>
            <rFont val="Calibri"/>
            <family val="2"/>
            <scheme val="minor"/>
          </rPr>
          <t>Tsai, Michael:
FAA Exit Limit: 255</t>
        </r>
      </text>
    </comment>
    <comment ref="CE8" authorId="0" shapeId="0" xr:uid="{679B6750-9EB8-4D05-BDDC-6D0322A5232B}">
      <text>
        <r>
          <rPr>
            <sz val="11"/>
            <color theme="1"/>
            <rFont val="Calibri"/>
            <family val="2"/>
            <scheme val="minor"/>
          </rPr>
          <t>Tsai, Michael:
FAA Exit Limit: 255</t>
        </r>
      </text>
    </comment>
    <comment ref="CF8" authorId="0" shapeId="0" xr:uid="{5557CACB-5CEC-4474-92AA-206F24761AEF}">
      <text>
        <r>
          <rPr>
            <sz val="11"/>
            <color theme="1"/>
            <rFont val="Calibri"/>
            <family val="2"/>
            <scheme val="minor"/>
          </rPr>
          <t>Tsai, Michael:
FAA Exit Limit: 255</t>
        </r>
      </text>
    </comment>
    <comment ref="CG8" authorId="0" shapeId="0" xr:uid="{7C20CFE0-5685-41FA-AE83-9BC1731A377B}">
      <text>
        <r>
          <rPr>
            <sz val="11"/>
            <color theme="1"/>
            <rFont val="Calibri"/>
            <family val="2"/>
            <scheme val="minor"/>
          </rPr>
          <t>Tsai, Michael:
FAA Exit Limit: 255</t>
        </r>
      </text>
    </comment>
    <comment ref="CH8" authorId="0" shapeId="0" xr:uid="{22931CF9-8965-4AD1-9D5E-C24A82AD0AD0}">
      <text>
        <r>
          <rPr>
            <sz val="11"/>
            <color theme="1"/>
            <rFont val="Calibri"/>
            <family val="2"/>
            <scheme val="minor"/>
          </rPr>
          <t>Tsai, Michael:
FAA Exit Limit: 255</t>
        </r>
      </text>
    </comment>
    <comment ref="CI8" authorId="0" shapeId="0" xr:uid="{E960391A-5ADC-48C4-8817-40853FA1450F}">
      <text>
        <r>
          <rPr>
            <sz val="11"/>
            <color theme="1"/>
            <rFont val="Calibri"/>
            <family val="2"/>
            <scheme val="minor"/>
          </rPr>
          <t>Tsai, Michael:
FAA Exit Limit: 255</t>
        </r>
      </text>
    </comment>
    <comment ref="CJ8" authorId="0" shapeId="0" xr:uid="{6AA589CD-4E1C-4D09-A2F5-5EA4C4908BAD}">
      <text>
        <r>
          <rPr>
            <sz val="11"/>
            <color theme="1"/>
            <rFont val="Calibri"/>
            <family val="2"/>
            <scheme val="minor"/>
          </rPr>
          <t>Tsai, Michael:
FAA Exit limit: 255</t>
        </r>
      </text>
    </comment>
    <comment ref="CK8" authorId="0" shapeId="0" xr:uid="{F69BD4C3-445F-4C35-A76B-9E5995A94597}">
      <text>
        <r>
          <rPr>
            <sz val="11"/>
            <color theme="1"/>
            <rFont val="Calibri"/>
            <family val="2"/>
            <scheme val="minor"/>
          </rPr>
          <t>Tsai, Michael:
FAA Exit limit: 255</t>
        </r>
      </text>
    </comment>
    <comment ref="CL8" authorId="0" shapeId="0" xr:uid="{36F6F7F8-59FB-4748-AF27-AD6F306A2F8B}">
      <text>
        <r>
          <rPr>
            <sz val="11"/>
            <color theme="1"/>
            <rFont val="Calibri"/>
            <family val="2"/>
            <scheme val="minor"/>
          </rPr>
          <t>Tsai, Michael:
FAA Exit limit: 255</t>
        </r>
      </text>
    </comment>
    <comment ref="CM8" authorId="0" shapeId="0" xr:uid="{ED117C07-68E5-4A2E-BE97-C8B53286380F}">
      <text>
        <r>
          <rPr>
            <sz val="11"/>
            <color theme="1"/>
            <rFont val="Calibri"/>
            <family val="2"/>
            <scheme val="minor"/>
          </rPr>
          <t>Tsai, Michael:
FAA Exit limit: 255</t>
        </r>
      </text>
    </comment>
    <comment ref="CN8" authorId="0" shapeId="0" xr:uid="{8C1093F0-492C-4DAD-9B9A-A4C93A14E251}">
      <text>
        <r>
          <rPr>
            <sz val="11"/>
            <color theme="1"/>
            <rFont val="Calibri"/>
            <family val="2"/>
            <scheme val="minor"/>
          </rPr>
          <t>Tsai, Michael:
FAA Exit Limit: 265</t>
        </r>
      </text>
    </comment>
    <comment ref="CO8" authorId="0" shapeId="0" xr:uid="{7FFD9829-E283-43EC-AB6D-A66133D909C3}">
      <text>
        <r>
          <rPr>
            <sz val="11"/>
            <color theme="1"/>
            <rFont val="Calibri"/>
            <family val="2"/>
            <scheme val="minor"/>
          </rPr>
          <t>Tsai, Michael:
FAA Exit Limit: 265</t>
        </r>
      </text>
    </comment>
    <comment ref="CP8" authorId="0" shapeId="0" xr:uid="{CD545AF2-42E9-4365-8187-95FA5B858704}">
      <text>
        <r>
          <rPr>
            <sz val="11"/>
            <color theme="1"/>
            <rFont val="Calibri"/>
            <family val="2"/>
            <scheme val="minor"/>
          </rPr>
          <t>Tsai, Michael:
FAA Exit Limit: 265</t>
        </r>
      </text>
    </comment>
    <comment ref="CQ8" authorId="0" shapeId="0" xr:uid="{91AF8A50-0863-4330-8389-03756734C641}">
      <text>
        <r>
          <rPr>
            <sz val="11"/>
            <color theme="1"/>
            <rFont val="Calibri"/>
            <family val="2"/>
            <scheme val="minor"/>
          </rPr>
          <t>Tsai, Michael:
FAA Exit Limit: 265</t>
        </r>
      </text>
    </comment>
    <comment ref="CR8" authorId="0" shapeId="0" xr:uid="{E1EF3298-EA3E-4B95-9443-084172A74D49}">
      <text>
        <r>
          <rPr>
            <sz val="11"/>
            <color theme="1"/>
            <rFont val="Calibri"/>
            <family val="2"/>
            <scheme val="minor"/>
          </rPr>
          <t>Tsai, Michael:
FAA Exit Limit: 265</t>
        </r>
      </text>
    </comment>
    <comment ref="CS8" authorId="0" shapeId="0" xr:uid="{165FF10C-255B-4DD6-9285-A488E8875A8E}">
      <text>
        <r>
          <rPr>
            <sz val="11"/>
            <color theme="1"/>
            <rFont val="Calibri"/>
            <family val="2"/>
            <scheme val="minor"/>
          </rPr>
          <t>Tsai, Michael:
FAA Exit Limit: 265</t>
        </r>
      </text>
    </comment>
    <comment ref="CT8" authorId="0" shapeId="0" xr:uid="{C5E1B87E-BE3B-4F51-985A-3EBC805DA84F}">
      <text>
        <r>
          <rPr>
            <sz val="11"/>
            <color theme="1"/>
            <rFont val="Calibri"/>
            <family val="2"/>
            <scheme val="minor"/>
          </rPr>
          <t>Tsai, Michael:
FAA Exit Limit: 265</t>
        </r>
      </text>
    </comment>
    <comment ref="CU8" authorId="0" shapeId="0" xr:uid="{391CC36C-27F9-4877-849A-6CD23EA63368}">
      <text>
        <r>
          <rPr>
            <sz val="11"/>
            <color theme="1"/>
            <rFont val="Calibri"/>
            <family val="2"/>
            <scheme val="minor"/>
          </rPr>
          <t>Tsai, Michael:
FAA Exit Limit: 265</t>
        </r>
      </text>
    </comment>
    <comment ref="CV8" authorId="0" shapeId="0" xr:uid="{13636351-197E-4DAF-8A99-CA4A3CE654C2}">
      <text>
        <r>
          <rPr>
            <sz val="11"/>
            <color theme="1"/>
            <rFont val="Calibri"/>
            <family val="2"/>
            <scheme val="minor"/>
          </rPr>
          <t>Tsai, Michael:
FAA Exit Limit: 265</t>
        </r>
      </text>
    </comment>
    <comment ref="CW8" authorId="0" shapeId="0" xr:uid="{D4CB5B79-7A6D-4FFD-8A27-EB1B88F762BF}">
      <text>
        <r>
          <rPr>
            <sz val="11"/>
            <color theme="1"/>
            <rFont val="Calibri"/>
            <family val="2"/>
            <scheme val="minor"/>
          </rPr>
          <t xml:space="preserve">Tsai, Michael:
FAA Exit Limit: </t>
        </r>
      </text>
    </comment>
    <comment ref="CX8" authorId="0" shapeId="0" xr:uid="{8BB2DD02-9C09-412F-9A94-C0B83A9FBB05}">
      <text>
        <r>
          <rPr>
            <sz val="11"/>
            <color theme="1"/>
            <rFont val="Calibri"/>
            <family val="2"/>
            <scheme val="minor"/>
          </rPr>
          <t xml:space="preserve">Tsai, Michael:
FAA Exit Limit: </t>
        </r>
      </text>
    </comment>
    <comment ref="CY8" authorId="0" shapeId="0" xr:uid="{47C389CF-313B-4FEF-9ECA-0BF96A545B83}">
      <text>
        <r>
          <rPr>
            <sz val="11"/>
            <color theme="1"/>
            <rFont val="Calibri"/>
            <family val="2"/>
            <scheme val="minor"/>
          </rPr>
          <t xml:space="preserve">Tsai, Michael:
FAA Exit Limit: </t>
        </r>
      </text>
    </comment>
    <comment ref="CZ8" authorId="0" shapeId="0" xr:uid="{DA9C68B5-F6A1-4994-9226-96BBA38228BA}">
      <text>
        <r>
          <rPr>
            <sz val="11"/>
            <color theme="1"/>
            <rFont val="Calibri"/>
            <family val="2"/>
            <scheme val="minor"/>
          </rPr>
          <t xml:space="preserve">Tsai, Michael:
FAA Exit Limit: </t>
        </r>
      </text>
    </comment>
    <comment ref="DA8" authorId="0" shapeId="0" xr:uid="{71DF8E3A-82CF-485F-A586-CF005A938BA4}">
      <text>
        <r>
          <rPr>
            <sz val="11"/>
            <color theme="1"/>
            <rFont val="Calibri"/>
            <family val="2"/>
            <scheme val="minor"/>
          </rPr>
          <t xml:space="preserve">Tsai, Michael:
FAA Exit Limit: </t>
        </r>
      </text>
    </comment>
    <comment ref="DB8" authorId="0" shapeId="0" xr:uid="{6EB853A2-BE8A-45CF-9758-DD28591BCB06}">
      <text>
        <r>
          <rPr>
            <sz val="11"/>
            <color theme="1"/>
            <rFont val="Calibri"/>
            <family val="2"/>
            <scheme val="minor"/>
          </rPr>
          <t xml:space="preserve">Tsai, Michael:
FAA Exit Limit: </t>
        </r>
      </text>
    </comment>
    <comment ref="DC8" authorId="0" shapeId="0" xr:uid="{8E3C6339-76C5-48B2-A54D-D0C8E5CA1515}">
      <text>
        <r>
          <rPr>
            <sz val="11"/>
            <color theme="1"/>
            <rFont val="Calibri"/>
            <family val="2"/>
            <scheme val="minor"/>
          </rPr>
          <t xml:space="preserve">Tsai, Michael:
FAA Exit Limit: </t>
        </r>
      </text>
    </comment>
    <comment ref="DD8" authorId="0" shapeId="0" xr:uid="{073B995D-8113-4C8E-9136-F9156DB7CA95}">
      <text>
        <r>
          <rPr>
            <sz val="11"/>
            <color theme="1"/>
            <rFont val="Calibri"/>
            <family val="2"/>
            <scheme val="minor"/>
          </rPr>
          <t xml:space="preserve">Tsai, Michael:
FAA Exit Limit: </t>
        </r>
      </text>
    </comment>
    <comment ref="DE8" authorId="0" shapeId="0" xr:uid="{5F53D6D5-CDB8-4044-B36A-AF3ECD89909A}">
      <text>
        <r>
          <rPr>
            <sz val="11"/>
            <color theme="1"/>
            <rFont val="Calibri"/>
            <family val="2"/>
            <scheme val="minor"/>
          </rPr>
          <t xml:space="preserve">Tsai, Michael:
FAA Exit Limit: </t>
        </r>
      </text>
    </comment>
    <comment ref="DF8" authorId="0" shapeId="0" xr:uid="{6F98F7AB-471E-4492-BE81-287C1A64AFDA}">
      <text>
        <r>
          <rPr>
            <sz val="11"/>
            <color theme="1"/>
            <rFont val="Calibri"/>
            <family val="2"/>
            <scheme val="minor"/>
          </rPr>
          <t xml:space="preserve">Tsai, Michael:
FAA Exit Limit: </t>
        </r>
      </text>
    </comment>
    <comment ref="DG8" authorId="0" shapeId="0" xr:uid="{7B18F2B2-870C-463B-9F67-F3C2E31BC6E4}">
      <text>
        <r>
          <rPr>
            <sz val="11"/>
            <color theme="1"/>
            <rFont val="Calibri"/>
            <family val="2"/>
            <scheme val="minor"/>
          </rPr>
          <t xml:space="preserve">Tsai, Michael:
FAA Exit Limit: </t>
        </r>
      </text>
    </comment>
    <comment ref="DH8" authorId="0" shapeId="0" xr:uid="{286CD48E-72F8-4227-8194-930EE6EA20B9}">
      <text>
        <r>
          <rPr>
            <sz val="11"/>
            <color theme="1"/>
            <rFont val="Calibri"/>
            <family val="2"/>
            <scheme val="minor"/>
          </rPr>
          <t xml:space="preserve">Tsai, Michael:
FAA Exit Limit: </t>
        </r>
      </text>
    </comment>
    <comment ref="DI8" authorId="0" shapeId="0" xr:uid="{531EFDAC-70A3-45BD-891F-E61EA5E77665}">
      <text>
        <r>
          <rPr>
            <sz val="11"/>
            <color theme="1"/>
            <rFont val="Calibri"/>
            <family val="2"/>
            <scheme val="minor"/>
          </rPr>
          <t xml:space="preserve">Tsai, Michael:
FAA Exit Limit: </t>
        </r>
      </text>
    </comment>
    <comment ref="DJ8" authorId="0" shapeId="0" xr:uid="{320A13BD-F4BD-4C1D-8602-7847DF060E1F}">
      <text>
        <r>
          <rPr>
            <sz val="11"/>
            <color theme="1"/>
            <rFont val="Calibri"/>
            <family val="2"/>
            <scheme val="minor"/>
          </rPr>
          <t xml:space="preserve">Tsai, Michael:
FAA Exit Limit: </t>
        </r>
      </text>
    </comment>
    <comment ref="DK8" authorId="0" shapeId="0" xr:uid="{11EE52BA-A75D-4E46-A194-25FE4FEF29F0}">
      <text>
        <r>
          <rPr>
            <sz val="11"/>
            <color theme="1"/>
            <rFont val="Calibri"/>
            <family val="2"/>
            <scheme val="minor"/>
          </rPr>
          <t xml:space="preserve">Tsai, Michael:
FAA Exit Limit: </t>
        </r>
      </text>
    </comment>
    <comment ref="DL8" authorId="0" shapeId="0" xr:uid="{26AF08C5-3BAA-4006-AA08-235A9D1F24BD}">
      <text>
        <r>
          <rPr>
            <sz val="11"/>
            <color theme="1"/>
            <rFont val="Calibri"/>
            <family val="2"/>
            <scheme val="minor"/>
          </rPr>
          <t xml:space="preserve">Tsai, Michael:
FAA Exit Limit: </t>
        </r>
      </text>
    </comment>
    <comment ref="DM8" authorId="0" shapeId="0" xr:uid="{14B448F0-6285-42EA-9D2C-8BD1471EE5CD}">
      <text>
        <r>
          <rPr>
            <sz val="11"/>
            <color theme="1"/>
            <rFont val="Calibri"/>
            <family val="2"/>
            <scheme val="minor"/>
          </rPr>
          <t xml:space="preserve">Tsai, Michael:
FAA Exit Limit: </t>
        </r>
      </text>
    </comment>
    <comment ref="DN8" authorId="0" shapeId="0" xr:uid="{7B88DFE0-4BF9-4487-8FFF-69CCB7643150}">
      <text>
        <r>
          <rPr>
            <sz val="11"/>
            <color theme="1"/>
            <rFont val="Calibri"/>
            <family val="2"/>
            <scheme val="minor"/>
          </rPr>
          <t xml:space="preserve">Tsai, Michael:
FAA Exit Limit: </t>
        </r>
      </text>
    </comment>
    <comment ref="DO8" authorId="0" shapeId="0" xr:uid="{00C5CEEF-05B4-4888-9861-EA863437239A}">
      <text>
        <r>
          <rPr>
            <sz val="11"/>
            <color theme="1"/>
            <rFont val="Calibri"/>
            <family val="2"/>
            <scheme val="minor"/>
          </rPr>
          <t xml:space="preserve">Tsai, Michael:
FAA Exit Limit: </t>
        </r>
      </text>
    </comment>
    <comment ref="DP8" authorId="0" shapeId="0" xr:uid="{39B8E4F5-8A08-4BBB-AE65-0CEA07A5C8E7}">
      <text>
        <r>
          <rPr>
            <sz val="11"/>
            <color theme="1"/>
            <rFont val="Calibri"/>
            <family val="2"/>
            <scheme val="minor"/>
          </rPr>
          <t xml:space="preserve">Tsai, Michael:
FAA Exit Limit: </t>
        </r>
      </text>
    </comment>
    <comment ref="DQ8" authorId="0" shapeId="0" xr:uid="{3BDDE041-6E2C-4CBB-A978-15B99C8C06E4}">
      <text>
        <r>
          <rPr>
            <sz val="11"/>
            <color theme="1"/>
            <rFont val="Calibri"/>
            <family val="2"/>
            <scheme val="minor"/>
          </rPr>
          <t xml:space="preserve">Tsai, Michael:
FAA Exit Limit: </t>
        </r>
      </text>
    </comment>
    <comment ref="DR8" authorId="0" shapeId="0" xr:uid="{F14ABCFA-5146-4E37-8B08-4542C89E47C4}">
      <text>
        <r>
          <rPr>
            <sz val="11"/>
            <color theme="1"/>
            <rFont val="Calibri"/>
            <family val="2"/>
            <scheme val="minor"/>
          </rPr>
          <t xml:space="preserve">Tsai, Michael:
FAA Exit Limit: </t>
        </r>
      </text>
    </comment>
    <comment ref="DS8" authorId="0" shapeId="0" xr:uid="{D5D24769-7F4F-4551-BEB7-539776BABFE7}">
      <text>
        <r>
          <rPr>
            <sz val="11"/>
            <color theme="1"/>
            <rFont val="Calibri"/>
            <family val="2"/>
            <scheme val="minor"/>
          </rPr>
          <t xml:space="preserve">Tsai, Michael:
FAA Exit Limit: </t>
        </r>
      </text>
    </comment>
    <comment ref="DT8" authorId="0" shapeId="0" xr:uid="{DCA2DCFC-606E-4F94-BC8C-706B5C843C23}">
      <text>
        <r>
          <rPr>
            <sz val="11"/>
            <color theme="1"/>
            <rFont val="Calibri"/>
            <family val="2"/>
            <scheme val="minor"/>
          </rPr>
          <t xml:space="preserve">Tsai, Michael:
FAA Exit Limit: </t>
        </r>
      </text>
    </comment>
    <comment ref="DU8" authorId="0" shapeId="0" xr:uid="{8B04516F-D0B7-4580-899F-F3FBE2FB0AC9}">
      <text>
        <r>
          <rPr>
            <sz val="11"/>
            <color theme="1"/>
            <rFont val="Calibri"/>
            <family val="2"/>
            <scheme val="minor"/>
          </rPr>
          <t xml:space="preserve">Tsai, Michael:
FAA Exit Limit: </t>
        </r>
      </text>
    </comment>
    <comment ref="DV8" authorId="0" shapeId="0" xr:uid="{109467E3-6343-4451-933B-12121E17775F}">
      <text>
        <r>
          <rPr>
            <sz val="11"/>
            <color theme="1"/>
            <rFont val="Calibri"/>
            <family val="2"/>
            <scheme val="minor"/>
          </rPr>
          <t xml:space="preserve">Tsai, Michael:
FAA Exit Limit: </t>
        </r>
      </text>
    </comment>
    <comment ref="DW8" authorId="0" shapeId="0" xr:uid="{4FF630DF-0AD2-4024-B1F2-A6C075CA5CAD}">
      <text>
        <r>
          <rPr>
            <sz val="11"/>
            <color theme="1"/>
            <rFont val="Calibri"/>
            <family val="2"/>
            <scheme val="minor"/>
          </rPr>
          <t xml:space="preserve">Tsai, Michael:
FAA Exit Limit: </t>
        </r>
      </text>
    </comment>
    <comment ref="DX8" authorId="0" shapeId="0" xr:uid="{37DFC7CD-5925-4C72-BCEF-DE6DEDCF6839}">
      <text>
        <r>
          <rPr>
            <sz val="11"/>
            <color theme="1"/>
            <rFont val="Calibri"/>
            <family val="2"/>
            <scheme val="minor"/>
          </rPr>
          <t xml:space="preserve">Tsai, Michael:
FAA Exit Limit: </t>
        </r>
      </text>
    </comment>
    <comment ref="DY8" authorId="0" shapeId="0" xr:uid="{8C88351F-23DF-42E3-9ABC-2D1F0D809E59}">
      <text>
        <r>
          <rPr>
            <sz val="11"/>
            <color theme="1"/>
            <rFont val="Calibri"/>
            <family val="2"/>
            <scheme val="minor"/>
          </rPr>
          <t xml:space="preserve">Tsai, Michael:
FAA Exit Limit: </t>
        </r>
      </text>
    </comment>
    <comment ref="DZ8" authorId="0" shapeId="0" xr:uid="{15A3C9FA-28C1-462A-B0A5-2D9E0E83A09C}">
      <text>
        <r>
          <rPr>
            <sz val="11"/>
            <color theme="1"/>
            <rFont val="Calibri"/>
            <family val="2"/>
            <scheme val="minor"/>
          </rPr>
          <t xml:space="preserve">Tsai, Michael:
FAA Exit Limit: </t>
        </r>
      </text>
    </comment>
    <comment ref="EA8" authorId="0" shapeId="0" xr:uid="{C183CED3-DAFF-4B96-94F4-E9F8DA2958C0}">
      <text>
        <r>
          <rPr>
            <sz val="11"/>
            <color theme="1"/>
            <rFont val="Calibri"/>
            <family val="2"/>
            <scheme val="minor"/>
          </rPr>
          <t xml:space="preserve">Tsai, Michael:
FAA Exit Limit: </t>
        </r>
      </text>
    </comment>
    <comment ref="EB8" authorId="0" shapeId="0" xr:uid="{E475CB66-F6E1-405C-A0C5-18ADDC5688F4}">
      <text>
        <r>
          <rPr>
            <sz val="11"/>
            <color theme="1"/>
            <rFont val="Calibri"/>
            <family val="2"/>
            <scheme val="minor"/>
          </rPr>
          <t xml:space="preserve">Tsai, Michael:
FAA Exit Limit: </t>
        </r>
      </text>
    </comment>
    <comment ref="EC8" authorId="0" shapeId="0" xr:uid="{16E7587D-AD15-40EB-A87F-4FF52C6D2017}">
      <text>
        <r>
          <rPr>
            <sz val="11"/>
            <color theme="1"/>
            <rFont val="Calibri"/>
            <family val="2"/>
            <scheme val="minor"/>
          </rPr>
          <t xml:space="preserve">Tsai, Michael:
FAA Exit Limit: </t>
        </r>
      </text>
    </comment>
    <comment ref="ED8" authorId="0" shapeId="0" xr:uid="{FDA7C097-F106-40F5-9E4E-25187A22E874}">
      <text>
        <r>
          <rPr>
            <sz val="11"/>
            <color theme="1"/>
            <rFont val="Calibri"/>
            <family val="2"/>
            <scheme val="minor"/>
          </rPr>
          <t xml:space="preserve">Tsai, Michael:
FAA Exit Limit: </t>
        </r>
      </text>
    </comment>
    <comment ref="A9" authorId="0" shapeId="0" xr:uid="{B38A2F4D-1C61-4B9C-A9B0-40D1F5ECC762}">
      <text>
        <r>
          <rPr>
            <sz val="11"/>
            <color theme="1"/>
            <rFont val="Calibri"/>
            <family val="2"/>
            <scheme val="minor"/>
          </rPr>
          <t>Tsai, Michael:
Black: Max Ferry range
Red: Typical Passenger range</t>
        </r>
      </text>
    </comment>
    <comment ref="B9" authorId="0" shapeId="0" xr:uid="{ED652643-A40F-4BD7-9D34-013CF22BA752}">
      <text>
        <r>
          <rPr>
            <sz val="11"/>
            <color theme="1"/>
            <rFont val="Calibri"/>
            <family val="2"/>
            <scheme val="minor"/>
          </rPr>
          <t>Tsai, Michael:
Passenger and Baggage Range: nmi</t>
        </r>
      </text>
    </comment>
    <comment ref="C9" authorId="0" shapeId="0" xr:uid="{6F4A98F1-818E-448E-9915-066568BC5114}">
      <text>
        <r>
          <rPr>
            <sz val="11"/>
            <color theme="1"/>
            <rFont val="Calibri"/>
            <family val="2"/>
            <scheme val="minor"/>
          </rPr>
          <t>Tsai, Michael: Use (95kg for avg) OEW+payload: 54719 kg
2000 Passenger and Baggage Range:  2000 nmi</t>
        </r>
      </text>
    </comment>
    <comment ref="D9" authorId="0" shapeId="0" xr:uid="{75193461-2D99-4ABA-B30A-D5B5098C30E1}">
      <text>
        <r>
          <rPr>
            <sz val="11"/>
            <color theme="1"/>
            <rFont val="Calibri"/>
            <family val="2"/>
            <scheme val="minor"/>
          </rPr>
          <t>Tsai, Michael: Use (95kg for avg) OEW+payload: 55121 kg
155 Passenger and Baggage Range:  2200 nmi</t>
        </r>
      </text>
    </comment>
    <comment ref="E9" authorId="0" shapeId="0" xr:uid="{41453465-C775-48FC-BC14-0C89439700A8}">
      <text>
        <r>
          <rPr>
            <sz val="11"/>
            <color theme="1"/>
            <rFont val="Calibri"/>
            <family val="2"/>
            <scheme val="minor"/>
          </rPr>
          <t>Tsai, Michael: Use (95kg for avg) OEW+payload: 48345 kg
137 Passenger and Baggage Range:  1800 nmi</t>
        </r>
      </text>
    </comment>
    <comment ref="F9" authorId="0" shapeId="0" xr:uid="{6030608B-287E-4712-AB26-F36ECC3627BA}">
      <text>
        <r>
          <rPr>
            <sz val="11"/>
            <color theme="1"/>
            <rFont val="Calibri"/>
            <family val="2"/>
            <scheme val="minor"/>
          </rPr>
          <t>Tsai, Michael: Use (95kg for avg) OEW+payload: 50094 kg
155 Passenger and Baggage Range:  2000 nmi</t>
        </r>
      </text>
    </comment>
    <comment ref="G9" authorId="0" shapeId="0" xr:uid="{600285EF-2854-48E0-A98E-7116B9400D59}">
      <text>
        <r>
          <rPr>
            <sz val="11"/>
            <color theme="1"/>
            <rFont val="Calibri"/>
            <family val="2"/>
            <scheme val="minor"/>
          </rPr>
          <t>Tsai, Michael: Use (95kg for avg) OEW+payload: 50094 kg
155 Passenger and Baggage Range:  2000 nmi</t>
        </r>
      </text>
    </comment>
    <comment ref="H9" authorId="0" shapeId="0" xr:uid="{C5DA9E15-8C7E-4E87-92F7-0E5B081D0DA8}">
      <text>
        <r>
          <rPr>
            <sz val="11"/>
            <color theme="1"/>
            <rFont val="Calibri"/>
            <family val="2"/>
            <scheme val="minor"/>
          </rPr>
          <t>Tsai, Michael: Use (95kg for avg) OEW+payload: 50870 kg
155 Passenger and Baggage Range: 2500 nmi</t>
        </r>
      </text>
    </comment>
    <comment ref="I9" authorId="0" shapeId="0" xr:uid="{D3B62E0F-A3FB-43EB-81E6-FBDBF739D52B}">
      <text>
        <r>
          <rPr>
            <sz val="11"/>
            <color theme="1"/>
            <rFont val="Calibri"/>
            <family val="2"/>
            <scheme val="minor"/>
          </rPr>
          <t>Tsai, Michael: Use (95kg for avg) OEW+payload: 45587 kg
130 Passenger and Baggage Range: 2400 nmi</t>
        </r>
      </text>
    </comment>
    <comment ref="J9" authorId="0" shapeId="0" xr:uid="{1CF04583-B7B2-417D-8449-D0134D7E0A39}">
      <text>
        <r>
          <rPr>
            <sz val="11"/>
            <color theme="1"/>
            <rFont val="Calibri"/>
            <family val="2"/>
            <scheme val="minor"/>
          </rPr>
          <t>Tsai, Michael: Use (95kg for avg) OEW+payload: 46315 kg
130 Passenger and Baggage Range:  2900 nmi</t>
        </r>
      </text>
    </comment>
    <comment ref="K9" authorId="0" shapeId="0" xr:uid="{2D92C641-065C-4B66-B7AE-3AA16420D950}">
      <text>
        <r>
          <rPr>
            <sz val="11"/>
            <color theme="1"/>
            <rFont val="Calibri"/>
            <family val="2"/>
            <scheme val="minor"/>
          </rPr>
          <t>Tsai, Michael: Use (95kg for avg) OEW+payload: 30850
90 Passenger and Baggage Range: 1300 nmi</t>
        </r>
      </text>
    </comment>
    <comment ref="L9" authorId="0" shapeId="0" xr:uid="{08998D0F-B3E7-4E11-B900-109EB589F384}">
      <text>
        <r>
          <rPr>
            <sz val="11"/>
            <color theme="1"/>
            <rFont val="Calibri"/>
            <family val="2"/>
            <scheme val="minor"/>
          </rPr>
          <t>Tsai, Michael: Use (95kg for avg) OEW+payload: 32429 kg
90 Passenger and Baggage Range:  1450 nmi</t>
        </r>
      </text>
    </comment>
    <comment ref="M9" authorId="0" shapeId="0" xr:uid="{2EE4F287-76D7-4A6E-BEAA-DA7669593B14}">
      <text>
        <r>
          <rPr>
            <sz val="11"/>
            <color theme="1"/>
            <rFont val="Calibri"/>
            <family val="2"/>
            <scheme val="minor"/>
          </rPr>
          <t>Tsai, Michael: Use (95kg for avg) OEW+payload: 36714 kg
115 Passenger and Baggage Range: 1300 nmi</t>
        </r>
      </text>
    </comment>
    <comment ref="N9" authorId="0" shapeId="0" xr:uid="{FB1C80D4-F1C1-4BAD-9EE7-74868B5496EF}">
      <text>
        <r>
          <rPr>
            <sz val="11"/>
            <color theme="1"/>
            <rFont val="Calibri"/>
            <family val="2"/>
            <scheme val="minor"/>
          </rPr>
          <t>Tsai, Michael: Use (95kg for avg) OEW+payload: 39696 kg
125 Passenger and Baggage Range: 1100 nmi</t>
        </r>
      </text>
    </comment>
    <comment ref="O9" authorId="0" shapeId="0" xr:uid="{1A61C3BA-B2CF-45C8-9F94-7F16953ECB68}">
      <text>
        <r>
          <rPr>
            <sz val="11"/>
            <color theme="1"/>
            <rFont val="Calibri"/>
            <family val="2"/>
            <scheme val="minor"/>
          </rPr>
          <t>Tsai, Michael: Use (95kg for avg) OEW+payload: 42161 kg
135 Passenger and Baggage Range: 1050 nmi</t>
        </r>
      </text>
    </comment>
    <comment ref="P9" authorId="0" shapeId="0" xr:uid="{095B22C6-DB28-4EAF-A8BE-AA927E4B6A42}">
      <text>
        <r>
          <rPr>
            <sz val="11"/>
            <color theme="1"/>
            <rFont val="Calibri"/>
            <family val="2"/>
            <scheme val="minor"/>
          </rPr>
          <t>Tsai, Michael: Use (95kg for avg) OEW+payload:
177 Passenger and Baggage Range: 3760 nmi</t>
        </r>
      </text>
    </comment>
    <comment ref="Q9" authorId="0" shapeId="0" xr:uid="{D9E5D4F5-4FDB-4036-92DF-D07C705C460E}">
      <text>
        <r>
          <rPr>
            <sz val="11"/>
            <color theme="1"/>
            <rFont val="Calibri"/>
            <family val="2"/>
            <scheme val="minor"/>
          </rPr>
          <t>Tsai, Michael:
177 Passenger+ baggage
4050 nmi</t>
        </r>
      </text>
    </comment>
    <comment ref="R9" authorId="0" shapeId="0" xr:uid="{C81BD4AD-4BC0-4496-A42C-2D8E225F56C1}">
      <text>
        <r>
          <rPr>
            <sz val="11"/>
            <color theme="1"/>
            <rFont val="Calibri"/>
            <family val="2"/>
            <scheme val="minor"/>
          </rPr>
          <t>Tsai, Michael:
177 Passenger+ baggage
4005 nmi</t>
        </r>
      </text>
    </comment>
    <comment ref="S9" authorId="0" shapeId="0" xr:uid="{DD1F8E75-8BCE-4D95-8B6C-B4F5E75C5A35}">
      <text>
        <r>
          <rPr>
            <sz val="11"/>
            <color theme="1"/>
            <rFont val="Calibri"/>
            <family val="2"/>
            <scheme val="minor"/>
          </rPr>
          <t>Tsai, Michael: Use (95kg for avg) OEW+payload:78735 kg
177 Passenger and Baggage Range: 4000 nmi</t>
        </r>
      </text>
    </comment>
    <comment ref="T9" authorId="0" shapeId="0" xr:uid="{380C79AC-0090-484A-8B43-51FF454F1FAD}">
      <text>
        <r>
          <rPr>
            <sz val="11"/>
            <color theme="1"/>
            <rFont val="Calibri"/>
            <family val="2"/>
            <scheme val="minor"/>
          </rPr>
          <t>Tsai, Michael: Use (95kg for avg) OEW+payload:80672kg
189 Passenger and Baggage Range: 4500 nmi</t>
        </r>
      </text>
    </comment>
    <comment ref="U9" authorId="0" shapeId="0" xr:uid="{501A991E-83B7-4761-9770-E4E9A83236CF}">
      <text>
        <r>
          <rPr>
            <sz val="11"/>
            <color theme="1"/>
            <rFont val="Calibri"/>
            <family val="2"/>
            <scheme val="minor"/>
          </rPr>
          <t>Tsai, Michael: Use (95kg for avg) OEW+payload:93598 kg
259 Passenger and Baggage Range: 3150 nmi</t>
        </r>
      </text>
    </comment>
    <comment ref="V9" authorId="0" shapeId="0" xr:uid="{B9D40408-8740-49A8-9FC9-D86CC710234A}">
      <text>
        <r>
          <rPr>
            <sz val="11"/>
            <color theme="1"/>
            <rFont val="Calibri"/>
            <family val="2"/>
            <scheme val="minor"/>
          </rPr>
          <t>Tsai, Michael: Use (95kg for avg) OEW+payload:82935 kg
259 Passenger and Baggage Range: 5050 nmi</t>
        </r>
      </text>
    </comment>
    <comment ref="W9" authorId="0" shapeId="0" xr:uid="{B9A275A2-A5D5-47B5-A1CF-C30B73F3BAF6}">
      <text>
        <r>
          <rPr>
            <sz val="11"/>
            <color theme="1"/>
            <rFont val="Calibri"/>
            <family val="2"/>
            <scheme val="minor"/>
          </rPr>
          <t>Tsai, Michael: Use (95kg for avg) OEW+payload: 96609 kg
259 Passenger and Baggage Range: 4000 nmi</t>
        </r>
      </text>
    </comment>
    <comment ref="X9" authorId="0" shapeId="0" xr:uid="{A0E31EF8-44E4-411A-B61C-99F7F4F4C12C}">
      <text>
        <r>
          <rPr>
            <sz val="11"/>
            <color theme="1"/>
            <rFont val="Calibri"/>
            <family val="2"/>
            <scheme val="minor"/>
          </rPr>
          <t>Tsai, Michael: Use (95kg for avg) OEW+payload: 98859 kg
259 Passenger and Baggage Range:  3500 nmi</t>
        </r>
      </text>
    </comment>
    <comment ref="Y9" authorId="0" shapeId="0" xr:uid="{A7BA25D0-360C-4013-9E36-E0FEB1E312DE}">
      <text>
        <r>
          <rPr>
            <sz val="11"/>
            <color theme="1"/>
            <rFont val="Calibri"/>
            <family val="2"/>
            <scheme val="minor"/>
          </rPr>
          <t>Tsai, Michael: Use (95kg for avg) OEW+payload: 87447 kg
189 Passenger and Baggage Range:  5100 nmi</t>
        </r>
      </text>
    </comment>
    <comment ref="Z9" authorId="0" shapeId="0" xr:uid="{47915805-D072-4FDA-ABA2-8EBABC9C3C71}">
      <text>
        <r>
          <rPr>
            <sz val="11"/>
            <color theme="1"/>
            <rFont val="Calibri"/>
            <family val="2"/>
            <scheme val="minor"/>
          </rPr>
          <t>Tsai, Michael: Use (95kg for avg) OEW+payload: 99993 kg
259 Passenger and Baggage Range:  4500 nmi</t>
        </r>
      </text>
    </comment>
    <comment ref="AA9" authorId="0" shapeId="0" xr:uid="{237AB9A2-B550-4C9B-B74C-958FCD380510}">
      <text>
        <r>
          <rPr>
            <sz val="11"/>
            <color theme="1"/>
            <rFont val="Calibri"/>
            <family val="2"/>
            <scheme val="minor"/>
          </rPr>
          <t>Tsai, Michael:
131 passenger + baggage range: 2800 nmi</t>
        </r>
      </text>
    </comment>
    <comment ref="AB9" authorId="0" shapeId="0" xr:uid="{18B8BD0D-CB17-4832-8ADC-3068DFDDA20A}">
      <text>
        <r>
          <rPr>
            <sz val="11"/>
            <color theme="1"/>
            <rFont val="Calibri"/>
            <family val="2"/>
            <scheme val="minor"/>
          </rPr>
          <t>Tsai, Michael:
156 passenger + baggage range: 3200 nmi</t>
        </r>
      </text>
    </comment>
    <comment ref="AC9" authorId="0" shapeId="0" xr:uid="{C8780002-C5B2-4FD0-AFA8-0B86A945E414}">
      <text>
        <r>
          <rPr>
            <sz val="11"/>
            <color theme="1"/>
            <rFont val="Calibri"/>
            <family val="2"/>
            <scheme val="minor"/>
          </rPr>
          <t>Tsai, Michael:
137 passenger + baggage range: 3600 nmi</t>
        </r>
      </text>
    </comment>
    <comment ref="AD9" authorId="0" shapeId="0" xr:uid="{ABF06AF3-AB1C-4739-82AE-732062B52B4D}">
      <text>
        <r>
          <rPr>
            <sz val="11"/>
            <color theme="1"/>
            <rFont val="Calibri"/>
            <family val="2"/>
            <scheme val="minor"/>
          </rPr>
          <t>Tsai, Michael: Use (95kg for avg) OEW+payload:
141 Passenger and Baggage Range:  3800 nmi</t>
        </r>
      </text>
    </comment>
    <comment ref="AE9" authorId="0" shapeId="0" xr:uid="{2D06A6BB-6942-4A35-8F43-C73B79676E8E}">
      <text>
        <r>
          <rPr>
            <sz val="11"/>
            <color theme="1"/>
            <rFont val="Calibri"/>
            <family val="2"/>
            <scheme val="minor"/>
          </rPr>
          <t>Tsai, Michael: Use (95kg for avg) OEW+payload:
141 Passenger and Baggage Range:  3800 nmi</t>
        </r>
      </text>
    </comment>
    <comment ref="AF9" authorId="0" shapeId="0" xr:uid="{88333A42-CBBE-4755-A61C-034E1FEC84F9}">
      <text>
        <r>
          <rPr>
            <sz val="11"/>
            <color theme="1"/>
            <rFont val="Calibri"/>
            <family val="2"/>
            <scheme val="minor"/>
          </rPr>
          <t>Tsai, Michael: Use (95kg for avg) OEW+payload:
141 Passenger and Baggage Range:  4800 nmi</t>
        </r>
      </text>
    </comment>
    <comment ref="AG9" authorId="0" shapeId="0" xr:uid="{DF8A250E-1D2A-4CD6-B25A-F63FEE86FA3A}">
      <text>
        <r>
          <rPr>
            <sz val="11"/>
            <color theme="1"/>
            <rFont val="Calibri"/>
            <family val="2"/>
            <scheme val="minor"/>
          </rPr>
          <t>Tsai, Michael: Use (95kg for avg) OEW+payload:
194 Passenger and Baggage Range:  4500 nmi</t>
        </r>
      </text>
    </comment>
    <comment ref="AH9" authorId="0" shapeId="0" xr:uid="{F42D10FB-1B15-4F9C-A16F-841BBFBFA80E}">
      <text>
        <r>
          <rPr>
            <sz val="11"/>
            <color theme="1"/>
            <rFont val="Calibri"/>
            <family val="2"/>
            <scheme val="minor"/>
          </rPr>
          <t>Tsai, Michael: Use (95kg for avg) OEW+payload: 40687
106 Passenger and Baggage Range: 1700 nmi</t>
        </r>
      </text>
    </comment>
    <comment ref="AI9" authorId="0" shapeId="0" xr:uid="{0CA86C4E-9B1D-4732-8657-DE1F6A2602B7}">
      <text>
        <r>
          <rPr>
            <sz val="11"/>
            <color theme="1"/>
            <rFont val="Calibri"/>
            <family val="2"/>
            <scheme val="minor"/>
          </rPr>
          <t>Tsai, Michael: Use (95kg for avg) OEW+payload: 41141
106 Passenger and Baggage Range: 2050 nmi</t>
        </r>
      </text>
    </comment>
    <comment ref="AJ9" authorId="0" shapeId="0" xr:uid="{DCAF7D06-B776-4397-AF8C-E2257703E7B0}">
      <text>
        <r>
          <rPr>
            <sz val="11"/>
            <color theme="1"/>
            <rFont val="Calibri"/>
            <family val="2"/>
            <scheme val="minor"/>
          </rPr>
          <t>Tsai, Michael:
106 Passenger and Baggage Range: 2100 nmi</t>
        </r>
      </text>
    </comment>
    <comment ref="AK9" authorId="0" shapeId="0" xr:uid="{F770E32E-7084-4EEF-A2B4-BAD9335B1CE3}">
      <text>
        <r>
          <rPr>
            <sz val="11"/>
            <color theme="1"/>
            <rFont val="Calibri"/>
            <family val="2"/>
            <scheme val="minor"/>
          </rPr>
          <t>Tsai, Michael:
106 Passenger and Baggage Range: 2200 nmi</t>
        </r>
      </text>
    </comment>
    <comment ref="AL9" authorId="0" shapeId="0" xr:uid="{10B92E1E-D72F-4B39-9FE5-DAB57555167A}">
      <text>
        <r>
          <rPr>
            <sz val="11"/>
            <color theme="1"/>
            <rFont val="Calibri"/>
            <family val="2"/>
            <scheme val="minor"/>
          </rPr>
          <t>Tsai, Michael:
106 Passenger and Baggage Range: 1900 nmi</t>
        </r>
      </text>
    </comment>
    <comment ref="AM9" authorId="0" shapeId="0" xr:uid="{3C37008F-D42E-44E8-A1AB-A2052291564F}">
      <text>
        <r>
          <rPr>
            <sz val="11"/>
            <color theme="1"/>
            <rFont val="Calibri"/>
            <family val="2"/>
            <scheme val="minor"/>
          </rPr>
          <t>Tsai, Michael:
106 Passenger and Baggage Range: 2200 nmi</t>
        </r>
      </text>
    </comment>
    <comment ref="AN9" authorId="0" shapeId="0" xr:uid="{6EBAEC51-BE1F-4DC3-A1E2-73E0AC7D141C}">
      <text>
        <r>
          <rPr>
            <sz val="11"/>
            <color theme="1"/>
            <rFont val="Calibri"/>
            <family val="2"/>
            <scheme val="minor"/>
          </rPr>
          <t>Tsai, Michael:
134 Passenger and Baggage Range: 1500 nmi</t>
        </r>
      </text>
    </comment>
    <comment ref="AO9" authorId="0" shapeId="0" xr:uid="{C1092437-35BC-47F4-9FC3-351CA3A180C9}">
      <text>
        <r>
          <rPr>
            <sz val="11"/>
            <color theme="1"/>
            <rFont val="Calibri"/>
            <family val="2"/>
            <scheme val="minor"/>
          </rPr>
          <t>Tsai, Michael:
134 Passenger and Baggage Range: 1900 nmi</t>
        </r>
      </text>
    </comment>
    <comment ref="AP9" authorId="0" shapeId="0" xr:uid="{16A7CD97-5C32-48F0-BD48-1256D9FB26BE}">
      <text>
        <r>
          <rPr>
            <sz val="11"/>
            <color theme="1"/>
            <rFont val="Calibri"/>
            <family val="2"/>
            <scheme val="minor"/>
          </rPr>
          <t>Tsai, Michael:
134 Passenger and Baggage Range: 2100 nmi</t>
        </r>
      </text>
    </comment>
    <comment ref="AQ9" authorId="0" shapeId="0" xr:uid="{6EB51FDD-5668-4E6F-B7CF-D7834E0D8229}">
      <text>
        <r>
          <rPr>
            <sz val="11"/>
            <color theme="1"/>
            <rFont val="Calibri"/>
            <family val="2"/>
            <scheme val="minor"/>
          </rPr>
          <t>Tsai, Michael:
134 Passenger and Baggage Range: 2600 nmi</t>
        </r>
      </text>
    </comment>
    <comment ref="AR9" authorId="0" shapeId="0" xr:uid="{08C15F98-E347-461A-84C0-2BDE7DC69B17}">
      <text>
        <r>
          <rPr>
            <sz val="11"/>
            <color theme="1"/>
            <rFont val="Calibri"/>
            <family val="2"/>
            <scheme val="minor"/>
          </rPr>
          <t>Tsai, Michael:
96 Passenger and Baggage Range: 1400 nmi</t>
        </r>
      </text>
    </comment>
    <comment ref="AS9" authorId="0" shapeId="0" xr:uid="{4F5EA21C-7DE7-49AE-9AA1-9CE65AE38EB2}">
      <text>
        <r>
          <rPr>
            <sz val="11"/>
            <color theme="1"/>
            <rFont val="Calibri"/>
            <family val="2"/>
            <scheme val="minor"/>
          </rPr>
          <t>Tsai, Michael:
90 Passenger and Baggage Range: 2000 nmi</t>
        </r>
      </text>
    </comment>
    <comment ref="AT9" authorId="0" shapeId="0" xr:uid="{CA065A2E-4750-4E9C-A9FB-B44B9556499F}">
      <text>
        <r>
          <rPr>
            <sz val="11"/>
            <color theme="1"/>
            <rFont val="Calibri"/>
            <family val="2"/>
            <scheme val="minor"/>
          </rPr>
          <t>Tsai, Michael:
103 Passenger and Baggage Range: 1850 nmi</t>
        </r>
      </text>
    </comment>
    <comment ref="AU9" authorId="0" shapeId="0" xr:uid="{6105DE33-2A87-4DC4-B593-A1E6CA7ECD7F}">
      <text>
        <r>
          <rPr>
            <sz val="11"/>
            <color theme="1"/>
            <rFont val="Calibri"/>
            <family val="2"/>
            <scheme val="minor"/>
          </rPr>
          <t>Tsai, Michael:
90 Passenger and Baggage Range: 2250 nmi</t>
        </r>
      </text>
    </comment>
    <comment ref="AV9" authorId="0" shapeId="0" xr:uid="{5E3BBBF3-50A8-439B-B1E5-995536F61D6D}">
      <text>
        <r>
          <rPr>
            <sz val="11"/>
            <color theme="1"/>
            <rFont val="Calibri"/>
            <family val="2"/>
            <scheme val="minor"/>
          </rPr>
          <t>Tsai, Michael:
120 Passenger and Baggage Range: 1700 nmi</t>
        </r>
      </text>
    </comment>
    <comment ref="AW9" authorId="0" shapeId="0" xr:uid="{DA07746A-6B98-4C2C-A47F-DC0E40E24F8E}">
      <text>
        <r>
          <rPr>
            <sz val="11"/>
            <color theme="1"/>
            <rFont val="Calibri"/>
            <family val="2"/>
            <scheme val="minor"/>
          </rPr>
          <t>Tsai, Michael:
93 Passenger and Baggage Range: 2200 nmi</t>
        </r>
      </text>
    </comment>
    <comment ref="AX9" authorId="0" shapeId="0" xr:uid="{6E77C266-8191-4B34-A77D-91121EFB67B6}">
      <text>
        <r>
          <rPr>
            <sz val="11"/>
            <color theme="1"/>
            <rFont val="Calibri"/>
            <family val="2"/>
            <scheme val="minor"/>
          </rPr>
          <t>Tsai, Michael:
120 Passenger and Baggage Range: 2350 nmi</t>
        </r>
      </text>
    </comment>
    <comment ref="AY9" authorId="0" shapeId="0" xr:uid="{38EF92A2-C504-4599-BF21-D4C346A5DDED}">
      <text>
        <r>
          <rPr>
            <sz val="11"/>
            <color theme="1"/>
            <rFont val="Calibri"/>
            <family val="2"/>
            <scheme val="minor"/>
          </rPr>
          <t>Tsai, Michael:
93 Passenger and Baggage Range: 2190 nmi</t>
        </r>
      </text>
    </comment>
    <comment ref="AZ9" authorId="0" shapeId="0" xr:uid="{6F70B397-E1FC-4600-9884-66F886C7C2E5}">
      <text>
        <r>
          <rPr>
            <sz val="11"/>
            <color theme="1"/>
            <rFont val="Calibri"/>
            <family val="2"/>
            <scheme val="minor"/>
          </rPr>
          <t>Tsai, Michael:
120 Passenger and Baggage Range: 2080 nmi</t>
        </r>
      </text>
    </comment>
    <comment ref="BA9" authorId="0" shapeId="0" xr:uid="{5B923D84-79DC-4919-97B4-731DCB1B749D}">
      <text>
        <r>
          <rPr>
            <sz val="11"/>
            <color theme="1"/>
            <rFont val="Calibri"/>
            <family val="2"/>
            <scheme val="minor"/>
          </rPr>
          <t>Tsai, Michael:
128 Passenger and Baggage Range: 1800 nmi</t>
        </r>
      </text>
    </comment>
    <comment ref="BB9" authorId="0" shapeId="0" xr:uid="{BF2B0732-B0AE-4532-BCE0-EC0D65AA02CA}">
      <text>
        <r>
          <rPr>
            <sz val="11"/>
            <color theme="1"/>
            <rFont val="Calibri"/>
            <family val="2"/>
            <scheme val="minor"/>
          </rPr>
          <t>Tsai, Michael:
128 Passenger and Baggage Range: 2450 nmi</t>
        </r>
      </text>
    </comment>
    <comment ref="BC9" authorId="0" shapeId="0" xr:uid="{B121966A-9DA3-4E0B-8A83-736060F7B2D6}">
      <text>
        <r>
          <rPr>
            <sz val="11"/>
            <color theme="1"/>
            <rFont val="Calibri"/>
            <family val="2"/>
            <scheme val="minor"/>
          </rPr>
          <t>Tsai, Michael:
146 Passenger and Baggage Range: 1950 nmi</t>
        </r>
      </text>
    </comment>
    <comment ref="BD9" authorId="0" shapeId="0" xr:uid="{0CE51DF7-2D8E-41D5-9F85-5FE17B8CA08E}">
      <text>
        <r>
          <rPr>
            <sz val="11"/>
            <color theme="1"/>
            <rFont val="Calibri"/>
            <family val="2"/>
            <scheme val="minor"/>
          </rPr>
          <t>Tsai, Michael:
146 Passenger and Baggage Range: 2250 nmi</t>
        </r>
      </text>
    </comment>
    <comment ref="BE9" authorId="0" shapeId="0" xr:uid="{E54582C2-94E8-4EBC-8D19-CF456E4EA5F3}">
      <text>
        <r>
          <rPr>
            <sz val="11"/>
            <color theme="1"/>
            <rFont val="Calibri"/>
            <family val="2"/>
            <scheme val="minor"/>
          </rPr>
          <t>Tsai, Michael:
108 Passenger and Baggage Range: 1620 nmi</t>
        </r>
      </text>
    </comment>
    <comment ref="BF9" authorId="0" shapeId="0" xr:uid="{6671223A-46EC-4B37-9A04-14F7C88E8D9E}">
      <text>
        <r>
          <rPr>
            <sz val="11"/>
            <color theme="1"/>
            <rFont val="Calibri"/>
            <family val="2"/>
            <scheme val="minor"/>
          </rPr>
          <t>Tsai, Michael:
110 Passenger and Baggage Range: 1340 nmi</t>
        </r>
      </text>
    </comment>
    <comment ref="BG9" authorId="0" shapeId="0" xr:uid="{3C1F3D1A-55B0-4614-90C1-406E32344767}">
      <text>
        <r>
          <rPr>
            <sz val="11"/>
            <color theme="1"/>
            <rFont val="Calibri"/>
            <family val="2"/>
            <scheme val="minor"/>
          </rPr>
          <t>Tsai, Michael:
126 Passenger and Baggage Range: 1540 nmi</t>
        </r>
      </text>
    </comment>
    <comment ref="BH9" authorId="0" shapeId="0" xr:uid="{54791A07-0F74-48CA-AAA5-15ABC649DAB4}">
      <text>
        <r>
          <rPr>
            <sz val="11"/>
            <color theme="1"/>
            <rFont val="Calibri"/>
            <family val="2"/>
            <scheme val="minor"/>
          </rPr>
          <t>Tsai, Michael:
162 Passenger and Baggage Range: 1990 nmi</t>
        </r>
      </text>
    </comment>
    <comment ref="BI9" authorId="0" shapeId="0" xr:uid="{F88C2246-843D-4C49-B249-5BD9B691EA9C}">
      <text>
        <r>
          <rPr>
            <sz val="11"/>
            <color theme="1"/>
            <rFont val="Calibri"/>
            <family val="2"/>
            <scheme val="minor"/>
          </rPr>
          <t>Tsai, Michael:
177 Passenger and Baggage Range: 2060 nmi</t>
        </r>
      </text>
    </comment>
    <comment ref="BJ9" authorId="0" shapeId="0" xr:uid="{481A2A15-4529-4920-9FF9-E687CDF706A0}">
      <text>
        <r>
          <rPr>
            <sz val="11"/>
            <color theme="1"/>
            <rFont val="Calibri"/>
            <family val="2"/>
            <scheme val="minor"/>
          </rPr>
          <t>Tsai, Michael:
177 Passenger and Baggage Range: 2920 nmi</t>
        </r>
      </text>
    </comment>
    <comment ref="BK9" authorId="0" shapeId="0" xr:uid="{C0639399-916B-43DB-87EE-09A25CE005E6}">
      <text>
        <r>
          <rPr>
            <sz val="11"/>
            <color theme="1"/>
            <rFont val="Calibri"/>
            <family val="2"/>
            <scheme val="minor"/>
          </rPr>
          <t>Tsai, Michael:
126 Passenger and Baggage Range: 3600 nmi</t>
        </r>
      </text>
    </comment>
    <comment ref="BL9" authorId="0" shapeId="0" xr:uid="{0098F3E9-E788-4703-BDF4-F1807FAAF99D}">
      <text>
        <r>
          <rPr>
            <sz val="11"/>
            <color theme="1"/>
            <rFont val="Calibri"/>
            <family val="2"/>
            <scheme val="minor"/>
          </rPr>
          <t>Tsai, Michael:
point starting fuel capacity limit 
4580 nmi</t>
        </r>
      </text>
    </comment>
    <comment ref="BM9" authorId="0" shapeId="0" xr:uid="{B51B4D7B-B254-455D-A633-2A0814665F98}">
      <text>
        <r>
          <rPr>
            <sz val="11"/>
            <color theme="1"/>
            <rFont val="Calibri"/>
            <family val="2"/>
            <scheme val="minor"/>
          </rPr>
          <t>Tsai, Michael:
153 Passenger and Baggage Range: 3900 nmi</t>
        </r>
      </text>
    </comment>
    <comment ref="BN9" authorId="0" shapeId="0" xr:uid="{332811E0-4E9A-458E-A74F-AA2D0E3BAFF3}">
      <text>
        <r>
          <rPr>
            <sz val="11"/>
            <color theme="1"/>
            <rFont val="Calibri"/>
            <family val="2"/>
            <scheme val="minor"/>
          </rPr>
          <t>Tsai, Michael:
178 Passenger and Baggage Range: 3500 nmi</t>
        </r>
      </text>
    </comment>
    <comment ref="BO9" authorId="0" shapeId="0" xr:uid="{845C8D1E-AA10-4E15-9E55-E73F297F2472}">
      <text>
        <r>
          <rPr>
            <sz val="11"/>
            <color theme="1"/>
            <rFont val="Calibri"/>
            <family val="2"/>
            <scheme val="minor"/>
          </rPr>
          <t>Tsai, Michael:
202 Passenger and Baggage Range: 2860 nmi</t>
        </r>
      </text>
    </comment>
    <comment ref="BP9" authorId="0" shapeId="0" xr:uid="{DE278E3D-F478-4835-B4AE-CA37BB159CAD}">
      <text>
        <r>
          <rPr>
            <sz val="11"/>
            <color theme="1"/>
            <rFont val="Calibri"/>
            <family val="2"/>
            <scheme val="minor"/>
          </rPr>
          <t>Tsai, Michael:
193 Passenger and Baggage Range: 3250 nmi</t>
        </r>
      </text>
    </comment>
    <comment ref="BQ9" authorId="0" shapeId="0" xr:uid="{55370178-2DE6-4006-8219-52D5315B514F}">
      <text>
        <r>
          <rPr>
            <sz val="11"/>
            <color theme="1"/>
            <rFont val="Calibri"/>
            <family val="2"/>
            <scheme val="minor"/>
          </rPr>
          <t>Tsai, Michael:
204 Passenger and Baggage Range: 3215 nmi</t>
        </r>
      </text>
    </comment>
    <comment ref="BR9" authorId="0" shapeId="0" xr:uid="{795BC4C9-06E4-4CE2-9305-83671A630B5B}">
      <text>
        <r>
          <rPr>
            <sz val="11"/>
            <color theme="1"/>
            <rFont val="Calibri"/>
            <family val="2"/>
            <scheme val="minor"/>
          </rPr>
          <t>Tsai, Michael:
point starting fuel capacity limit 
5250 nmi</t>
        </r>
      </text>
    </comment>
    <comment ref="BS9" authorId="0" shapeId="0" xr:uid="{F731CF3F-9688-4E38-8649-76D0B8351C4F}">
      <text>
        <r>
          <rPr>
            <sz val="11"/>
            <color theme="1"/>
            <rFont val="Calibri"/>
            <family val="2"/>
            <scheme val="minor"/>
          </rPr>
          <t>Tsai, Michael:
point starting fuel capacity limit 
4800 nmi</t>
        </r>
      </text>
    </comment>
    <comment ref="BT9" authorId="0" shapeId="0" xr:uid="{E073B414-EE62-455E-BB6D-CFF74C56903E}">
      <text>
        <r>
          <rPr>
            <sz val="11"/>
            <color theme="1"/>
            <rFont val="Calibri"/>
            <family val="2"/>
            <scheme val="minor"/>
          </rPr>
          <t>Tsai, Michael:
200 Passenger and Baggage Range: 4000 nmi</t>
        </r>
      </text>
    </comment>
    <comment ref="BU9" authorId="0" shapeId="0" xr:uid="{130EEE81-9223-4C6A-9941-A5FCE6E96671}">
      <text>
        <r>
          <rPr>
            <sz val="11"/>
            <color theme="1"/>
            <rFont val="Calibri"/>
            <family val="2"/>
            <scheme val="minor"/>
          </rPr>
          <t>Tsai, Michael:
200 Passenger and Baggage Range: 3900 nmi</t>
        </r>
      </text>
    </comment>
    <comment ref="BV9" authorId="0" shapeId="0" xr:uid="{CA6A8565-C828-4685-B695-BCCD073526B5}">
      <text>
        <r>
          <rPr>
            <sz val="11"/>
            <color theme="1"/>
            <rFont val="Calibri"/>
            <family val="2"/>
            <scheme val="minor"/>
          </rPr>
          <t>Tsai, Michael:
200 Passenger and Baggage Range: 2260 nmi</t>
        </r>
      </text>
    </comment>
    <comment ref="BW9" authorId="0" shapeId="0" xr:uid="{ADFAF202-403B-49DD-8916-1DF837F67420}">
      <text>
        <r>
          <rPr>
            <sz val="11"/>
            <color theme="1"/>
            <rFont val="Calibri"/>
            <family val="2"/>
            <scheme val="minor"/>
          </rPr>
          <t>Tsai, Michael:
200 Passenger and Baggage Range: 3655 nmi</t>
        </r>
      </text>
    </comment>
    <comment ref="BX9" authorId="0" shapeId="0" xr:uid="{15B844A8-4362-4151-9B75-66EAF9F9303B}">
      <text>
        <r>
          <rPr>
            <sz val="11"/>
            <color theme="1"/>
            <rFont val="Calibri"/>
            <family val="2"/>
            <scheme val="minor"/>
          </rPr>
          <t>Tsai, Michael:
200 Passenger and Baggage Range: 3655 nmi</t>
        </r>
      </text>
    </comment>
    <comment ref="BY9" authorId="0" shapeId="0" xr:uid="{492919E7-284F-4F0B-A1DC-99B6394AD1DE}">
      <text>
        <r>
          <rPr>
            <sz val="11"/>
            <color theme="1"/>
            <rFont val="Calibri"/>
            <family val="2"/>
            <scheme val="minor"/>
          </rPr>
          <t>Tsai, Michael:
200 Passenger and Baggage Range: 3655 nmi</t>
        </r>
      </text>
    </comment>
    <comment ref="BZ9" authorId="0" shapeId="0" xr:uid="{BDF6A1EA-6687-4C03-9C8A-DB59B3F8BDC0}">
      <text>
        <r>
          <rPr>
            <sz val="11"/>
            <color theme="1"/>
            <rFont val="Calibri"/>
            <family val="2"/>
            <scheme val="minor"/>
          </rPr>
          <t>Tsai, Michael:
243 Passenger and Baggage Range: 2120 nmi
janes used 108.9 k brake release gross weight</t>
        </r>
      </text>
    </comment>
    <comment ref="CA9" authorId="0" shapeId="0" xr:uid="{A6B3D2D9-67AC-4B47-9071-4D3AD03C89E9}">
      <text>
        <r>
          <rPr>
            <sz val="11"/>
            <color theme="1"/>
            <rFont val="Calibri"/>
            <family val="2"/>
            <scheme val="minor"/>
          </rPr>
          <t>Tsai, Michael:
243 Passenger and Baggage Range: 3395 nmi</t>
        </r>
      </text>
    </comment>
    <comment ref="CB9" authorId="0" shapeId="0" xr:uid="{7F0F1EC9-3E4C-4F9C-B02B-AFBCDF9B28D3}">
      <text>
        <r>
          <rPr>
            <sz val="11"/>
            <color theme="1"/>
            <rFont val="Calibri"/>
            <family val="2"/>
            <scheme val="minor"/>
          </rPr>
          <t>Tsai, Michael:
243 Passenger and Baggage Range: 1955 nmi</t>
        </r>
      </text>
    </comment>
    <comment ref="CC9" authorId="0" shapeId="0" xr:uid="{DE32EA21-05FD-4FD2-A3EC-6DD3EAA9E6D5}">
      <text>
        <r>
          <rPr>
            <sz val="11"/>
            <color theme="1"/>
            <rFont val="Calibri"/>
            <family val="2"/>
            <scheme val="minor"/>
          </rPr>
          <t>Tsai, Michael:
243 Passenger and Baggage Range: 3180 nmi</t>
        </r>
      </text>
    </comment>
    <comment ref="CD9" authorId="0" shapeId="0" xr:uid="{07F5FDF2-1C30-4791-88E2-8D580970785F}">
      <text>
        <r>
          <rPr>
            <sz val="11"/>
            <color theme="1"/>
            <rFont val="Calibri"/>
            <family val="2"/>
            <scheme val="minor"/>
          </rPr>
          <t>Tsai, Michael:
216 Passenger and Baggage Range: 2250 nmi</t>
        </r>
      </text>
    </comment>
    <comment ref="CE9" authorId="0" shapeId="0" xr:uid="{8998499B-FA8E-4453-817E-433102797E70}">
      <text>
        <r>
          <rPr>
            <sz val="11"/>
            <color theme="1"/>
            <rFont val="Calibri"/>
            <family val="2"/>
            <scheme val="minor"/>
          </rPr>
          <t>Tsai, Michael:
Passenger and Baggage Range: 3200 nmi</t>
        </r>
      </text>
    </comment>
    <comment ref="CF9" authorId="0" shapeId="0" xr:uid="{AB6451A7-976F-4CEB-A3D3-610E94EFF415}">
      <text>
        <r>
          <rPr>
            <sz val="11"/>
            <color theme="1"/>
            <rFont val="Calibri"/>
            <family val="2"/>
            <scheme val="minor"/>
          </rPr>
          <t>Tsai, Michael:
Passenger and Baggage Range: 3650 nmi</t>
        </r>
      </text>
    </comment>
    <comment ref="CG9" authorId="0" shapeId="0" xr:uid="{31BD34AC-136E-4C02-901B-26DB4C01B46D}">
      <text>
        <r>
          <rPr>
            <sz val="11"/>
            <color theme="1"/>
            <rFont val="Calibri"/>
            <family val="2"/>
            <scheme val="minor"/>
          </rPr>
          <t>Tsai, Michael:
Passenger and Baggage Range: 3950 nmi</t>
        </r>
      </text>
    </comment>
    <comment ref="CH9" authorId="0" shapeId="0" xr:uid="{6165E5B4-33B4-4312-B449-64753019DEBF}">
      <text>
        <r>
          <rPr>
            <sz val="11"/>
            <color theme="1"/>
            <rFont val="Calibri"/>
            <family val="2"/>
            <scheme val="minor"/>
          </rPr>
          <t>Tsai, Michael:
Passenger and Baggage Range: 3650 nmi</t>
        </r>
      </text>
    </comment>
    <comment ref="CI9" authorId="0" shapeId="0" xr:uid="{03333041-8A91-4142-825F-9FB54262E2E9}">
      <text>
        <r>
          <rPr>
            <sz val="11"/>
            <color theme="1"/>
            <rFont val="Calibri"/>
            <family val="2"/>
            <scheme val="minor"/>
          </rPr>
          <t>Tsai, Michael:
Passenger and Baggage Range: 3950 nmi</t>
        </r>
      </text>
    </comment>
    <comment ref="CJ9" authorId="0" shapeId="0" xr:uid="{635596EA-E547-47BA-9692-2A5F633E51AB}">
      <text>
        <r>
          <rPr>
            <sz val="11"/>
            <color theme="1"/>
            <rFont val="Calibri"/>
            <family val="2"/>
            <scheme val="minor"/>
          </rPr>
          <t>Tsai, Michael:
Assume 216 passenger &amp; Baggage
4500 nmi</t>
        </r>
      </text>
    </comment>
    <comment ref="CK9" authorId="0" shapeId="0" xr:uid="{99E0F9DC-206C-45F0-B940-B8E618DFD47F}">
      <text>
        <r>
          <rPr>
            <sz val="11"/>
            <color theme="1"/>
            <rFont val="Calibri"/>
            <family val="2"/>
            <scheme val="minor"/>
          </rPr>
          <t>Tsai, Michael:
Assume 216 passenger &amp; Baggage
5100 nmi</t>
        </r>
      </text>
    </comment>
    <comment ref="CL9" authorId="0" shapeId="0" xr:uid="{E5708CEF-5DD2-4C29-9B01-42269F6FB4BC}">
      <text>
        <r>
          <rPr>
            <sz val="11"/>
            <color theme="1"/>
            <rFont val="Calibri"/>
            <family val="2"/>
            <scheme val="minor"/>
          </rPr>
          <t>Tsai, Michael:
Assume 216 passenger &amp; Baggage
6100 nmi</t>
        </r>
      </text>
    </comment>
    <comment ref="CM9" authorId="0" shapeId="0" xr:uid="{E50E92D6-1AE2-45C6-941A-DE04FECDDC90}">
      <text>
        <r>
          <rPr>
            <sz val="11"/>
            <color theme="1"/>
            <rFont val="Calibri"/>
            <family val="2"/>
            <scheme val="minor"/>
          </rPr>
          <t>Tsai, Michael:
Assume 216 passenger &amp; Baggage
6600 nmi</t>
        </r>
      </text>
    </comment>
    <comment ref="CN9" authorId="0" shapeId="0" xr:uid="{A3B42DD9-CD95-411C-B11B-DCD9B35F00C8}">
      <text>
        <r>
          <rPr>
            <sz val="11"/>
            <color theme="1"/>
            <rFont val="Calibri"/>
            <family val="2"/>
            <scheme val="minor"/>
          </rPr>
          <t>Tsai, Michael: Use (95kg for avg) payload:22515 kg
237 Passenger and Baggage Range:  2600 nmi</t>
        </r>
      </text>
    </comment>
    <comment ref="CO9" authorId="0" shapeId="0" xr:uid="{6847E877-D989-45F6-8D67-448F7D185BD2}">
      <text>
        <r>
          <rPr>
            <sz val="11"/>
            <color theme="1"/>
            <rFont val="Calibri"/>
            <family val="2"/>
            <scheme val="minor"/>
          </rPr>
          <t>Tsai, Michael: Use (95kg for avg) payload:22515 kg
Passenger and Baggage Range:  2650 nmi</t>
        </r>
      </text>
    </comment>
    <comment ref="CP9" authorId="0" shapeId="0" xr:uid="{9371709D-5D5B-4811-A2B5-B96849A2397D}">
      <text>
        <r>
          <rPr>
            <sz val="11"/>
            <color theme="1"/>
            <rFont val="Calibri"/>
            <family val="2"/>
            <scheme val="minor"/>
          </rPr>
          <t>Tsai, Michael: Use (95kg for avg) payload: 22515 kg
Passenger and Baggage Range:  3300 nmi</t>
        </r>
      </text>
    </comment>
    <comment ref="CQ9" authorId="0" shapeId="0" xr:uid="{C3444374-727B-4511-954A-50DF55F534A1}">
      <text>
        <r>
          <rPr>
            <sz val="11"/>
            <color theme="1"/>
            <rFont val="Calibri"/>
            <family val="2"/>
            <scheme val="minor"/>
          </rPr>
          <t>Tsai, Michael: Use (95kg for avg) payload: 22515 kg
237 Passenger and Baggage Range:  3350 nmi</t>
        </r>
      </text>
    </comment>
    <comment ref="CR9" authorId="0" shapeId="0" xr:uid="{DE86C288-92C3-44AB-9830-85078D237A5B}">
      <text>
        <r>
          <rPr>
            <sz val="11"/>
            <color theme="1"/>
            <rFont val="Calibri"/>
            <family val="2"/>
            <scheme val="minor"/>
          </rPr>
          <t>Tsai, Michael: Use (95kg for avg) payload: 22515 kg
237 Passenger and Baggage Range:  3500 nmi</t>
        </r>
      </text>
    </comment>
    <comment ref="CS9" authorId="0" shapeId="0" xr:uid="{3BEA6D27-DD59-4687-A7D3-32B93153ED32}">
      <text>
        <r>
          <rPr>
            <sz val="11"/>
            <color theme="1"/>
            <rFont val="Calibri"/>
            <family val="2"/>
            <scheme val="minor"/>
          </rPr>
          <t>Tsai, Michael: Use (95kg for avg) payload: 23085
243 Passenger and Baggage Range:  4250 nmi</t>
        </r>
      </text>
    </comment>
    <comment ref="CT9" authorId="0" shapeId="0" xr:uid="{750C87C2-DAA9-4A0B-A2C6-AFF66285C54C}">
      <text>
        <r>
          <rPr>
            <sz val="11"/>
            <color theme="1"/>
            <rFont val="Calibri"/>
            <family val="2"/>
            <scheme val="minor"/>
          </rPr>
          <t>Tsai, Michael: Use (95kg for avg) payload: 23085
243 Passenger and Baggage Range:  3900 nmi</t>
        </r>
      </text>
    </comment>
    <comment ref="CU9" authorId="0" shapeId="0" xr:uid="{40857703-023F-4EF0-A208-DCB14D0AA870}">
      <text>
        <r>
          <rPr>
            <sz val="11"/>
            <color theme="1"/>
            <rFont val="Calibri"/>
            <family val="2"/>
            <scheme val="minor"/>
          </rPr>
          <t>Tsai, Michael: Use (95kg for avg) payload: 23085
240 Passenger and Baggage Range:  4700 nmi</t>
        </r>
      </text>
    </comment>
    <comment ref="CV9" authorId="0" shapeId="0" xr:uid="{807B036B-B28E-4EEC-99A7-463D8F181504}">
      <text>
        <r>
          <rPr>
            <sz val="11"/>
            <color theme="1"/>
            <rFont val="Calibri"/>
            <family val="2"/>
            <scheme val="minor"/>
          </rPr>
          <t>Tsai, Michael: Use (95kg for avg) payload: 23085
240 Passenger and Baggage Range: 5150 nmi</t>
        </r>
      </text>
    </comment>
    <comment ref="CW9" authorId="0" shapeId="0" xr:uid="{EA49D52F-2683-4B31-8B42-D246BF5785B4}">
      <text>
        <r>
          <rPr>
            <sz val="11"/>
            <color theme="1"/>
            <rFont val="Calibri"/>
            <family val="2"/>
            <scheme val="minor"/>
          </rPr>
          <t>Tsai, Michael: Use (95kg for avg) payload: 10165 kg
107 Passenger and Baggage Range:  1400 nmi</t>
        </r>
      </text>
    </comment>
    <comment ref="CX9" authorId="0" shapeId="0" xr:uid="{D5ECAA69-A8FD-4AC3-B1B4-16A49269D431}">
      <text>
        <r>
          <rPr>
            <sz val="11"/>
            <color theme="1"/>
            <rFont val="Calibri"/>
            <family val="2"/>
            <scheme val="minor"/>
          </rPr>
          <t>Tsai, Michael: Use (95kg for avg) payload: 10165 kg
107 Passenger and Baggage Range:  1400 nmi</t>
        </r>
      </text>
    </comment>
    <comment ref="CY9" authorId="0" shapeId="0" xr:uid="{86C07D49-BE44-4FF2-BA20-AF175BDDCE45}">
      <text>
        <r>
          <rPr>
            <sz val="11"/>
            <color theme="1"/>
            <rFont val="Calibri"/>
            <family val="2"/>
            <scheme val="minor"/>
          </rPr>
          <t>Tsai, Michael: Use (95kg for avg) payload: 10165 kg
107 Passenger and Baggage Range:  3100 nmi</t>
        </r>
      </text>
    </comment>
    <comment ref="CZ9" authorId="0" shapeId="0" xr:uid="{74FBBA0F-E49D-40FF-A23B-E87CB091983D}">
      <text>
        <r>
          <rPr>
            <sz val="11"/>
            <color theme="1"/>
            <rFont val="Calibri"/>
            <family val="2"/>
            <scheme val="minor"/>
          </rPr>
          <t>Tsai, Michael: Use (95kg for avg) payload: 10165 kg
107 Passenger and Baggage Range:  3100 nmi</t>
        </r>
      </text>
    </comment>
    <comment ref="DA9" authorId="0" shapeId="0" xr:uid="{8FEC07B0-3F7B-479F-8587-13B8E33013CF}">
      <text>
        <r>
          <rPr>
            <sz val="11"/>
            <color theme="1"/>
            <rFont val="Calibri"/>
            <family val="2"/>
            <scheme val="minor"/>
          </rPr>
          <t>Tsai, Michael: Use (95kg for avg) payload: 11780 kg
124 Passenger and Baggage Range: 1750 nmi</t>
        </r>
      </text>
    </comment>
    <comment ref="DB9" authorId="0" shapeId="0" xr:uid="{C47CB03C-1CDE-4866-B617-DAB46CEF54F8}">
      <text>
        <r>
          <rPr>
            <sz val="11"/>
            <color theme="1"/>
            <rFont val="Calibri"/>
            <family val="2"/>
            <scheme val="minor"/>
          </rPr>
          <t>Tsai, Michael: Use (95kg for avg) payload: 11780 kg
124 Passenger and Baggage Range:  3150 nmi</t>
        </r>
      </text>
    </comment>
    <comment ref="DC9" authorId="0" shapeId="0" xr:uid="{55976CA9-549B-4D66-AF09-DB3C047A3535}">
      <text>
        <r>
          <rPr>
            <sz val="11"/>
            <color theme="1"/>
            <rFont val="Calibri"/>
            <family val="2"/>
            <scheme val="minor"/>
          </rPr>
          <t>Tsai, Michael: Use (95kg for avg) payload: 11780 kg
124 Passenger and Baggage Range:  3250 nmi</t>
        </r>
      </text>
    </comment>
    <comment ref="DD9" authorId="0" shapeId="0" xr:uid="{05C5D3F2-A3CF-4D70-8B21-6B32B350A1B5}">
      <text>
        <r>
          <rPr>
            <sz val="11"/>
            <color theme="1"/>
            <rFont val="Calibri"/>
            <family val="2"/>
            <scheme val="minor"/>
          </rPr>
          <t>Tsai, Michael: Use (95kg for avg) payload: 11780 kg
124 Passenger and Baggage Range:  3250 nmi</t>
        </r>
      </text>
    </comment>
    <comment ref="DE9" authorId="0" shapeId="0" xr:uid="{68A0EA3C-9531-49F8-BBC7-433DECEC26E1}">
      <text>
        <r>
          <rPr>
            <sz val="11"/>
            <color theme="1"/>
            <rFont val="Calibri"/>
            <family val="2"/>
            <scheme val="minor"/>
          </rPr>
          <t>Tsai, Michael: Use (95kg for avg) payload: 11780 kg
124 Passenger and Baggage Range:  3250 nmi</t>
        </r>
      </text>
    </comment>
    <comment ref="DF9" authorId="0" shapeId="0" xr:uid="{33924FFB-1B8F-43B0-9A4B-7213CF3BACAA}">
      <text>
        <r>
          <rPr>
            <sz val="11"/>
            <color theme="1"/>
            <rFont val="Calibri"/>
            <family val="2"/>
            <scheme val="minor"/>
          </rPr>
          <t>Tsai, Michael: Use (95kg for avg) payload:13300 kg
140 Passenger and Baggage Range:  1350 nmi</t>
        </r>
      </text>
    </comment>
    <comment ref="DG9" authorId="0" shapeId="0" xr:uid="{AD9D2EBE-CEC4-4EFB-B1F3-F236A61EA646}">
      <text>
        <r>
          <rPr>
            <sz val="11"/>
            <color theme="1"/>
            <rFont val="Calibri"/>
            <family val="2"/>
            <scheme val="minor"/>
          </rPr>
          <t>Tsai, Michael: Use (95kg for avg) payload:13300 kg
140 Passenger and Baggage Range:  3750 nmi</t>
        </r>
      </text>
    </comment>
    <comment ref="DH9" authorId="0" shapeId="0" xr:uid="{FCC5B8F0-5B25-4BE2-8105-EEEE5A6820C1}">
      <text>
        <r>
          <rPr>
            <sz val="11"/>
            <color theme="1"/>
            <rFont val="Calibri"/>
            <family val="2"/>
            <scheme val="minor"/>
          </rPr>
          <t>Tsai, Michael: Use (95kg for avg) payload:13300 kg
140 Passenger and Baggage Range:  1350 nmi</t>
        </r>
      </text>
    </comment>
    <comment ref="DI9" authorId="0" shapeId="0" xr:uid="{72BC80F3-FF7E-4AF5-8F8E-1E927F7841C9}">
      <text>
        <r>
          <rPr>
            <sz val="11"/>
            <color theme="1"/>
            <rFont val="Calibri"/>
            <family val="2"/>
            <scheme val="minor"/>
          </rPr>
          <t>Tsai, Michael: Use (95kg for avg) payload: 14250 kg
150 Passenger and Baggage Range:  2450 nmi</t>
        </r>
      </text>
    </comment>
    <comment ref="DJ9" authorId="0" shapeId="0" xr:uid="{57118512-1ADF-4E14-BF4A-8F84DFDC0CF6}">
      <text>
        <r>
          <rPr>
            <sz val="11"/>
            <color theme="1"/>
            <rFont val="Calibri"/>
            <family val="2"/>
            <scheme val="minor"/>
          </rPr>
          <t>Tsai, Michael: Use (95kg for avg) payload: 14250 kg
150 Passenger and Baggage Range:  2450 nmi</t>
        </r>
      </text>
    </comment>
    <comment ref="DK9" authorId="0" shapeId="0" xr:uid="{5227BFF5-E12F-4CFB-A757-C09188946A82}">
      <text>
        <r>
          <rPr>
            <sz val="11"/>
            <color theme="1"/>
            <rFont val="Calibri"/>
            <family val="2"/>
            <scheme val="minor"/>
          </rPr>
          <t>Tsai, Michael: Use (95kg for avg) payload: 14250 kg
150 Passenger and Baggage Range:  2700 nmi</t>
        </r>
      </text>
    </comment>
    <comment ref="DL9" authorId="0" shapeId="0" xr:uid="{B3FBDE15-F761-4915-AAD9-D773A7204702}">
      <text>
        <r>
          <rPr>
            <sz val="11"/>
            <color theme="1"/>
            <rFont val="Calibri"/>
            <family val="2"/>
            <scheme val="minor"/>
          </rPr>
          <t>Tsai, Michael: Use (95kg for avg) payload: 14250 kg
150 Passenger and Baggage Range: 2600 nmi</t>
        </r>
      </text>
    </comment>
    <comment ref="DM9" authorId="0" shapeId="0" xr:uid="{F8FF6C5D-C7E6-4B42-AE22-A996099BD137}">
      <text>
        <r>
          <rPr>
            <sz val="11"/>
            <color theme="1"/>
            <rFont val="Calibri"/>
            <family val="2"/>
            <scheme val="minor"/>
          </rPr>
          <t>Tsai, Michael: Use (95kg for avg) payload: 14250 kg
150 Passenger and Baggage Range: 3000 nmi</t>
        </r>
      </text>
    </comment>
    <comment ref="DN9" authorId="0" shapeId="0" xr:uid="{8F3CCFC9-24D9-417C-BFA2-EF729FA92175}">
      <text>
        <r>
          <rPr>
            <sz val="11"/>
            <color theme="1"/>
            <rFont val="Calibri"/>
            <family val="2"/>
            <scheme val="minor"/>
          </rPr>
          <t>Tsai, Michael: Use (95kg for avg) payload: 15675 kg
165 Passenger and Baggage Range: 2250 nmi</t>
        </r>
      </text>
    </comment>
    <comment ref="DO9" authorId="0" shapeId="0" xr:uid="{E9EB88F5-C1F6-4267-BE51-FD9A1D8692C6}">
      <text>
        <r>
          <rPr>
            <sz val="11"/>
            <color theme="1"/>
            <rFont val="Calibri"/>
            <family val="2"/>
            <scheme val="minor"/>
          </rPr>
          <t>Tsai, Michael: Use (95kg for avg) payload: 15675 kg
165 Passenger and Baggage Range: 3250 nmi</t>
        </r>
      </text>
    </comment>
    <comment ref="DP9" authorId="0" shapeId="0" xr:uid="{1DC875C3-6B1D-4ACD-B8F2-CADF15BBD736}">
      <text>
        <r>
          <rPr>
            <sz val="11"/>
            <color theme="1"/>
            <rFont val="Calibri"/>
            <family val="2"/>
            <scheme val="minor"/>
          </rPr>
          <t>Tsai, Michael: Use (95kg for avg) payload: 15675 kg
165 Passenger and Baggage Range: 3250 nmi</t>
        </r>
      </text>
    </comment>
    <comment ref="DQ9" authorId="0" shapeId="0" xr:uid="{F7E124F6-FF0B-4755-AE2E-3127818748A2}">
      <text>
        <r>
          <rPr>
            <sz val="11"/>
            <color theme="1"/>
            <rFont val="Calibri"/>
            <family val="2"/>
            <scheme val="minor"/>
          </rPr>
          <t>Tsai, Michael: Use (95kg for avg) payload: 15675 kg
165 Passenger and Baggage Range: 2250 nmi</t>
        </r>
      </text>
    </comment>
    <comment ref="DR9" authorId="0" shapeId="0" xr:uid="{8B898F71-A6B1-43BA-84CB-0A2E5A6BF609}">
      <text>
        <r>
          <rPr>
            <sz val="11"/>
            <color theme="1"/>
            <rFont val="Calibri"/>
            <family val="2"/>
            <scheme val="minor"/>
          </rPr>
          <t>Tsai, Michael: Use (95kg for avg) payload: 15675 kg
165 Passenger and Baggage Range: 3250 nmi</t>
        </r>
      </text>
    </comment>
    <comment ref="DS9" authorId="0" shapeId="0" xr:uid="{B36EA6F5-349F-401A-A486-53E2FE398081}">
      <text>
        <r>
          <rPr>
            <sz val="11"/>
            <color theme="1"/>
            <rFont val="Calibri"/>
            <family val="2"/>
            <scheme val="minor"/>
          </rPr>
          <t>Tsai, Michael: Use (95kg for avg) payload: 15675 kg
165 Passenger and Baggage Range: 3250 nmi</t>
        </r>
      </text>
    </comment>
    <comment ref="DT9" authorId="0" shapeId="0" xr:uid="{02BA611E-0F51-4FCE-8728-790AA9318A39}">
      <text>
        <r>
          <rPr>
            <sz val="11"/>
            <color theme="1"/>
            <rFont val="Calibri"/>
            <family val="2"/>
            <scheme val="minor"/>
          </rPr>
          <t>Tsai, Michael: Use (95kg for avg) payload:
185 Passenger and Baggage Range:  2138 nmi</t>
        </r>
      </text>
    </comment>
    <comment ref="DU9" authorId="0" shapeId="0" xr:uid="{70CAD0AF-1863-4D4E-9435-84BB644E9A97}">
      <text>
        <r>
          <rPr>
            <sz val="11"/>
            <color theme="1"/>
            <rFont val="Calibri"/>
            <family val="2"/>
            <scheme val="minor"/>
          </rPr>
          <t>Tsai, Michael: Use (95kg for avg) payload:
185 Passenger and Baggage Range:  2253 nmi</t>
        </r>
      </text>
    </comment>
    <comment ref="DV9" authorId="0" shapeId="0" xr:uid="{707E8145-9180-43A4-B956-33B2A2DB5398}">
      <text>
        <r>
          <rPr>
            <sz val="11"/>
            <color theme="1"/>
            <rFont val="Calibri"/>
            <family val="2"/>
            <scheme val="minor"/>
          </rPr>
          <t>Tsai, Michael: Use (95kg for avg) payload:
185 Passenger and Baggage Range: 2250 nmi</t>
        </r>
      </text>
    </comment>
    <comment ref="DW9" authorId="0" shapeId="0" xr:uid="{36173410-F054-4CB8-A543-C228A77DF77D}">
      <text>
        <r>
          <rPr>
            <sz val="11"/>
            <color theme="1"/>
            <rFont val="Calibri"/>
            <family val="2"/>
            <scheme val="minor"/>
          </rPr>
          <t>Tsai, Michael: Use (95kg for avg) payload:
185 Passenger and Baggage Range:  nmi 2700</t>
        </r>
      </text>
    </comment>
    <comment ref="DX9" authorId="0" shapeId="0" xr:uid="{44B6AE7D-09AB-4EEA-BDEE-28A669572BA8}">
      <text>
        <r>
          <rPr>
            <sz val="11"/>
            <color theme="1"/>
            <rFont val="Calibri"/>
            <family val="2"/>
            <scheme val="minor"/>
          </rPr>
          <t>Tsai, Michael: Use (95kg for avg) payload:
185 Passenger and Baggage Range: 2714 nmi</t>
        </r>
      </text>
    </comment>
    <comment ref="DY9" authorId="0" shapeId="0" xr:uid="{26375825-6CEA-4AE6-BC05-D7029E57F93F}">
      <text>
        <r>
          <rPr>
            <sz val="11"/>
            <color theme="1"/>
            <rFont val="Calibri"/>
            <family val="2"/>
            <scheme val="minor"/>
          </rPr>
          <t>Tsai, Michael: Use (95kg for avg) payload:18050
190 Passenger and Baggage Range: 2750 nmi</t>
        </r>
      </text>
    </comment>
    <comment ref="DZ9" authorId="0" shapeId="0" xr:uid="{D878628E-71BE-4C30-A7C4-F55EA53F613D}">
      <text>
        <r>
          <rPr>
            <sz val="11"/>
            <color theme="1"/>
            <rFont val="Calibri"/>
            <family val="2"/>
            <scheme val="minor"/>
          </rPr>
          <t>Tsai, Michael: Use (95kg for avg) payload:18050
190 Passenger and Baggage Range: 2750 nmi</t>
        </r>
      </text>
    </comment>
    <comment ref="EA9" authorId="0" shapeId="0" xr:uid="{33609FBE-23AB-46A9-BB2B-173CA57A63D7}">
      <text>
        <r>
          <rPr>
            <sz val="11"/>
            <color theme="1"/>
            <rFont val="Calibri"/>
            <family val="2"/>
            <scheme val="minor"/>
          </rPr>
          <t>Tsai, Michael: Use (95kg for avg) payload:18050
190 Passenger and Baggage Range: 3250 nmi</t>
        </r>
      </text>
    </comment>
    <comment ref="EB9" authorId="0" shapeId="0" xr:uid="{043AD53C-1339-4D34-8FF6-4B50BC362A59}">
      <text>
        <r>
          <rPr>
            <sz val="11"/>
            <color theme="1"/>
            <rFont val="Calibri"/>
            <family val="2"/>
            <scheme val="minor"/>
          </rPr>
          <t>Tsai, Michael: Use (95kg for avg) payload:
185 Passenger and Baggage Range:  3620 nmi</t>
        </r>
      </text>
    </comment>
    <comment ref="EC9" authorId="0" shapeId="0" xr:uid="{26CC8D1A-6A15-42B3-8AB1-20A0863ED6DB}">
      <text>
        <r>
          <rPr>
            <sz val="11"/>
            <color theme="1"/>
            <rFont val="Calibri"/>
            <family val="2"/>
            <scheme val="minor"/>
          </rPr>
          <t>Tsai, Michael: Use (95kg for avg) payload:
206 Passenger and Baggage Range: 4500 nmi</t>
        </r>
      </text>
    </comment>
    <comment ref="ED9" authorId="0" shapeId="0" xr:uid="{999A80A4-2658-4377-B0CB-8C6A2F4CC761}">
      <text>
        <r>
          <rPr>
            <sz val="11"/>
            <color theme="1"/>
            <rFont val="Calibri"/>
            <family val="2"/>
            <scheme val="minor"/>
          </rPr>
          <t>Tsai, Michael: Use (95kg for avg) payload:
206 Passenger and Baggage Range: 4500 nmi</t>
        </r>
      </text>
    </comment>
    <comment ref="EE9" authorId="0" shapeId="0" xr:uid="{95FCD207-3155-4566-BD7B-DA921606CCC4}">
      <text>
        <r>
          <rPr>
            <sz val="11"/>
            <color theme="1"/>
            <rFont val="Calibri"/>
            <family val="2"/>
            <scheme val="minor"/>
          </rPr>
          <t>Tsai, Michael: Use (95kg for avg) payload:
Passenger and Baggage Range:  nmi</t>
        </r>
      </text>
    </comment>
    <comment ref="EF9" authorId="0" shapeId="0" xr:uid="{574023C1-CCC8-4752-A92B-1F46632A5A78}">
      <text>
        <r>
          <rPr>
            <sz val="11"/>
            <color theme="1"/>
            <rFont val="Calibri"/>
            <family val="2"/>
            <scheme val="minor"/>
          </rPr>
          <t>Tsai, Michael: Use (95kg for avg) payload:
Passenger and Baggage Range:  nmi</t>
        </r>
      </text>
    </comment>
    <comment ref="EG9" authorId="0" shapeId="0" xr:uid="{6E65ADDD-556F-4F51-99ED-E686181221BB}">
      <text>
        <r>
          <rPr>
            <sz val="11"/>
            <color theme="1"/>
            <rFont val="Calibri"/>
            <family val="2"/>
            <scheme val="minor"/>
          </rPr>
          <t>Tsai, Michael: Use (95kg for avg) payload:
Passenger and Baggage Range:  nmi</t>
        </r>
      </text>
    </comment>
    <comment ref="EH9" authorId="0" shapeId="0" xr:uid="{F7F5DE26-7235-4498-A4D5-3814657A642D}">
      <text>
        <r>
          <rPr>
            <sz val="11"/>
            <color theme="1"/>
            <rFont val="Calibri"/>
            <family val="2"/>
            <scheme val="minor"/>
          </rPr>
          <t>Tsai, Michael: Use (95kg for avg) payload:
Passenger and Baggage Range:  nmi</t>
        </r>
      </text>
    </comment>
    <comment ref="EI9" authorId="0" shapeId="0" xr:uid="{CB358804-0517-4519-BC1E-1F3AAD9E197C}">
      <text>
        <r>
          <rPr>
            <sz val="11"/>
            <color theme="1"/>
            <rFont val="Calibri"/>
            <family val="2"/>
            <scheme val="minor"/>
          </rPr>
          <t>Tsai, Michael: Use (95kg for avg) payload:
Passenger and Baggage Range:  nmi</t>
        </r>
      </text>
    </comment>
    <comment ref="EJ9" authorId="0" shapeId="0" xr:uid="{02FF48C8-D576-4E98-8D4F-21D8CA9CF021}">
      <text>
        <r>
          <rPr>
            <sz val="11"/>
            <color theme="1"/>
            <rFont val="Calibri"/>
            <family val="2"/>
            <scheme val="minor"/>
          </rPr>
          <t>Tsai, Michael: Use (95kg for avg) payload:
Passenger and Baggage Range:  nmi</t>
        </r>
      </text>
    </comment>
    <comment ref="EK9" authorId="0" shapeId="0" xr:uid="{C203ADB3-0308-400A-AC77-2971BFEABB41}">
      <text>
        <r>
          <rPr>
            <sz val="11"/>
            <color theme="1"/>
            <rFont val="Calibri"/>
            <family val="2"/>
            <scheme val="minor"/>
          </rPr>
          <t>Tsai, Michael: Use (95kg for avg) payload:
Passenger and Baggage Range:  nmi</t>
        </r>
      </text>
    </comment>
    <comment ref="EL9" authorId="0" shapeId="0" xr:uid="{1C6515D0-1B3C-47B9-8534-8FC9E83D0851}">
      <text>
        <r>
          <rPr>
            <sz val="11"/>
            <color theme="1"/>
            <rFont val="Calibri"/>
            <family val="2"/>
            <scheme val="minor"/>
          </rPr>
          <t>Tsai, Michael: Use (95kg for avg) payload:
Passenger and Baggage Range:  nmi</t>
        </r>
      </text>
    </comment>
    <comment ref="EM9" authorId="0" shapeId="0" xr:uid="{255925F0-13B4-4095-9974-1C6D6A354D03}">
      <text>
        <r>
          <rPr>
            <sz val="11"/>
            <color theme="1"/>
            <rFont val="Calibri"/>
            <family val="2"/>
            <scheme val="minor"/>
          </rPr>
          <t>Tsai, Michael: Use (95kg for avg) payload:
Passenger and Baggage Range:  nmi</t>
        </r>
      </text>
    </comment>
    <comment ref="EN9" authorId="0" shapeId="0" xr:uid="{34066DAA-97A5-4F8E-8CE8-D6E4EE6C86A2}">
      <text>
        <r>
          <rPr>
            <sz val="11"/>
            <color theme="1"/>
            <rFont val="Calibri"/>
            <family val="2"/>
            <scheme val="minor"/>
          </rPr>
          <t>Tsai, Michael: Use (95kg for avg) payload:
Passenger and Baggage Range:  nmi</t>
        </r>
      </text>
    </comment>
    <comment ref="EO9" authorId="0" shapeId="0" xr:uid="{5877A23B-99B9-479A-82A4-A4F13F2B559D}">
      <text>
        <r>
          <rPr>
            <sz val="11"/>
            <color theme="1"/>
            <rFont val="Calibri"/>
            <family val="2"/>
            <scheme val="minor"/>
          </rPr>
          <t>Tsai, Michael: Use (95kg for avg) payload:
Passenger and Baggage Range:  nmi</t>
        </r>
      </text>
    </comment>
    <comment ref="EP9" authorId="0" shapeId="0" xr:uid="{D6F7F60E-DB71-4B67-9F2C-D58F9876D3DE}">
      <text>
        <r>
          <rPr>
            <sz val="11"/>
            <color theme="1"/>
            <rFont val="Calibri"/>
            <family val="2"/>
            <scheme val="minor"/>
          </rPr>
          <t>Tsai, Michael: Use (95kg for avg) payload:
Passenger and Baggage Range:  nmi</t>
        </r>
      </text>
    </comment>
    <comment ref="FA9" authorId="0" shapeId="0" xr:uid="{C3FC8028-9486-4AA4-AC86-6E5E04EDCCFD}">
      <text>
        <r>
          <rPr>
            <sz val="11"/>
            <color theme="1"/>
            <rFont val="Calibri"/>
            <family val="2"/>
            <scheme val="minor"/>
          </rPr>
          <t>Tsai, Michael:
1000 nmi</t>
        </r>
      </text>
    </comment>
    <comment ref="FB9" authorId="0" shapeId="0" xr:uid="{AD1332A0-8A95-401B-8DEC-9B51B420FC19}">
      <text>
        <r>
          <rPr>
            <sz val="11"/>
            <color theme="1"/>
            <rFont val="Calibri"/>
            <family val="2"/>
            <scheme val="minor"/>
          </rPr>
          <t>Tsai, Michael:
1660 nmi</t>
        </r>
      </text>
    </comment>
    <comment ref="FC9" authorId="0" shapeId="0" xr:uid="{439B3F32-F4AC-4378-A2E4-F623B2B9C549}">
      <text>
        <r>
          <rPr>
            <sz val="11"/>
            <color theme="1"/>
            <rFont val="Calibri"/>
            <family val="2"/>
            <scheme val="minor"/>
          </rPr>
          <t>Tsai, Michael:
1660 nmi</t>
        </r>
      </text>
    </comment>
    <comment ref="FD9" authorId="0" shapeId="0" xr:uid="{BE8D24CB-1E55-4684-8769-32C0F0EAA826}">
      <text>
        <r>
          <rPr>
            <sz val="11"/>
            <color theme="1"/>
            <rFont val="Calibri"/>
            <family val="2"/>
            <scheme val="minor"/>
          </rPr>
          <t>Tsai, Michael:
1800 nmi</t>
        </r>
      </text>
    </comment>
    <comment ref="FE9" authorId="0" shapeId="0" xr:uid="{3A280920-5916-4C58-8EC2-13E678E6621C}">
      <text>
        <r>
          <rPr>
            <sz val="11"/>
            <color theme="1"/>
            <rFont val="Calibri"/>
            <family val="2"/>
            <scheme val="minor"/>
          </rPr>
          <t>Tsai, Michael:
2150 nmi</t>
        </r>
      </text>
    </comment>
    <comment ref="FF9" authorId="0" shapeId="0" xr:uid="{23C31EB1-9B58-4F71-83CE-2FAB5A9F2A5A}">
      <text>
        <r>
          <rPr>
            <sz val="11"/>
            <color theme="1"/>
            <rFont val="Calibri"/>
            <family val="2"/>
            <scheme val="minor"/>
          </rPr>
          <t>Tsai, Michael:
1680 nmi</t>
        </r>
      </text>
    </comment>
    <comment ref="FG9" authorId="0" shapeId="0" xr:uid="{5FD59ED1-684C-4970-BFF1-7C42982D024A}">
      <text>
        <r>
          <rPr>
            <sz val="11"/>
            <color theme="1"/>
            <rFont val="Calibri"/>
            <family val="2"/>
            <scheme val="minor"/>
          </rPr>
          <t>Tsai, Michael:
1986 nmi</t>
        </r>
      </text>
    </comment>
    <comment ref="FH9" authorId="0" shapeId="0" xr:uid="{4F4DE221-7E3B-4829-8238-1E94041B420C}">
      <text>
        <r>
          <rPr>
            <sz val="11"/>
            <color theme="1"/>
            <rFont val="Calibri"/>
            <family val="2"/>
            <scheme val="minor"/>
          </rPr>
          <t>Tsai, Michael:
2160 nmi</t>
        </r>
      </text>
    </comment>
    <comment ref="A10" authorId="0" shapeId="0" xr:uid="{A215B47F-9246-48D2-A8B8-59A5B8092C00}">
      <text>
        <r>
          <rPr>
            <sz val="11"/>
            <color theme="1"/>
            <rFont val="Calibri"/>
            <family val="2"/>
            <scheme val="minor"/>
          </rPr>
          <t xml:space="preserve">Tsai, Michael:
Black: Third Party Website
Blue: Literature Performance Table
Red: 1.05*VMC
Green: Research paper
</t>
        </r>
      </text>
    </comment>
    <comment ref="C10" authorId="0" shapeId="0" xr:uid="{58D91506-12F4-4F8E-A52F-80EE55A8D6DA}">
      <text>
        <r>
          <rPr>
            <sz val="11"/>
            <color theme="1"/>
            <rFont val="Calibri"/>
            <family val="2"/>
            <scheme val="minor"/>
          </rPr>
          <t xml:space="preserve">Tsai, Michael:
KTAS V2: 140 kts
</t>
        </r>
      </text>
    </comment>
    <comment ref="D10" authorId="0" shapeId="0" xr:uid="{BFDA6948-11E2-4BFB-8BEA-A3B527DCA415}">
      <text>
        <r>
          <rPr>
            <sz val="11"/>
            <color theme="1"/>
            <rFont val="Calibri"/>
            <family val="2"/>
            <scheme val="minor"/>
          </rPr>
          <t xml:space="preserve">Tsai, Michael:
KTAS V2: 140 kts
</t>
        </r>
      </text>
    </comment>
    <comment ref="E10" authorId="0" shapeId="0" xr:uid="{BBCDB916-754C-46EB-B4AC-F81FD351DFFE}">
      <text>
        <r>
          <rPr>
            <sz val="11"/>
            <color theme="1"/>
            <rFont val="Calibri"/>
            <family val="2"/>
            <scheme val="minor"/>
          </rPr>
          <t xml:space="preserve">Tsai, Michael:
KTAS V2: 130 kts
</t>
        </r>
      </text>
    </comment>
    <comment ref="F10" authorId="0" shapeId="0" xr:uid="{96CD47F2-55BE-43FE-9EDB-6990BD56D898}">
      <text>
        <r>
          <rPr>
            <sz val="11"/>
            <color theme="1"/>
            <rFont val="Calibri"/>
            <family val="2"/>
            <scheme val="minor"/>
          </rPr>
          <t xml:space="preserve">Tsai, Michael:
KTAS V2: 140 kts
</t>
        </r>
      </text>
    </comment>
    <comment ref="G10" authorId="0" shapeId="0" xr:uid="{15CBE006-3A68-41A6-A8D5-F302F06EB321}">
      <text>
        <r>
          <rPr>
            <sz val="11"/>
            <color theme="1"/>
            <rFont val="Calibri"/>
            <family val="2"/>
            <scheme val="minor"/>
          </rPr>
          <t xml:space="preserve">Tsai, Michael:
KTAS V2: 140 kts
</t>
        </r>
      </text>
    </comment>
    <comment ref="H10" authorId="0" shapeId="0" xr:uid="{4FD6E476-1191-454B-AA69-4CCF7F3FC9B5}">
      <text>
        <r>
          <rPr>
            <sz val="11"/>
            <color theme="1"/>
            <rFont val="Calibri"/>
            <family val="2"/>
            <scheme val="minor"/>
          </rPr>
          <t xml:space="preserve">Tsai, Michael:
KTAS V2: 140 kts
</t>
        </r>
      </text>
    </comment>
    <comment ref="I10" authorId="0" shapeId="0" xr:uid="{1705C771-85B3-4AB0-96C3-07DF6CD0F144}">
      <text>
        <r>
          <rPr>
            <sz val="11"/>
            <color theme="1"/>
            <rFont val="Calibri"/>
            <family val="2"/>
            <scheme val="minor"/>
          </rPr>
          <t xml:space="preserve">Tsai, Michael:
KTAS V2: 140 kts
</t>
        </r>
      </text>
    </comment>
    <comment ref="J10" authorId="0" shapeId="0" xr:uid="{BD296CCF-80ED-4DEB-B21E-47FFAC271EAB}">
      <text>
        <r>
          <rPr>
            <sz val="11"/>
            <color theme="1"/>
            <rFont val="Calibri"/>
            <family val="2"/>
            <scheme val="minor"/>
          </rPr>
          <t xml:space="preserve">Tsai, Michael:
KTAS V2: 140 kts
</t>
        </r>
      </text>
    </comment>
    <comment ref="K10" authorId="0" shapeId="0" xr:uid="{4EE84BFE-EE9D-4183-BE5F-532D11B26C0A}">
      <text>
        <r>
          <rPr>
            <sz val="11"/>
            <color theme="1"/>
            <rFont val="Calibri"/>
            <family val="2"/>
            <scheme val="minor"/>
          </rPr>
          <t xml:space="preserve">Tsai, Michael:
V2 KTAS: 115 kts
</t>
        </r>
      </text>
    </comment>
    <comment ref="L10" authorId="0" shapeId="0" xr:uid="{627C78FB-596A-4DA6-8FAD-7FE25897AA33}">
      <text>
        <r>
          <rPr>
            <sz val="11"/>
            <color theme="1"/>
            <rFont val="Calibri"/>
            <family val="2"/>
            <scheme val="minor"/>
          </rPr>
          <t xml:space="preserve">Tsai, Michael:
V2 KTAS: 140 kts
</t>
        </r>
      </text>
    </comment>
    <comment ref="M10" authorId="0" shapeId="0" xr:uid="{B2AB61F3-D9B6-4B42-9220-F27F20415CCD}">
      <text>
        <r>
          <rPr>
            <sz val="11"/>
            <color theme="1"/>
            <rFont val="Calibri"/>
            <family val="2"/>
            <scheme val="minor"/>
          </rPr>
          <t xml:space="preserve">Tsai, Michael:
V2 KTAS: 140 kts
</t>
        </r>
      </text>
    </comment>
    <comment ref="N10" authorId="0" shapeId="0" xr:uid="{A3EBEA9B-5A34-49C0-8FC7-1E01A08FC6B6}">
      <text>
        <r>
          <rPr>
            <sz val="11"/>
            <color theme="1"/>
            <rFont val="Calibri"/>
            <family val="2"/>
            <scheme val="minor"/>
          </rPr>
          <t xml:space="preserve">Tsai, Michael:
V2 KTAS: 120 kts
</t>
        </r>
      </text>
    </comment>
    <comment ref="O10" authorId="0" shapeId="0" xr:uid="{6F6D3707-32B0-4178-AEA0-028BD981F96C}">
      <text>
        <r>
          <rPr>
            <sz val="11"/>
            <color theme="1"/>
            <rFont val="Calibri"/>
            <family val="2"/>
            <scheme val="minor"/>
          </rPr>
          <t xml:space="preserve">Tsai, Michael:
V2 KTAS: 140 kts
</t>
        </r>
      </text>
    </comment>
    <comment ref="P10" authorId="0" shapeId="0" xr:uid="{DE535DDC-B816-4C17-88FA-2D5CF2B489E0}">
      <text>
        <r>
          <rPr>
            <sz val="11"/>
            <color theme="1"/>
            <rFont val="Calibri"/>
            <family val="2"/>
            <scheme val="minor"/>
          </rPr>
          <t>Tsai, Michael:
IAS VR: 137 kts</t>
        </r>
      </text>
    </comment>
    <comment ref="Q10" authorId="0" shapeId="0" xr:uid="{206CF137-51A4-4504-8254-E8AB20BBE1D2}">
      <text>
        <r>
          <rPr>
            <sz val="11"/>
            <color theme="1"/>
            <rFont val="Calibri"/>
            <family val="2"/>
            <scheme val="minor"/>
          </rPr>
          <t>Tsai, Michael:
IAS VR: 138 kts</t>
        </r>
      </text>
    </comment>
    <comment ref="R10" authorId="0" shapeId="0" xr:uid="{D5FF1EC6-4809-4AAC-8F58-73699AFD8B8D}">
      <text>
        <r>
          <rPr>
            <sz val="11"/>
            <color theme="1"/>
            <rFont val="Calibri"/>
            <family val="2"/>
            <scheme val="minor"/>
          </rPr>
          <t>Tsai, Michael:
IAS VR: 150 kts</t>
        </r>
      </text>
    </comment>
    <comment ref="S10" authorId="0" shapeId="0" xr:uid="{85CAA95D-918D-4F4F-8BED-C3E06E44B4DC}">
      <text>
        <r>
          <rPr>
            <sz val="11"/>
            <color theme="1"/>
            <rFont val="Calibri"/>
            <family val="2"/>
            <scheme val="minor"/>
          </rPr>
          <t>Tsai, Michael:
IAS VR: 150 kts</t>
        </r>
      </text>
    </comment>
    <comment ref="T10" authorId="0" shapeId="0" xr:uid="{46C80B89-ADE1-4DC8-89E6-C8F6D9F49B3E}">
      <text>
        <r>
          <rPr>
            <sz val="11"/>
            <color theme="1"/>
            <rFont val="Calibri"/>
            <family val="2"/>
            <scheme val="minor"/>
          </rPr>
          <t>Tsai, Michael:
IAS VR: 153 kts</t>
        </r>
      </text>
    </comment>
    <comment ref="U10" authorId="0" shapeId="0" xr:uid="{93B8432B-1B79-4457-857C-4EAC8B59A5CF}">
      <text>
        <r>
          <rPr>
            <sz val="11"/>
            <color theme="1"/>
            <rFont val="Calibri"/>
            <family val="2"/>
            <scheme val="minor"/>
          </rPr>
          <t>Tsai, Michael:
IAS VR: 153 kts</t>
        </r>
      </text>
    </comment>
    <comment ref="V10" authorId="0" shapeId="0" xr:uid="{63AE4A0F-FF9B-4E32-9719-1EF4DB5E83C1}">
      <text>
        <r>
          <rPr>
            <sz val="11"/>
            <color theme="1"/>
            <rFont val="Calibri"/>
            <family val="2"/>
            <scheme val="minor"/>
          </rPr>
          <t>Tsai, Michael:
IAS VR: 160 kts</t>
        </r>
      </text>
    </comment>
    <comment ref="W10" authorId="0" shapeId="0" xr:uid="{3AA1E0E1-F434-4467-84F0-97D020ED72CA}">
      <text>
        <r>
          <rPr>
            <sz val="11"/>
            <color theme="1"/>
            <rFont val="Calibri"/>
            <family val="2"/>
            <scheme val="minor"/>
          </rPr>
          <t>Tsai, Michael:
IAS VR: 160 kts</t>
        </r>
      </text>
    </comment>
    <comment ref="X10" authorId="0" shapeId="0" xr:uid="{61BCA9C5-DEA3-4B1A-81EB-F807AB240E3B}">
      <text>
        <r>
          <rPr>
            <sz val="11"/>
            <color theme="1"/>
            <rFont val="Calibri"/>
            <family val="2"/>
            <scheme val="minor"/>
          </rPr>
          <t>Tsai, Michael:
IAS VR: 153 kts</t>
        </r>
      </text>
    </comment>
    <comment ref="Y10" authorId="0" shapeId="0" xr:uid="{3E3362D4-9F37-477E-9567-1B872DE4ECD0}">
      <text>
        <r>
          <rPr>
            <sz val="11"/>
            <color theme="1"/>
            <rFont val="Calibri"/>
            <family val="2"/>
            <scheme val="minor"/>
          </rPr>
          <t>Tsai, Michael:
IAS VR: 160 kts</t>
        </r>
      </text>
    </comment>
    <comment ref="Z10" authorId="0" shapeId="0" xr:uid="{A122A23D-82B6-45AC-8BF4-9115500DD1BE}">
      <text>
        <r>
          <rPr>
            <sz val="11"/>
            <color theme="1"/>
            <rFont val="Calibri"/>
            <family val="2"/>
            <scheme val="minor"/>
          </rPr>
          <t>Tsai, Michael:
IAS VR: 160 kts</t>
        </r>
      </text>
    </comment>
    <comment ref="AA10" authorId="0" shapeId="0" xr:uid="{A7329D56-F001-4B28-B8A2-4C263CEA42ED}">
      <text>
        <r>
          <rPr>
            <sz val="11"/>
            <color theme="1"/>
            <rFont val="Calibri"/>
            <family val="2"/>
            <scheme val="minor"/>
          </rPr>
          <t>Tsai, Michael:
IAS VR: 122 kts</t>
        </r>
      </text>
    </comment>
    <comment ref="AB10" authorId="0" shapeId="0" xr:uid="{36A2312B-2804-460C-B34F-D7CDBCB28A38}">
      <text>
        <r>
          <rPr>
            <sz val="11"/>
            <color theme="1"/>
            <rFont val="Calibri"/>
            <family val="2"/>
            <scheme val="minor"/>
          </rPr>
          <t>Tsai, Michael:
IAS VR: 124 kts</t>
        </r>
      </text>
    </comment>
    <comment ref="AC10" authorId="0" shapeId="0" xr:uid="{34C836F1-1E35-4DD6-A59B-A7373F4CC012}">
      <text>
        <r>
          <rPr>
            <sz val="11"/>
            <color theme="1"/>
            <rFont val="Calibri"/>
            <family val="2"/>
            <scheme val="minor"/>
          </rPr>
          <t>Tsai, Michael:
IAS VR: 133 kts</t>
        </r>
      </text>
    </comment>
    <comment ref="AD10" authorId="0" shapeId="0" xr:uid="{BCE9FDDE-DA57-4852-92B9-08E974D34D8F}">
      <text>
        <r>
          <rPr>
            <sz val="11"/>
            <color theme="1"/>
            <rFont val="Calibri"/>
            <family val="2"/>
            <scheme val="minor"/>
          </rPr>
          <t>Tsai, Michael:
IAS VR: 150 kts</t>
        </r>
      </text>
    </comment>
    <comment ref="AE10" authorId="0" shapeId="0" xr:uid="{5E8FE314-77DF-4E08-BD03-FF463969762D}">
      <text>
        <r>
          <rPr>
            <sz val="11"/>
            <color theme="1"/>
            <rFont val="Calibri"/>
            <family val="2"/>
            <scheme val="minor"/>
          </rPr>
          <t>Tsai, Michael:
IAS VR: 150 kts</t>
        </r>
      </text>
    </comment>
    <comment ref="AF10" authorId="0" shapeId="0" xr:uid="{30580AED-563C-4F70-AFAE-04BDD74FA586}">
      <text>
        <r>
          <rPr>
            <sz val="11"/>
            <color theme="1"/>
            <rFont val="Calibri"/>
            <family val="2"/>
            <scheme val="minor"/>
          </rPr>
          <t>Tsai, Michael:
IAS VR: 153 kts</t>
        </r>
      </text>
    </comment>
    <comment ref="AG10" authorId="0" shapeId="0" xr:uid="{D84359E8-5F68-41EE-BC3F-988209C78AD7}">
      <text>
        <r>
          <rPr>
            <sz val="11"/>
            <color theme="1"/>
            <rFont val="Calibri"/>
            <family val="2"/>
            <scheme val="minor"/>
          </rPr>
          <t>Tsai, Michael:
IAS VR: 155 kts</t>
        </r>
      </text>
    </comment>
    <comment ref="AH10" authorId="0" shapeId="0" xr:uid="{8103DE19-7EE5-4EF7-B3D6-754FBCD2B555}">
      <text>
        <r>
          <rPr>
            <sz val="11"/>
            <color theme="1"/>
            <rFont val="Calibri"/>
            <family val="2"/>
            <scheme val="minor"/>
          </rPr>
          <t xml:space="preserve">Tsai, Michael:
KTAS: V2 130 kts
</t>
        </r>
      </text>
    </comment>
    <comment ref="AI10" authorId="0" shapeId="0" xr:uid="{A8506CE8-3B60-47CD-9F17-147C5B61E033}">
      <text>
        <r>
          <rPr>
            <sz val="11"/>
            <color theme="1"/>
            <rFont val="Calibri"/>
            <family val="2"/>
            <scheme val="minor"/>
          </rPr>
          <t xml:space="preserve">Tsai, Michael:
KTAS: V2 130 kts
</t>
        </r>
      </text>
    </comment>
    <comment ref="AJ10" authorId="0" shapeId="0" xr:uid="{FAB04FEC-9294-4156-A809-D9884D9FC8C4}">
      <text>
        <r>
          <rPr>
            <sz val="11"/>
            <color theme="1"/>
            <rFont val="Calibri"/>
            <family val="2"/>
            <scheme val="minor"/>
          </rPr>
          <t>Tsai, Michael:
KTAS
VR Flap 5 140 kts</t>
        </r>
      </text>
    </comment>
    <comment ref="AK10" authorId="0" shapeId="0" xr:uid="{6547986F-C82E-43DB-93F6-9620E4F763A2}">
      <text>
        <r>
          <rPr>
            <sz val="11"/>
            <color theme="1"/>
            <rFont val="Calibri"/>
            <family val="2"/>
            <scheme val="minor"/>
          </rPr>
          <t>Tsai, Michael:
KTAS
VR Flap 5 140 kts</t>
        </r>
      </text>
    </comment>
    <comment ref="AL10" authorId="0" shapeId="0" xr:uid="{257DF766-92B9-45F0-943B-D60955FE8B19}">
      <text>
        <r>
          <rPr>
            <sz val="11"/>
            <color theme="1"/>
            <rFont val="Calibri"/>
            <family val="2"/>
            <scheme val="minor"/>
          </rPr>
          <t>Tsai, Michael:
KTAS
VR Flap 5 140 kts</t>
        </r>
      </text>
    </comment>
    <comment ref="AM10" authorId="0" shapeId="0" xr:uid="{1A508001-52AB-41B8-90F2-DF6417E2C106}">
      <text>
        <r>
          <rPr>
            <sz val="11"/>
            <color theme="1"/>
            <rFont val="Calibri"/>
            <family val="2"/>
            <scheme val="minor"/>
          </rPr>
          <t>Tsai, Michael:
KTAS
VR Flap 5 140 kts</t>
        </r>
      </text>
    </comment>
    <comment ref="AN10" authorId="0" shapeId="0" xr:uid="{8486768D-206C-4A3F-94A8-432C9B1B64CB}">
      <text>
        <r>
          <rPr>
            <sz val="11"/>
            <color theme="1"/>
            <rFont val="Calibri"/>
            <family val="2"/>
            <scheme val="minor"/>
          </rPr>
          <t>Tsai, Michael:
V2: 145 kts</t>
        </r>
      </text>
    </comment>
    <comment ref="AO10" authorId="0" shapeId="0" xr:uid="{93F6EB72-7B9F-4459-90D8-99C001B9640C}">
      <text>
        <r>
          <rPr>
            <sz val="11"/>
            <color theme="1"/>
            <rFont val="Calibri"/>
            <family val="2"/>
            <scheme val="minor"/>
          </rPr>
          <t>Tsai, Michael:
V2: 145 kts</t>
        </r>
      </text>
    </comment>
    <comment ref="AP10" authorId="0" shapeId="0" xr:uid="{C9EE2E74-685E-4EE3-88A4-679FABE4E48A}">
      <text>
        <r>
          <rPr>
            <sz val="11"/>
            <color theme="1"/>
            <rFont val="Calibri"/>
            <family val="2"/>
            <scheme val="minor"/>
          </rPr>
          <t>Tsai, Michael:
V2: 145 kts</t>
        </r>
      </text>
    </comment>
    <comment ref="AQ10" authorId="0" shapeId="0" xr:uid="{60DC46F8-6B4E-4DE2-8017-AFC0C3F3247A}">
      <text>
        <r>
          <rPr>
            <sz val="11"/>
            <color theme="1"/>
            <rFont val="Calibri"/>
            <family val="2"/>
            <scheme val="minor"/>
          </rPr>
          <t>Tsai, Michael:
V2: 145 kts</t>
        </r>
      </text>
    </comment>
    <comment ref="AS10" authorId="0" shapeId="0" xr:uid="{2208677A-8DF0-48E8-8A3F-D66694C388C7}">
      <text>
        <r>
          <rPr>
            <sz val="11"/>
            <color theme="1"/>
            <rFont val="Calibri"/>
            <family val="2"/>
            <scheme val="minor"/>
          </rPr>
          <t>Tsai, Michael:
V2</t>
        </r>
      </text>
    </comment>
    <comment ref="BA10" authorId="0" shapeId="0" xr:uid="{15701431-A6CA-48F5-BECC-0BBDD01063F2}">
      <text>
        <r>
          <rPr>
            <sz val="11"/>
            <color theme="1"/>
            <rFont val="Calibri"/>
            <family val="2"/>
            <scheme val="minor"/>
          </rPr>
          <t>Tsai, Michael:
v2</t>
        </r>
      </text>
    </comment>
    <comment ref="BB10" authorId="0" shapeId="0" xr:uid="{866DFB50-0DF3-460D-BFD5-2FEF891FC042}">
      <text>
        <r>
          <rPr>
            <sz val="11"/>
            <color theme="1"/>
            <rFont val="Calibri"/>
            <family val="2"/>
            <scheme val="minor"/>
          </rPr>
          <t xml:space="preserve">Tsai, Michael:
v2
</t>
        </r>
      </text>
    </comment>
    <comment ref="BC10" authorId="0" shapeId="0" xr:uid="{48486289-84A8-4E58-BE65-9AB2DAF18F64}">
      <text>
        <r>
          <rPr>
            <sz val="11"/>
            <color theme="1"/>
            <rFont val="Calibri"/>
            <family val="2"/>
            <scheme val="minor"/>
          </rPr>
          <t>Tsai, Michael:
v2</t>
        </r>
      </text>
    </comment>
    <comment ref="BD10" authorId="0" shapeId="0" xr:uid="{059B4483-085F-4061-B629-9FE6E114F080}">
      <text>
        <r>
          <rPr>
            <sz val="11"/>
            <color theme="1"/>
            <rFont val="Calibri"/>
            <family val="2"/>
            <scheme val="minor"/>
          </rPr>
          <t>Tsai, Michael:
v2</t>
        </r>
      </text>
    </comment>
    <comment ref="BE10" authorId="0" shapeId="0" xr:uid="{D5A3E284-2BCA-48EC-826D-E6827C8EB47C}">
      <text>
        <r>
          <rPr>
            <sz val="11"/>
            <color theme="1"/>
            <rFont val="Calibri"/>
            <family val="2"/>
            <scheme val="minor"/>
          </rPr>
          <t>Tsai, Michael:
v2</t>
        </r>
      </text>
    </comment>
    <comment ref="BF10" authorId="0" shapeId="0" xr:uid="{EA2AEF06-F8DD-4BF5-9AD1-6E5B25ACE92E}">
      <text>
        <r>
          <rPr>
            <sz val="11"/>
            <color theme="1"/>
            <rFont val="Calibri"/>
            <family val="2"/>
            <scheme val="minor"/>
          </rPr>
          <t>Tsai, Michael:
V2: 135 kts</t>
        </r>
      </text>
    </comment>
    <comment ref="BG10" authorId="0" shapeId="0" xr:uid="{717F61FD-C727-474D-A2CE-6E62D43A9BB1}">
      <text>
        <r>
          <rPr>
            <sz val="11"/>
            <color theme="1"/>
            <rFont val="Calibri"/>
            <family val="2"/>
            <scheme val="minor"/>
          </rPr>
          <t xml:space="preserve">Tsai, Michael:
V2: 150 kts
</t>
        </r>
      </text>
    </comment>
    <comment ref="BH10" authorId="0" shapeId="0" xr:uid="{A50D13D0-B5D2-4C86-A01C-CC1F4D655459}">
      <text>
        <r>
          <rPr>
            <sz val="11"/>
            <color theme="1"/>
            <rFont val="Calibri"/>
            <family val="2"/>
            <scheme val="minor"/>
          </rPr>
          <t>Tsai, Michael:
V2: 145 kts</t>
        </r>
      </text>
    </comment>
    <comment ref="BI10" authorId="0" shapeId="0" xr:uid="{8D9367F0-5E12-4E9E-939F-0CC520EB9DE5}">
      <text>
        <r>
          <rPr>
            <sz val="11"/>
            <color theme="1"/>
            <rFont val="Calibri"/>
            <family val="2"/>
            <scheme val="minor"/>
          </rPr>
          <t>Tsai, Michael:
V2: 149 kts</t>
        </r>
      </text>
    </comment>
    <comment ref="BK10" authorId="0" shapeId="0" xr:uid="{D080B090-7AD2-48CA-BE83-EDC95D000B5A}">
      <text>
        <r>
          <rPr>
            <sz val="11"/>
            <color theme="1"/>
            <rFont val="Calibri"/>
            <family val="2"/>
            <scheme val="minor"/>
          </rPr>
          <t xml:space="preserve">Tsai, Michael:
V2: 150 kts
</t>
        </r>
      </text>
    </comment>
    <comment ref="BL10" authorId="0" shapeId="0" xr:uid="{E3DA3C38-C734-4E8B-806E-499F7B092049}">
      <text>
        <r>
          <rPr>
            <sz val="11"/>
            <color theme="1"/>
            <rFont val="Calibri"/>
            <family val="2"/>
            <scheme val="minor"/>
          </rPr>
          <t>Tsai, Michael:
V2: 145 kts</t>
        </r>
      </text>
    </comment>
    <comment ref="BM10" authorId="0" shapeId="0" xr:uid="{78FDA048-C8CB-4ECD-8425-5F17FB02621F}">
      <text>
        <r>
          <rPr>
            <sz val="11"/>
            <color theme="1"/>
            <rFont val="Calibri"/>
            <family val="2"/>
            <scheme val="minor"/>
          </rPr>
          <t xml:space="preserve">Tsai, Michael:
180 KCAS from paper 
Flight Test Methodology for NASA Advanced Inlet Liner on 737MAX-7 Test
Bed (3) in references </t>
        </r>
      </text>
    </comment>
    <comment ref="BN10" authorId="0" shapeId="0" xr:uid="{7B709BD9-C1E7-4D25-9F3D-C87E258EACE3}">
      <text>
        <r>
          <rPr>
            <sz val="11"/>
            <color theme="1"/>
            <rFont val="Calibri"/>
            <family val="2"/>
            <scheme val="minor"/>
          </rPr>
          <t xml:space="preserve">Tsai, Michael:
180 KCAS from paper 
Flight Test Methodology for NASA Advanced Inlet Liner on 737MAX-7 Test
Bed (3) in references </t>
        </r>
      </text>
    </comment>
    <comment ref="BO10" authorId="0" shapeId="0" xr:uid="{D7FABB54-CB82-4BB1-9BEF-F8629F311563}">
      <text>
        <r>
          <rPr>
            <sz val="11"/>
            <color theme="1"/>
            <rFont val="Calibri"/>
            <family val="2"/>
            <scheme val="minor"/>
          </rPr>
          <t xml:space="preserve">Tsai, Michael:
180 KCAS from paper 
Flight Test Methodology for NASA Advanced Inlet Liner on 737MAX-7 Test
Bed (3) in references </t>
        </r>
      </text>
    </comment>
    <comment ref="BP10" authorId="0" shapeId="0" xr:uid="{ED35AA60-F768-4196-8981-C72B80613FD7}">
      <text>
        <r>
          <rPr>
            <sz val="11"/>
            <color theme="1"/>
            <rFont val="Calibri"/>
            <family val="2"/>
            <scheme val="minor"/>
          </rPr>
          <t xml:space="preserve">Tsai, Michael:
180 KCAS from paper 
Flight Test Methodology for NASA Advanced Inlet Liner on 737MAX-7 Test
Bed (3) in references </t>
        </r>
      </text>
    </comment>
    <comment ref="BQ10" authorId="0" shapeId="0" xr:uid="{088A889F-BD85-461D-99FB-CBDE69EB6D06}">
      <text>
        <r>
          <rPr>
            <sz val="11"/>
            <color theme="1"/>
            <rFont val="Calibri"/>
            <family val="2"/>
            <scheme val="minor"/>
          </rPr>
          <t xml:space="preserve">Tsai, Michael:
180 KCAS from paper 
Flight Test Methodology for NASA Advanced Inlet Liner on 737MAX-7 Test
Bed (3) in references </t>
        </r>
      </text>
    </comment>
    <comment ref="BR10" authorId="0" shapeId="0" xr:uid="{5AD85E83-3626-4540-8CF5-6108D7CE13A0}">
      <text>
        <r>
          <rPr>
            <sz val="11"/>
            <color theme="1"/>
            <rFont val="Calibri"/>
            <family val="2"/>
            <scheme val="minor"/>
          </rPr>
          <t xml:space="preserve">Tsai, Michael:
180 KCAS from paper 
Flight Test Methodology for NASA Advanced Inlet Liner on 737MAX-7 Test
Bed (3) in references </t>
        </r>
      </text>
    </comment>
    <comment ref="BS10" authorId="0" shapeId="0" xr:uid="{786055B2-EDB0-4405-8944-F0CEC42D4888}">
      <text>
        <r>
          <rPr>
            <sz val="11"/>
            <color theme="1"/>
            <rFont val="Calibri"/>
            <family val="2"/>
            <scheme val="minor"/>
          </rPr>
          <t xml:space="preserve">Tsai, Michael:
180 KCAS from paper 
Flight Test Methodology for NASA Advanced Inlet Liner on 737MAX-7 Test
Bed (3) in references </t>
        </r>
      </text>
    </comment>
    <comment ref="BT10" authorId="0" shapeId="0" xr:uid="{4406A350-5477-4A13-ABD9-DEEE9FEF1755}">
      <text>
        <r>
          <rPr>
            <sz val="11"/>
            <color theme="1"/>
            <rFont val="Calibri"/>
            <family val="2"/>
            <scheme val="minor"/>
          </rPr>
          <t>Tsai, Michael:
V2: 145 kts (2)</t>
        </r>
      </text>
    </comment>
    <comment ref="BU10" authorId="0" shapeId="0" xr:uid="{7CE4C8D5-C07B-4A2C-A237-1E6B41793C12}">
      <text>
        <r>
          <rPr>
            <sz val="11"/>
            <color theme="1"/>
            <rFont val="Calibri"/>
            <family val="2"/>
            <scheme val="minor"/>
          </rPr>
          <t>Tsai, Michael:
V2: 145 kts (2)</t>
        </r>
      </text>
    </comment>
    <comment ref="BV10" authorId="0" shapeId="0" xr:uid="{CAD54198-38E8-4146-8B64-1F99CD3BE731}">
      <text>
        <r>
          <rPr>
            <sz val="11"/>
            <color theme="1"/>
            <rFont val="Calibri"/>
            <family val="2"/>
            <scheme val="minor"/>
          </rPr>
          <t>Tsai, Michael:
V2: 145 kts (2)</t>
        </r>
      </text>
    </comment>
    <comment ref="BW10" authorId="0" shapeId="0" xr:uid="{607FC6CE-506D-49D1-954B-AE5ADE3537A7}">
      <text>
        <r>
          <rPr>
            <sz val="11"/>
            <color theme="1"/>
            <rFont val="Calibri"/>
            <family val="2"/>
            <scheme val="minor"/>
          </rPr>
          <t>Tsai, Michael:
V2: 145 kts (2)</t>
        </r>
      </text>
    </comment>
    <comment ref="BX10" authorId="0" shapeId="0" xr:uid="{09A9978E-FF06-4BAB-A3CF-945A8A0CCA6C}">
      <text>
        <r>
          <rPr>
            <sz val="11"/>
            <color theme="1"/>
            <rFont val="Calibri"/>
            <family val="2"/>
            <scheme val="minor"/>
          </rPr>
          <t>Tsai, Michael:
V2: 145 kts (2)</t>
        </r>
      </text>
    </comment>
    <comment ref="BY10" authorId="0" shapeId="0" xr:uid="{A316E8A0-E39B-4A98-A78E-33F967CFA6A5}">
      <text>
        <r>
          <rPr>
            <sz val="11"/>
            <color theme="1"/>
            <rFont val="Calibri"/>
            <family val="2"/>
            <scheme val="minor"/>
          </rPr>
          <t>Tsai, Michael:
V2: 145 kts (2)</t>
        </r>
      </text>
    </comment>
    <comment ref="BZ10" authorId="0" shapeId="0" xr:uid="{0B9C7A4D-E812-45CB-AA1A-9EB7AAB041C8}">
      <text>
        <r>
          <rPr>
            <sz val="11"/>
            <color theme="1"/>
            <rFont val="Calibri"/>
            <family val="2"/>
            <scheme val="minor"/>
          </rPr>
          <t>Tsai, Michael:
V2: 145 kts (2)</t>
        </r>
      </text>
    </comment>
    <comment ref="CA10" authorId="0" shapeId="0" xr:uid="{25662EB9-6109-4184-B05C-C99C304CD89F}">
      <text>
        <r>
          <rPr>
            <sz val="11"/>
            <color theme="1"/>
            <rFont val="Calibri"/>
            <family val="2"/>
            <scheme val="minor"/>
          </rPr>
          <t>Tsai, Michael:
V2: 145 kts (2)</t>
        </r>
      </text>
    </comment>
    <comment ref="CB10" authorId="0" shapeId="0" xr:uid="{402DD82D-6097-4630-8800-0F1B56BDF262}">
      <text>
        <r>
          <rPr>
            <sz val="11"/>
            <color theme="1"/>
            <rFont val="Calibri"/>
            <family val="2"/>
            <scheme val="minor"/>
          </rPr>
          <t>Tsai, Michael:
V2: 145 kts (2)</t>
        </r>
      </text>
    </comment>
    <comment ref="CC10" authorId="0" shapeId="0" xr:uid="{679C838C-3634-49EE-8A05-93DF1A522E60}">
      <text>
        <r>
          <rPr>
            <sz val="11"/>
            <color theme="1"/>
            <rFont val="Calibri"/>
            <family val="2"/>
            <scheme val="minor"/>
          </rPr>
          <t>Tsai, Michael:
V2: 145 kts (2)</t>
        </r>
      </text>
    </comment>
    <comment ref="CD10" authorId="0" shapeId="0" xr:uid="{4173A4D5-9E2E-4E26-A8E8-455BB769D8C4}">
      <text>
        <r>
          <rPr>
            <sz val="11"/>
            <color theme="1"/>
            <rFont val="Calibri"/>
            <family val="2"/>
            <scheme val="minor"/>
          </rPr>
          <t xml:space="preserve">Tsai, Michael:
V2: 160 Kts (2)
</t>
        </r>
      </text>
    </comment>
    <comment ref="CE10" authorId="0" shapeId="0" xr:uid="{4DDA9C79-80AE-49B9-9B45-9774A8CFBC0E}">
      <text>
        <r>
          <rPr>
            <sz val="11"/>
            <color theme="1"/>
            <rFont val="Calibri"/>
            <family val="2"/>
            <scheme val="minor"/>
          </rPr>
          <t xml:space="preserve">Tsai, Michael:
V2: 160 Kts (2)
</t>
        </r>
      </text>
    </comment>
    <comment ref="CF10" authorId="0" shapeId="0" xr:uid="{7D0F91B4-2E01-43DE-AB4E-E0A9AC7D1A85}">
      <text>
        <r>
          <rPr>
            <sz val="11"/>
            <color theme="1"/>
            <rFont val="Calibri"/>
            <family val="2"/>
            <scheme val="minor"/>
          </rPr>
          <t xml:space="preserve">Tsai, Michael:
V2: 160 Kts (2)
</t>
        </r>
      </text>
    </comment>
    <comment ref="CG10" authorId="0" shapeId="0" xr:uid="{D3E99B0B-B1BE-4EBA-92CD-A1FB38651A2C}">
      <text>
        <r>
          <rPr>
            <sz val="11"/>
            <color theme="1"/>
            <rFont val="Calibri"/>
            <family val="2"/>
            <scheme val="minor"/>
          </rPr>
          <t xml:space="preserve">Tsai, Michael:
V2: 160 Kts (2)
</t>
        </r>
      </text>
    </comment>
    <comment ref="CH10" authorId="0" shapeId="0" xr:uid="{A0651D66-6130-44AE-BE45-08EE662F6866}">
      <text>
        <r>
          <rPr>
            <sz val="11"/>
            <color theme="1"/>
            <rFont val="Calibri"/>
            <family val="2"/>
            <scheme val="minor"/>
          </rPr>
          <t xml:space="preserve">Tsai, Michael:
V2: 160 Kts (2)
</t>
        </r>
      </text>
    </comment>
    <comment ref="CI10" authorId="0" shapeId="0" xr:uid="{CD2A426E-9E9A-4759-BBE2-D12A80366E72}">
      <text>
        <r>
          <rPr>
            <sz val="11"/>
            <color theme="1"/>
            <rFont val="Calibri"/>
            <family val="2"/>
            <scheme val="minor"/>
          </rPr>
          <t xml:space="preserve">Tsai, Michael:
V2: 160 Kts (2)
</t>
        </r>
      </text>
    </comment>
    <comment ref="CJ10" authorId="0" shapeId="0" xr:uid="{01F013E8-8602-43FA-8F70-7F66CC1D7BA7}">
      <text>
        <r>
          <rPr>
            <sz val="11"/>
            <color theme="1"/>
            <rFont val="Calibri"/>
            <family val="2"/>
            <scheme val="minor"/>
          </rPr>
          <t xml:space="preserve">Tsai, Michael:
V2: 160 Kts (2)
</t>
        </r>
      </text>
    </comment>
    <comment ref="CK10" authorId="0" shapeId="0" xr:uid="{F0582335-CBCA-4695-A46A-E56A1092DCAF}">
      <text>
        <r>
          <rPr>
            <sz val="11"/>
            <color theme="1"/>
            <rFont val="Calibri"/>
            <family val="2"/>
            <scheme val="minor"/>
          </rPr>
          <t xml:space="preserve">Tsai, Michael:
V2: 160 Kts (2)
</t>
        </r>
      </text>
    </comment>
    <comment ref="CL10" authorId="0" shapeId="0" xr:uid="{69E9D196-EF25-4285-B6AE-917EBD4D3FFA}">
      <text>
        <r>
          <rPr>
            <sz val="11"/>
            <color theme="1"/>
            <rFont val="Calibri"/>
            <family val="2"/>
            <scheme val="minor"/>
          </rPr>
          <t xml:space="preserve">Tsai, Michael:
V2: 160 Kts (2)
</t>
        </r>
      </text>
    </comment>
    <comment ref="CM10" authorId="0" shapeId="0" xr:uid="{95DF16F2-ED03-42C9-ADE1-B5465C86F00F}">
      <text>
        <r>
          <rPr>
            <sz val="11"/>
            <color theme="1"/>
            <rFont val="Calibri"/>
            <family val="2"/>
            <scheme val="minor"/>
          </rPr>
          <t xml:space="preserve">Tsai, Michael:
V2: 160 Kts (2)
</t>
        </r>
      </text>
    </comment>
    <comment ref="CN10" authorId="0" shapeId="0" xr:uid="{42185F6C-7807-438A-9900-22AF28CDE7DC}">
      <text>
        <r>
          <rPr>
            <sz val="11"/>
            <color theme="1"/>
            <rFont val="Calibri"/>
            <family val="2"/>
            <scheme val="minor"/>
          </rPr>
          <t xml:space="preserve">Tsai, Michael:
KTAS VR: 114.45 kts
</t>
        </r>
      </text>
    </comment>
    <comment ref="CO10" authorId="0" shapeId="0" xr:uid="{B1E29AE9-7864-4FFA-A1A4-A0BD992D7594}">
      <text>
        <r>
          <rPr>
            <sz val="11"/>
            <color theme="1"/>
            <rFont val="Calibri"/>
            <family val="2"/>
            <scheme val="minor"/>
          </rPr>
          <t xml:space="preserve">Tsai, Michael:
KTAS VR: 111.3 kts
</t>
        </r>
      </text>
    </comment>
    <comment ref="CP10" authorId="0" shapeId="0" xr:uid="{FEF13D16-9836-4332-856B-49231576036A}">
      <text>
        <r>
          <rPr>
            <sz val="11"/>
            <color theme="1"/>
            <rFont val="Calibri"/>
            <family val="2"/>
            <scheme val="minor"/>
          </rPr>
          <t xml:space="preserve">Tsai, Michael:
KTAS VR: 114.45 kts
</t>
        </r>
      </text>
    </comment>
    <comment ref="CQ10" authorId="0" shapeId="0" xr:uid="{A662C7AC-3162-4CB9-91F0-189B4CD44CE2}">
      <text>
        <r>
          <rPr>
            <sz val="11"/>
            <color theme="1"/>
            <rFont val="Calibri"/>
            <family val="2"/>
            <scheme val="minor"/>
          </rPr>
          <t xml:space="preserve">Tsai, Michael:
KTAS VR: 120.75 kts
</t>
        </r>
      </text>
    </comment>
    <comment ref="CR10" authorId="0" shapeId="0" xr:uid="{038F42E4-B84B-43A6-A5ED-ACC83E847B42}">
      <text>
        <r>
          <rPr>
            <sz val="11"/>
            <color theme="1"/>
            <rFont val="Calibri"/>
            <family val="2"/>
            <scheme val="minor"/>
          </rPr>
          <t xml:space="preserve">Tsai, Michael:
KTAS VR: 120.75 kts
</t>
        </r>
      </text>
    </comment>
    <comment ref="CS10" authorId="0" shapeId="0" xr:uid="{0342EE0D-CD88-4B31-B42D-C453BD5FBEF0}">
      <text>
        <r>
          <rPr>
            <sz val="11"/>
            <color theme="1"/>
            <rFont val="Calibri"/>
            <family val="2"/>
            <scheme val="minor"/>
          </rPr>
          <t xml:space="preserve">Tsai, Michael:
KTAS VR: 120.75 kts
</t>
        </r>
      </text>
    </comment>
    <comment ref="CT10" authorId="0" shapeId="0" xr:uid="{9621CC66-CF35-480D-B754-3AA827B22692}">
      <text>
        <r>
          <rPr>
            <sz val="11"/>
            <color theme="1"/>
            <rFont val="Calibri"/>
            <family val="2"/>
            <scheme val="minor"/>
          </rPr>
          <t xml:space="preserve">Tsai, Michael:
KTAS VR: 120.75 kts
</t>
        </r>
      </text>
    </comment>
    <comment ref="CU10" authorId="0" shapeId="0" xr:uid="{44F0835D-D9B8-4FC5-B56B-4F9FCC07DAAD}">
      <text>
        <r>
          <rPr>
            <sz val="11"/>
            <color theme="1"/>
            <rFont val="Calibri"/>
            <family val="2"/>
            <scheme val="minor"/>
          </rPr>
          <t xml:space="preserve">Tsai, Michael:
KTAS VR: 127.05 kts
</t>
        </r>
      </text>
    </comment>
    <comment ref="CV10" authorId="0" shapeId="0" xr:uid="{060BAD26-BF8E-4B76-88EE-CD6EC961A6A6}">
      <text>
        <r>
          <rPr>
            <sz val="11"/>
            <color theme="1"/>
            <rFont val="Calibri"/>
            <family val="2"/>
            <scheme val="minor"/>
          </rPr>
          <t xml:space="preserve">Tsai, Michael:
KTAS VR: 122.85 kts
</t>
        </r>
      </text>
    </comment>
    <comment ref="CW10" authorId="0" shapeId="0" xr:uid="{C455435F-65FF-45CE-8173-8E5EC9BAE3FA}">
      <text>
        <r>
          <rPr>
            <sz val="11"/>
            <color theme="1"/>
            <rFont val="Calibri"/>
            <family val="2"/>
            <scheme val="minor"/>
          </rPr>
          <t xml:space="preserve">Tsai, Michael:
KTAS VR: 115.5 kts
VMCA = 110
</t>
        </r>
      </text>
    </comment>
    <comment ref="CX10" authorId="0" shapeId="0" xr:uid="{0BBEEB6F-8F4B-4F5D-877E-E8AC77F178F4}">
      <text>
        <r>
          <rPr>
            <sz val="11"/>
            <color theme="1"/>
            <rFont val="Calibri"/>
            <family val="2"/>
            <scheme val="minor"/>
          </rPr>
          <t xml:space="preserve">Tsai, Michael:
KTAS VR: 115.5 kts
VMCA = 110
</t>
        </r>
      </text>
    </comment>
    <comment ref="CY10" authorId="0" shapeId="0" xr:uid="{D5887819-0084-44F2-928C-B2904662E0B7}">
      <text>
        <r>
          <rPr>
            <sz val="11"/>
            <color theme="1"/>
            <rFont val="Calibri"/>
            <family val="2"/>
            <scheme val="minor"/>
          </rPr>
          <t xml:space="preserve">Tsai, Michael:
KTAS VR: 115.5 kts
VMCA = 110
</t>
        </r>
      </text>
    </comment>
    <comment ref="CZ10" authorId="0" shapeId="0" xr:uid="{9253DBA6-F164-4232-AFC0-50195C75F210}">
      <text>
        <r>
          <rPr>
            <sz val="11"/>
            <color theme="1"/>
            <rFont val="Calibri"/>
            <family val="2"/>
            <scheme val="minor"/>
          </rPr>
          <t xml:space="preserve">Tsai, Michael:
KTAS VR: 115.5 kts
VMCA = 110
</t>
        </r>
      </text>
    </comment>
    <comment ref="DA10" authorId="0" shapeId="0" xr:uid="{79CEA257-E2B1-4F41-AA93-FC8E836C0B75}">
      <text>
        <r>
          <rPr>
            <sz val="11"/>
            <color theme="1"/>
            <rFont val="Calibri"/>
            <family val="2"/>
            <scheme val="minor"/>
          </rPr>
          <t xml:space="preserve">Tsai, Michael:
KTAS VR: 115.5 kts
VMCA = 110
</t>
        </r>
      </text>
    </comment>
    <comment ref="DB10" authorId="0" shapeId="0" xr:uid="{55813694-D48E-4F0C-A303-FF555B41F08E}">
      <text>
        <r>
          <rPr>
            <sz val="11"/>
            <color theme="1"/>
            <rFont val="Calibri"/>
            <family val="2"/>
            <scheme val="minor"/>
          </rPr>
          <t xml:space="preserve">Tsai, Michael:
KTAS VR: 115.5 kts
VMCA = 110
</t>
        </r>
      </text>
    </comment>
    <comment ref="DC10" authorId="0" shapeId="0" xr:uid="{DAC8A4C8-C1E3-4A63-B692-0B266D6D56F0}">
      <text>
        <r>
          <rPr>
            <sz val="11"/>
            <color theme="1"/>
            <rFont val="Calibri"/>
            <family val="2"/>
            <scheme val="minor"/>
          </rPr>
          <t xml:space="preserve">Tsai, Michael:
KTAS VR: 115.5 kts
VMCA = 110
</t>
        </r>
      </text>
    </comment>
    <comment ref="DD10" authorId="0" shapeId="0" xr:uid="{10E1164B-4495-4C43-BD18-7C3A97E29427}">
      <text>
        <r>
          <rPr>
            <sz val="11"/>
            <color theme="1"/>
            <rFont val="Calibri"/>
            <family val="2"/>
            <scheme val="minor"/>
          </rPr>
          <t xml:space="preserve">Tsai, Michael:
KTAS VR: 115.5 kts
VMCA = 110
</t>
        </r>
      </text>
    </comment>
    <comment ref="DE10" authorId="0" shapeId="0" xr:uid="{1FBC0985-8F90-466A-84FE-7BE2F983B78F}">
      <text>
        <r>
          <rPr>
            <sz val="11"/>
            <color theme="1"/>
            <rFont val="Calibri"/>
            <family val="2"/>
            <scheme val="minor"/>
          </rPr>
          <t xml:space="preserve">Tsai, Michael:
KTAS VR: 115.5 kts
VMCA = 110
</t>
        </r>
      </text>
    </comment>
    <comment ref="DF10" authorId="0" shapeId="0" xr:uid="{6A346DB1-C83B-4B3C-9A35-BCB08067AC65}">
      <text>
        <r>
          <rPr>
            <sz val="11"/>
            <color theme="1"/>
            <rFont val="Calibri"/>
            <family val="2"/>
            <scheme val="minor"/>
          </rPr>
          <t xml:space="preserve">Tsai, Michael:
KTAS VR: 115.5 kts
VMCA = 110
</t>
        </r>
      </text>
    </comment>
    <comment ref="DG10" authorId="0" shapeId="0" xr:uid="{C80A4BAF-C1A6-414D-902B-60B06663CEE4}">
      <text>
        <r>
          <rPr>
            <sz val="11"/>
            <color theme="1"/>
            <rFont val="Calibri"/>
            <family val="2"/>
            <scheme val="minor"/>
          </rPr>
          <t xml:space="preserve">Tsai, Michael:
KTAS VR: 115.5 kts
VMCA = 110
</t>
        </r>
      </text>
    </comment>
    <comment ref="DH10" authorId="0" shapeId="0" xr:uid="{4DA486F9-93A3-4BC4-ADAB-217624531983}">
      <text>
        <r>
          <rPr>
            <sz val="11"/>
            <color theme="1"/>
            <rFont val="Calibri"/>
            <family val="2"/>
            <scheme val="minor"/>
          </rPr>
          <t xml:space="preserve">Tsai, Michael:
KTAS VR: 115.5 kts
VMCA = 110
</t>
        </r>
      </text>
    </comment>
    <comment ref="DI10" authorId="0" shapeId="0" xr:uid="{34AF333B-9100-4E63-A3D0-B1C9E76A65FE}">
      <text>
        <r>
          <rPr>
            <sz val="11"/>
            <color theme="1"/>
            <rFont val="Calibri"/>
            <family val="2"/>
            <scheme val="minor"/>
          </rPr>
          <t xml:space="preserve">Tsai, Michael:
KTAS VR: 115.5 kts
VMCA = 110
</t>
        </r>
      </text>
    </comment>
    <comment ref="DJ10" authorId="0" shapeId="0" xr:uid="{9A9C4302-A3E8-40D2-9377-6C0E93E33C64}">
      <text>
        <r>
          <rPr>
            <sz val="11"/>
            <color theme="1"/>
            <rFont val="Calibri"/>
            <family val="2"/>
            <scheme val="minor"/>
          </rPr>
          <t xml:space="preserve">Tsai, Michael:
KTAS VR: 115.5 kts
VMCA = 110
</t>
        </r>
      </text>
    </comment>
    <comment ref="DK10" authorId="0" shapeId="0" xr:uid="{ED7C4C8E-6A0C-48BE-B52D-D0C44B62DE40}">
      <text>
        <r>
          <rPr>
            <sz val="11"/>
            <color theme="1"/>
            <rFont val="Calibri"/>
            <family val="2"/>
            <scheme val="minor"/>
          </rPr>
          <t xml:space="preserve">Tsai, Michael:
KTAS VR: 115.5 kts
VMCA = 110
</t>
        </r>
      </text>
    </comment>
    <comment ref="DL10" authorId="0" shapeId="0" xr:uid="{028DCEC9-931D-4C24-BCAB-1DF7C04D480C}">
      <text>
        <r>
          <rPr>
            <sz val="11"/>
            <color theme="1"/>
            <rFont val="Calibri"/>
            <family val="2"/>
            <scheme val="minor"/>
          </rPr>
          <t xml:space="preserve">Tsai, Michael:
KTAS VR: 115.5 kts
VMCA = 110
</t>
        </r>
      </text>
    </comment>
    <comment ref="DM10" authorId="0" shapeId="0" xr:uid="{478D0300-31E4-455F-A41D-F7FFC7C79F15}">
      <text>
        <r>
          <rPr>
            <sz val="11"/>
            <color theme="1"/>
            <rFont val="Calibri"/>
            <family val="2"/>
            <scheme val="minor"/>
          </rPr>
          <t xml:space="preserve">Tsai, Michael:
KTAS VR: 115.5 kts
VMCA = 110
</t>
        </r>
      </text>
    </comment>
    <comment ref="DN10" authorId="0" shapeId="0" xr:uid="{3B71E01A-7F3A-40B9-9F13-55E549630EA6}">
      <text>
        <r>
          <rPr>
            <sz val="11"/>
            <color theme="1"/>
            <rFont val="Calibri"/>
            <family val="2"/>
            <scheme val="minor"/>
          </rPr>
          <t xml:space="preserve">Tsai, Michael:
KTAS VR: 115.5 kts
VMCA = 110
</t>
        </r>
      </text>
    </comment>
    <comment ref="DO10" authorId="0" shapeId="0" xr:uid="{6971509C-9B0A-4DD0-B96F-F527ED2AFACE}">
      <text>
        <r>
          <rPr>
            <sz val="11"/>
            <color theme="1"/>
            <rFont val="Calibri"/>
            <family val="2"/>
            <scheme val="minor"/>
          </rPr>
          <t xml:space="preserve">Tsai, Michael:
KTAS VR: 115.5 kts
VMCA = 110
</t>
        </r>
      </text>
    </comment>
    <comment ref="DP10" authorId="0" shapeId="0" xr:uid="{B05D1FC2-49CB-464D-9AE8-AAE5D8D34A95}">
      <text>
        <r>
          <rPr>
            <sz val="11"/>
            <color theme="1"/>
            <rFont val="Calibri"/>
            <family val="2"/>
            <scheme val="minor"/>
          </rPr>
          <t xml:space="preserve">Tsai, Michael:
KTAS VR: 115.5 kts
VMCA = 110
</t>
        </r>
      </text>
    </comment>
    <comment ref="DQ10" authorId="0" shapeId="0" xr:uid="{AB894564-E250-42EF-8C99-9D529FD07008}">
      <text>
        <r>
          <rPr>
            <sz val="11"/>
            <color theme="1"/>
            <rFont val="Calibri"/>
            <family val="2"/>
            <scheme val="minor"/>
          </rPr>
          <t xml:space="preserve">Tsai, Michael:
KTAS VR: 115.5 kts
VMCA = 110
</t>
        </r>
      </text>
    </comment>
    <comment ref="DR10" authorId="0" shapeId="0" xr:uid="{5B3A153C-867E-455F-B2DA-436CE910D760}">
      <text>
        <r>
          <rPr>
            <sz val="11"/>
            <color theme="1"/>
            <rFont val="Calibri"/>
            <family val="2"/>
            <scheme val="minor"/>
          </rPr>
          <t xml:space="preserve">Tsai, Michael:
KTAS VR: 115.5 kts
VMCA = 110
</t>
        </r>
      </text>
    </comment>
    <comment ref="DS10" authorId="0" shapeId="0" xr:uid="{D61C6FD4-0E7D-41D7-9EC0-8B4C18F0D715}">
      <text>
        <r>
          <rPr>
            <sz val="11"/>
            <color theme="1"/>
            <rFont val="Calibri"/>
            <family val="2"/>
            <scheme val="minor"/>
          </rPr>
          <t xml:space="preserve">Tsai, Michael:
KTAS VR: 115.5 kts
VMCA = 110
</t>
        </r>
      </text>
    </comment>
    <comment ref="DT10" authorId="0" shapeId="0" xr:uid="{8DA8ED33-F600-44AA-845E-086C903C0158}">
      <text>
        <r>
          <rPr>
            <sz val="11"/>
            <color theme="1"/>
            <rFont val="Calibri"/>
            <family val="2"/>
            <scheme val="minor"/>
          </rPr>
          <t xml:space="preserve">Tsai, Michael:
KTAS VR: 115.5 kts
VMCA = 110
</t>
        </r>
      </text>
    </comment>
    <comment ref="DU10" authorId="0" shapeId="0" xr:uid="{BB2938EA-637D-4352-8D64-2A61CE0BD5C4}">
      <text>
        <r>
          <rPr>
            <sz val="11"/>
            <color theme="1"/>
            <rFont val="Calibri"/>
            <family val="2"/>
            <scheme val="minor"/>
          </rPr>
          <t xml:space="preserve">Tsai, Michael:
KTAS VR: 115.5 kts
VMCA = 110
</t>
        </r>
      </text>
    </comment>
    <comment ref="DV10" authorId="0" shapeId="0" xr:uid="{607C5C14-6039-415A-961E-82B44A2DFAE5}">
      <text>
        <r>
          <rPr>
            <sz val="11"/>
            <color theme="1"/>
            <rFont val="Calibri"/>
            <family val="2"/>
            <scheme val="minor"/>
          </rPr>
          <t xml:space="preserve">Tsai, Michael:
KTAS VR: 115.5 kts
VMCA = 110
</t>
        </r>
      </text>
    </comment>
    <comment ref="DW10" authorId="0" shapeId="0" xr:uid="{6B6D554C-856B-43B3-AEA9-300D148779DD}">
      <text>
        <r>
          <rPr>
            <sz val="11"/>
            <color theme="1"/>
            <rFont val="Calibri"/>
            <family val="2"/>
            <scheme val="minor"/>
          </rPr>
          <t xml:space="preserve">Tsai, Michael:
KTAS VR: 115.5 kts
VMCA = 110
</t>
        </r>
      </text>
    </comment>
    <comment ref="DX10" authorId="0" shapeId="0" xr:uid="{D35E1E85-A0DC-4294-8121-95AD79B482BE}">
      <text>
        <r>
          <rPr>
            <sz val="11"/>
            <color theme="1"/>
            <rFont val="Calibri"/>
            <family val="2"/>
            <scheme val="minor"/>
          </rPr>
          <t xml:space="preserve">Tsai, Michael:
KTAS VR: 115.5 kts
VMCA = 110
</t>
        </r>
      </text>
    </comment>
    <comment ref="DY10" authorId="0" shapeId="0" xr:uid="{5324F752-8CF9-41E9-A448-0BD6EBD76A09}">
      <text>
        <r>
          <rPr>
            <sz val="11"/>
            <color theme="1"/>
            <rFont val="Calibri"/>
            <family val="2"/>
            <scheme val="minor"/>
          </rPr>
          <t xml:space="preserve">Tsai, Michael:
KTAS VR: 115.5 kts
VMCA = 110
</t>
        </r>
      </text>
    </comment>
    <comment ref="DZ10" authorId="0" shapeId="0" xr:uid="{D1422F1F-8F2E-44C5-ADFA-937F5FEC0F42}">
      <text>
        <r>
          <rPr>
            <sz val="11"/>
            <color theme="1"/>
            <rFont val="Calibri"/>
            <family val="2"/>
            <scheme val="minor"/>
          </rPr>
          <t xml:space="preserve">Tsai, Michael:
KTAS VR: 115.5 kts
VMCA = 110
</t>
        </r>
      </text>
    </comment>
    <comment ref="EA10" authorId="0" shapeId="0" xr:uid="{0A32F4FA-FA11-43C7-990D-829A976DB2A8}">
      <text>
        <r>
          <rPr>
            <sz val="11"/>
            <color theme="1"/>
            <rFont val="Calibri"/>
            <family val="2"/>
            <scheme val="minor"/>
          </rPr>
          <t xml:space="preserve">Tsai, Michael:
KTAS VR: 115.5 kts
VMCA = 110
</t>
        </r>
      </text>
    </comment>
    <comment ref="EB10" authorId="0" shapeId="0" xr:uid="{411271D0-4335-4B18-939F-A629FCD2B629}">
      <text>
        <r>
          <rPr>
            <sz val="11"/>
            <color theme="1"/>
            <rFont val="Calibri"/>
            <family val="2"/>
            <scheme val="minor"/>
          </rPr>
          <t xml:space="preserve">Tsai, Michael:
KTAS VR: 115.5 kts
VMCA = 110
</t>
        </r>
      </text>
    </comment>
    <comment ref="EC10" authorId="0" shapeId="0" xr:uid="{696ECB26-71BD-4969-A7EC-ABCA5E5AA66C}">
      <text>
        <r>
          <rPr>
            <sz val="11"/>
            <color theme="1"/>
            <rFont val="Calibri"/>
            <family val="2"/>
            <scheme val="minor"/>
          </rPr>
          <t xml:space="preserve">Tsai, Michael:
KTAS VR: 115.5 kts
VMCA = 110
</t>
        </r>
      </text>
    </comment>
    <comment ref="ED10" authorId="0" shapeId="0" xr:uid="{3795BAFA-B4B0-4B69-8957-9801D2EF56CB}">
      <text>
        <r>
          <rPr>
            <sz val="11"/>
            <color theme="1"/>
            <rFont val="Calibri"/>
            <family val="2"/>
            <scheme val="minor"/>
          </rPr>
          <t xml:space="preserve">Tsai, Michael:
KTAS VR: 115.5 kts
VMCA = 110
</t>
        </r>
      </text>
    </comment>
    <comment ref="EE10" authorId="0" shapeId="0" xr:uid="{56D1D163-C8DF-40BA-9684-3CF5F66708CB}">
      <text>
        <r>
          <rPr>
            <sz val="11"/>
            <color theme="1"/>
            <rFont val="Calibri"/>
            <family val="2"/>
            <scheme val="minor"/>
          </rPr>
          <t xml:space="preserve">Tsai, Michael:
KTAS v2: 138 kts
</t>
        </r>
      </text>
    </comment>
    <comment ref="EF10" authorId="0" shapeId="0" xr:uid="{494695FD-DD11-4266-9934-1CDD631A436C}">
      <text>
        <r>
          <rPr>
            <sz val="11"/>
            <color theme="1"/>
            <rFont val="Calibri"/>
            <family val="2"/>
            <scheme val="minor"/>
          </rPr>
          <t xml:space="preserve">Tsai, Michael:
KTAS v2: 138 kts
</t>
        </r>
      </text>
    </comment>
    <comment ref="EG10" authorId="0" shapeId="0" xr:uid="{C1212CBC-9A0E-4E6A-9277-51ACB7662A52}">
      <text>
        <r>
          <rPr>
            <sz val="11"/>
            <color theme="1"/>
            <rFont val="Calibri"/>
            <family val="2"/>
            <scheme val="minor"/>
          </rPr>
          <t xml:space="preserve">Tsai, Michael:
KTAS v2: 138 kts
</t>
        </r>
      </text>
    </comment>
    <comment ref="EH10" authorId="0" shapeId="0" xr:uid="{B86ED3A7-BA52-4F53-9D8E-8E5C2B5E1775}">
      <text>
        <r>
          <rPr>
            <sz val="11"/>
            <color theme="1"/>
            <rFont val="Calibri"/>
            <family val="2"/>
            <scheme val="minor"/>
          </rPr>
          <t xml:space="preserve">Tsai, Michael:
KTAS v2: 138 kts
</t>
        </r>
      </text>
    </comment>
    <comment ref="EI10" authorId="0" shapeId="0" xr:uid="{8CB82EBB-43F9-4A6F-A4B8-ABFC7D07E454}">
      <text>
        <r>
          <rPr>
            <sz val="11"/>
            <color theme="1"/>
            <rFont val="Calibri"/>
            <family val="2"/>
            <scheme val="minor"/>
          </rPr>
          <t xml:space="preserve">Tsai, Michael:
KTAS v2: 138 kts
</t>
        </r>
      </text>
    </comment>
    <comment ref="EJ10" authorId="0" shapeId="0" xr:uid="{E30D060A-FCF4-4416-B51C-23D0A90C721C}">
      <text>
        <r>
          <rPr>
            <sz val="11"/>
            <color theme="1"/>
            <rFont val="Calibri"/>
            <family val="2"/>
            <scheme val="minor"/>
          </rPr>
          <t xml:space="preserve">Tsai, Michael:
KTAS v2: 138 kts
</t>
        </r>
      </text>
    </comment>
    <comment ref="EK10" authorId="0" shapeId="0" xr:uid="{8DFFE862-9385-4CF2-9686-70EF1B1FB4A3}">
      <text>
        <r>
          <rPr>
            <sz val="11"/>
            <color theme="1"/>
            <rFont val="Calibri"/>
            <family val="2"/>
            <scheme val="minor"/>
          </rPr>
          <t xml:space="preserve">Tsai, Michael:
KTAS v2: 135 kts
</t>
        </r>
      </text>
    </comment>
    <comment ref="EL10" authorId="0" shapeId="0" xr:uid="{B2E9CC90-4CFE-4AEF-B35C-05DCE4543AFA}">
      <text>
        <r>
          <rPr>
            <sz val="11"/>
            <color theme="1"/>
            <rFont val="Calibri"/>
            <family val="2"/>
            <scheme val="minor"/>
          </rPr>
          <t xml:space="preserve">Tsai, Michael:
KTAS v2: 135 kts
</t>
        </r>
      </text>
    </comment>
    <comment ref="EM10" authorId="0" shapeId="0" xr:uid="{F17B2F75-1165-42BA-AF8C-EF6345001216}">
      <text>
        <r>
          <rPr>
            <sz val="11"/>
            <color theme="1"/>
            <rFont val="Calibri"/>
            <family val="2"/>
            <scheme val="minor"/>
          </rPr>
          <t xml:space="preserve">Tsai, Michael:
KTAS v2: 135 kts
</t>
        </r>
      </text>
    </comment>
    <comment ref="EN10" authorId="0" shapeId="0" xr:uid="{01C7C88B-58BC-4082-8896-0659ADA68659}">
      <text>
        <r>
          <rPr>
            <sz val="11"/>
            <color theme="1"/>
            <rFont val="Calibri"/>
            <family val="2"/>
            <scheme val="minor"/>
          </rPr>
          <t xml:space="preserve">Tsai, Michael:
KTAS v2: 135 kts
</t>
        </r>
      </text>
    </comment>
    <comment ref="EO10" authorId="0" shapeId="0" xr:uid="{2D9E4E6B-3CE9-4B1E-A17C-D179BF5B7FE4}">
      <text>
        <r>
          <rPr>
            <sz val="11"/>
            <color theme="1"/>
            <rFont val="Calibri"/>
            <family val="2"/>
            <scheme val="minor"/>
          </rPr>
          <t xml:space="preserve">Tsai, Michael:
KTAS v2: 135 kts
</t>
        </r>
      </text>
    </comment>
    <comment ref="EP10" authorId="0" shapeId="0" xr:uid="{33BACE9A-EEBE-41D1-8463-D1C2DE88CFB8}">
      <text>
        <r>
          <rPr>
            <sz val="11"/>
            <color theme="1"/>
            <rFont val="Calibri"/>
            <family val="2"/>
            <scheme val="minor"/>
          </rPr>
          <t xml:space="preserve">Tsai, Michael:
KTAS v2: 135 kts
</t>
        </r>
      </text>
    </comment>
    <comment ref="EQ10" authorId="0" shapeId="0" xr:uid="{20612F8E-173A-440F-80D7-DC007F016EA2}">
      <text>
        <r>
          <rPr>
            <sz val="11"/>
            <color theme="1"/>
            <rFont val="Calibri"/>
            <family val="2"/>
            <scheme val="minor"/>
          </rPr>
          <t xml:space="preserve">Tsai, Michael:
Flap 9
KTAS vR: 123 kts
</t>
        </r>
      </text>
    </comment>
    <comment ref="ER10" authorId="0" shapeId="0" xr:uid="{6D1F4642-8D03-411E-850C-5BC352AD13D8}">
      <text>
        <r>
          <rPr>
            <sz val="11"/>
            <color theme="1"/>
            <rFont val="Calibri"/>
            <family val="2"/>
            <scheme val="minor"/>
          </rPr>
          <t xml:space="preserve">Tsai, Michael:
Flap 9
KTAS vR: 123 kts
</t>
        </r>
      </text>
    </comment>
    <comment ref="ES10" authorId="0" shapeId="0" xr:uid="{BE07FEDB-57BE-4987-BC46-C81B7661C240}">
      <text>
        <r>
          <rPr>
            <sz val="11"/>
            <color theme="1"/>
            <rFont val="Calibri"/>
            <family val="2"/>
            <scheme val="minor"/>
          </rPr>
          <t xml:space="preserve">Tsai, Michael:
Flap 9
KTAS vR: 133 kts
</t>
        </r>
      </text>
    </comment>
    <comment ref="ET10" authorId="0" shapeId="0" xr:uid="{AB1B52A0-A175-4F40-9E2A-FFCCD1652A37}">
      <text>
        <r>
          <rPr>
            <sz val="11"/>
            <color theme="1"/>
            <rFont val="Calibri"/>
            <family val="2"/>
            <scheme val="minor"/>
          </rPr>
          <t xml:space="preserve">Tsai, Michael:
Flap 9
KTAS vR: 133 kts
</t>
        </r>
      </text>
    </comment>
    <comment ref="EU10" authorId="0" shapeId="0" xr:uid="{5DEA8AFB-9CDA-4032-8C27-DE5CA5C56A5C}">
      <text>
        <r>
          <rPr>
            <sz val="11"/>
            <color theme="1"/>
            <rFont val="Calibri"/>
            <family val="2"/>
            <scheme val="minor"/>
          </rPr>
          <t xml:space="preserve">Tsai, Michael:
Flap 9
KTAS vR: 135 kts
</t>
        </r>
      </text>
    </comment>
    <comment ref="EV10" authorId="0" shapeId="0" xr:uid="{FBBDC9DA-28EB-4B58-996A-ACE00B620527}">
      <text>
        <r>
          <rPr>
            <sz val="11"/>
            <color theme="1"/>
            <rFont val="Calibri"/>
            <family val="2"/>
            <scheme val="minor"/>
          </rPr>
          <t xml:space="preserve">Tsai, Michael:
Flap 9
KTAS vR: 135 kts
</t>
        </r>
      </text>
    </comment>
    <comment ref="EW10" authorId="0" shapeId="0" xr:uid="{A5A72F53-D219-4CA9-9582-1E26CEF67573}">
      <text>
        <r>
          <rPr>
            <sz val="11"/>
            <color theme="1"/>
            <rFont val="Calibri"/>
            <family val="2"/>
            <scheme val="minor"/>
          </rPr>
          <t xml:space="preserve">Tsai, Michael:
KTAS v2: 135 kts
</t>
        </r>
      </text>
    </comment>
    <comment ref="EX10" authorId="0" shapeId="0" xr:uid="{4EF8BE2E-4786-4B6D-8CC4-6376B01C166F}">
      <text>
        <r>
          <rPr>
            <sz val="11"/>
            <color theme="1"/>
            <rFont val="Calibri"/>
            <family val="2"/>
            <scheme val="minor"/>
          </rPr>
          <t xml:space="preserve">Tsai, Michael:
KTAS v2: 135 kts
</t>
        </r>
      </text>
    </comment>
    <comment ref="EY10" authorId="0" shapeId="0" xr:uid="{E18690C2-E52D-48C7-ABEE-335EDD619F14}">
      <text>
        <r>
          <rPr>
            <sz val="11"/>
            <color theme="1"/>
            <rFont val="Calibri"/>
            <family val="2"/>
            <scheme val="minor"/>
          </rPr>
          <t xml:space="preserve">Tsai, Michael:
KTAS v2: 135 kts
</t>
        </r>
      </text>
    </comment>
    <comment ref="EZ10" authorId="0" shapeId="0" xr:uid="{E86DE3D5-CBCF-46E2-9AC4-6BE013AE0AED}">
      <text>
        <r>
          <rPr>
            <sz val="11"/>
            <color theme="1"/>
            <rFont val="Calibri"/>
            <family val="2"/>
            <scheme val="minor"/>
          </rPr>
          <t xml:space="preserve">Tsai, Michael:
KTAS v2: 135 kts
</t>
        </r>
      </text>
    </comment>
    <comment ref="FA10" authorId="0" shapeId="0" xr:uid="{C4D22FE1-E41C-4281-90F1-0D17F1059923}">
      <text>
        <r>
          <rPr>
            <sz val="11"/>
            <color theme="1"/>
            <rFont val="Calibri"/>
            <family val="2"/>
            <scheme val="minor"/>
          </rPr>
          <t xml:space="preserve">Tsai, Michael:
KTAS v2: 132 kts
</t>
        </r>
      </text>
    </comment>
    <comment ref="FB10" authorId="0" shapeId="0" xr:uid="{9F89BE1D-960B-4693-88D2-2ABD4281C523}">
      <text>
        <r>
          <rPr>
            <sz val="11"/>
            <color theme="1"/>
            <rFont val="Calibri"/>
            <family val="2"/>
            <scheme val="minor"/>
          </rPr>
          <t xml:space="preserve">Tsai, Michael:
KTAS v2: 135 kts
</t>
        </r>
      </text>
    </comment>
    <comment ref="FC10" authorId="0" shapeId="0" xr:uid="{0ED775DE-6F32-4587-A1F7-DCAF14EF6CFD}">
      <text>
        <r>
          <rPr>
            <sz val="11"/>
            <color theme="1"/>
            <rFont val="Calibri"/>
            <family val="2"/>
            <scheme val="minor"/>
          </rPr>
          <t xml:space="preserve">Tsai, Michael:
KTAS v2: 135 kts
</t>
        </r>
      </text>
    </comment>
    <comment ref="FD10" authorId="0" shapeId="0" xr:uid="{085DBEB4-2433-46DA-BFB9-83566569F019}">
      <text>
        <r>
          <rPr>
            <sz val="11"/>
            <color theme="1"/>
            <rFont val="Calibri"/>
            <family val="2"/>
            <scheme val="minor"/>
          </rPr>
          <t xml:space="preserve">Tsai, Michael:
KTAS v2: 135 kts
</t>
        </r>
      </text>
    </comment>
    <comment ref="FE10" authorId="0" shapeId="0" xr:uid="{A9C6D2C1-D42C-4B3B-82A8-B8FEC9D89662}">
      <text>
        <r>
          <rPr>
            <sz val="11"/>
            <color theme="1"/>
            <rFont val="Calibri"/>
            <family val="2"/>
            <scheme val="minor"/>
          </rPr>
          <t xml:space="preserve">Tsai, Michael:
KTAS v2: 135 kts
</t>
        </r>
      </text>
    </comment>
    <comment ref="FF10" authorId="0" shapeId="0" xr:uid="{C3BFD1F9-0A7D-434F-A63E-3E12C8CA8FC0}">
      <text>
        <r>
          <rPr>
            <sz val="11"/>
            <color theme="1"/>
            <rFont val="Calibri"/>
            <family val="2"/>
            <scheme val="minor"/>
          </rPr>
          <t xml:space="preserve">Tsai, Michael:
KTAS v2: 145 kts
</t>
        </r>
      </text>
    </comment>
    <comment ref="FG10" authorId="0" shapeId="0" xr:uid="{C3F37F50-C22C-4AE6-848A-6E3F3064C21F}">
      <text>
        <r>
          <rPr>
            <sz val="11"/>
            <color theme="1"/>
            <rFont val="Calibri"/>
            <family val="2"/>
            <scheme val="minor"/>
          </rPr>
          <t xml:space="preserve">Tsai, Michael:
KTAS v2: 146 kts
</t>
        </r>
      </text>
    </comment>
    <comment ref="FH10" authorId="0" shapeId="0" xr:uid="{0EA5CB8D-2057-49FB-A9EC-17267792DA44}">
      <text>
        <r>
          <rPr>
            <sz val="11"/>
            <color theme="1"/>
            <rFont val="Calibri"/>
            <family val="2"/>
            <scheme val="minor"/>
          </rPr>
          <t xml:space="preserve">Tsai, Michael:
KTAS v2: 146 kts
</t>
        </r>
      </text>
    </comment>
    <comment ref="FI10" authorId="0" shapeId="0" xr:uid="{406CF5FB-FD5B-4548-8197-5DC848336E30}">
      <text>
        <r>
          <rPr>
            <sz val="11"/>
            <color theme="1"/>
            <rFont val="Calibri"/>
            <family val="2"/>
            <scheme val="minor"/>
          </rPr>
          <t xml:space="preserve">Tsai, Michael:
KTAS v2: 146 kts
</t>
        </r>
      </text>
    </comment>
    <comment ref="A14" authorId="0" shapeId="0" xr:uid="{D5AD585E-1C52-4E33-A294-8FF71EE55FE9}">
      <text>
        <r>
          <rPr>
            <sz val="11"/>
            <color theme="1"/>
            <rFont val="Calibri"/>
            <family val="2"/>
            <scheme val="minor"/>
          </rPr>
          <t>Tsai, Michael:
KIAS (black)
KTAS (blue)
kts (no specification, green)</t>
        </r>
      </text>
    </comment>
    <comment ref="C15" authorId="0" shapeId="0" xr:uid="{49F92677-24A5-4556-A1A6-60A9FCE5AE74}">
      <text>
        <r>
          <rPr>
            <sz val="11"/>
            <color theme="1"/>
            <rFont val="Calibri"/>
            <family val="2"/>
            <scheme val="minor"/>
          </rPr>
          <t>Tsai, Michael:
KTAS: 440 kts</t>
        </r>
      </text>
    </comment>
    <comment ref="D15" authorId="0" shapeId="0" xr:uid="{9CECEE86-95BE-4F32-ACF7-48783EA69B99}">
      <text>
        <r>
          <rPr>
            <sz val="11"/>
            <color theme="1"/>
            <rFont val="Calibri"/>
            <family val="2"/>
            <scheme val="minor"/>
          </rPr>
          <t>Tsai, Michael:
KTAS: 440 kts</t>
        </r>
      </text>
    </comment>
    <comment ref="E15" authorId="0" shapeId="0" xr:uid="{59780E40-90C7-4391-AE89-DC3E0DF7FCB9}">
      <text>
        <r>
          <rPr>
            <sz val="11"/>
            <color theme="1"/>
            <rFont val="Calibri"/>
            <family val="2"/>
            <scheme val="minor"/>
          </rPr>
          <t>Tsai, Michael:
KTAS: 480 kts</t>
        </r>
      </text>
    </comment>
    <comment ref="F15" authorId="0" shapeId="0" xr:uid="{2030B18B-798D-4680-A3B5-20134CCF9AD5}">
      <text>
        <r>
          <rPr>
            <sz val="11"/>
            <color theme="1"/>
            <rFont val="Calibri"/>
            <family val="2"/>
            <scheme val="minor"/>
          </rPr>
          <t>Tsai, Michael:
KTAS: 440 kts</t>
        </r>
      </text>
    </comment>
    <comment ref="G15" authorId="0" shapeId="0" xr:uid="{05EEEA45-ECC9-47F8-81E0-4CB806AC0893}">
      <text>
        <r>
          <rPr>
            <sz val="11"/>
            <color theme="1"/>
            <rFont val="Calibri"/>
            <family val="2"/>
            <scheme val="minor"/>
          </rPr>
          <t>Tsai, Michael:
KTAS: 450 kts</t>
        </r>
      </text>
    </comment>
    <comment ref="H15" authorId="0" shapeId="0" xr:uid="{E5FFC0F0-4C50-494D-B80C-DB41E8E5F727}">
      <text>
        <r>
          <rPr>
            <sz val="11"/>
            <color theme="1"/>
            <rFont val="Calibri"/>
            <family val="2"/>
            <scheme val="minor"/>
          </rPr>
          <t>Tsai, Michael:
KTAS: 440 kts</t>
        </r>
      </text>
    </comment>
    <comment ref="I15" authorId="0" shapeId="0" xr:uid="{D66B1F8F-1F62-4322-9869-1B73B6D5AEFE}">
      <text>
        <r>
          <rPr>
            <sz val="11"/>
            <color theme="1"/>
            <rFont val="Calibri"/>
            <family val="2"/>
            <scheme val="minor"/>
          </rPr>
          <t>Tsai, Michael:
KTAS: 440 kts</t>
        </r>
      </text>
    </comment>
    <comment ref="J15" authorId="0" shapeId="0" xr:uid="{C6A20E3A-7D5C-4757-9C65-0CB3CFD29959}">
      <text>
        <r>
          <rPr>
            <sz val="11"/>
            <color theme="1"/>
            <rFont val="Calibri"/>
            <family val="2"/>
            <scheme val="minor"/>
          </rPr>
          <t>Tsai, Michael:
KTAS: 440 kts</t>
        </r>
      </text>
    </comment>
    <comment ref="K15" authorId="0" shapeId="0" xr:uid="{618C7E42-5B27-4037-B575-EC0D0A00034F}">
      <text>
        <r>
          <rPr>
            <sz val="11"/>
            <color theme="1"/>
            <rFont val="Calibri"/>
            <family val="2"/>
            <scheme val="minor"/>
          </rPr>
          <t>Tsai, Michael:
KTAS: 380 kts</t>
        </r>
      </text>
    </comment>
    <comment ref="L15" authorId="0" shapeId="0" xr:uid="{15435F79-1AF7-47BA-A337-406EE4138B9A}">
      <text>
        <r>
          <rPr>
            <sz val="11"/>
            <color theme="1"/>
            <rFont val="Calibri"/>
            <family val="2"/>
            <scheme val="minor"/>
          </rPr>
          <t>Tsai, Michael:
KTAS: 440 kts</t>
        </r>
      </text>
    </comment>
    <comment ref="M15" authorId="0" shapeId="0" xr:uid="{53FDC505-1C25-44C3-9D5B-9A0A3F2AB680}">
      <text>
        <r>
          <rPr>
            <sz val="11"/>
            <color theme="1"/>
            <rFont val="Calibri"/>
            <family val="2"/>
            <scheme val="minor"/>
          </rPr>
          <t>Tsai, Michael:
KTAS: 440 kts</t>
        </r>
      </text>
    </comment>
    <comment ref="N15" authorId="0" shapeId="0" xr:uid="{6A993C35-0E38-4DF3-9E70-756D34E7024A}">
      <text>
        <r>
          <rPr>
            <sz val="11"/>
            <color theme="1"/>
            <rFont val="Calibri"/>
            <family val="2"/>
            <scheme val="minor"/>
          </rPr>
          <t>Tsai, Michael:
KTAS: 380 kts</t>
        </r>
      </text>
    </comment>
    <comment ref="O15" authorId="0" shapeId="0" xr:uid="{77743E9F-6D12-4B68-97B9-F9C200AEE6ED}">
      <text>
        <r>
          <rPr>
            <sz val="11"/>
            <color theme="1"/>
            <rFont val="Calibri"/>
            <family val="2"/>
            <scheme val="minor"/>
          </rPr>
          <t>Tsai, Michael:
KTAS: 440 kts</t>
        </r>
      </text>
    </comment>
    <comment ref="P15" authorId="0" shapeId="0" xr:uid="{277BC5B4-7C37-4806-A84B-1B6506E2CE8E}">
      <text>
        <r>
          <rPr>
            <sz val="11"/>
            <color theme="1"/>
            <rFont val="Calibri"/>
            <family val="2"/>
            <scheme val="minor"/>
          </rPr>
          <t>Tsai, Michael:
KTAS: 510 kts</t>
        </r>
      </text>
    </comment>
    <comment ref="Q15" authorId="0" shapeId="0" xr:uid="{4F1A1D15-FC04-44AF-9BAB-96520880FF5E}">
      <text>
        <r>
          <rPr>
            <sz val="11"/>
            <color theme="1"/>
            <rFont val="Calibri"/>
            <family val="2"/>
            <scheme val="minor"/>
          </rPr>
          <t>Tsai, Michael:
KTAS: 510 kts</t>
        </r>
      </text>
    </comment>
    <comment ref="R15" authorId="0" shapeId="0" xr:uid="{106FF2F7-35DD-4008-86A0-933F8938A9E5}">
      <text>
        <r>
          <rPr>
            <sz val="11"/>
            <color theme="1"/>
            <rFont val="Calibri"/>
            <family val="2"/>
            <scheme val="minor"/>
          </rPr>
          <t>Tsai, Michael:
KTAS: 510 kts</t>
        </r>
      </text>
    </comment>
    <comment ref="S15" authorId="0" shapeId="0" xr:uid="{F37C012D-B5C4-4A02-B64D-4A53CC1F6B0C}">
      <text>
        <r>
          <rPr>
            <sz val="11"/>
            <color theme="1"/>
            <rFont val="Calibri"/>
            <family val="2"/>
            <scheme val="minor"/>
          </rPr>
          <t>Tsai, Michael:
KTAS: 510 kts</t>
        </r>
      </text>
    </comment>
    <comment ref="T15" authorId="0" shapeId="0" xr:uid="{C3D9DD77-75B5-44CA-B160-37A7BA418AA3}">
      <text>
        <r>
          <rPr>
            <sz val="11"/>
            <color theme="1"/>
            <rFont val="Calibri"/>
            <family val="2"/>
            <scheme val="minor"/>
          </rPr>
          <t>Tsai, Michael:
KTAS: 510 kts</t>
        </r>
      </text>
    </comment>
    <comment ref="U15" authorId="0" shapeId="0" xr:uid="{8F861908-5711-4104-8C85-660447B86A69}">
      <text>
        <r>
          <rPr>
            <sz val="11"/>
            <color theme="1"/>
            <rFont val="Calibri"/>
            <family val="2"/>
            <scheme val="minor"/>
          </rPr>
          <t>Tsai, Michael:
KTAS: 510 kts</t>
        </r>
      </text>
    </comment>
    <comment ref="V15" authorId="0" shapeId="0" xr:uid="{69FAAADA-BCE1-454A-BE29-9EBE8788DC76}">
      <text>
        <r>
          <rPr>
            <sz val="11"/>
            <color theme="1"/>
            <rFont val="Calibri"/>
            <family val="2"/>
            <scheme val="minor"/>
          </rPr>
          <t>Tsai, Michael:
KTAS: 510 kts</t>
        </r>
      </text>
    </comment>
    <comment ref="W15" authorId="0" shapeId="0" xr:uid="{DBD6477D-7A43-43EB-854B-CA713C58DFCF}">
      <text>
        <r>
          <rPr>
            <sz val="11"/>
            <color theme="1"/>
            <rFont val="Calibri"/>
            <family val="2"/>
            <scheme val="minor"/>
          </rPr>
          <t>Tsai, Michael:
KTAS: 510 kts</t>
        </r>
      </text>
    </comment>
    <comment ref="X15" authorId="0" shapeId="0" xr:uid="{7E3ECBC5-B80E-4943-AAD5-B782FFBFEB69}">
      <text>
        <r>
          <rPr>
            <sz val="11"/>
            <color theme="1"/>
            <rFont val="Calibri"/>
            <family val="2"/>
            <scheme val="minor"/>
          </rPr>
          <t>Tsai, Michael:
KTAS: 460 kts</t>
        </r>
      </text>
    </comment>
    <comment ref="Y15" authorId="0" shapeId="0" xr:uid="{B316582F-096A-49EB-9EBA-CBF376CC546A}">
      <text>
        <r>
          <rPr>
            <sz val="11"/>
            <color theme="1"/>
            <rFont val="Calibri"/>
            <family val="2"/>
            <scheme val="minor"/>
          </rPr>
          <t>Tsai, Michael:
KTAS: 460 kts</t>
        </r>
      </text>
    </comment>
    <comment ref="Z15" authorId="0" shapeId="0" xr:uid="{16874537-A6F5-488C-ADB2-792B10A9CFC4}">
      <text>
        <r>
          <rPr>
            <sz val="11"/>
            <color theme="1"/>
            <rFont val="Calibri"/>
            <family val="2"/>
            <scheme val="minor"/>
          </rPr>
          <t>Tsai, Michael:
KTAS: 460 kts</t>
        </r>
      </text>
    </comment>
    <comment ref="AA15" authorId="0" shapeId="0" xr:uid="{3CE08FF0-F8CD-4EFD-9717-6BACBEA48C53}">
      <text>
        <r>
          <rPr>
            <sz val="11"/>
            <color theme="1"/>
            <rFont val="Calibri"/>
            <family val="2"/>
            <scheme val="minor"/>
          </rPr>
          <t>Tsai, Michael:
KTAS: 470 kts</t>
        </r>
      </text>
    </comment>
    <comment ref="AB15" authorId="0" shapeId="0" xr:uid="{D7CC6A50-B027-4171-80B5-B22C6C7735C5}">
      <text>
        <r>
          <rPr>
            <sz val="11"/>
            <color theme="1"/>
            <rFont val="Calibri"/>
            <family val="2"/>
            <scheme val="minor"/>
          </rPr>
          <t>Tsai, Michael:
KTAS: 470 kts</t>
        </r>
      </text>
    </comment>
    <comment ref="AC15" authorId="0" shapeId="0" xr:uid="{6C896D82-2E1F-4B71-A823-13B4FD252D47}">
      <text>
        <r>
          <rPr>
            <sz val="11"/>
            <color theme="1"/>
            <rFont val="Calibri"/>
            <family val="2"/>
            <scheme val="minor"/>
          </rPr>
          <t>Tsai, Michael:
KTAS: 470 kts</t>
        </r>
      </text>
    </comment>
    <comment ref="AD15" authorId="0" shapeId="0" xr:uid="{03FB29B2-F3BE-45DE-8160-5D13184F09A5}">
      <text>
        <r>
          <rPr>
            <sz val="11"/>
            <color theme="1"/>
            <rFont val="Calibri"/>
            <family val="2"/>
            <scheme val="minor"/>
          </rPr>
          <t>Tsai, Michael:
KTAS: 470 kts</t>
        </r>
      </text>
    </comment>
    <comment ref="AE15" authorId="0" shapeId="0" xr:uid="{4432DD48-B97F-4AE6-A1AB-A2535A5DC190}">
      <text>
        <r>
          <rPr>
            <sz val="11"/>
            <color theme="1"/>
            <rFont val="Calibri"/>
            <family val="2"/>
            <scheme val="minor"/>
          </rPr>
          <t>Tsai, Michael:
KTAS: 470 kts</t>
        </r>
      </text>
    </comment>
    <comment ref="AF15" authorId="0" shapeId="0" xr:uid="{D52C253E-F066-4DFD-8E12-5AA0D3FB6885}">
      <text>
        <r>
          <rPr>
            <sz val="11"/>
            <color theme="1"/>
            <rFont val="Calibri"/>
            <family val="2"/>
            <scheme val="minor"/>
          </rPr>
          <t>Tsai, Michael:
KTAS: 470 kts</t>
        </r>
      </text>
    </comment>
    <comment ref="AG15" authorId="0" shapeId="0" xr:uid="{C4A9976D-EC7E-431B-B91D-F836A48BAB36}">
      <text>
        <r>
          <rPr>
            <sz val="11"/>
            <color theme="1"/>
            <rFont val="Calibri"/>
            <family val="2"/>
            <scheme val="minor"/>
          </rPr>
          <t>Tsai, Michael:
KTAS: 470 kts</t>
        </r>
      </text>
    </comment>
    <comment ref="AH15" authorId="0" shapeId="0" xr:uid="{7C99148C-9273-458B-AD20-8BBF4116CFD4}">
      <text>
        <r>
          <rPr>
            <sz val="11"/>
            <color theme="1"/>
            <rFont val="Calibri"/>
            <family val="2"/>
            <scheme val="minor"/>
          </rPr>
          <t>Tsai, Michael:
KTAS: 435 kts</t>
        </r>
      </text>
    </comment>
    <comment ref="AI15" authorId="0" shapeId="0" xr:uid="{861EF907-38DF-446A-A951-757DADE99FCD}">
      <text>
        <r>
          <rPr>
            <sz val="11"/>
            <color theme="1"/>
            <rFont val="Calibri"/>
            <family val="2"/>
            <scheme val="minor"/>
          </rPr>
          <t>Tsai, Michael:
KTAS: 435 kts</t>
        </r>
      </text>
    </comment>
    <comment ref="AJ15" authorId="0" shapeId="0" xr:uid="{40D068C8-BC31-4414-8F9D-A07BBC125293}">
      <text>
        <r>
          <rPr>
            <sz val="11"/>
            <color theme="1"/>
            <rFont val="Calibri"/>
            <family val="2"/>
            <scheme val="minor"/>
          </rPr>
          <t>Tsai, Michael:
KTAS: 470 kts (2)</t>
        </r>
      </text>
    </comment>
    <comment ref="AK15" authorId="0" shapeId="0" xr:uid="{7884EB60-720F-4E65-B5B0-63F77055954E}">
      <text>
        <r>
          <rPr>
            <sz val="11"/>
            <color theme="1"/>
            <rFont val="Calibri"/>
            <family val="2"/>
            <scheme val="minor"/>
          </rPr>
          <t>Tsai, Michael:
KTAS: 470 kts (2)</t>
        </r>
      </text>
    </comment>
    <comment ref="AL15" authorId="0" shapeId="0" xr:uid="{A72EB57C-EA35-48C7-84E2-A75361739E1A}">
      <text>
        <r>
          <rPr>
            <sz val="11"/>
            <color theme="1"/>
            <rFont val="Calibri"/>
            <family val="2"/>
            <scheme val="minor"/>
          </rPr>
          <t>Tsai, Michael:
KTAS: 470 kts (2)</t>
        </r>
      </text>
    </comment>
    <comment ref="AM15" authorId="0" shapeId="0" xr:uid="{3B720431-11BB-4E4E-BF03-A20579ECCFEA}">
      <text>
        <r>
          <rPr>
            <sz val="11"/>
            <color theme="1"/>
            <rFont val="Calibri"/>
            <family val="2"/>
            <scheme val="minor"/>
          </rPr>
          <t>Tsai, Michael:
KTAS: 470 kts (2)</t>
        </r>
      </text>
    </comment>
    <comment ref="AN15" authorId="0" shapeId="0" xr:uid="{4DE0FE72-41A7-4768-B1DF-05E045284270}">
      <text>
        <r>
          <rPr>
            <sz val="11"/>
            <color theme="1"/>
            <rFont val="Calibri"/>
            <family val="2"/>
            <scheme val="minor"/>
          </rPr>
          <t>Tsai, Michael:
KTAS: 470 kts (2)</t>
        </r>
      </text>
    </comment>
    <comment ref="AO15" authorId="0" shapeId="0" xr:uid="{E7BCB5EF-E824-4248-AC01-3140CE1529A3}">
      <text>
        <r>
          <rPr>
            <sz val="11"/>
            <color theme="1"/>
            <rFont val="Calibri"/>
            <family val="2"/>
            <scheme val="minor"/>
          </rPr>
          <t>Tsai, Michael:
KTAS: 470 kts (2)</t>
        </r>
      </text>
    </comment>
    <comment ref="AP15" authorId="0" shapeId="0" xr:uid="{DB6AB83D-4937-4D29-BA00-379682444486}">
      <text>
        <r>
          <rPr>
            <sz val="11"/>
            <color theme="1"/>
            <rFont val="Calibri"/>
            <family val="2"/>
            <scheme val="minor"/>
          </rPr>
          <t>Tsai, Michael:
KTAS: 470 kts (2)</t>
        </r>
      </text>
    </comment>
    <comment ref="AQ15" authorId="0" shapeId="0" xr:uid="{6D3E79D5-3614-4F44-BE84-5F82C140457C}">
      <text>
        <r>
          <rPr>
            <sz val="11"/>
            <color theme="1"/>
            <rFont val="Calibri"/>
            <family val="2"/>
            <scheme val="minor"/>
          </rPr>
          <t>Tsai, Michael:
KTAS: 470 kts (2)</t>
        </r>
      </text>
    </comment>
    <comment ref="AR15" authorId="0" shapeId="0" xr:uid="{73D1006F-C5A5-4761-8686-B5D29EF872FB}">
      <text>
        <r>
          <rPr>
            <sz val="11"/>
            <color theme="1"/>
            <rFont val="Calibri"/>
            <family val="2"/>
            <scheme val="minor"/>
          </rPr>
          <t>Tsai, Michael:
KTAS = 420</t>
        </r>
      </text>
    </comment>
    <comment ref="AS15" authorId="0" shapeId="0" xr:uid="{279DF692-904E-440B-8BD2-692F65313983}">
      <text>
        <r>
          <rPr>
            <sz val="11"/>
            <color theme="1"/>
            <rFont val="Calibri"/>
            <family val="2"/>
            <scheme val="minor"/>
          </rPr>
          <t>Tsai, Michael:
KTAS = 420</t>
        </r>
      </text>
    </comment>
    <comment ref="AT15" authorId="0" shapeId="0" xr:uid="{38B86E16-55B8-441A-942B-6D7370A27443}">
      <text>
        <r>
          <rPr>
            <sz val="11"/>
            <color theme="1"/>
            <rFont val="Calibri"/>
            <family val="2"/>
            <scheme val="minor"/>
          </rPr>
          <t>Tsai, Michael:
KTAS = 420</t>
        </r>
      </text>
    </comment>
    <comment ref="AU15" authorId="0" shapeId="0" xr:uid="{CED55588-9567-4204-B6BB-E3F51D526474}">
      <text>
        <r>
          <rPr>
            <sz val="11"/>
            <color theme="1"/>
            <rFont val="Calibri"/>
            <family val="2"/>
            <scheme val="minor"/>
          </rPr>
          <t>Tsai, Michael:
KTAS = 420</t>
        </r>
      </text>
    </comment>
    <comment ref="AV15" authorId="0" shapeId="0" xr:uid="{4A82F15D-9FC9-0546-8996-CFC2B6469DC7}">
      <text>
        <r>
          <rPr>
            <sz val="11"/>
            <color theme="1"/>
            <rFont val="Calibri"/>
            <family val="2"/>
            <scheme val="minor"/>
          </rPr>
          <t>Tsai, Michael:
KTAS = 420</t>
        </r>
      </text>
    </comment>
    <comment ref="AW15" authorId="0" shapeId="0" xr:uid="{B92CDD07-2D72-4D85-9185-9E92EDFA519F}">
      <text>
        <r>
          <rPr>
            <sz val="11"/>
            <color theme="1"/>
            <rFont val="Calibri"/>
            <family val="2"/>
            <scheme val="minor"/>
          </rPr>
          <t>Tsai, Michael:
KTAS = 420</t>
        </r>
      </text>
    </comment>
    <comment ref="AX15" authorId="0" shapeId="0" xr:uid="{37F7B380-C5A0-425A-B710-97FCEC3068C8}">
      <text>
        <r>
          <rPr>
            <sz val="11"/>
            <color theme="1"/>
            <rFont val="Calibri"/>
            <family val="2"/>
            <scheme val="minor"/>
          </rPr>
          <t>Tsai, Michael:
KTAS = 420</t>
        </r>
      </text>
    </comment>
    <comment ref="AY15" authorId="0" shapeId="0" xr:uid="{AA5DA213-F6C2-4C34-9C27-2051510BDA0F}">
      <text>
        <r>
          <rPr>
            <sz val="11"/>
            <color theme="1"/>
            <rFont val="Calibri"/>
            <family val="2"/>
            <scheme val="minor"/>
          </rPr>
          <t>Tsai, Michael:
KTAS = 420</t>
        </r>
      </text>
    </comment>
    <comment ref="AZ15" authorId="0" shapeId="0" xr:uid="{2B28A017-A745-46C7-94AC-1D5763F250BE}">
      <text>
        <r>
          <rPr>
            <sz val="11"/>
            <color theme="1"/>
            <rFont val="Calibri"/>
            <family val="2"/>
            <scheme val="minor"/>
          </rPr>
          <t>Tsai, Michael:
KTAS = 420</t>
        </r>
      </text>
    </comment>
    <comment ref="BA15" authorId="0" shapeId="0" xr:uid="{E5458F6D-EA1E-4B45-AA18-9D481D699612}">
      <text>
        <r>
          <rPr>
            <sz val="11"/>
            <color theme="1"/>
            <rFont val="Calibri"/>
            <family val="2"/>
            <scheme val="minor"/>
          </rPr>
          <t>Tsai, Michael:
KTAS</t>
        </r>
      </text>
    </comment>
    <comment ref="BB15" authorId="0" shapeId="0" xr:uid="{AD4E0E6C-451B-4C1A-9455-9024B9669183}">
      <text>
        <r>
          <rPr>
            <sz val="11"/>
            <color theme="1"/>
            <rFont val="Calibri"/>
            <family val="2"/>
            <scheme val="minor"/>
          </rPr>
          <t>Tsai, Michael:
KTAS</t>
        </r>
      </text>
    </comment>
    <comment ref="BC15" authorId="0" shapeId="0" xr:uid="{DCDF8756-030A-4D4C-91AD-3933B0D88EF9}">
      <text>
        <r>
          <rPr>
            <sz val="11"/>
            <color theme="1"/>
            <rFont val="Calibri"/>
            <family val="2"/>
            <scheme val="minor"/>
          </rPr>
          <t>Tsai, Michael:
KTAS</t>
        </r>
      </text>
    </comment>
    <comment ref="BD15" authorId="0" shapeId="0" xr:uid="{D2C2DD8E-53A8-49D7-B5E4-99FBE0268F7F}">
      <text>
        <r>
          <rPr>
            <sz val="11"/>
            <color theme="1"/>
            <rFont val="Calibri"/>
            <family val="2"/>
            <scheme val="minor"/>
          </rPr>
          <t>Tsai, Michael:
KTAS</t>
        </r>
      </text>
    </comment>
    <comment ref="BE15" authorId="0" shapeId="0" xr:uid="{56E57378-EA11-4577-A44C-D765FD75296E}">
      <text>
        <r>
          <rPr>
            <sz val="11"/>
            <color theme="1"/>
            <rFont val="Calibri"/>
            <family val="2"/>
            <scheme val="minor"/>
          </rPr>
          <t>Tsai, Michael:
KTAS</t>
        </r>
      </text>
    </comment>
    <comment ref="BF15" authorId="0" shapeId="0" xr:uid="{7A27A6B6-8B8C-4409-B8A3-BA51D69D1C2E}">
      <text>
        <r>
          <rPr>
            <sz val="11"/>
            <color theme="1"/>
            <rFont val="Calibri"/>
            <family val="2"/>
            <scheme val="minor"/>
          </rPr>
          <t>Tsai, Michael:
KIAS</t>
        </r>
      </text>
    </comment>
    <comment ref="BG15" authorId="0" shapeId="0" xr:uid="{F4E63B4C-B330-4756-94D6-BD168BDAC440}">
      <text>
        <r>
          <rPr>
            <sz val="11"/>
            <color theme="1"/>
            <rFont val="Calibri"/>
            <family val="2"/>
            <scheme val="minor"/>
          </rPr>
          <t>Tsai, Michael:
KIAS</t>
        </r>
      </text>
    </comment>
    <comment ref="BH15" authorId="0" shapeId="0" xr:uid="{8A0452CF-8632-42A2-AFAA-065507EFBA54}">
      <text>
        <r>
          <rPr>
            <sz val="11"/>
            <color theme="1"/>
            <rFont val="Calibri"/>
            <family val="2"/>
            <scheme val="minor"/>
          </rPr>
          <t>Tsai, Michael:
KIAS</t>
        </r>
      </text>
    </comment>
    <comment ref="BI15" authorId="0" shapeId="0" xr:uid="{AF0B69AB-C783-40D4-9547-EF48D8FBE210}">
      <text>
        <r>
          <rPr>
            <sz val="11"/>
            <color theme="1"/>
            <rFont val="Calibri"/>
            <family val="2"/>
            <scheme val="minor"/>
          </rPr>
          <t>Tsai, Michael:
KIAS</t>
        </r>
      </text>
    </comment>
    <comment ref="BK15" authorId="0" shapeId="0" xr:uid="{71827BAF-6832-4ABE-BD21-FE527CF3F8FF}">
      <text>
        <r>
          <rPr>
            <sz val="11"/>
            <color theme="1"/>
            <rFont val="Calibri"/>
            <family val="2"/>
            <scheme val="minor"/>
          </rPr>
          <t>Tsai, Michael:
KIAS</t>
        </r>
      </text>
    </comment>
    <comment ref="BL15" authorId="0" shapeId="0" xr:uid="{CB576641-E9B7-4B70-BF0F-B7D73706EBF0}">
      <text>
        <r>
          <rPr>
            <sz val="11"/>
            <color theme="1"/>
            <rFont val="Calibri"/>
            <family val="2"/>
            <scheme val="minor"/>
          </rPr>
          <t>Tsai, Michael:
KIAS</t>
        </r>
      </text>
    </comment>
    <comment ref="BM15" authorId="0" shapeId="0" xr:uid="{2C5D4DE9-1AA1-40A8-B035-6CA9D0B88EE1}">
      <text>
        <r>
          <rPr>
            <sz val="11"/>
            <color theme="1"/>
            <rFont val="Calibri"/>
            <family val="2"/>
            <scheme val="minor"/>
          </rPr>
          <t xml:space="preserve">Tsai, Michael:
KIAS
reference 4 </t>
        </r>
      </text>
    </comment>
    <comment ref="BN15" authorId="0" shapeId="0" xr:uid="{EE538896-BBB5-4E95-9FA1-804FB929224D}">
      <text>
        <r>
          <rPr>
            <sz val="11"/>
            <color theme="1"/>
            <rFont val="Calibri"/>
            <family val="2"/>
            <scheme val="minor"/>
          </rPr>
          <t xml:space="preserve">Tsai, Michael:
KIAS
reference 4 </t>
        </r>
      </text>
    </comment>
    <comment ref="BO15" authorId="0" shapeId="0" xr:uid="{A4D1D897-B24D-4C84-A763-C87DCD1109A9}">
      <text>
        <r>
          <rPr>
            <sz val="11"/>
            <color theme="1"/>
            <rFont val="Calibri"/>
            <family val="2"/>
            <scheme val="minor"/>
          </rPr>
          <t xml:space="preserve">Tsai, Michael:
KIAS
reference 4 </t>
        </r>
      </text>
    </comment>
    <comment ref="BP15" authorId="0" shapeId="0" xr:uid="{1FAC324A-0F07-451C-9C22-F58EAF17756E}">
      <text>
        <r>
          <rPr>
            <sz val="11"/>
            <color theme="1"/>
            <rFont val="Calibri"/>
            <family val="2"/>
            <scheme val="minor"/>
          </rPr>
          <t xml:space="preserve">Tsai, Michael:
KIAS
reference 4 </t>
        </r>
      </text>
    </comment>
    <comment ref="BQ15" authorId="0" shapeId="0" xr:uid="{A5772FAD-244A-4ADC-91AC-B4378507BE0B}">
      <text>
        <r>
          <rPr>
            <sz val="11"/>
            <color theme="1"/>
            <rFont val="Calibri"/>
            <family val="2"/>
            <scheme val="minor"/>
          </rPr>
          <t xml:space="preserve">Tsai, Michael:
KIAS
reference 4 </t>
        </r>
      </text>
    </comment>
    <comment ref="BR15" authorId="0" shapeId="0" xr:uid="{81E59F6B-AB37-4CF9-9A13-D1891BA81AEC}">
      <text>
        <r>
          <rPr>
            <sz val="11"/>
            <color theme="1"/>
            <rFont val="Calibri"/>
            <family val="2"/>
            <scheme val="minor"/>
          </rPr>
          <t xml:space="preserve">Tsai, Michael:
KIAS
reference 4 </t>
        </r>
      </text>
    </comment>
    <comment ref="BS15" authorId="0" shapeId="0" xr:uid="{A64255C0-D619-4517-BEC5-0ECD3DF0A396}">
      <text>
        <r>
          <rPr>
            <sz val="11"/>
            <color theme="1"/>
            <rFont val="Calibri"/>
            <family val="2"/>
            <scheme val="minor"/>
          </rPr>
          <t xml:space="preserve">Tsai, Michael:
KIAS
reference 4 </t>
        </r>
      </text>
    </comment>
    <comment ref="BT15" authorId="0" shapeId="0" xr:uid="{CF5837FC-7630-4BA2-ABAE-57080FA82C83}">
      <text>
        <r>
          <rPr>
            <sz val="11"/>
            <color theme="1"/>
            <rFont val="Calibri"/>
            <family val="2"/>
            <scheme val="minor"/>
          </rPr>
          <t>Tsai, Michael:
KTAS: 470 kts</t>
        </r>
      </text>
    </comment>
    <comment ref="BU15" authorId="0" shapeId="0" xr:uid="{69C9BF1A-CF74-401B-9B43-4F386E21ABF1}">
      <text>
        <r>
          <rPr>
            <sz val="11"/>
            <color theme="1"/>
            <rFont val="Calibri"/>
            <family val="2"/>
            <scheme val="minor"/>
          </rPr>
          <t>Tsai, Michael:
KTAS: 470 kts</t>
        </r>
      </text>
    </comment>
    <comment ref="BV15" authorId="0" shapeId="0" xr:uid="{1A1A60AD-CA85-4583-B68D-ACD7301D4F25}">
      <text>
        <r>
          <rPr>
            <sz val="11"/>
            <color theme="1"/>
            <rFont val="Calibri"/>
            <family val="2"/>
            <scheme val="minor"/>
          </rPr>
          <t>Tsai, Michael:
KTAS: 470 kts</t>
        </r>
      </text>
    </comment>
    <comment ref="BW15" authorId="0" shapeId="0" xr:uid="{68B5BDB8-F877-497C-AA94-39CB15D9EE58}">
      <text>
        <r>
          <rPr>
            <sz val="11"/>
            <color theme="1"/>
            <rFont val="Calibri"/>
            <family val="2"/>
            <scheme val="minor"/>
          </rPr>
          <t>Tsai, Michael:
KTAS: 470 kts</t>
        </r>
      </text>
    </comment>
    <comment ref="BX15" authorId="0" shapeId="0" xr:uid="{690B87AC-0AF4-4E57-8F6C-A57A9FBE09F8}">
      <text>
        <r>
          <rPr>
            <sz val="11"/>
            <color theme="1"/>
            <rFont val="Calibri"/>
            <family val="2"/>
            <scheme val="minor"/>
          </rPr>
          <t>Tsai, Michael:
KTAS: 470 kts</t>
        </r>
      </text>
    </comment>
    <comment ref="BY15" authorId="0" shapeId="0" xr:uid="{83C02D6D-4D54-41E7-BBFD-4270E406E96E}">
      <text>
        <r>
          <rPr>
            <sz val="11"/>
            <color theme="1"/>
            <rFont val="Calibri"/>
            <family val="2"/>
            <scheme val="minor"/>
          </rPr>
          <t>Tsai, Michael:
KTAS: 470 kts</t>
        </r>
      </text>
    </comment>
    <comment ref="BZ15" authorId="0" shapeId="0" xr:uid="{3502F4D6-6F70-4463-ADFD-12C7362CC58C}">
      <text>
        <r>
          <rPr>
            <sz val="11"/>
            <color theme="1"/>
            <rFont val="Calibri"/>
            <family val="2"/>
            <scheme val="minor"/>
          </rPr>
          <t>Tsai, Michael:
KTAS: 470 kts</t>
        </r>
      </text>
    </comment>
    <comment ref="CA15" authorId="0" shapeId="0" xr:uid="{C65950EE-1319-4D8B-9E0D-CEAC2CDC7DA5}">
      <text>
        <r>
          <rPr>
            <sz val="11"/>
            <color theme="1"/>
            <rFont val="Calibri"/>
            <family val="2"/>
            <scheme val="minor"/>
          </rPr>
          <t>Tsai, Michael:
KTAS: 470 kts</t>
        </r>
      </text>
    </comment>
    <comment ref="CB15" authorId="0" shapeId="0" xr:uid="{388ACFE9-B0A1-410F-BF68-0F8D24FD35B7}">
      <text>
        <r>
          <rPr>
            <sz val="11"/>
            <color theme="1"/>
            <rFont val="Calibri"/>
            <family val="2"/>
            <scheme val="minor"/>
          </rPr>
          <t>Tsai, Michael:
KTAS: 470 kts</t>
        </r>
      </text>
    </comment>
    <comment ref="CC15" authorId="0" shapeId="0" xr:uid="{67D34132-0AC8-4D98-A1B7-6FBF5E9B5C7B}">
      <text>
        <r>
          <rPr>
            <sz val="11"/>
            <color theme="1"/>
            <rFont val="Calibri"/>
            <family val="2"/>
            <scheme val="minor"/>
          </rPr>
          <t>Tsai, Michael:
KTAS: 470 kts</t>
        </r>
      </text>
    </comment>
    <comment ref="CD15" authorId="0" shapeId="0" xr:uid="{57AAF8B2-AD8A-4E68-B2F2-84B16332B1AC}">
      <text>
        <r>
          <rPr>
            <sz val="11"/>
            <color theme="1"/>
            <rFont val="Calibri"/>
            <family val="2"/>
            <scheme val="minor"/>
          </rPr>
          <t>Tsai, Michael:
KTAS: 460 kts</t>
        </r>
      </text>
    </comment>
    <comment ref="CE15" authorId="0" shapeId="0" xr:uid="{F03AEDE0-EE2F-4CE2-B35D-7A1B02AC54E8}">
      <text>
        <r>
          <rPr>
            <sz val="11"/>
            <color theme="1"/>
            <rFont val="Calibri"/>
            <family val="2"/>
            <scheme val="minor"/>
          </rPr>
          <t>Tsai, Michael:
KTAS: 460 kts</t>
        </r>
      </text>
    </comment>
    <comment ref="CF15" authorId="0" shapeId="0" xr:uid="{51DB479B-8E9D-4290-9AB4-363846579AD6}">
      <text>
        <r>
          <rPr>
            <sz val="11"/>
            <color theme="1"/>
            <rFont val="Calibri"/>
            <family val="2"/>
            <scheme val="minor"/>
          </rPr>
          <t>Tsai, Michael:
KTAS: 460 kts</t>
        </r>
      </text>
    </comment>
    <comment ref="CG15" authorId="0" shapeId="0" xr:uid="{A508D240-CA66-4E1E-9175-690B3241502A}">
      <text>
        <r>
          <rPr>
            <sz val="11"/>
            <color theme="1"/>
            <rFont val="Calibri"/>
            <family val="2"/>
            <scheme val="minor"/>
          </rPr>
          <t>Tsai, Michael:
KTAS: 460 kts</t>
        </r>
      </text>
    </comment>
    <comment ref="CH15" authorId="0" shapeId="0" xr:uid="{287FC959-D704-4847-B2BE-0AB0B057F0A3}">
      <text>
        <r>
          <rPr>
            <sz val="11"/>
            <color theme="1"/>
            <rFont val="Calibri"/>
            <family val="2"/>
            <scheme val="minor"/>
          </rPr>
          <t>Tsai, Michael:
KTAS: 460 kts</t>
        </r>
      </text>
    </comment>
    <comment ref="CI15" authorId="0" shapeId="0" xr:uid="{F20AB685-A84B-4AE3-879B-1A1B834E3F57}">
      <text>
        <r>
          <rPr>
            <sz val="11"/>
            <color theme="1"/>
            <rFont val="Calibri"/>
            <family val="2"/>
            <scheme val="minor"/>
          </rPr>
          <t>Tsai, Michael:
KTAS: 460 kts</t>
        </r>
      </text>
    </comment>
    <comment ref="CJ15" authorId="0" shapeId="0" xr:uid="{D1C277CD-C1B9-4E55-A72C-5560D079E732}">
      <text>
        <r>
          <rPr>
            <sz val="11"/>
            <color theme="1"/>
            <rFont val="Calibri"/>
            <family val="2"/>
            <scheme val="minor"/>
          </rPr>
          <t>Tsai, Michael:
KTAS: 460 kts</t>
        </r>
      </text>
    </comment>
    <comment ref="CK15" authorId="0" shapeId="0" xr:uid="{60F46EA5-E6D5-4BDC-811C-4F1E66481940}">
      <text>
        <r>
          <rPr>
            <sz val="11"/>
            <color theme="1"/>
            <rFont val="Calibri"/>
            <family val="2"/>
            <scheme val="minor"/>
          </rPr>
          <t>Tsai, Michael:
KTAS: 460 kts</t>
        </r>
      </text>
    </comment>
    <comment ref="CL15" authorId="0" shapeId="0" xr:uid="{C5A05483-B008-436D-B6FA-17A258F0523E}">
      <text>
        <r>
          <rPr>
            <sz val="11"/>
            <color theme="1"/>
            <rFont val="Calibri"/>
            <family val="2"/>
            <scheme val="minor"/>
          </rPr>
          <t>Tsai, Michael:
KTAS: 460 kts</t>
        </r>
      </text>
    </comment>
    <comment ref="CM15" authorId="0" shapeId="0" xr:uid="{7F8D4E50-54C1-43D2-8B38-FB9BC180063A}">
      <text>
        <r>
          <rPr>
            <sz val="11"/>
            <color theme="1"/>
            <rFont val="Calibri"/>
            <family val="2"/>
            <scheme val="minor"/>
          </rPr>
          <t>Tsai, Michael:
KTAS: 460 kts</t>
        </r>
      </text>
    </comment>
    <comment ref="CN15" authorId="0" shapeId="0" xr:uid="{75AC1025-1D4D-43E2-B5AE-1909D9E05964}">
      <text>
        <r>
          <rPr>
            <sz val="11"/>
            <color theme="1"/>
            <rFont val="Calibri"/>
            <family val="2"/>
            <scheme val="minor"/>
          </rPr>
          <t>Tsai, Michael:
KTAS: 480 kts</t>
        </r>
      </text>
    </comment>
    <comment ref="CO15" authorId="0" shapeId="0" xr:uid="{499B73E9-97D6-4A55-A551-222F02498A9C}">
      <text>
        <r>
          <rPr>
            <sz val="11"/>
            <color theme="1"/>
            <rFont val="Calibri"/>
            <family val="2"/>
            <scheme val="minor"/>
          </rPr>
          <t>Tsai, Michael:
KTAS: 480 kts</t>
        </r>
      </text>
    </comment>
    <comment ref="CP15" authorId="0" shapeId="0" xr:uid="{0654D602-9B0C-4B64-BA07-CBDE5DE6F192}">
      <text>
        <r>
          <rPr>
            <sz val="11"/>
            <color theme="1"/>
            <rFont val="Calibri"/>
            <family val="2"/>
            <scheme val="minor"/>
          </rPr>
          <t>Tsai, Michael:
KTAS: 480 kts</t>
        </r>
      </text>
    </comment>
    <comment ref="CQ15" authorId="0" shapeId="0" xr:uid="{5CAFA39C-754F-4A74-8C0C-8B6D28465593}">
      <text>
        <r>
          <rPr>
            <sz val="11"/>
            <color theme="1"/>
            <rFont val="Calibri"/>
            <family val="2"/>
            <scheme val="minor"/>
          </rPr>
          <t>Tsai, Michael:
KTAS: 480 kts</t>
        </r>
      </text>
    </comment>
    <comment ref="CR15" authorId="0" shapeId="0" xr:uid="{825257F4-B711-4877-844B-12AF5E6AE6B5}">
      <text>
        <r>
          <rPr>
            <sz val="11"/>
            <color theme="1"/>
            <rFont val="Calibri"/>
            <family val="2"/>
            <scheme val="minor"/>
          </rPr>
          <t>Tsai, Michael:
KTAS: 480 kts</t>
        </r>
      </text>
    </comment>
    <comment ref="CS15" authorId="0" shapeId="0" xr:uid="{1F15B6ED-1DD9-40AD-A129-24E38F6ACD3F}">
      <text>
        <r>
          <rPr>
            <sz val="11"/>
            <color theme="1"/>
            <rFont val="Calibri"/>
            <family val="2"/>
            <scheme val="minor"/>
          </rPr>
          <t>Tsai, Michael:
KTAS: 480 kts</t>
        </r>
      </text>
    </comment>
    <comment ref="CT15" authorId="0" shapeId="0" xr:uid="{E62E7A29-D751-4E7B-B9D3-B7BCC43F6D11}">
      <text>
        <r>
          <rPr>
            <sz val="11"/>
            <color theme="1"/>
            <rFont val="Calibri"/>
            <family val="2"/>
            <scheme val="minor"/>
          </rPr>
          <t>Tsai, Michael:
KTAS: 480 kts</t>
        </r>
      </text>
    </comment>
    <comment ref="CU15" authorId="0" shapeId="0" xr:uid="{020F0BB4-60C1-487B-BB3B-73E0936595B1}">
      <text>
        <r>
          <rPr>
            <sz val="11"/>
            <color theme="1"/>
            <rFont val="Calibri"/>
            <family val="2"/>
            <scheme val="minor"/>
          </rPr>
          <t>Tsai, Michael:
KTAS: 480 kts</t>
        </r>
      </text>
    </comment>
    <comment ref="CV15" authorId="0" shapeId="0" xr:uid="{5DDA8D1E-2B27-42EA-A6A0-92400DD5B1C2}">
      <text>
        <r>
          <rPr>
            <sz val="11"/>
            <color theme="1"/>
            <rFont val="Calibri"/>
            <family val="2"/>
            <scheme val="minor"/>
          </rPr>
          <t>Tsai, Michael:
KTAS: 480 kts</t>
        </r>
      </text>
    </comment>
    <comment ref="CW15" authorId="0" shapeId="0" xr:uid="{8659A7C6-10B5-42E0-B482-7D831AD9A85D}">
      <text>
        <r>
          <rPr>
            <sz val="11"/>
            <color theme="1"/>
            <rFont val="Calibri"/>
            <family val="2"/>
            <scheme val="minor"/>
          </rPr>
          <t>Tsai, Michael:
KTAS: 460 kts</t>
        </r>
      </text>
    </comment>
    <comment ref="CX15" authorId="0" shapeId="0" xr:uid="{6130C422-59A3-4D1D-86AD-36B3BCE29060}">
      <text>
        <r>
          <rPr>
            <sz val="11"/>
            <color theme="1"/>
            <rFont val="Calibri"/>
            <family val="2"/>
            <scheme val="minor"/>
          </rPr>
          <t xml:space="preserve">Tsai, Michael:
KTAS: </t>
        </r>
      </text>
    </comment>
    <comment ref="CY15" authorId="0" shapeId="0" xr:uid="{B3D9DC3C-DE6B-47BD-8DF3-C06930E81A90}">
      <text>
        <r>
          <rPr>
            <sz val="11"/>
            <color theme="1"/>
            <rFont val="Calibri"/>
            <family val="2"/>
            <scheme val="minor"/>
          </rPr>
          <t xml:space="preserve">Tsai, Michael:
KTAS: </t>
        </r>
      </text>
    </comment>
    <comment ref="CZ15" authorId="0" shapeId="0" xr:uid="{6225FCF7-1626-4947-9AC8-C7FE99EC6961}">
      <text>
        <r>
          <rPr>
            <sz val="11"/>
            <color theme="1"/>
            <rFont val="Calibri"/>
            <family val="2"/>
            <scheme val="minor"/>
          </rPr>
          <t xml:space="preserve">Tsai, Michael:
KTAS: </t>
        </r>
      </text>
    </comment>
    <comment ref="DA15" authorId="0" shapeId="0" xr:uid="{F37D8229-DCFE-4382-B602-0AC59D5D9133}">
      <text>
        <r>
          <rPr>
            <sz val="11"/>
            <color theme="1"/>
            <rFont val="Calibri"/>
            <family val="2"/>
            <scheme val="minor"/>
          </rPr>
          <t>Tsai, Michael:
KTAS: 450 kts</t>
        </r>
      </text>
    </comment>
    <comment ref="DB15" authorId="0" shapeId="0" xr:uid="{3364793D-9574-44B0-938C-355F3E887DB0}">
      <text>
        <r>
          <rPr>
            <sz val="11"/>
            <color theme="1"/>
            <rFont val="Calibri"/>
            <family val="2"/>
            <scheme val="minor"/>
          </rPr>
          <t>Tsai, Michael:
KTAS: 450 kts</t>
        </r>
      </text>
    </comment>
    <comment ref="DC15" authorId="0" shapeId="0" xr:uid="{FB1E4C4E-C395-4D7C-8FD1-ADFF1BFDAA0F}">
      <text>
        <r>
          <rPr>
            <sz val="11"/>
            <color theme="1"/>
            <rFont val="Calibri"/>
            <family val="2"/>
            <scheme val="minor"/>
          </rPr>
          <t>Tsai, Michael:
KTAS: 450 kts</t>
        </r>
      </text>
    </comment>
    <comment ref="DD15" authorId="0" shapeId="0" xr:uid="{742140D0-5C99-47BB-B952-B4475AA2101B}">
      <text>
        <r>
          <rPr>
            <sz val="11"/>
            <color theme="1"/>
            <rFont val="Calibri"/>
            <family val="2"/>
            <scheme val="minor"/>
          </rPr>
          <t>Tsai, Michael:
KTAS: 450 kts</t>
        </r>
      </text>
    </comment>
    <comment ref="DE15" authorId="0" shapeId="0" xr:uid="{3720B2DA-17F8-494E-95BF-C51263DDCD45}">
      <text>
        <r>
          <rPr>
            <sz val="11"/>
            <color theme="1"/>
            <rFont val="Calibri"/>
            <family val="2"/>
            <scheme val="minor"/>
          </rPr>
          <t>Tsai, Michael:
KTAS: 450 kts</t>
        </r>
      </text>
    </comment>
    <comment ref="DF15" authorId="0" shapeId="0" xr:uid="{C9045311-3266-46D0-8C0B-5F6B18600FEC}">
      <text>
        <r>
          <rPr>
            <sz val="11"/>
            <color theme="1"/>
            <rFont val="Calibri"/>
            <family val="2"/>
            <scheme val="minor"/>
          </rPr>
          <t>Tsai, Michael:
KTAS: 450 kts</t>
        </r>
      </text>
    </comment>
    <comment ref="DG15" authorId="0" shapeId="0" xr:uid="{7E2B25BB-D55A-4565-9690-F05DD3FA057A}">
      <text>
        <r>
          <rPr>
            <sz val="11"/>
            <color theme="1"/>
            <rFont val="Calibri"/>
            <family val="2"/>
            <scheme val="minor"/>
          </rPr>
          <t>Tsai, Michael:
KTAS: 450 kts</t>
        </r>
      </text>
    </comment>
    <comment ref="DH15" authorId="0" shapeId="0" xr:uid="{5162081C-8A70-46BD-99B2-59ABB1548A55}">
      <text>
        <r>
          <rPr>
            <sz val="11"/>
            <color theme="1"/>
            <rFont val="Calibri"/>
            <family val="2"/>
            <scheme val="minor"/>
          </rPr>
          <t>Tsai, Michael:
KTAS: 450 kts</t>
        </r>
      </text>
    </comment>
    <comment ref="DI15" authorId="0" shapeId="0" xr:uid="{9CCE9ED3-4B4A-477D-8741-D5F0436A9F34}">
      <text>
        <r>
          <rPr>
            <sz val="11"/>
            <color theme="1"/>
            <rFont val="Calibri"/>
            <family val="2"/>
            <scheme val="minor"/>
          </rPr>
          <t>Tsai, Michael:
KTAS: 450 kts</t>
        </r>
      </text>
    </comment>
    <comment ref="DJ15" authorId="0" shapeId="0" xr:uid="{B7D77E7E-636D-46C1-B239-8001DBF53BD3}">
      <text>
        <r>
          <rPr>
            <sz val="11"/>
            <color theme="1"/>
            <rFont val="Calibri"/>
            <family val="2"/>
            <scheme val="minor"/>
          </rPr>
          <t>Tsai, Michael:
KTAS: 450 kts</t>
        </r>
      </text>
    </comment>
    <comment ref="DK15" authorId="0" shapeId="0" xr:uid="{54BDA68D-A457-4C83-B3CA-E4352DB4D804}">
      <text>
        <r>
          <rPr>
            <sz val="11"/>
            <color theme="1"/>
            <rFont val="Calibri"/>
            <family val="2"/>
            <scheme val="minor"/>
          </rPr>
          <t>Tsai, Michael:
KTAS: 450 kts</t>
        </r>
      </text>
    </comment>
    <comment ref="DL15" authorId="0" shapeId="0" xr:uid="{D01A1278-EDF6-4009-9B77-99D0E1160462}">
      <text>
        <r>
          <rPr>
            <sz val="11"/>
            <color theme="1"/>
            <rFont val="Calibri"/>
            <family val="2"/>
            <scheme val="minor"/>
          </rPr>
          <t>Tsai, Michael:
KTAS: 450 kts</t>
        </r>
      </text>
    </comment>
    <comment ref="DM15" authorId="0" shapeId="0" xr:uid="{8E195628-23F5-47EE-B15C-CB4A30D1869C}">
      <text>
        <r>
          <rPr>
            <sz val="11"/>
            <color theme="1"/>
            <rFont val="Calibri"/>
            <family val="2"/>
            <scheme val="minor"/>
          </rPr>
          <t>Tsai, Michael:
KTAS: 450 kts</t>
        </r>
      </text>
    </comment>
    <comment ref="DN15" authorId="0" shapeId="0" xr:uid="{68B12215-69A2-4A29-B2E7-2470388B8333}">
      <text>
        <r>
          <rPr>
            <sz val="11"/>
            <color theme="1"/>
            <rFont val="Calibri"/>
            <family val="2"/>
            <scheme val="minor"/>
          </rPr>
          <t>Tsai, Michael:
KTAS: 450 kts</t>
        </r>
      </text>
    </comment>
    <comment ref="DO15" authorId="0" shapeId="0" xr:uid="{8207A3C7-9EE8-46AC-B658-CFA2F1813032}">
      <text>
        <r>
          <rPr>
            <sz val="11"/>
            <color theme="1"/>
            <rFont val="Calibri"/>
            <family val="2"/>
            <scheme val="minor"/>
          </rPr>
          <t>Tsai, Michael:
KTAS: 450 kts</t>
        </r>
      </text>
    </comment>
    <comment ref="DP15" authorId="0" shapeId="0" xr:uid="{0ADA3F23-D462-429B-BDB1-285E8474E4D6}">
      <text>
        <r>
          <rPr>
            <sz val="11"/>
            <color theme="1"/>
            <rFont val="Calibri"/>
            <family val="2"/>
            <scheme val="minor"/>
          </rPr>
          <t>Tsai, Michael:
KTAS: 450 kts</t>
        </r>
      </text>
    </comment>
    <comment ref="DQ15" authorId="0" shapeId="0" xr:uid="{ABCD5034-2ED3-4485-B657-96401A40D4C3}">
      <text>
        <r>
          <rPr>
            <sz val="11"/>
            <color theme="1"/>
            <rFont val="Calibri"/>
            <family val="2"/>
            <scheme val="minor"/>
          </rPr>
          <t>Tsai, Michael:
KTAS: 450 kts</t>
        </r>
      </text>
    </comment>
    <comment ref="DR15" authorId="0" shapeId="0" xr:uid="{F1C011DF-0679-47E6-8A65-E85A53065742}">
      <text>
        <r>
          <rPr>
            <sz val="11"/>
            <color theme="1"/>
            <rFont val="Calibri"/>
            <family val="2"/>
            <scheme val="minor"/>
          </rPr>
          <t>Tsai, Michael:
KTAS: 450 kts</t>
        </r>
      </text>
    </comment>
    <comment ref="DS15" authorId="0" shapeId="0" xr:uid="{2C8EABE9-123A-48C1-B562-AA415F5894FB}">
      <text>
        <r>
          <rPr>
            <sz val="11"/>
            <color theme="1"/>
            <rFont val="Calibri"/>
            <family val="2"/>
            <scheme val="minor"/>
          </rPr>
          <t>Tsai, Michael:
KTAS: 450 kts</t>
        </r>
      </text>
    </comment>
    <comment ref="DT15" authorId="0" shapeId="0" xr:uid="{1C2E08D1-DECE-43E2-9025-7CF5DC3ABC78}">
      <text>
        <r>
          <rPr>
            <sz val="11"/>
            <color theme="1"/>
            <rFont val="Calibri"/>
            <family val="2"/>
            <scheme val="minor"/>
          </rPr>
          <t>Tsai, Michael:
KTAS: 450 kts</t>
        </r>
      </text>
    </comment>
    <comment ref="DU15" authorId="0" shapeId="0" xr:uid="{141FDC30-93AD-4149-862F-EFB4F72379D3}">
      <text>
        <r>
          <rPr>
            <sz val="11"/>
            <color theme="1"/>
            <rFont val="Calibri"/>
            <family val="2"/>
            <scheme val="minor"/>
          </rPr>
          <t>Tsai, Michael:
KTAS: 450 kts</t>
        </r>
      </text>
    </comment>
    <comment ref="DV15" authorId="0" shapeId="0" xr:uid="{7239D67A-8630-46D7-A3FD-0481A26B9893}">
      <text>
        <r>
          <rPr>
            <sz val="11"/>
            <color theme="1"/>
            <rFont val="Calibri"/>
            <family val="2"/>
            <scheme val="minor"/>
          </rPr>
          <t>Tsai, Michael:
KTAS: 450 kts</t>
        </r>
      </text>
    </comment>
    <comment ref="DW15" authorId="0" shapeId="0" xr:uid="{A86C8E1F-44C0-4776-83F3-4398C08C50D5}">
      <text>
        <r>
          <rPr>
            <sz val="11"/>
            <color theme="1"/>
            <rFont val="Calibri"/>
            <family val="2"/>
            <scheme val="minor"/>
          </rPr>
          <t>Tsai, Michael:
KTAS: 450 kts</t>
        </r>
      </text>
    </comment>
    <comment ref="DX15" authorId="0" shapeId="0" xr:uid="{2A9F04CA-8711-41A2-B22F-DADDADA9994C}">
      <text>
        <r>
          <rPr>
            <sz val="11"/>
            <color theme="1"/>
            <rFont val="Calibri"/>
            <family val="2"/>
            <scheme val="minor"/>
          </rPr>
          <t>Tsai, Michael:
KTAS: 450 kts</t>
        </r>
      </text>
    </comment>
    <comment ref="DY15" authorId="0" shapeId="0" xr:uid="{85EDF470-7786-427F-8942-1700467A8392}">
      <text>
        <r>
          <rPr>
            <sz val="11"/>
            <color theme="1"/>
            <rFont val="Calibri"/>
            <family val="2"/>
            <scheme val="minor"/>
          </rPr>
          <t>Tsai, Michael:
KTAS: 450 kts</t>
        </r>
      </text>
    </comment>
    <comment ref="DZ15" authorId="0" shapeId="0" xr:uid="{AFBA3DD3-0395-4B8E-8D1D-FE93B10A6D23}">
      <text>
        <r>
          <rPr>
            <sz val="11"/>
            <color theme="1"/>
            <rFont val="Calibri"/>
            <family val="2"/>
            <scheme val="minor"/>
          </rPr>
          <t>Tsai, Michael:
KTAS: 450 kts</t>
        </r>
      </text>
    </comment>
    <comment ref="EA15" authorId="0" shapeId="0" xr:uid="{55026D21-9985-417D-97E8-79BD094475CC}">
      <text>
        <r>
          <rPr>
            <sz val="11"/>
            <color theme="1"/>
            <rFont val="Calibri"/>
            <family val="2"/>
            <scheme val="minor"/>
          </rPr>
          <t>Tsai, Michael:
KTAS: 450 kts</t>
        </r>
      </text>
    </comment>
    <comment ref="EB15" authorId="0" shapeId="0" xr:uid="{B9DE5951-38D5-4FFD-B708-BC3284378549}">
      <text>
        <r>
          <rPr>
            <sz val="11"/>
            <color theme="1"/>
            <rFont val="Calibri"/>
            <family val="2"/>
            <scheme val="minor"/>
          </rPr>
          <t>Tsai, Michael:
KTAS: 450 kts</t>
        </r>
      </text>
    </comment>
    <comment ref="EC15" authorId="0" shapeId="0" xr:uid="{221708BF-FCEC-4EF9-B1D2-08AC1375115B}">
      <text>
        <r>
          <rPr>
            <sz val="11"/>
            <color theme="1"/>
            <rFont val="Calibri"/>
            <family val="2"/>
            <scheme val="minor"/>
          </rPr>
          <t>Tsai, Michael:
KTAS: 450 kts</t>
        </r>
      </text>
    </comment>
    <comment ref="ED15" authorId="0" shapeId="0" xr:uid="{DCA08AE3-171D-4A50-9DF0-5BC052E1A7D8}">
      <text>
        <r>
          <rPr>
            <sz val="11"/>
            <color theme="1"/>
            <rFont val="Calibri"/>
            <family val="2"/>
            <scheme val="minor"/>
          </rPr>
          <t>Tsai, Michael:
KTAS: 450 kts</t>
        </r>
      </text>
    </comment>
    <comment ref="EE15" authorId="0" shapeId="0" xr:uid="{5A56EB76-A2CD-4902-9428-EB490514F43A}">
      <text>
        <r>
          <rPr>
            <sz val="11"/>
            <color theme="1"/>
            <rFont val="Calibri"/>
            <family val="2"/>
            <scheme val="minor"/>
          </rPr>
          <t xml:space="preserve">Tsai, Michael:
KTAS: 460 </t>
        </r>
      </text>
    </comment>
    <comment ref="EF15" authorId="0" shapeId="0" xr:uid="{9A7DC814-021A-4ADE-97A1-47D94363212E}">
      <text>
        <r>
          <rPr>
            <sz val="11"/>
            <color theme="1"/>
            <rFont val="Calibri"/>
            <family val="2"/>
            <scheme val="minor"/>
          </rPr>
          <t xml:space="preserve">Tsai, Michael:
KTAS: 460 </t>
        </r>
      </text>
    </comment>
    <comment ref="EG15" authorId="0" shapeId="0" xr:uid="{04045192-3AE7-46E7-9C26-F23D8D97F873}">
      <text>
        <r>
          <rPr>
            <sz val="11"/>
            <color theme="1"/>
            <rFont val="Calibri"/>
            <family val="2"/>
            <scheme val="minor"/>
          </rPr>
          <t xml:space="preserve">Tsai, Michael:
KTAS: 460 </t>
        </r>
      </text>
    </comment>
    <comment ref="EH15" authorId="0" shapeId="0" xr:uid="{0CED472E-ED65-4142-89BD-FB1A18C4289B}">
      <text>
        <r>
          <rPr>
            <sz val="11"/>
            <color theme="1"/>
            <rFont val="Calibri"/>
            <family val="2"/>
            <scheme val="minor"/>
          </rPr>
          <t xml:space="preserve">Tsai, Michael:
KTAS: 460 </t>
        </r>
      </text>
    </comment>
    <comment ref="EI15" authorId="0" shapeId="0" xr:uid="{DA4BEC81-54E7-4CE2-950C-01C307E28F3C}">
      <text>
        <r>
          <rPr>
            <sz val="11"/>
            <color theme="1"/>
            <rFont val="Calibri"/>
            <family val="2"/>
            <scheme val="minor"/>
          </rPr>
          <t xml:space="preserve">Tsai, Michael:
KTAS: 460 </t>
        </r>
      </text>
    </comment>
    <comment ref="EJ15" authorId="0" shapeId="0" xr:uid="{18FA5353-C37C-4B12-B788-AB4475388615}">
      <text>
        <r>
          <rPr>
            <sz val="11"/>
            <color theme="1"/>
            <rFont val="Calibri"/>
            <family val="2"/>
            <scheme val="minor"/>
          </rPr>
          <t xml:space="preserve">Tsai, Michael:
KTAS: 460 </t>
        </r>
      </text>
    </comment>
    <comment ref="EK15" authorId="0" shapeId="0" xr:uid="{AC4B8ADE-4891-4185-BDFA-566C347DBC54}">
      <text>
        <r>
          <rPr>
            <sz val="11"/>
            <color theme="1"/>
            <rFont val="Calibri"/>
            <family val="2"/>
            <scheme val="minor"/>
          </rPr>
          <t xml:space="preserve">Tsai, Michael:
KTAS: 460 </t>
        </r>
      </text>
    </comment>
    <comment ref="EL15" authorId="0" shapeId="0" xr:uid="{620E8FA6-E55A-48C0-98B5-D868E357151B}">
      <text>
        <r>
          <rPr>
            <sz val="11"/>
            <color theme="1"/>
            <rFont val="Calibri"/>
            <family val="2"/>
            <scheme val="minor"/>
          </rPr>
          <t xml:space="preserve">Tsai, Michael:
KTAS: 460 </t>
        </r>
      </text>
    </comment>
    <comment ref="EM15" authorId="0" shapeId="0" xr:uid="{7B95C6DF-D105-4ED8-A3DE-964179070F43}">
      <text>
        <r>
          <rPr>
            <sz val="11"/>
            <color theme="1"/>
            <rFont val="Calibri"/>
            <family val="2"/>
            <scheme val="minor"/>
          </rPr>
          <t xml:space="preserve">Tsai, Michael:
KTAS: 460 </t>
        </r>
      </text>
    </comment>
    <comment ref="EN15" authorId="0" shapeId="0" xr:uid="{074A69A7-A867-4850-B304-42B66B768371}">
      <text>
        <r>
          <rPr>
            <sz val="11"/>
            <color theme="1"/>
            <rFont val="Calibri"/>
            <family val="2"/>
            <scheme val="minor"/>
          </rPr>
          <t xml:space="preserve">Tsai, Michael:
KTAS: 460 </t>
        </r>
      </text>
    </comment>
    <comment ref="EO15" authorId="0" shapeId="0" xr:uid="{F228ABA5-2357-440F-B3A5-621BBD88BE2B}">
      <text>
        <r>
          <rPr>
            <sz val="11"/>
            <color theme="1"/>
            <rFont val="Calibri"/>
            <family val="2"/>
            <scheme val="minor"/>
          </rPr>
          <t xml:space="preserve">Tsai, Michael:
KTAS: 460 </t>
        </r>
      </text>
    </comment>
    <comment ref="EP15" authorId="0" shapeId="0" xr:uid="{DFDB0613-43AF-4BC2-B4A0-4294A0B50D95}">
      <text>
        <r>
          <rPr>
            <sz val="11"/>
            <color theme="1"/>
            <rFont val="Calibri"/>
            <family val="2"/>
            <scheme val="minor"/>
          </rPr>
          <t xml:space="preserve">Tsai, Michael:
KTAS: 460 </t>
        </r>
      </text>
    </comment>
    <comment ref="EQ15" authorId="0" shapeId="0" xr:uid="{8D0A5994-2710-442B-B9BC-CCF209AF83CB}">
      <text>
        <r>
          <rPr>
            <sz val="11"/>
            <color theme="1"/>
            <rFont val="Calibri"/>
            <family val="2"/>
            <scheme val="minor"/>
          </rPr>
          <t>Tsai, Michael:
KTAS: 450</t>
        </r>
      </text>
    </comment>
    <comment ref="ER15" authorId="0" shapeId="0" xr:uid="{E25125C8-2283-4695-82D7-75F124E71B79}">
      <text>
        <r>
          <rPr>
            <sz val="11"/>
            <color theme="1"/>
            <rFont val="Calibri"/>
            <family val="2"/>
            <scheme val="minor"/>
          </rPr>
          <t>Tsai, Michael:
KTAS: 450</t>
        </r>
      </text>
    </comment>
    <comment ref="ES15" authorId="0" shapeId="0" xr:uid="{954CB687-57A8-4E99-AA01-135238B702C5}">
      <text>
        <r>
          <rPr>
            <sz val="11"/>
            <color theme="1"/>
            <rFont val="Calibri"/>
            <family val="2"/>
            <scheme val="minor"/>
          </rPr>
          <t>Tsai, Michael:
KTAS: 450</t>
        </r>
      </text>
    </comment>
    <comment ref="ET15" authorId="0" shapeId="0" xr:uid="{60CE4061-7BC7-4ECB-937F-B54E3DACFB6E}">
      <text>
        <r>
          <rPr>
            <sz val="11"/>
            <color theme="1"/>
            <rFont val="Calibri"/>
            <family val="2"/>
            <scheme val="minor"/>
          </rPr>
          <t>Tsai, Michael:
KTAS: 450</t>
        </r>
      </text>
    </comment>
    <comment ref="EU15" authorId="0" shapeId="0" xr:uid="{EEED703D-B428-47C1-B01D-4B9CB5896C2F}">
      <text>
        <r>
          <rPr>
            <sz val="11"/>
            <color theme="1"/>
            <rFont val="Calibri"/>
            <family val="2"/>
            <scheme val="minor"/>
          </rPr>
          <t>Tsai, Michael:
KTAS: 450</t>
        </r>
      </text>
    </comment>
    <comment ref="EV15" authorId="0" shapeId="0" xr:uid="{092EA909-31B3-4417-9CC9-D8576B9F3C3D}">
      <text>
        <r>
          <rPr>
            <sz val="11"/>
            <color theme="1"/>
            <rFont val="Calibri"/>
            <family val="2"/>
            <scheme val="minor"/>
          </rPr>
          <t>Tsai, Michael:
KTAS: 450</t>
        </r>
      </text>
    </comment>
    <comment ref="FA15" authorId="0" shapeId="0" xr:uid="{1199427E-47F7-4AC0-8CA9-2BC3AC4EB20F}">
      <text>
        <r>
          <rPr>
            <sz val="11"/>
            <color theme="1"/>
            <rFont val="Calibri"/>
            <family val="2"/>
            <scheme val="minor"/>
          </rPr>
          <t>Tsai, Michael:
KTAS: 424 kts</t>
        </r>
      </text>
    </comment>
    <comment ref="FB15" authorId="0" shapeId="0" xr:uid="{D91307C0-3FB7-469F-84B0-48EF3F23ECF4}">
      <text>
        <r>
          <rPr>
            <sz val="11"/>
            <color theme="1"/>
            <rFont val="Calibri"/>
            <family val="2"/>
            <scheme val="minor"/>
          </rPr>
          <t>Tsai, Michael:
KTAS: 424 kts</t>
        </r>
      </text>
    </comment>
    <comment ref="FC15" authorId="0" shapeId="0" xr:uid="{986DB080-0893-459B-9A04-18D0FB089A68}">
      <text>
        <r>
          <rPr>
            <sz val="11"/>
            <color theme="1"/>
            <rFont val="Calibri"/>
            <family val="2"/>
            <scheme val="minor"/>
          </rPr>
          <t>Tsai, Michael:
KTAS: 424 kts</t>
        </r>
      </text>
    </comment>
    <comment ref="FD15" authorId="0" shapeId="0" xr:uid="{26E27D54-6F56-411F-BB45-656F677B8896}">
      <text>
        <r>
          <rPr>
            <sz val="11"/>
            <color theme="1"/>
            <rFont val="Calibri"/>
            <family val="2"/>
            <scheme val="minor"/>
          </rPr>
          <t>Tsai, Michael:
KTAS: 420 kts</t>
        </r>
      </text>
    </comment>
    <comment ref="FE15" authorId="0" shapeId="0" xr:uid="{DD7D276D-4973-4BAB-A223-8EEC5E10825E}">
      <text>
        <r>
          <rPr>
            <sz val="11"/>
            <color theme="1"/>
            <rFont val="Calibri"/>
            <family val="2"/>
            <scheme val="minor"/>
          </rPr>
          <t>Tsai, Michael:
KTAS: 420 kts</t>
        </r>
      </text>
    </comment>
    <comment ref="FF15" authorId="0" shapeId="0" xr:uid="{329196E9-FF96-4EA1-96C6-13F50B418FF2}">
      <text>
        <r>
          <rPr>
            <sz val="11"/>
            <color theme="1"/>
            <rFont val="Calibri"/>
            <family val="2"/>
            <scheme val="minor"/>
          </rPr>
          <t>Tsai, Michael:
KTAS: 442 kts</t>
        </r>
      </text>
    </comment>
    <comment ref="FG15" authorId="0" shapeId="0" xr:uid="{D9D11F32-C406-4714-9149-FF787D8AA9FC}">
      <text>
        <r>
          <rPr>
            <sz val="11"/>
            <color theme="1"/>
            <rFont val="Calibri"/>
            <family val="2"/>
            <scheme val="minor"/>
          </rPr>
          <t>Tsai, Michael:
KTAS: 458 kts</t>
        </r>
      </text>
    </comment>
    <comment ref="FH15" authorId="0" shapeId="0" xr:uid="{E0BB807D-B68A-4732-8936-87B7C33EAEB3}">
      <text>
        <r>
          <rPr>
            <sz val="11"/>
            <color theme="1"/>
            <rFont val="Calibri"/>
            <family val="2"/>
            <scheme val="minor"/>
          </rPr>
          <t>Tsai, Michael:
KTAS: 458 kts</t>
        </r>
      </text>
    </comment>
    <comment ref="FI15" authorId="0" shapeId="0" xr:uid="{391D8751-87B6-4F40-A24F-B0ADFCAED4A8}">
      <text>
        <r>
          <rPr>
            <sz val="11"/>
            <color theme="1"/>
            <rFont val="Calibri"/>
            <family val="2"/>
            <scheme val="minor"/>
          </rPr>
          <t>Tsai, Michael:
KTAS: 470 kts</t>
        </r>
      </text>
    </comment>
    <comment ref="BK20" authorId="0" shapeId="0" xr:uid="{9EBBE8D8-ED34-4B79-B194-FD79FAF18BA4}">
      <text>
        <r>
          <rPr>
            <sz val="11"/>
            <color theme="1"/>
            <rFont val="Calibri"/>
            <family val="2"/>
            <scheme val="minor"/>
          </rPr>
          <t xml:space="preserve">Tsai, Michael:4 auxiliary Fuel tank </t>
        </r>
      </text>
    </comment>
    <comment ref="A21" authorId="0" shapeId="0" xr:uid="{7C1FBB30-A82B-4765-A0FA-C8FFDAD54CE5}">
      <text>
        <r>
          <rPr>
            <sz val="11"/>
            <color theme="1"/>
            <rFont val="Calibri"/>
            <family val="2"/>
            <scheme val="minor"/>
          </rPr>
          <t xml:space="preserve">Tsai, Michael:
Red: from literature 
Black: Calculated </t>
        </r>
      </text>
    </comment>
    <comment ref="A22" authorId="0" shapeId="0" xr:uid="{0D310CEF-2403-4F20-8D8F-7FF6AB169878}">
      <text>
        <r>
          <rPr>
            <sz val="11"/>
            <color theme="1"/>
            <rFont val="Calibri"/>
            <family val="2"/>
            <scheme val="minor"/>
          </rPr>
          <t>Tsai, Michael:
(Useable Fuel Weight/ Max takeoff weight)*100</t>
        </r>
      </text>
    </comment>
    <comment ref="P23" authorId="0" shapeId="0" xr:uid="{7C42945E-D29F-427D-B639-D31E77E0C7EB}">
      <text>
        <r>
          <rPr>
            <sz val="11"/>
            <color theme="1"/>
            <rFont val="Calibri"/>
            <family val="2"/>
            <scheme val="minor"/>
          </rPr>
          <t>Tsai, Michael:
Different in Janes used JT3C-6</t>
        </r>
      </text>
    </comment>
    <comment ref="Q23" authorId="0" shapeId="0" xr:uid="{AEDD1E4A-DDA1-484D-BBBC-530DE1B2E235}">
      <text>
        <r>
          <rPr>
            <sz val="11"/>
            <color theme="1"/>
            <rFont val="Calibri"/>
            <family val="2"/>
            <scheme val="minor"/>
          </rPr>
          <t>Tsai, Michael:
Janes: JT4A-3</t>
        </r>
      </text>
    </comment>
    <comment ref="C24" authorId="0" shapeId="0" xr:uid="{65A9179F-E50A-4634-95F0-7B81B98FDCCB}">
      <text>
        <r>
          <rPr>
            <sz val="11"/>
            <color theme="1"/>
            <rFont val="Calibri"/>
            <family val="2"/>
            <scheme val="minor"/>
          </rPr>
          <t>Tsai, Michael:
25000 ibs (3)</t>
        </r>
      </text>
    </comment>
    <comment ref="D24" authorId="0" shapeId="0" xr:uid="{1E28472F-7FEA-46B6-BF08-EB95E4965866}">
      <text>
        <r>
          <rPr>
            <sz val="11"/>
            <color theme="1"/>
            <rFont val="Calibri"/>
            <family val="2"/>
            <scheme val="minor"/>
          </rPr>
          <t>Tsai, Michael:
28000 ibs (3)</t>
        </r>
      </text>
    </comment>
    <comment ref="E24" authorId="0" shapeId="0" xr:uid="{AD5A330C-55FF-4F8B-A20B-08F9EEF0FC25}">
      <text>
        <r>
          <rPr>
            <sz val="11"/>
            <color theme="1"/>
            <rFont val="Calibri"/>
            <family val="2"/>
            <scheme val="minor"/>
          </rPr>
          <t>Tsai, Michael:
19250 ibs (3)</t>
        </r>
      </text>
    </comment>
    <comment ref="F24" authorId="0" shapeId="0" xr:uid="{620D451B-7508-47E5-8D5D-582A5BA7D6CB}">
      <text>
        <r>
          <rPr>
            <sz val="11"/>
            <color theme="1"/>
            <rFont val="Calibri"/>
            <family val="2"/>
            <scheme val="minor"/>
          </rPr>
          <t>Tsai, Michael:
20850 ibs (3)</t>
        </r>
      </text>
    </comment>
    <comment ref="G24" authorId="0" shapeId="0" xr:uid="{4790448B-DEC2-4711-BA7C-A979DFF0627E}">
      <text>
        <r>
          <rPr>
            <sz val="11"/>
            <color theme="1"/>
            <rFont val="Calibri"/>
            <family val="2"/>
            <scheme val="minor"/>
          </rPr>
          <t>Tsai, Michael:
20850 ibs (3)</t>
        </r>
      </text>
    </comment>
    <comment ref="H24" authorId="0" shapeId="0" xr:uid="{B54F8727-9DC6-4ECA-B8C8-D0809F6238FA}">
      <text>
        <r>
          <rPr>
            <sz val="11"/>
            <color theme="1"/>
            <rFont val="Calibri"/>
            <family val="2"/>
            <scheme val="minor"/>
          </rPr>
          <t>Tsai, Michael:
21700 ibs (3)</t>
        </r>
      </text>
    </comment>
    <comment ref="I24" authorId="0" shapeId="0" xr:uid="{1FCD8C71-7D0A-437D-86EA-5318512F1C8D}">
      <text>
        <r>
          <rPr>
            <sz val="11"/>
            <color theme="1"/>
            <rFont val="Calibri"/>
            <family val="2"/>
            <scheme val="minor"/>
          </rPr>
          <t>Tsai, Michael:
20850 ibs (3)</t>
        </r>
      </text>
    </comment>
    <comment ref="J24" authorId="0" shapeId="0" xr:uid="{8FB0F248-351F-4B98-B49E-1C1626CD7702}">
      <text>
        <r>
          <rPr>
            <sz val="11"/>
            <color theme="1"/>
            <rFont val="Calibri"/>
            <family val="2"/>
            <scheme val="minor"/>
          </rPr>
          <t>Tsai, Michael:
20850 ibs (3)</t>
        </r>
      </text>
    </comment>
    <comment ref="K24" authorId="0" shapeId="0" xr:uid="{7F0264D2-E499-456F-AA76-70917B689C2D}">
      <text>
        <r>
          <rPr>
            <sz val="11"/>
            <color theme="1"/>
            <rFont val="Calibri"/>
            <family val="2"/>
            <scheme val="minor"/>
          </rPr>
          <t>Tsai, Michael:
14000 ibs (4)</t>
        </r>
      </text>
    </comment>
    <comment ref="L24" authorId="0" shapeId="0" xr:uid="{948B4FF9-4FB5-4457-977B-E3175FF6765A}">
      <text>
        <r>
          <rPr>
            <sz val="11"/>
            <color theme="1"/>
            <rFont val="Calibri"/>
            <family val="2"/>
            <scheme val="minor"/>
          </rPr>
          <t>Tsai, Michael:
15000 ibs (4)</t>
        </r>
      </text>
    </comment>
    <comment ref="M24" authorId="0" shapeId="0" xr:uid="{159EE09F-7E16-4801-8548-E92DFC537DC1}">
      <text>
        <r>
          <rPr>
            <sz val="11"/>
            <color theme="1"/>
            <rFont val="Calibri"/>
            <family val="2"/>
            <scheme val="minor"/>
          </rPr>
          <t>Tsai, Michael:
14000 ibs (4)</t>
        </r>
      </text>
    </comment>
    <comment ref="N24" authorId="0" shapeId="0" xr:uid="{ADDCA7B5-AE98-4AAB-AE5F-F207E7CEBE11}">
      <text>
        <r>
          <rPr>
            <sz val="11"/>
            <color theme="1"/>
            <rFont val="Calibri"/>
            <family val="2"/>
            <scheme val="minor"/>
          </rPr>
          <t>Tsai, Michael:
15500 ibs (4)</t>
        </r>
      </text>
    </comment>
    <comment ref="O24" authorId="0" shapeId="0" xr:uid="{D7231FA0-1D4D-4CC0-84CB-8A0A217B230E}">
      <text>
        <r>
          <rPr>
            <sz val="11"/>
            <color theme="1"/>
            <rFont val="Calibri"/>
            <family val="2"/>
            <scheme val="minor"/>
          </rPr>
          <t>Tsai, Michael:
16000 ibs (4)</t>
        </r>
      </text>
    </comment>
    <comment ref="P24" authorId="0" shapeId="0" xr:uid="{7C572ABF-0A86-4DDA-B1AF-1865B134AE15}">
      <text>
        <r>
          <rPr>
            <sz val="11"/>
            <color theme="1"/>
            <rFont val="Calibri"/>
            <family val="2"/>
            <scheme val="minor"/>
          </rPr>
          <t>Tsai, Michael:
12000 ibs (4)</t>
        </r>
      </text>
    </comment>
    <comment ref="Q24" authorId="0" shapeId="0" xr:uid="{C1B623DE-46A7-43E7-A276-EB4791D12491}">
      <text>
        <r>
          <rPr>
            <sz val="11"/>
            <color theme="1"/>
            <rFont val="Calibri"/>
            <family val="2"/>
            <scheme val="minor"/>
          </rPr>
          <t>Tsai, Michael:
17500 ibs (4)</t>
        </r>
      </text>
    </comment>
    <comment ref="R24" authorId="0" shapeId="0" xr:uid="{7E4E8024-7E69-44C4-BE0D-FBDF6AF5CAB6}">
      <text>
        <r>
          <rPr>
            <sz val="11"/>
            <color theme="1"/>
            <rFont val="Calibri"/>
            <family val="2"/>
            <scheme val="minor"/>
          </rPr>
          <t>Tsai, Michael:
17500 ibs (4)</t>
        </r>
      </text>
    </comment>
    <comment ref="S24" authorId="0" shapeId="0" xr:uid="{16C10548-DB1C-41C5-A504-819F9EF7FB32}">
      <text>
        <r>
          <rPr>
            <sz val="11"/>
            <color theme="1"/>
            <rFont val="Calibri"/>
            <family val="2"/>
            <scheme val="minor"/>
          </rPr>
          <t>Tsai, Michael:
17500 ibs (4)</t>
        </r>
      </text>
    </comment>
    <comment ref="T24" authorId="0" shapeId="0" xr:uid="{FA196ACE-19B4-450B-8046-509EB7D91C0C}">
      <text>
        <r>
          <rPr>
            <sz val="11"/>
            <color theme="1"/>
            <rFont val="Calibri"/>
            <family val="2"/>
            <scheme val="minor"/>
          </rPr>
          <t>Tsai, Michael:
18000 ibs (4)</t>
        </r>
      </text>
    </comment>
    <comment ref="U24" authorId="0" shapeId="0" xr:uid="{8CFCA2D8-E1F9-4AE0-8D49-CB184BC5C25D}">
      <text>
        <r>
          <rPr>
            <sz val="11"/>
            <color theme="1"/>
            <rFont val="Calibri"/>
            <family val="2"/>
            <scheme val="minor"/>
          </rPr>
          <t>Tsai, Michael:
18000 ibs (4)</t>
        </r>
      </text>
    </comment>
    <comment ref="V24" authorId="0" shapeId="0" xr:uid="{043F3758-C321-4A87-9521-FDE80E8F2AD6}">
      <text>
        <r>
          <rPr>
            <sz val="11"/>
            <color theme="1"/>
            <rFont val="Calibri"/>
            <family val="2"/>
            <scheme val="minor"/>
          </rPr>
          <t>Tsai, Michael:
18000 ibs (4)</t>
        </r>
      </text>
    </comment>
    <comment ref="W24" authorId="0" shapeId="0" xr:uid="{78024122-5681-47EA-844D-784D2F0E617F}">
      <text>
        <r>
          <rPr>
            <sz val="11"/>
            <color theme="1"/>
            <rFont val="Calibri"/>
            <family val="2"/>
            <scheme val="minor"/>
          </rPr>
          <t>Tsai, Michael:
18000 ibs (4)</t>
        </r>
      </text>
    </comment>
    <comment ref="X24" authorId="0" shapeId="0" xr:uid="{ED0727E5-C69C-43F5-A7DE-D0F2E90AFDA2}">
      <text>
        <r>
          <rPr>
            <sz val="11"/>
            <color theme="1"/>
            <rFont val="Calibri"/>
            <family val="2"/>
            <scheme val="minor"/>
          </rPr>
          <t>Tsai, Michael:
24000 ibs (4)</t>
        </r>
      </text>
    </comment>
    <comment ref="Y24" authorId="0" shapeId="0" xr:uid="{23A73DFA-37E6-41C7-A8A4-A04F946C12FE}">
      <text>
        <r>
          <rPr>
            <sz val="11"/>
            <color theme="1"/>
            <rFont val="Calibri"/>
            <family val="2"/>
            <scheme val="minor"/>
          </rPr>
          <t>Tsai, Michael:
24000 ibs (4)</t>
        </r>
      </text>
    </comment>
    <comment ref="Z24" authorId="0" shapeId="0" xr:uid="{A7362362-64E8-4587-B1C1-97C091F5D8B7}">
      <text>
        <r>
          <rPr>
            <sz val="11"/>
            <color theme="1"/>
            <rFont val="Calibri"/>
            <family val="2"/>
            <scheme val="minor"/>
          </rPr>
          <t>Tsai, Michael:
24000 ibs (4)</t>
        </r>
      </text>
    </comment>
    <comment ref="AA24" authorId="0" shapeId="0" xr:uid="{EDAC63F3-EE35-40DE-880C-59F900A6C788}">
      <text>
        <r>
          <rPr>
            <sz val="11"/>
            <color theme="1"/>
            <rFont val="Calibri"/>
            <family val="2"/>
            <scheme val="minor"/>
          </rPr>
          <t>Tsai, Michael:
12000 ibs (4)</t>
        </r>
      </text>
    </comment>
    <comment ref="AB24" authorId="0" shapeId="0" xr:uid="{5E7ECD9C-0E65-44DE-8DB5-26931EF1F5BC}">
      <text>
        <r>
          <rPr>
            <sz val="11"/>
            <color theme="1"/>
            <rFont val="Calibri"/>
            <family val="2"/>
            <scheme val="minor"/>
          </rPr>
          <t>Tsai, Michael:
17700 ibs (4)</t>
        </r>
      </text>
    </comment>
    <comment ref="AC24" authorId="0" shapeId="0" xr:uid="{36F207AF-310F-4567-8B6D-7759CF8C0FFC}">
      <text>
        <r>
          <rPr>
            <sz val="11"/>
            <color theme="1"/>
            <rFont val="Calibri"/>
            <family val="2"/>
            <scheme val="minor"/>
          </rPr>
          <t>Tsai, Michael:
17700 ibs (4)</t>
        </r>
      </text>
    </comment>
    <comment ref="AD24" authorId="0" shapeId="0" xr:uid="{C8C17319-9C60-444E-9A20-F1661E7E8A96}">
      <text>
        <r>
          <rPr>
            <sz val="11"/>
            <color theme="1"/>
            <rFont val="Calibri"/>
            <family val="2"/>
            <scheme val="minor"/>
          </rPr>
          <t>Tsai, Michael:
17500 ibs (4)</t>
        </r>
      </text>
    </comment>
    <comment ref="AE24" authorId="0" shapeId="0" xr:uid="{3D18562A-F438-44EB-97A5-D73B4D8684FE}">
      <text>
        <r>
          <rPr>
            <sz val="11"/>
            <color theme="1"/>
            <rFont val="Calibri"/>
            <family val="2"/>
            <scheme val="minor"/>
          </rPr>
          <t>Tsai, Michael:
17500 ibs (4)</t>
        </r>
      </text>
    </comment>
    <comment ref="AF24" authorId="0" shapeId="0" xr:uid="{576952DE-9ECF-4385-9B24-1A4C5B2C2345}">
      <text>
        <r>
          <rPr>
            <sz val="11"/>
            <color theme="1"/>
            <rFont val="Calibri"/>
            <family val="2"/>
            <scheme val="minor"/>
          </rPr>
          <t>Tsai, Michael:
18000 ibs (4)</t>
        </r>
      </text>
    </comment>
    <comment ref="AG24" authorId="0" shapeId="0" xr:uid="{2DD5D828-86EE-4A1E-BC7A-1DD293CA1229}">
      <text>
        <r>
          <rPr>
            <sz val="11"/>
            <color theme="1"/>
            <rFont val="Calibri"/>
            <family val="2"/>
            <scheme val="minor"/>
          </rPr>
          <t>Tsai, Michael:
19285 ibs (4)</t>
        </r>
      </text>
    </comment>
    <comment ref="AH24" authorId="0" shapeId="0" xr:uid="{FA4E804B-EB35-4D43-9197-34E57952DCAE}">
      <text>
        <r>
          <rPr>
            <sz val="11"/>
            <color theme="1"/>
            <rFont val="Calibri"/>
            <family val="2"/>
            <scheme val="minor"/>
          </rPr>
          <t>Tsai, Michael:
18710 ibs (4)</t>
        </r>
      </text>
    </comment>
    <comment ref="AI24" authorId="0" shapeId="0" xr:uid="{EC13B581-E2C5-4BF2-86C3-E276B6C648DE}">
      <text>
        <r>
          <rPr>
            <sz val="11"/>
            <color theme="1"/>
            <rFont val="Calibri"/>
            <family val="2"/>
            <scheme val="minor"/>
          </rPr>
          <t>Tsai, Michael:
21430 ibs (4)</t>
        </r>
      </text>
    </comment>
    <comment ref="AK24" authorId="0" shapeId="0" xr:uid="{2F6D8A74-E26A-44CF-AE2D-F38D95ADF66C}">
      <text>
        <r>
          <rPr>
            <sz val="11"/>
            <color theme="1"/>
            <rFont val="Calibri"/>
            <family val="2"/>
            <scheme val="minor"/>
          </rPr>
          <t>Tsai, Michael:
14500 ibs (4)</t>
        </r>
      </text>
    </comment>
    <comment ref="AM24" authorId="0" shapeId="0" xr:uid="{8AF7C382-A377-4DA9-BE95-71C96CD9105A}">
      <text>
        <r>
          <rPr>
            <sz val="11"/>
            <color theme="1"/>
            <rFont val="Calibri"/>
            <family val="2"/>
            <scheme val="minor"/>
          </rPr>
          <t>Tsai, Michael:
14500 ibs (4)</t>
        </r>
      </text>
    </comment>
    <comment ref="AN24" authorId="0" shapeId="0" xr:uid="{D1DDB998-F877-4484-86DA-28EE4815B9E7}">
      <text>
        <r>
          <rPr>
            <sz val="11"/>
            <color theme="1"/>
            <rFont val="Calibri"/>
            <family val="2"/>
            <scheme val="minor"/>
          </rPr>
          <t>Tsai, Michael:
14500 ibs (4)</t>
        </r>
      </text>
    </comment>
    <comment ref="AO24" authorId="0" shapeId="0" xr:uid="{D802CF35-221F-4E9B-833D-CF0B0A0A290A}">
      <text>
        <r>
          <rPr>
            <sz val="11"/>
            <color theme="1"/>
            <rFont val="Calibri"/>
            <family val="2"/>
            <scheme val="minor"/>
          </rPr>
          <t>Tsai, Michael:
15500 ibs (4)</t>
        </r>
      </text>
    </comment>
    <comment ref="AQ24" authorId="0" shapeId="0" xr:uid="{8436507F-F9B7-403A-A45C-CEAC5BD95F54}">
      <text>
        <r>
          <rPr>
            <sz val="11"/>
            <color theme="1"/>
            <rFont val="Calibri"/>
            <family val="2"/>
            <scheme val="minor"/>
          </rPr>
          <t>Tsai, Michael:
17400 ibs (4)</t>
        </r>
      </text>
    </comment>
    <comment ref="BA24" authorId="0" shapeId="0" xr:uid="{0F0BB7BC-6EDA-46AE-8710-08EFE9776C11}">
      <text>
        <r>
          <rPr>
            <sz val="11"/>
            <color theme="1"/>
            <rFont val="Calibri"/>
            <family val="2"/>
            <scheme val="minor"/>
          </rPr>
          <t>Tsai, Michael:
20100 ibs</t>
        </r>
      </text>
    </comment>
    <comment ref="BB24" authorId="0" shapeId="0" xr:uid="{F78CD393-6F38-4273-841A-251AFF30E804}">
      <text>
        <r>
          <rPr>
            <sz val="11"/>
            <color theme="1"/>
            <rFont val="Calibri"/>
            <family val="2"/>
            <scheme val="minor"/>
          </rPr>
          <t>Tsai, Michael:
22100 ibs</t>
        </r>
      </text>
    </comment>
    <comment ref="BC24" authorId="0" shapeId="0" xr:uid="{6EA3C50B-633F-491B-A67C-4B72BF83E471}">
      <text>
        <r>
          <rPr>
            <sz val="11"/>
            <color theme="1"/>
            <rFont val="Calibri"/>
            <family val="2"/>
            <scheme val="minor"/>
          </rPr>
          <t>Tsai, Michael:
22100 ibs</t>
        </r>
      </text>
    </comment>
    <comment ref="BD24" authorId="0" shapeId="0" xr:uid="{84A09F6E-395A-487E-ADBA-1CF84912CB97}">
      <text>
        <r>
          <rPr>
            <sz val="11"/>
            <color theme="1"/>
            <rFont val="Calibri"/>
            <family val="2"/>
            <scheme val="minor"/>
          </rPr>
          <t>Tsai, Michael:
23500 ib</t>
        </r>
      </text>
    </comment>
    <comment ref="BE24" authorId="0" shapeId="0" xr:uid="{017E870E-97D1-41B8-9C69-055D5B602C37}">
      <text>
        <r>
          <rPr>
            <sz val="11"/>
            <color theme="1"/>
            <rFont val="Calibri"/>
            <family val="2"/>
            <scheme val="minor"/>
          </rPr>
          <t>Tsai, Michael:
20100 ibs</t>
        </r>
      </text>
    </comment>
    <comment ref="BF24" authorId="0" shapeId="0" xr:uid="{C68173AA-DCCD-4405-AB15-154A3C3AE85E}">
      <text>
        <r>
          <rPr>
            <sz val="11"/>
            <color theme="1"/>
            <rFont val="Calibri"/>
            <family val="2"/>
            <scheme val="minor"/>
          </rPr>
          <t>Tsai, Michael:
18500 ibs</t>
        </r>
      </text>
    </comment>
    <comment ref="BG24" authorId="0" shapeId="0" xr:uid="{CDBEA63D-1B12-4ACC-9CDC-0C61BCB6BD56}">
      <text>
        <r>
          <rPr>
            <sz val="11"/>
            <color theme="1"/>
            <rFont val="Calibri"/>
            <family val="2"/>
            <scheme val="minor"/>
          </rPr>
          <t>Tsai, Michael:
20600 ibs</t>
        </r>
      </text>
    </comment>
    <comment ref="BH24" authorId="0" shapeId="0" xr:uid="{EA13EDBE-D5BF-4732-BAD1-B182F818D120}">
      <text>
        <r>
          <rPr>
            <sz val="11"/>
            <color theme="1"/>
            <rFont val="Calibri"/>
            <family val="2"/>
            <scheme val="minor"/>
          </rPr>
          <t xml:space="preserve">Tsai, Michael:
24200 ibs
</t>
        </r>
      </text>
    </comment>
    <comment ref="BI24" authorId="0" shapeId="0" xr:uid="{3C6FC86B-EA9C-40AD-ABDE-7951EEBA4471}">
      <text>
        <r>
          <rPr>
            <sz val="11"/>
            <color theme="1"/>
            <rFont val="Calibri"/>
            <family val="2"/>
            <scheme val="minor"/>
          </rPr>
          <t>Tsai, Michael:
26300 ibs</t>
        </r>
      </text>
    </comment>
    <comment ref="BJ24" authorId="0" shapeId="0" xr:uid="{087F91F2-3401-4EC2-AEB5-EFB5692413BE}">
      <text>
        <r>
          <rPr>
            <sz val="11"/>
            <color theme="1"/>
            <rFont val="Calibri"/>
            <family val="2"/>
            <scheme val="minor"/>
          </rPr>
          <t>Tsai, Michael:
26300 ibs</t>
        </r>
      </text>
    </comment>
    <comment ref="BK24" authorId="0" shapeId="0" xr:uid="{F8FAD404-8C7E-498A-BE6F-B76B27575C7C}">
      <text>
        <r>
          <rPr>
            <sz val="11"/>
            <color theme="1"/>
            <rFont val="Calibri"/>
            <family val="2"/>
            <scheme val="minor"/>
          </rPr>
          <t>Tsai, Michael:
20600 ibs</t>
        </r>
      </text>
    </comment>
    <comment ref="BL24" authorId="0" shapeId="0" xr:uid="{6CAC1A7D-A9B1-4352-9101-600729C6DA43}">
      <text>
        <r>
          <rPr>
            <sz val="11"/>
            <color theme="1"/>
            <rFont val="Calibri"/>
            <family val="2"/>
            <scheme val="minor"/>
          </rPr>
          <t xml:space="preserve">Tsai, Michael:
24200 ibs
</t>
        </r>
      </text>
    </comment>
    <comment ref="BM24" authorId="0" shapeId="0" xr:uid="{F4461FF1-BCAF-4CCB-8666-249E78B875A2}">
      <text>
        <r>
          <rPr>
            <sz val="11"/>
            <color theme="1"/>
            <rFont val="Calibri"/>
            <family val="2"/>
            <scheme val="minor"/>
          </rPr>
          <t>Tsai, Michael:
28037 ibs
ref (2)</t>
        </r>
      </text>
    </comment>
    <comment ref="BN24" authorId="0" shapeId="0" xr:uid="{D411B365-0A87-4682-A41C-2B81143BD3ED}">
      <text>
        <r>
          <rPr>
            <sz val="11"/>
            <color theme="1"/>
            <rFont val="Calibri"/>
            <family val="2"/>
            <scheme val="minor"/>
          </rPr>
          <t xml:space="preserve">Tsai, Michael:
29317 IBS 
REF(2)
</t>
        </r>
      </text>
    </comment>
    <comment ref="BO24" authorId="0" shapeId="0" xr:uid="{0AE82483-1DBC-4674-9222-D32881331BE9}">
      <text>
        <r>
          <rPr>
            <sz val="11"/>
            <color theme="1"/>
            <rFont val="Calibri"/>
            <family val="2"/>
            <scheme val="minor"/>
          </rPr>
          <t xml:space="preserve">Tsai, Michael:
29317 IBS 
REF(2)
</t>
        </r>
      </text>
    </comment>
    <comment ref="BP24" authorId="0" shapeId="0" xr:uid="{5E9FC436-47DC-4D12-8542-329B90F76EF4}">
      <text>
        <r>
          <rPr>
            <sz val="11"/>
            <color theme="1"/>
            <rFont val="Calibri"/>
            <family val="2"/>
            <scheme val="minor"/>
          </rPr>
          <t xml:space="preserve">Tsai, Michael:
29317 IBS 
REF(2)
</t>
        </r>
      </text>
    </comment>
    <comment ref="BQ24" authorId="0" shapeId="0" xr:uid="{95419E2D-4F29-4029-AAF3-FCE01A500D9D}">
      <text>
        <r>
          <rPr>
            <sz val="11"/>
            <color theme="1"/>
            <rFont val="Calibri"/>
            <family val="2"/>
            <scheme val="minor"/>
          </rPr>
          <t xml:space="preserve">Tsai, Michael:
29317 IBS 
REF(2)
</t>
        </r>
      </text>
    </comment>
    <comment ref="BR24" authorId="0" shapeId="0" xr:uid="{0CDBAC0B-7033-45BF-B631-B76B4F639135}">
      <text>
        <r>
          <rPr>
            <sz val="11"/>
            <color theme="1"/>
            <rFont val="Calibri"/>
            <family val="2"/>
            <scheme val="minor"/>
          </rPr>
          <t xml:space="preserve">Tsai, Michael:
29317 IBS 
REF(2)
</t>
        </r>
      </text>
    </comment>
    <comment ref="BS24" authorId="0" shapeId="0" xr:uid="{6D553132-57E0-4A2E-8A1B-3D00B0D08426}">
      <text>
        <r>
          <rPr>
            <sz val="11"/>
            <color theme="1"/>
            <rFont val="Calibri"/>
            <family val="2"/>
            <scheme val="minor"/>
          </rPr>
          <t xml:space="preserve">Tsai, Michael:
37530 IBS 
REF(2)
</t>
        </r>
      </text>
    </comment>
    <comment ref="BT24" authorId="0" shapeId="0" xr:uid="{2247D008-81C3-4C21-BE8E-FA7E5FBD22AE}">
      <text>
        <r>
          <rPr>
            <sz val="11"/>
            <color theme="1"/>
            <rFont val="Calibri"/>
            <family val="2"/>
            <scheme val="minor"/>
          </rPr>
          <t>Tsai, Michael:
(3) 37530 ibs
FAA different from Boeing thrust values</t>
        </r>
      </text>
    </comment>
    <comment ref="BU24" authorId="0" shapeId="0" xr:uid="{FE9CDCDE-9191-457D-B7DD-001A08202035}">
      <text>
        <r>
          <rPr>
            <sz val="11"/>
            <color theme="1"/>
            <rFont val="Calibri"/>
            <family val="2"/>
            <scheme val="minor"/>
          </rPr>
          <t>Tsai, Michael:
(3) 40900 ibs
FAA different from Boeing thrust values</t>
        </r>
      </text>
    </comment>
    <comment ref="BV24" authorId="0" shapeId="0" xr:uid="{969C61A6-DFA7-4C78-819B-F13D45513318}">
      <text>
        <r>
          <rPr>
            <sz val="11"/>
            <color theme="1"/>
            <rFont val="Calibri"/>
            <family val="2"/>
            <scheme val="minor"/>
          </rPr>
          <t>Tsai, Michael:
(4) 36720 ibs
FAA different from Boeing thrust values</t>
        </r>
      </text>
    </comment>
    <comment ref="BW24" authorId="0" shapeId="0" xr:uid="{1FB4CCB9-0943-406A-9DEB-E810C5B5F110}">
      <text>
        <r>
          <rPr>
            <sz val="11"/>
            <color theme="1"/>
            <rFont val="Calibri"/>
            <family val="2"/>
            <scheme val="minor"/>
          </rPr>
          <t>Tsai, Michael:
(4) 39610 ibs
FAA different from Boeing thrust values</t>
        </r>
      </text>
    </comment>
    <comment ref="BX24" authorId="0" shapeId="0" xr:uid="{3CD5766B-E0B2-4A89-8859-C7D0D8E5FA29}">
      <text>
        <r>
          <rPr>
            <sz val="11"/>
            <color theme="1"/>
            <rFont val="Calibri"/>
            <family val="2"/>
            <scheme val="minor"/>
          </rPr>
          <t>Tsai, Michael:
(3) 37530 ibs
FAA different from Boeing thrust values</t>
        </r>
      </text>
    </comment>
    <comment ref="BY24" authorId="0" shapeId="0" xr:uid="{81BDD255-E068-4D0D-9886-73CEF71D43F9}">
      <text>
        <r>
          <rPr>
            <sz val="11"/>
            <color theme="1"/>
            <rFont val="Calibri"/>
            <family val="2"/>
            <scheme val="minor"/>
          </rPr>
          <t>Tsai, Michael:
(3) 40900 ibs
FAA different from Boeing thrust values</t>
        </r>
      </text>
    </comment>
    <comment ref="BZ24" authorId="0" shapeId="0" xr:uid="{B23CE3B1-CE64-480B-9ED5-F5A1E1BEB90C}">
      <text>
        <r>
          <rPr>
            <sz val="11"/>
            <color theme="1"/>
            <rFont val="Calibri"/>
            <family val="2"/>
            <scheme val="minor"/>
          </rPr>
          <t>Tsai, Michael:
(3) 40900 ibs
FAA different from Boeing thrust values</t>
        </r>
      </text>
    </comment>
    <comment ref="CA24" authorId="0" shapeId="0" xr:uid="{5D2C76C2-3E35-41CE-8314-F7F0CD88FB2B}">
      <text>
        <r>
          <rPr>
            <sz val="11"/>
            <color theme="1"/>
            <rFont val="Calibri"/>
            <family val="2"/>
            <scheme val="minor"/>
          </rPr>
          <t>Tsai, Michael:
(3) 43000 ibs
FAA different from Boeing thrust values</t>
        </r>
      </text>
    </comment>
    <comment ref="CB24" authorId="0" shapeId="0" xr:uid="{62CB7B50-F7E8-4E04-8EB5-F9540E473EC2}">
      <text>
        <r>
          <rPr>
            <sz val="11"/>
            <color theme="1"/>
            <rFont val="Calibri"/>
            <family val="2"/>
            <scheme val="minor"/>
          </rPr>
          <t>Tsai, Michael:
(4) 39610 ibs
FAA different from Boeing thrust values</t>
        </r>
      </text>
    </comment>
    <comment ref="CC24" authorId="0" shapeId="0" xr:uid="{2ACEE9A6-56B4-43A2-AE39-475E111B5394}">
      <text>
        <r>
          <rPr>
            <sz val="11"/>
            <color theme="1"/>
            <rFont val="Calibri"/>
            <family val="2"/>
            <scheme val="minor"/>
          </rPr>
          <t>Tsai, Michael:
(4) 42540 ibs
FAA different from Boeing thrust values</t>
        </r>
      </text>
    </comment>
    <comment ref="CD24" authorId="0" shapeId="0" xr:uid="{E68FABB8-15E7-49D2-ABCF-94C9A2054160}">
      <text>
        <r>
          <rPr>
            <sz val="11"/>
            <color theme="1"/>
            <rFont val="Calibri"/>
            <family val="2"/>
            <scheme val="minor"/>
          </rPr>
          <t>Tsai, Michael:
(4) 48000 ibs</t>
        </r>
      </text>
    </comment>
    <comment ref="CE24" authorId="0" shapeId="0" xr:uid="{49BFC122-675E-4D93-955E-E2AACCEAB619}">
      <text>
        <r>
          <rPr>
            <sz val="11"/>
            <color theme="1"/>
            <rFont val="Calibri"/>
            <family val="2"/>
            <scheme val="minor"/>
          </rPr>
          <t>Tsai, Michael:
(4) 46930 ibs
FAA Different from Boeing</t>
        </r>
      </text>
    </comment>
    <comment ref="CF24" authorId="0" shapeId="0" xr:uid="{57B994C6-3E7A-4372-A33B-5E7507CA8C0E}">
      <text>
        <r>
          <rPr>
            <sz val="11"/>
            <color theme="1"/>
            <rFont val="Calibri"/>
            <family val="2"/>
            <scheme val="minor"/>
          </rPr>
          <t>Tsai, Michael:
(4) 50000 ibs</t>
        </r>
      </text>
    </comment>
    <comment ref="CG24" authorId="0" shapeId="0" xr:uid="{03201A72-3E7D-484A-8F64-9C8F80A1D1A6}">
      <text>
        <r>
          <rPr>
            <sz val="11"/>
            <color theme="1"/>
            <rFont val="Calibri"/>
            <family val="2"/>
            <scheme val="minor"/>
          </rPr>
          <t>Tsai, Michael:
(4) 48670 ibs
FAA Different from Boeing</t>
        </r>
      </text>
    </comment>
    <comment ref="CH24" authorId="0" shapeId="0" xr:uid="{2E800660-08BF-467A-8C8B-03CD1D83592D}">
      <text>
        <r>
          <rPr>
            <sz val="11"/>
            <color theme="1"/>
            <rFont val="Calibri"/>
            <family val="2"/>
            <scheme val="minor"/>
          </rPr>
          <t>Tsai, Michael:
(4) 52200 ibs
FAA Different from Boeing</t>
        </r>
      </text>
    </comment>
    <comment ref="CI24" authorId="0" shapeId="0" xr:uid="{E9797172-28B2-429F-BAE0-163C16E64FC6}">
      <text>
        <r>
          <rPr>
            <sz val="11"/>
            <color theme="1"/>
            <rFont val="Calibri"/>
            <family val="2"/>
            <scheme val="minor"/>
          </rPr>
          <t>Tsai, Michael:
(4) 51950 ibs
FAA Different from Boeing
Boeing Uses bare Engine equivalent thrust</t>
        </r>
      </text>
    </comment>
    <comment ref="CJ24" authorId="0" shapeId="0" xr:uid="{C7781A55-8BA7-4BD1-9377-8250ED18B3CD}">
      <text>
        <r>
          <rPr>
            <sz val="11"/>
            <color theme="1"/>
            <rFont val="Calibri"/>
            <family val="2"/>
            <scheme val="minor"/>
          </rPr>
          <t>Tsai, Michael:
(4) 57180 ibs
FAA Different from Boeing
Boeing Uses bare Engine equivalent thrust</t>
        </r>
      </text>
    </comment>
    <comment ref="CK24" authorId="0" shapeId="0" xr:uid="{0D5D4DFA-0C07-4A0D-B823-F229A95282E1}">
      <text>
        <r>
          <rPr>
            <sz val="11"/>
            <color theme="1"/>
            <rFont val="Calibri"/>
            <family val="2"/>
            <scheme val="minor"/>
          </rPr>
          <t xml:space="preserve">Tsai, Michael:
(4) 56750 ibs
</t>
        </r>
      </text>
    </comment>
    <comment ref="CL24" authorId="0" shapeId="0" xr:uid="{AF5AC36E-83E6-4112-97CD-993F7108B34A}">
      <text>
        <r>
          <rPr>
            <sz val="11"/>
            <color theme="1"/>
            <rFont val="Calibri"/>
            <family val="2"/>
            <scheme val="minor"/>
          </rPr>
          <t>Tsai, Michael:
(4) 56870 ibs
FAA Different from Boeing
Boeing Uses bare Engine equivalent thrust</t>
        </r>
      </text>
    </comment>
    <comment ref="CM24" authorId="0" shapeId="0" xr:uid="{48C69967-0643-4C11-9D26-B9C8DD8754BD}">
      <text>
        <r>
          <rPr>
            <sz val="11"/>
            <color theme="1"/>
            <rFont val="Calibri"/>
            <family val="2"/>
            <scheme val="minor"/>
          </rPr>
          <t>Tsai, Michael:
(4) 59,450  ibs
FAA Different from Boeing
Boeing Uses bare Engine equivalent thrust</t>
        </r>
      </text>
    </comment>
    <comment ref="CN24" authorId="0" shapeId="0" xr:uid="{F0881886-F64A-4C3B-A932-D2F6773A8E87}">
      <text>
        <r>
          <rPr>
            <sz val="11"/>
            <color theme="1"/>
            <rFont val="Calibri"/>
            <family val="2"/>
            <scheme val="minor"/>
          </rPr>
          <t>Tsai, Michael:
48970 ibs (3)</t>
        </r>
      </text>
    </comment>
    <comment ref="CO24" authorId="0" shapeId="0" xr:uid="{35DBDBE8-25F8-4CDA-982C-F6CA206BD74D}">
      <text>
        <r>
          <rPr>
            <sz val="11"/>
            <color theme="1"/>
            <rFont val="Calibri"/>
            <family val="2"/>
            <scheme val="minor"/>
          </rPr>
          <t>Tsai, Michael:
48000 ibs (3)</t>
        </r>
      </text>
    </comment>
    <comment ref="CP24" authorId="0" shapeId="0" xr:uid="{994CCD0D-33C2-4636-9A89-9EF7378ACA60}">
      <text>
        <r>
          <rPr>
            <sz val="11"/>
            <color theme="1"/>
            <rFont val="Calibri"/>
            <family val="2"/>
            <scheme val="minor"/>
          </rPr>
          <t>Tsai, Michael:
48970 ibs (3)</t>
        </r>
      </text>
    </comment>
    <comment ref="CQ24" authorId="0" shapeId="0" xr:uid="{412ED7FC-5C8E-43F1-98D3-F949843E1669}">
      <text>
        <r>
          <rPr>
            <sz val="11"/>
            <color theme="1"/>
            <rFont val="Calibri"/>
            <family val="2"/>
            <scheme val="minor"/>
          </rPr>
          <t>Tsai, Michael:
48970 ibs (3)</t>
        </r>
      </text>
    </comment>
    <comment ref="CR24" authorId="0" shapeId="0" xr:uid="{676B3189-67BF-42F8-81BC-E410E9B42369}">
      <text>
        <r>
          <rPr>
            <sz val="11"/>
            <color theme="1"/>
            <rFont val="Calibri"/>
            <family val="2"/>
            <scheme val="minor"/>
          </rPr>
          <t>Tsai, Michael:
50000 ibs (3)</t>
        </r>
      </text>
    </comment>
    <comment ref="CS24" authorId="0" shapeId="0" xr:uid="{577BB29E-8F55-4D7A-8D2D-CB7D49120C9C}">
      <text>
        <r>
          <rPr>
            <sz val="11"/>
            <color theme="1"/>
            <rFont val="Calibri"/>
            <family val="2"/>
            <scheme val="minor"/>
          </rPr>
          <t>Tsai, Michael:
52460 ibs (3)</t>
        </r>
      </text>
    </comment>
    <comment ref="CT24" authorId="0" shapeId="0" xr:uid="{13F37FD4-2067-4F11-8838-BE5A969C5EFC}">
      <text>
        <r>
          <rPr>
            <sz val="11"/>
            <color theme="1"/>
            <rFont val="Calibri"/>
            <family val="2"/>
            <scheme val="minor"/>
          </rPr>
          <t>Tsai, Michael:
50000 ibs (3)</t>
        </r>
      </text>
    </comment>
    <comment ref="CU24" authorId="0" shapeId="0" xr:uid="{0E4C3E47-8F9C-4955-B45A-134131A95311}">
      <text>
        <r>
          <rPr>
            <sz val="11"/>
            <color theme="1"/>
            <rFont val="Calibri"/>
            <family val="2"/>
            <scheme val="minor"/>
          </rPr>
          <t>Tsai, Michael:
56000 ibs (3)</t>
        </r>
      </text>
    </comment>
    <comment ref="CV24" authorId="0" shapeId="0" xr:uid="{4D90EC32-3A21-4CCA-BEF8-E11088300A7A}">
      <text>
        <r>
          <rPr>
            <sz val="11"/>
            <color theme="1"/>
            <rFont val="Calibri"/>
            <family val="2"/>
            <scheme val="minor"/>
          </rPr>
          <t>Tsai, Michael:
ibs ()</t>
        </r>
      </text>
    </comment>
    <comment ref="CW24" authorId="0" shapeId="0" xr:uid="{DE81B009-C5D9-45F3-8935-E3896FA037A3}">
      <text>
        <r>
          <rPr>
            <sz val="11"/>
            <color theme="1"/>
            <rFont val="Calibri"/>
            <family val="2"/>
            <scheme val="minor"/>
          </rPr>
          <t>Tsai, Michael:
21600 ibs (4)</t>
        </r>
      </text>
    </comment>
    <comment ref="CX24" authorId="0" shapeId="0" xr:uid="{E4340E6F-0008-478F-8E37-9B836BC4FC03}">
      <text>
        <r>
          <rPr>
            <sz val="11"/>
            <color theme="1"/>
            <rFont val="Calibri"/>
            <family val="2"/>
            <scheme val="minor"/>
          </rPr>
          <t>Tsai, Michael:
22100 ibs (4)</t>
        </r>
      </text>
    </comment>
    <comment ref="CY24" authorId="0" shapeId="0" xr:uid="{B1D4CB44-6FA6-4984-8905-194EFD70EB61}">
      <text>
        <r>
          <rPr>
            <sz val="11"/>
            <color theme="1"/>
            <rFont val="Calibri"/>
            <family val="2"/>
            <scheme val="minor"/>
          </rPr>
          <t>Tsai, Michael:
23300 ibs (4)</t>
        </r>
      </text>
    </comment>
    <comment ref="CZ24" authorId="0" shapeId="0" xr:uid="{5464C13A-D302-4137-BAE4-DAF96E558168}">
      <text>
        <r>
          <rPr>
            <sz val="11"/>
            <color theme="1"/>
            <rFont val="Calibri"/>
            <family val="2"/>
            <scheme val="minor"/>
          </rPr>
          <t>Tsai, Michael:
23800 ibs (4)</t>
        </r>
      </text>
    </comment>
    <comment ref="DA24" authorId="0" shapeId="0" xr:uid="{F1D7FE82-1191-4B42-8AD3-D44BC41474AE}">
      <text>
        <r>
          <rPr>
            <sz val="11"/>
            <color theme="1"/>
            <rFont val="Calibri"/>
            <family val="2"/>
            <scheme val="minor"/>
          </rPr>
          <t>Tsai, Michael:
22000 ibs (4)</t>
        </r>
      </text>
    </comment>
    <comment ref="DB24" authorId="0" shapeId="0" xr:uid="{6050D6FC-06DA-4E55-A6DA-2ED68B5263E5}">
      <text>
        <r>
          <rPr>
            <sz val="11"/>
            <color theme="1"/>
            <rFont val="Calibri"/>
            <family val="2"/>
            <scheme val="minor"/>
          </rPr>
          <t>Tsai, Michael:
23500 ibs (4)</t>
        </r>
      </text>
    </comment>
    <comment ref="DC24" authorId="0" shapeId="0" xr:uid="{942121F5-C0F0-4DA5-9B5A-B6C03D498FCD}">
      <text>
        <r>
          <rPr>
            <sz val="11"/>
            <color theme="1"/>
            <rFont val="Calibri"/>
            <family val="2"/>
            <scheme val="minor"/>
          </rPr>
          <t>Tsai, Michael:
27000 ibs (4)</t>
        </r>
      </text>
    </comment>
    <comment ref="DD24" authorId="0" shapeId="0" xr:uid="{18013CEF-8540-4192-B417-BA1D18DF1832}">
      <text>
        <r>
          <rPr>
            <sz val="11"/>
            <color theme="1"/>
            <rFont val="Calibri"/>
            <family val="2"/>
            <scheme val="minor"/>
          </rPr>
          <t>Tsai, Michael:
23040 ibs (4)</t>
        </r>
      </text>
    </comment>
    <comment ref="DE24" authorId="0" shapeId="0" xr:uid="{AC9D7194-0B40-4767-A80B-142D498A5544}">
      <text>
        <r>
          <rPr>
            <sz val="11"/>
            <color theme="1"/>
            <rFont val="Calibri"/>
            <family val="2"/>
            <scheme val="minor"/>
          </rPr>
          <t>Tsai, Michael:
24800 ibs (4)</t>
        </r>
      </text>
    </comment>
    <comment ref="DF24" authorId="0" shapeId="0" xr:uid="{84E42E70-6429-46E7-BEAA-CE913681E81E}">
      <text>
        <r>
          <rPr>
            <sz val="11"/>
            <color theme="1"/>
            <rFont val="Calibri"/>
            <family val="2"/>
            <scheme val="minor"/>
          </rPr>
          <t>Tsai, Michael:
24010 ibs (4)</t>
        </r>
      </text>
    </comment>
    <comment ref="DG24" authorId="0" shapeId="0" xr:uid="{1C3574D6-5894-4B7D-9824-0D3C6DE99516}">
      <text>
        <r>
          <rPr>
            <sz val="11"/>
            <color theme="1"/>
            <rFont val="Calibri"/>
            <family val="2"/>
            <scheme val="minor"/>
          </rPr>
          <t>Tsai, Michael:
27120 ibs (4)</t>
        </r>
      </text>
    </comment>
    <comment ref="DH24" authorId="0" shapeId="0" xr:uid="{5CF557A6-E38E-402A-96F1-2DA059F6FCF5}">
      <text>
        <r>
          <rPr>
            <sz val="11"/>
            <color theme="1"/>
            <rFont val="Calibri"/>
            <family val="2"/>
            <scheme val="minor"/>
          </rPr>
          <t>Tsai, Michael:
24240 ibs (4)</t>
        </r>
      </text>
    </comment>
    <comment ref="DI24" authorId="0" shapeId="0" xr:uid="{B9729F83-4DB6-4159-BBA9-327D3D2B6EB7}">
      <text>
        <r>
          <rPr>
            <sz val="11"/>
            <color theme="1"/>
            <rFont val="Calibri"/>
            <family val="2"/>
            <scheme val="minor"/>
          </rPr>
          <t>Tsai, Michael:
25000 ibs (4)</t>
        </r>
      </text>
    </comment>
    <comment ref="DJ24" authorId="0" shapeId="0" xr:uid="{EF19F732-337B-4242-B760-CED627FB09A7}">
      <text>
        <r>
          <rPr>
            <sz val="11"/>
            <color theme="1"/>
            <rFont val="Calibri"/>
            <family val="2"/>
            <scheme val="minor"/>
          </rPr>
          <t>Tsai, Michael:
26500 ibs (4)</t>
        </r>
      </text>
    </comment>
    <comment ref="DK24" authorId="0" shapeId="0" xr:uid="{AE70F469-9746-4807-B96C-50C83F738C78}">
      <text>
        <r>
          <rPr>
            <sz val="11"/>
            <color theme="1"/>
            <rFont val="Calibri"/>
            <family val="2"/>
            <scheme val="minor"/>
          </rPr>
          <t>Tsai, Michael:
27000 ibs (4)</t>
        </r>
      </text>
    </comment>
    <comment ref="DL24" authorId="0" shapeId="0" xr:uid="{15F89413-9F33-4A1C-B375-2B950D932518}">
      <text>
        <r>
          <rPr>
            <sz val="11"/>
            <color theme="1"/>
            <rFont val="Calibri"/>
            <family val="2"/>
            <scheme val="minor"/>
          </rPr>
          <t>Tsai, Michael:
24800 ibs (4)</t>
        </r>
      </text>
    </comment>
    <comment ref="DM24" authorId="0" shapeId="0" xr:uid="{3CCEA308-4898-4882-9A48-16E89FACB99B}">
      <text>
        <r>
          <rPr>
            <sz val="11"/>
            <color theme="1"/>
            <rFont val="Calibri"/>
            <family val="2"/>
            <scheme val="minor"/>
          </rPr>
          <t>Tsai, Michael:
24800 ibs (4)</t>
        </r>
      </text>
    </comment>
    <comment ref="DN24" authorId="0" shapeId="0" xr:uid="{9313E3B5-349C-4980-A34D-23C520AED38A}">
      <text>
        <r>
          <rPr>
            <sz val="11"/>
            <color theme="1"/>
            <rFont val="Calibri"/>
            <family val="2"/>
            <scheme val="minor"/>
          </rPr>
          <t>Tsai, Michael:
24010 ibs (4)</t>
        </r>
      </text>
    </comment>
    <comment ref="DO24" authorId="0" shapeId="0" xr:uid="{699CAC2C-3987-481D-B423-932AFF3F6E90}">
      <text>
        <r>
          <rPr>
            <sz val="11"/>
            <color theme="1"/>
            <rFont val="Calibri"/>
            <family val="2"/>
            <scheme val="minor"/>
          </rPr>
          <t>Tsai, Michael:
27120 ibs (4)</t>
        </r>
      </text>
    </comment>
    <comment ref="DP24" authorId="0" shapeId="0" xr:uid="{2B260FD2-E0FB-4495-BF0C-C0C03A520C9C}">
      <text>
        <r>
          <rPr>
            <sz val="11"/>
            <color theme="1"/>
            <rFont val="Calibri"/>
            <family val="2"/>
            <scheme val="minor"/>
          </rPr>
          <t>Tsai, Michael:
27075 ibs (4)</t>
        </r>
      </text>
    </comment>
    <comment ref="DQ24" authorId="0" shapeId="0" xr:uid="{A786A89B-F45A-4A31-AD66-46E283A187D6}">
      <text>
        <r>
          <rPr>
            <sz val="11"/>
            <color theme="1"/>
            <rFont val="Calibri"/>
            <family val="2"/>
            <scheme val="minor"/>
          </rPr>
          <t>Tsai, Michael:
24240 ibs (4)</t>
        </r>
      </text>
    </comment>
    <comment ref="DR24" authorId="0" shapeId="0" xr:uid="{BDEFD703-4E6E-4433-9B21-143558EAC9F4}">
      <text>
        <r>
          <rPr>
            <sz val="11"/>
            <color theme="1"/>
            <rFont val="Calibri"/>
            <family val="2"/>
            <scheme val="minor"/>
          </rPr>
          <t>Tsai, Michael:
29290 ibs (4)</t>
        </r>
      </text>
    </comment>
    <comment ref="DS24" authorId="0" shapeId="0" xr:uid="{E333A4A1-C9E5-4306-9DED-8E0165347D24}">
      <text>
        <r>
          <rPr>
            <sz val="11"/>
            <color theme="1"/>
            <rFont val="Calibri"/>
            <family val="2"/>
            <scheme val="minor"/>
          </rPr>
          <t>Tsai, Michael:
29245 ibs (4)</t>
        </r>
      </text>
    </comment>
    <comment ref="DT24" authorId="0" shapeId="0" xr:uid="{5B56A6FC-1583-4C77-BA0F-A3C896CFACDA}">
      <text>
        <r>
          <rPr>
            <sz val="11"/>
            <color theme="1"/>
            <rFont val="Calibri"/>
            <family val="2"/>
            <scheme val="minor"/>
          </rPr>
          <t>Tsai, Michael:
30000 ibs (4)</t>
        </r>
      </text>
    </comment>
    <comment ref="DU24" authorId="0" shapeId="0" xr:uid="{7C15735C-AA40-4CDB-9EF7-F5B773D93533}">
      <text>
        <r>
          <rPr>
            <sz val="11"/>
            <color theme="1"/>
            <rFont val="Calibri"/>
            <family val="2"/>
            <scheme val="minor"/>
          </rPr>
          <t>Tsai, Michael:
29900 ibs (4)</t>
        </r>
      </text>
    </comment>
    <comment ref="DV24" authorId="0" shapeId="0" xr:uid="{178F9D6F-ABF8-46B4-BD9B-6C7BFA69B752}">
      <text>
        <r>
          <rPr>
            <sz val="11"/>
            <color theme="1"/>
            <rFont val="Calibri"/>
            <family val="2"/>
            <scheme val="minor"/>
          </rPr>
          <t>Tsai, Michael:
31000 ibs (4)</t>
        </r>
      </text>
    </comment>
    <comment ref="DW24" authorId="0" shapeId="0" xr:uid="{8DF05AAC-4AD9-44BA-A941-24F4C89B5626}">
      <text>
        <r>
          <rPr>
            <sz val="11"/>
            <color theme="1"/>
            <rFont val="Calibri"/>
            <family val="2"/>
            <scheme val="minor"/>
          </rPr>
          <t>Tsai, Michael:
32000 ibs (4)</t>
        </r>
      </text>
    </comment>
    <comment ref="DX24" authorId="0" shapeId="0" xr:uid="{00706AAD-F521-491F-A862-476D06DDF949}">
      <text>
        <r>
          <rPr>
            <sz val="11"/>
            <color theme="1"/>
            <rFont val="Calibri"/>
            <family val="2"/>
            <scheme val="minor"/>
          </rPr>
          <t>Tsai, Michael:
31600 ibs (4)</t>
        </r>
      </text>
    </comment>
    <comment ref="DY24" authorId="0" shapeId="0" xr:uid="{6610336B-7A4B-4E66-9CE4-513EFF35986D}">
      <text>
        <r>
          <rPr>
            <sz val="11"/>
            <color theme="1"/>
            <rFont val="Calibri"/>
            <family val="2"/>
            <scheme val="minor"/>
          </rPr>
          <t>Tsai, Michael:
32160 ibs (4)</t>
        </r>
      </text>
    </comment>
    <comment ref="DZ24" authorId="0" shapeId="0" xr:uid="{E2929305-AB6D-43DA-83A7-EE24F674C083}">
      <text>
        <r>
          <rPr>
            <sz val="11"/>
            <color theme="1"/>
            <rFont val="Calibri"/>
            <family val="2"/>
            <scheme val="minor"/>
          </rPr>
          <t>Tsai, Michael:
32160 ibs (4)</t>
        </r>
      </text>
    </comment>
    <comment ref="EA24" authorId="0" shapeId="0" xr:uid="{642D3391-2BCD-4298-988C-7DDF176CB33C}">
      <text>
        <r>
          <rPr>
            <sz val="11"/>
            <color theme="1"/>
            <rFont val="Calibri"/>
            <family val="2"/>
            <scheme val="minor"/>
          </rPr>
          <t>Tsai, Michael:
33110 ibs (4)</t>
        </r>
      </text>
    </comment>
    <comment ref="EB24" authorId="0" shapeId="0" xr:uid="{9C7BC35E-1420-4DD0-9556-E95F5656F496}">
      <text>
        <r>
          <rPr>
            <sz val="11"/>
            <color theme="1"/>
            <rFont val="Calibri"/>
            <family val="2"/>
            <scheme val="minor"/>
          </rPr>
          <t>Tsai, Michael:
32160 ibs (4)</t>
        </r>
      </text>
    </comment>
    <comment ref="EC24" authorId="0" shapeId="0" xr:uid="{8758C179-B4B9-40AA-8877-0F124558336C}">
      <text>
        <r>
          <rPr>
            <sz val="11"/>
            <color theme="1"/>
            <rFont val="Calibri"/>
            <family val="2"/>
            <scheme val="minor"/>
          </rPr>
          <t>Tsai, Michael:
32160 ibs (4)</t>
        </r>
      </text>
    </comment>
    <comment ref="ED24" authorId="0" shapeId="0" xr:uid="{2B9CF3F4-6ACD-4E93-85B1-925BFDD7257A}">
      <text>
        <r>
          <rPr>
            <sz val="11"/>
            <color theme="1"/>
            <rFont val="Calibri"/>
            <family val="2"/>
            <scheme val="minor"/>
          </rPr>
          <t>Tsai, Michael:
ibs (4)</t>
        </r>
      </text>
    </comment>
    <comment ref="A25" authorId="0" shapeId="0" xr:uid="{D0D876C3-1328-4936-9235-EA89C99DB934}">
      <text>
        <r>
          <rPr>
            <sz val="11"/>
            <color theme="1"/>
            <rFont val="Calibri"/>
            <family val="2"/>
            <scheme val="minor"/>
          </rPr>
          <t>Tsai, Michael:
Dry Weight</t>
        </r>
      </text>
    </comment>
    <comment ref="T25" authorId="0" shapeId="0" xr:uid="{549B7337-E91F-40F7-9B5E-A802DC45039E}">
      <text>
        <r>
          <rPr>
            <sz val="11"/>
            <color theme="1"/>
            <rFont val="Calibri"/>
            <family val="2"/>
            <scheme val="minor"/>
          </rPr>
          <t>Tsai, Michael:
12th stage bleed: 4340 ib
9th stage bleed: 4320 ib</t>
        </r>
      </text>
    </comment>
    <comment ref="U25" authorId="0" shapeId="0" xr:uid="{A18447E8-BE1F-48C7-9BEF-D5E8F1D73B59}">
      <text>
        <r>
          <rPr>
            <sz val="11"/>
            <color theme="1"/>
            <rFont val="Calibri"/>
            <family val="2"/>
            <scheme val="minor"/>
          </rPr>
          <t>Tsai, Michael:
12th stage bleed: 4340 ib
9th stage bleed: 4320 ib</t>
        </r>
      </text>
    </comment>
    <comment ref="V25" authorId="0" shapeId="0" xr:uid="{3B8D7AF6-AACA-4A77-BAFD-E3F7EBDF90D4}">
      <text>
        <r>
          <rPr>
            <sz val="11"/>
            <color theme="1"/>
            <rFont val="Calibri"/>
            <family val="2"/>
            <scheme val="minor"/>
          </rPr>
          <t>Tsai, Michael:
12th stage bleed: 4340 ib
9th stage bleed: 4320 ib</t>
        </r>
      </text>
    </comment>
    <comment ref="W25" authorId="0" shapeId="0" xr:uid="{9A432A7E-F7CC-4EEE-AE63-1DECBB776059}">
      <text>
        <r>
          <rPr>
            <sz val="11"/>
            <color theme="1"/>
            <rFont val="Calibri"/>
            <family val="2"/>
            <scheme val="minor"/>
          </rPr>
          <t>Tsai, Michael:
12th stage bleed: 4340 ib
9th stage bleed: 4320 ib</t>
        </r>
      </text>
    </comment>
    <comment ref="BV25" authorId="0" shapeId="0" xr:uid="{C71FF074-717F-40DE-893C-7DCFC15B880B}">
      <text>
        <r>
          <rPr>
            <sz val="11"/>
            <color theme="1"/>
            <rFont val="Calibri"/>
            <family val="2"/>
            <scheme val="minor"/>
          </rPr>
          <t>Tsai, Michael:
(3)</t>
        </r>
      </text>
    </comment>
    <comment ref="BW25" authorId="0" shapeId="0" xr:uid="{C38A286B-4AF2-43F2-80BF-AE1258337D3A}">
      <text>
        <r>
          <rPr>
            <sz val="11"/>
            <color theme="1"/>
            <rFont val="Calibri"/>
            <family val="2"/>
            <scheme val="minor"/>
          </rPr>
          <t>Tsai, Michael:
(3)</t>
        </r>
      </text>
    </comment>
    <comment ref="CB25" authorId="0" shapeId="0" xr:uid="{4BA30D5F-AAC6-438C-97C8-A18337305218}">
      <text>
        <r>
          <rPr>
            <sz val="11"/>
            <color theme="1"/>
            <rFont val="Calibri"/>
            <family val="2"/>
            <scheme val="minor"/>
          </rPr>
          <t>Tsai, Michael:
(3)</t>
        </r>
      </text>
    </comment>
    <comment ref="CC25" authorId="0" shapeId="0" xr:uid="{F17690A3-4F3F-4652-A46C-531A24454404}">
      <text>
        <r>
          <rPr>
            <sz val="11"/>
            <color theme="1"/>
            <rFont val="Calibri"/>
            <family val="2"/>
            <scheme val="minor"/>
          </rPr>
          <t>Tsai, Michael:
(3)</t>
        </r>
      </text>
    </comment>
    <comment ref="A32" authorId="0" shapeId="0" xr:uid="{0C430B18-CA80-42A5-85EC-C23D6D89F507}">
      <text>
        <r>
          <rPr>
            <sz val="11"/>
            <color theme="1"/>
            <rFont val="Calibri"/>
            <family val="2"/>
            <scheme val="minor"/>
          </rPr>
          <t xml:space="preserve">Tsai, Michael:
(Total Engine Weight/ Max takeoff weight)*100
</t>
        </r>
      </text>
    </comment>
    <comment ref="A33" authorId="1" shapeId="0" xr:uid="{2720DA95-A7AE-4D79-8111-B8C8C2162971}">
      <text>
        <r>
          <rPr>
            <sz val="11"/>
            <color theme="1"/>
            <rFont val="Calibri"/>
            <family val="2"/>
            <scheme val="minor"/>
          </rPr>
          <t>Patel, Janki:
if we used wing loading to get wing area, the max takeoff weight was used to calcuate the wing area.  (highlight light blue)
W/S = kg/m^2
so 1/(W/S *(1/W))
orange: calculated using  MTOW/MWL
Red: from other 3rd party source</t>
        </r>
      </text>
    </comment>
    <comment ref="A35" authorId="0" shapeId="0" xr:uid="{9D6E46FF-0B40-4B6D-BB4E-7D4040500329}">
      <text>
        <r>
          <rPr>
            <sz val="11"/>
            <color theme="1"/>
            <rFont val="Calibri"/>
            <family val="2"/>
            <scheme val="minor"/>
          </rPr>
          <t xml:space="preserve">Tsai, Michael:
orange: calculated MTOW/Wing Area </t>
        </r>
      </text>
    </comment>
    <comment ref="A37" authorId="0" shapeId="0" xr:uid="{0926E8E3-03D3-468B-8EED-2EE24DF4F47A}">
      <text>
        <r>
          <rPr>
            <sz val="11"/>
            <color theme="1"/>
            <rFont val="Calibri"/>
            <family val="2"/>
            <scheme val="minor"/>
          </rPr>
          <t>Tsai, Michael:
green: value used from comparing same thrust</t>
        </r>
      </text>
    </comment>
    <comment ref="K37" authorId="0" shapeId="0" xr:uid="{7E940BAB-8F59-420B-9F7D-D6F1AEAFDB03}">
      <text>
        <r>
          <rPr>
            <sz val="11"/>
            <color theme="1"/>
            <rFont val="Calibri"/>
            <family val="2"/>
            <scheme val="minor"/>
          </rPr>
          <t>Tsai, Michael:
using JT8D-7</t>
        </r>
      </text>
    </comment>
    <comment ref="A38" authorId="0" shapeId="0" xr:uid="{7D868D94-4066-4D31-B957-285C54567CBC}">
      <text>
        <r>
          <rPr>
            <sz val="11"/>
            <color theme="1"/>
            <rFont val="Calibri"/>
            <family val="2"/>
            <scheme val="minor"/>
          </rPr>
          <t>Tsai, Michael:
Takeoff rating
red : cruise rating</t>
        </r>
      </text>
    </comment>
    <comment ref="CA38" authorId="0" shapeId="0" xr:uid="{CA2B0416-9DEB-4F92-A850-D868E17F76CA}">
      <text>
        <r>
          <rPr>
            <sz val="11"/>
            <color theme="1"/>
            <rFont val="Calibri"/>
            <family val="2"/>
            <scheme val="minor"/>
          </rPr>
          <t>Tsai, Michael:
used 2040</t>
        </r>
      </text>
    </comment>
    <comment ref="DP38" authorId="0" shapeId="0" xr:uid="{A21529AE-9BD1-4B08-A6C9-9F4766836A16}">
      <text>
        <r>
          <rPr>
            <sz val="11"/>
            <color theme="1"/>
            <rFont val="Calibri"/>
            <family val="2"/>
            <scheme val="minor"/>
          </rPr>
          <t>Tsai, Michael:
1124 spec</t>
        </r>
      </text>
    </comment>
    <comment ref="A39" authorId="0" shapeId="0" xr:uid="{69D07876-78EA-4B81-B140-275EF9167C52}">
      <text>
        <r>
          <rPr>
            <sz val="11"/>
            <color theme="1"/>
            <rFont val="Calibri"/>
            <family val="2"/>
            <scheme val="minor"/>
          </rPr>
          <t xml:space="preserve">Tsai, Michael:
orange: field length
</t>
        </r>
      </text>
    </comment>
    <comment ref="BQ39" authorId="0" shapeId="0" xr:uid="{A2C7C783-4AAB-49A3-92C7-CFA0CFC816BB}">
      <text>
        <r>
          <rPr>
            <sz val="11"/>
            <color theme="1"/>
            <rFont val="Calibri"/>
            <family val="2"/>
            <scheme val="minor"/>
          </rPr>
          <t xml:space="preserve">Tsai, Michael:
Using 737-9 data </t>
        </r>
      </text>
    </comment>
    <comment ref="DH39" authorId="0" shapeId="0" xr:uid="{6554BB70-27C0-4049-8DFE-4605D78D9B9A}">
      <text>
        <r>
          <rPr>
            <sz val="11"/>
            <color theme="1"/>
            <rFont val="Calibri"/>
            <family val="2"/>
            <scheme val="minor"/>
          </rPr>
          <t>Tsai, Michael:
used leap</t>
        </r>
      </text>
    </comment>
    <comment ref="A40" authorId="0" shapeId="0" xr:uid="{951B2D41-4B17-4572-BD1D-329668C89960}">
      <text>
        <r>
          <rPr>
            <sz val="11"/>
            <color theme="1"/>
            <rFont val="Calibri"/>
            <family val="2"/>
            <scheme val="minor"/>
          </rPr>
          <t>Tsai, Michael:
orange: field length</t>
        </r>
      </text>
    </comment>
    <comment ref="BQ40" authorId="0" shapeId="0" xr:uid="{D4E0D507-3427-4332-9713-7E29EE84570F}">
      <text>
        <r>
          <rPr>
            <sz val="11"/>
            <color theme="1"/>
            <rFont val="Calibri"/>
            <family val="2"/>
            <scheme val="minor"/>
          </rPr>
          <t xml:space="preserve">Tsai, Michael:
Using 737-9 data </t>
        </r>
      </text>
    </comment>
    <comment ref="A41" authorId="0" shapeId="0" xr:uid="{34375CB8-6050-4FB2-875D-2496A1C3E3B2}">
      <text>
        <r>
          <rPr>
            <sz val="11"/>
            <color theme="1"/>
            <rFont val="Calibri"/>
            <family val="2"/>
            <scheme val="minor"/>
          </rPr>
          <t>Tsai, Michael:
orange: calculated using wingspan^2/Area</t>
        </r>
      </text>
    </comment>
    <comment ref="A42" authorId="0" shapeId="0" xr:uid="{623FAB65-8A7A-4E93-8623-43D943692FFD}">
      <text>
        <r>
          <rPr>
            <sz val="11"/>
            <color theme="1"/>
            <rFont val="Calibri"/>
            <family val="2"/>
            <scheme val="minor"/>
          </rPr>
          <t xml:space="preserve">Tsai, Michael:
OPR: overall pressure Ratio </t>
        </r>
      </text>
    </comment>
    <comment ref="A43" authorId="0" shapeId="0" xr:uid="{B2F6AAE4-739B-4A83-9D0E-7372731C4978}">
      <text>
        <r>
          <rPr>
            <sz val="11"/>
            <color theme="1"/>
            <rFont val="Calibri"/>
            <family val="2"/>
            <scheme val="minor"/>
          </rPr>
          <t>Tsai, Michael:
Max takeoff weight / takeoff thrust
orange = calculated</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Tsai, Michael</author>
    <author>Patel, Janki</author>
    <author>tc={1C40B52B-3C8F-4FED-9EE0-9CA0E4645BF8}</author>
    <author>tc={3E15C459-0B9B-4AE6-9FD2-34916F62E216}</author>
  </authors>
  <commentList>
    <comment ref="A1" authorId="0" shapeId="0" xr:uid="{B36551F8-5818-4A9F-9C2F-E5CCE17FB986}">
      <text>
        <r>
          <rPr>
            <sz val="11"/>
            <color theme="1"/>
            <rFont val="Calibri"/>
            <family val="2"/>
            <scheme val="minor"/>
          </rPr>
          <t xml:space="preserve">Tsai, Michael:
Highlighted Yellow: accounted for two separate class
</t>
        </r>
      </text>
    </comment>
    <comment ref="I1" authorId="0" shapeId="0" xr:uid="{9A84FF01-71EE-47C6-B944-7FB13EEF379C}">
      <text>
        <r>
          <rPr>
            <sz val="11"/>
            <color theme="1"/>
            <rFont val="Calibri"/>
            <family val="2"/>
            <scheme val="minor"/>
          </rPr>
          <t xml:space="preserve">Tsai, Michael:
With 1130 Gallon Fuselage Auxiliary Fuel Tanks </t>
        </r>
      </text>
    </comment>
    <comment ref="J1" authorId="0" shapeId="0" xr:uid="{506A32AF-D6F6-4CDF-BEF6-84B04ABFFED9}">
      <text>
        <r>
          <rPr>
            <sz val="11"/>
            <color theme="1"/>
            <rFont val="Calibri"/>
            <family val="2"/>
            <scheme val="minor"/>
          </rPr>
          <t>Tsai, Michael:
Has Freighter version</t>
        </r>
      </text>
    </comment>
    <comment ref="L1" authorId="0" shapeId="0" xr:uid="{735DEBD1-91DD-4D21-B136-0150376FC4FC}">
      <text>
        <r>
          <rPr>
            <sz val="11"/>
            <color theme="1"/>
            <rFont val="Calibri"/>
            <family val="2"/>
            <scheme val="minor"/>
          </rPr>
          <t>Tsai, Michael:
Has Freighter version</t>
        </r>
      </text>
    </comment>
    <comment ref="M1" authorId="0" shapeId="0" xr:uid="{05FC5CD2-22BC-4863-A7D9-0F3C7CBDACDD}">
      <text>
        <r>
          <rPr>
            <sz val="11"/>
            <color theme="1"/>
            <rFont val="Calibri"/>
            <family val="2"/>
            <scheme val="minor"/>
          </rPr>
          <t>Tsai, Michael:
Has Freighter version</t>
        </r>
      </text>
    </comment>
    <comment ref="N1" authorId="0" shapeId="0" xr:uid="{90987E29-0BA6-4820-99A8-8523ADA387E5}">
      <text>
        <r>
          <rPr>
            <sz val="11"/>
            <color theme="1"/>
            <rFont val="Calibri"/>
            <family val="2"/>
            <scheme val="minor"/>
          </rPr>
          <t>Tsai, Michael:
Has Freighter version</t>
        </r>
      </text>
    </comment>
    <comment ref="S1" authorId="0" shapeId="0" xr:uid="{DA71D1CC-128D-4714-ACED-B8FCB0F332FD}">
      <text>
        <r>
          <rPr>
            <sz val="11"/>
            <color theme="1"/>
            <rFont val="Calibri"/>
            <family val="2"/>
            <scheme val="minor"/>
          </rPr>
          <t xml:space="preserve">Tsai, Michael:
There is a Freighter Version  </t>
        </r>
      </text>
    </comment>
    <comment ref="T1" authorId="0" shapeId="0" xr:uid="{EA5047A0-CAE7-420D-977D-FC200EB4A418}">
      <text>
        <r>
          <rPr>
            <sz val="11"/>
            <color theme="1"/>
            <rFont val="Calibri"/>
            <family val="2"/>
            <scheme val="minor"/>
          </rPr>
          <t>Tsai, Michael:
There is a Freighter Version</t>
        </r>
      </text>
    </comment>
    <comment ref="U1" authorId="0" shapeId="0" xr:uid="{8984FAAD-0846-43A4-9EFA-D8BB9901F562}">
      <text>
        <r>
          <rPr>
            <sz val="11"/>
            <color theme="1"/>
            <rFont val="Calibri"/>
            <family val="2"/>
            <scheme val="minor"/>
          </rPr>
          <t>Tsai, Michael:
There is a Freighter Version</t>
        </r>
      </text>
    </comment>
    <comment ref="V1" authorId="0" shapeId="0" xr:uid="{A7FF417A-D236-4F9B-8175-10FD0097EC26}">
      <text>
        <r>
          <rPr>
            <sz val="11"/>
            <color theme="1"/>
            <rFont val="Calibri"/>
            <family val="2"/>
            <scheme val="minor"/>
          </rPr>
          <t>Tsai, Michael:
There is a Freighter Version</t>
        </r>
      </text>
    </comment>
    <comment ref="W1" authorId="0" shapeId="0" xr:uid="{A2D53926-1C65-4776-9559-F364937CB87B}">
      <text>
        <r>
          <rPr>
            <sz val="11"/>
            <color theme="1"/>
            <rFont val="Calibri"/>
            <family val="2"/>
            <scheme val="minor"/>
          </rPr>
          <t>Tsai, Michael:
There is a Freighter Version</t>
        </r>
      </text>
    </comment>
    <comment ref="X1" authorId="0" shapeId="0" xr:uid="{318D1CEA-798D-4487-AF12-26EFA1E35CDD}">
      <text>
        <r>
          <rPr>
            <sz val="11"/>
            <color theme="1"/>
            <rFont val="Calibri"/>
            <family val="2"/>
            <scheme val="minor"/>
          </rPr>
          <t>Tsai, Michael:
There is a Freighter Version</t>
        </r>
      </text>
    </comment>
    <comment ref="Y1" authorId="0" shapeId="0" xr:uid="{ACC58030-CBDB-40E9-8CA3-D5F5FB5B634C}">
      <text>
        <r>
          <rPr>
            <sz val="11"/>
            <color theme="1"/>
            <rFont val="Calibri"/>
            <family val="2"/>
            <scheme val="minor"/>
          </rPr>
          <t>Tsai, Michael:
There is a Freighter Version</t>
        </r>
      </text>
    </comment>
    <comment ref="AR1" authorId="0" shapeId="0" xr:uid="{D7816C79-4E99-4EA8-B71E-06F7FA382449}">
      <text>
        <r>
          <rPr>
            <sz val="11"/>
            <color theme="1"/>
            <rFont val="Calibri"/>
            <family val="2"/>
            <scheme val="minor"/>
          </rPr>
          <t>Tsai, Michael:
5 Abreast</t>
        </r>
      </text>
    </comment>
    <comment ref="AS1" authorId="0" shapeId="0" xr:uid="{BB97890E-9D54-4F30-A145-CCBF1A1B9578}">
      <text>
        <r>
          <rPr>
            <sz val="11"/>
            <color theme="1"/>
            <rFont val="Calibri"/>
            <family val="2"/>
            <scheme val="minor"/>
          </rPr>
          <t xml:space="preserve">Tsai, Michael:
6 Abreast
</t>
        </r>
      </text>
    </comment>
    <comment ref="AT1" authorId="0" shapeId="0" xr:uid="{3B687C70-3161-4192-8783-E7FB0C80F0AF}">
      <text>
        <r>
          <rPr>
            <sz val="11"/>
            <color theme="1"/>
            <rFont val="Calibri"/>
            <family val="2"/>
            <scheme val="minor"/>
          </rPr>
          <t>Tsai, Michael:
5 Abreast</t>
        </r>
      </text>
    </comment>
    <comment ref="AU1" authorId="0" shapeId="0" xr:uid="{0B19EBFF-4130-43D5-AD24-56EE07CF9646}">
      <text>
        <r>
          <rPr>
            <sz val="11"/>
            <color theme="1"/>
            <rFont val="Calibri"/>
            <family val="2"/>
            <scheme val="minor"/>
          </rPr>
          <t>Tsai, Michael:
6 Abreast</t>
        </r>
      </text>
    </comment>
    <comment ref="AV1" authorId="0" shapeId="0" xr:uid="{4FDF1541-B1F8-4FB1-AE6F-EE79675E5888}">
      <text>
        <r>
          <rPr>
            <sz val="11"/>
            <color theme="1"/>
            <rFont val="Calibri"/>
            <family val="2"/>
            <scheme val="minor"/>
          </rPr>
          <t>Tsai, Michael:
5 Abreast</t>
        </r>
      </text>
    </comment>
    <comment ref="AW1" authorId="0" shapeId="0" xr:uid="{B4E5766E-42E2-48B2-A9A0-5F040C68061A}">
      <text>
        <r>
          <rPr>
            <sz val="11"/>
            <color theme="1"/>
            <rFont val="Calibri"/>
            <family val="2"/>
            <scheme val="minor"/>
          </rPr>
          <t>Tsai, Michael:
6 Abreast</t>
        </r>
      </text>
    </comment>
    <comment ref="AX1" authorId="0" shapeId="0" xr:uid="{9CBD372C-CD83-4D51-9EA3-BEBCDABAF85C}">
      <text>
        <r>
          <rPr>
            <sz val="11"/>
            <color theme="1"/>
            <rFont val="Calibri"/>
            <family val="2"/>
            <scheme val="minor"/>
          </rPr>
          <t xml:space="preserve">Tsai, Michael:
5 Abreast
C for combi (Faster conversion between passenger and cargo)
</t>
        </r>
      </text>
    </comment>
    <comment ref="AY1" authorId="0" shapeId="0" xr:uid="{9F557B25-97E7-4459-8EFC-CDAD96304E97}">
      <text>
        <r>
          <rPr>
            <sz val="11"/>
            <color theme="1"/>
            <rFont val="Calibri"/>
            <family val="2"/>
            <scheme val="minor"/>
          </rPr>
          <t xml:space="preserve">Tsai, Michael:
6 Abreast
NOTE: has executive version
</t>
        </r>
      </text>
    </comment>
    <comment ref="BJ1" authorId="0" shapeId="0" xr:uid="{AF087EAF-F097-462D-8F4F-505C6EE2DF14}">
      <text>
        <r>
          <rPr>
            <sz val="11"/>
            <color theme="1"/>
            <rFont val="Calibri"/>
            <family val="2"/>
            <scheme val="minor"/>
          </rPr>
          <t xml:space="preserve">Tsai, Michael:
Business Jet from 737-700 </t>
        </r>
      </text>
    </comment>
    <comment ref="BK1" authorId="0" shapeId="0" xr:uid="{51038E90-2E6A-4E1D-BECB-087FF656C6CF}">
      <text>
        <r>
          <rPr>
            <sz val="11"/>
            <color theme="1"/>
            <rFont val="Calibri"/>
            <family val="2"/>
            <scheme val="minor"/>
          </rPr>
          <t xml:space="preserve">Tsai, Michael:
Business Jet from 737-800
</t>
        </r>
      </text>
    </comment>
    <comment ref="BN1" authorId="0" shapeId="0" xr:uid="{12FE8944-E43A-4171-AED2-E29C58FE7309}">
      <text>
        <r>
          <rPr>
            <sz val="11"/>
            <color theme="1"/>
            <rFont val="Calibri"/>
            <family val="2"/>
            <scheme val="minor"/>
          </rPr>
          <t>Tsai, Michael:
Higher Passenger Capacity MAX 8 model 200+ passenger</t>
        </r>
      </text>
    </comment>
    <comment ref="BP1" authorId="0" shapeId="0" xr:uid="{3EF54EF5-29F5-4009-BCF5-E4532D9F8C80}">
      <text>
        <r>
          <rPr>
            <sz val="11"/>
            <color theme="1"/>
            <rFont val="Calibri"/>
            <family val="2"/>
            <scheme val="minor"/>
          </rPr>
          <t>Tsai, Michael:
Information on 737-10 is preliminary</t>
        </r>
      </text>
    </comment>
    <comment ref="BS1" authorId="0" shapeId="0" xr:uid="{8DF795A7-D5CC-4483-947D-F9F580953435}">
      <text>
        <r>
          <rPr>
            <sz val="11"/>
            <color theme="1"/>
            <rFont val="Calibri"/>
            <family val="2"/>
            <scheme val="minor"/>
          </rPr>
          <t>Tsai, Michael:
Pratt and Whitney Engine</t>
        </r>
      </text>
    </comment>
    <comment ref="BT1" authorId="0" shapeId="0" xr:uid="{6E9EE5ED-3FB4-43EF-9200-ACF040997F70}">
      <text>
        <r>
          <rPr>
            <sz val="11"/>
            <color theme="1"/>
            <rFont val="Calibri"/>
            <family val="2"/>
            <scheme val="minor"/>
          </rPr>
          <t>Tsai, Michael:
Pratt and Whitney Engine</t>
        </r>
      </text>
    </comment>
    <comment ref="BU1" authorId="0" shapeId="0" xr:uid="{4B8AD3D8-5E2A-4AD1-B27D-D3E89B1202D2}">
      <text>
        <r>
          <rPr>
            <sz val="11"/>
            <color theme="1"/>
            <rFont val="Calibri"/>
            <family val="2"/>
            <scheme val="minor"/>
          </rPr>
          <t>Tsai, Michael:
Roll Royce Engine</t>
        </r>
      </text>
    </comment>
    <comment ref="BV1" authorId="0" shapeId="0" xr:uid="{4675AE41-A2BF-4903-BD11-0B56CA58F9D5}">
      <text>
        <r>
          <rPr>
            <sz val="11"/>
            <color theme="1"/>
            <rFont val="Calibri"/>
            <family val="2"/>
            <scheme val="minor"/>
          </rPr>
          <t>Tsai, Michael:
Roll Royce Engine</t>
        </r>
      </text>
    </comment>
    <comment ref="BW1" authorId="0" shapeId="0" xr:uid="{577F3CD1-4AF2-4E57-B28D-C17AA22572F4}">
      <text>
        <r>
          <rPr>
            <sz val="11"/>
            <color theme="1"/>
            <rFont val="Calibri"/>
            <family val="2"/>
            <scheme val="minor"/>
          </rPr>
          <t>Tsai, Michael:
Pratt and Whitney Engine</t>
        </r>
      </text>
    </comment>
    <comment ref="BX1" authorId="0" shapeId="0" xr:uid="{7E010EB2-9494-44B7-B764-01078C3167D7}">
      <text>
        <r>
          <rPr>
            <sz val="11"/>
            <color theme="1"/>
            <rFont val="Calibri"/>
            <family val="2"/>
            <scheme val="minor"/>
          </rPr>
          <t>Tsai, Michael:
Pratt and Whitney Engine</t>
        </r>
      </text>
    </comment>
    <comment ref="BY1" authorId="0" shapeId="0" xr:uid="{7126F117-0863-4631-BF12-1D42B07A7563}">
      <text>
        <r>
          <rPr>
            <sz val="11"/>
            <color theme="1"/>
            <rFont val="Calibri"/>
            <family val="2"/>
            <scheme val="minor"/>
          </rPr>
          <t>Tsai, Michael:
Pratt and Whitney</t>
        </r>
      </text>
    </comment>
    <comment ref="BZ1" authorId="0" shapeId="0" xr:uid="{6A664CF9-392A-400B-9D38-5234CA98F60D}">
      <text>
        <r>
          <rPr>
            <sz val="11"/>
            <color theme="1"/>
            <rFont val="Calibri"/>
            <family val="2"/>
            <scheme val="minor"/>
          </rPr>
          <t>Tsai, Michael:
Pratt and Whitney</t>
        </r>
      </text>
    </comment>
    <comment ref="CA1" authorId="0" shapeId="0" xr:uid="{B4AB5CF0-C8AA-4AE1-879C-13DDA5785816}">
      <text>
        <r>
          <rPr>
            <sz val="11"/>
            <color theme="1"/>
            <rFont val="Calibri"/>
            <family val="2"/>
            <scheme val="minor"/>
          </rPr>
          <t>Tsai, Michael:
Pratt and Whitney</t>
        </r>
      </text>
    </comment>
    <comment ref="CB1" authorId="0" shapeId="0" xr:uid="{F17C28A1-BC60-4C8B-9F1E-0690AF0720B9}">
      <text>
        <r>
          <rPr>
            <sz val="11"/>
            <color theme="1"/>
            <rFont val="Calibri"/>
            <family val="2"/>
            <scheme val="minor"/>
          </rPr>
          <t>Tsai, Michael:
Pratt and Whitney</t>
        </r>
      </text>
    </comment>
    <comment ref="CX1" authorId="0" shapeId="0" xr:uid="{4D6EE3FA-EFCC-4E11-ADE7-26B72019686D}">
      <text>
        <r>
          <rPr>
            <sz val="11"/>
            <color theme="1"/>
            <rFont val="Calibri"/>
            <family val="2"/>
            <scheme val="minor"/>
          </rPr>
          <t xml:space="preserve">Tsai, Michael:
Has Business Jet Version (ACJ) </t>
        </r>
      </text>
    </comment>
    <comment ref="CY1" authorId="0" shapeId="0" xr:uid="{D9BEBE6D-9ED7-4A38-9966-205C2E8EFF84}">
      <text>
        <r>
          <rPr>
            <sz val="11"/>
            <color theme="1"/>
            <rFont val="Calibri"/>
            <family val="2"/>
            <scheme val="minor"/>
          </rPr>
          <t xml:space="preserve">Tsai, Michael:
Has Business Jet Version (ACJ) </t>
        </r>
      </text>
    </comment>
    <comment ref="DB1" authorId="0" shapeId="0" xr:uid="{718CD1C1-7743-4E81-ABFC-88182C7837F3}">
      <text>
        <r>
          <rPr>
            <sz val="11"/>
            <color theme="1"/>
            <rFont val="Calibri"/>
            <family val="2"/>
            <scheme val="minor"/>
          </rPr>
          <t>Tsai, Michael:
- With Sharklet
- Has ACJ version</t>
        </r>
      </text>
    </comment>
    <comment ref="DD1" authorId="0" shapeId="0" xr:uid="{C9452562-E804-46A5-BBE9-4F5E71FC44E2}">
      <text>
        <r>
          <rPr>
            <sz val="11"/>
            <color theme="1"/>
            <rFont val="Calibri"/>
            <family val="2"/>
            <scheme val="minor"/>
          </rPr>
          <t>Tsai, Michael:
With Sharklet</t>
        </r>
      </text>
    </comment>
    <comment ref="DF1" authorId="0" shapeId="0" xr:uid="{84444B81-5B47-4BF8-8F14-AD47BEECAA6F}">
      <text>
        <r>
          <rPr>
            <sz val="11"/>
            <color theme="1"/>
            <rFont val="Calibri"/>
            <family val="2"/>
            <scheme val="minor"/>
          </rPr>
          <t>Tsai, Michael:
Has ACJ version</t>
        </r>
      </text>
    </comment>
    <comment ref="DK1" authorId="0" shapeId="0" xr:uid="{9488A553-4853-4802-81E1-84DE7554F62B}">
      <text>
        <r>
          <rPr>
            <sz val="11"/>
            <color theme="1"/>
            <rFont val="Calibri"/>
            <family val="2"/>
            <scheme val="minor"/>
          </rPr>
          <t>Tsai, Michael:
with Sharklet</t>
        </r>
      </text>
    </comment>
    <comment ref="DL1" authorId="0" shapeId="0" xr:uid="{7C21250B-4242-47C2-97FD-6028A5B0379B}">
      <text>
        <r>
          <rPr>
            <sz val="11"/>
            <color theme="1"/>
            <rFont val="Calibri"/>
            <family val="2"/>
            <scheme val="minor"/>
          </rPr>
          <t>Tsai, Michael:
with Sharklet</t>
        </r>
      </text>
    </comment>
    <comment ref="DN1" authorId="0" shapeId="0" xr:uid="{26025849-646A-40EA-9F98-4498ED7020E5}">
      <text>
        <r>
          <rPr>
            <sz val="11"/>
            <color theme="1"/>
            <rFont val="Calibri"/>
            <family val="2"/>
            <scheme val="minor"/>
          </rPr>
          <t>Tsai, Michael:
Has ACJ version</t>
        </r>
      </text>
    </comment>
    <comment ref="DQ1" authorId="0" shapeId="0" xr:uid="{77BC14F7-A359-48AA-90D3-116174EB4F70}">
      <text>
        <r>
          <rPr>
            <sz val="11"/>
            <color theme="1"/>
            <rFont val="Calibri"/>
            <family val="2"/>
            <scheme val="minor"/>
          </rPr>
          <t>Tsai, Michael:
Has ACJ version</t>
        </r>
      </text>
    </comment>
    <comment ref="DR1" authorId="0" shapeId="0" xr:uid="{8631A600-66ED-4171-BF7D-C575A9C818F9}">
      <text>
        <r>
          <rPr>
            <sz val="11"/>
            <color theme="1"/>
            <rFont val="Calibri"/>
            <family val="2"/>
            <scheme val="minor"/>
          </rPr>
          <t xml:space="preserve">Tsai, Michael:
Has ACJ version
</t>
        </r>
      </text>
    </comment>
    <comment ref="DS1" authorId="0" shapeId="0" xr:uid="{88791269-73AE-464D-8C52-402829F7E419}">
      <text>
        <r>
          <rPr>
            <sz val="11"/>
            <color theme="1"/>
            <rFont val="Calibri"/>
            <family val="2"/>
            <scheme val="minor"/>
          </rPr>
          <t>Tsai, Michael:
-100 vs -200: 
-200 higher MTOW +350 nm more range</t>
        </r>
      </text>
    </comment>
    <comment ref="DT1" authorId="0" shapeId="0" xr:uid="{47CB064B-1574-4504-B923-2FC027A53CF5}">
      <text>
        <r>
          <rPr>
            <sz val="11"/>
            <color theme="1"/>
            <rFont val="Calibri"/>
            <family val="2"/>
            <scheme val="minor"/>
          </rPr>
          <t>Tsai, Michael:
with Sharklet</t>
        </r>
      </text>
    </comment>
    <comment ref="DW1" authorId="0" shapeId="0" xr:uid="{A14A7795-5D7B-44E6-B22E-1DFF233AEF15}">
      <text>
        <r>
          <rPr>
            <sz val="11"/>
            <color theme="1"/>
            <rFont val="Calibri"/>
            <family val="2"/>
            <scheme val="minor"/>
          </rPr>
          <t>Tsai, Michael:
Sharklet</t>
        </r>
      </text>
    </comment>
    <comment ref="EA1" authorId="0" shapeId="0" xr:uid="{EEF73695-3E3D-4D1E-A21C-6F4CB85F609A}">
      <text>
        <r>
          <rPr>
            <sz val="11"/>
            <color theme="1"/>
            <rFont val="Calibri"/>
            <family val="2"/>
            <scheme val="minor"/>
          </rPr>
          <t>Tsai, Michael:
has ACF
2act</t>
        </r>
      </text>
    </comment>
    <comment ref="B2" authorId="0" shapeId="0" xr:uid="{9C46440C-B2CF-44BA-BB1B-FB0FFA9737A5}">
      <text>
        <r>
          <rPr>
            <sz val="11"/>
            <color theme="1"/>
            <rFont val="Calibri"/>
            <family val="2"/>
            <scheme val="minor"/>
          </rPr>
          <t xml:space="preserve">Tsai, Michael:
1.  Use fuel capacity kg MTOW kg Weight Variant 
chrome-extension://efaidnbmnnnibpcajpcglclefindmkaj/https://www.boeing.com/resources/boeingdotcom/commercial/airports/acaps/md90.pdf
2.
https://skybrary.aero/aircraft/md90
3.
chrome-extension://efaidnbmnnnibpcajpcglclefindmkaj/https://rgl.faa.gov/Regulatory_and_Guidance_Library/rgMakeModel.nsf/0/fa74c08d4bd2d02386258281006d02a1/$FILE/E40NE_Rev_13.pdf
4.
https://prattwhitney.com/products-and-services/products/commercial-engines/v2500
5. 
https://customer.janes.com/Janes/Display/JAU_9145-JAU_
6. 
https://links.prattwhitney.com/i-a-e/products.html
7.
https://customer.janes.com/Janes/Display/JAE_0635-JAE_
</t>
        </r>
      </text>
    </comment>
    <comment ref="C2" authorId="0" shapeId="0" xr:uid="{25DC5759-9FBB-4B7D-B56B-DC7828BC5B48}">
      <text>
        <r>
          <rPr>
            <sz val="11"/>
            <color theme="1"/>
            <rFont val="Calibri"/>
            <family val="2"/>
            <scheme val="minor"/>
          </rPr>
          <t xml:space="preserve">Tsai, Michael:
1.  Use fuel capacity kg MTOW kg Weight Variant 
chrome-extension://efaidnbmnnnibpcajpcglclefindmkaj/https://www.boeing.com/resources/boeingdotcom/commercial/airports/acaps/md90.pdf
2.
https://skybrary.aero/aircraft/md90
3.
chrome-extension://efaidnbmnnnibpcajpcglclefindmkaj/https://rgl.faa.gov/Regulatory_and_Guidance_Library/rgMakeModel.nsf/0/fa74c08d4bd2d02386258281006d02a1/$FILE/E40NE_Rev_13.pdf
4.
5. 
</t>
        </r>
      </text>
    </comment>
    <comment ref="D2" authorId="0" shapeId="0" xr:uid="{C27BC4AC-6706-4985-9C8F-FE616A374951}">
      <text>
        <r>
          <rPr>
            <sz val="11"/>
            <color theme="1"/>
            <rFont val="Calibri"/>
            <family val="2"/>
            <scheme val="minor"/>
          </rPr>
          <t xml:space="preserve">Tsai, Michael:
1.  Use fuel capacity 17766 kg MTOW 63504 kg Weight Variant 
chrome-extension://efaidnbmnnnibpcajpcglclefindmkaj/https://www.boeing.com/resources/boeingdotcom/commercial/airports/acaps/md80.pdf
2.
https://skybrary.aero/aircraft/md81
3.
chrome-extension://efaidnbmnnnibpcajpcglclefindmkaj/https://rgl.faa.gov/Regulatory_and_Guidance_Library/rgMakeModel.nsf/0/e902a54c589cfaca862586b800631b4f/$FILE/E9NE%20Rev%2012.pdf
4.
5. 
</t>
        </r>
      </text>
    </comment>
    <comment ref="E2" authorId="0" shapeId="0" xr:uid="{6B0591A9-0E1E-4DCC-AB28-20B4198C3DDF}">
      <text>
        <r>
          <rPr>
            <sz val="11"/>
            <color theme="1"/>
            <rFont val="Calibri"/>
            <family val="2"/>
            <scheme val="minor"/>
          </rPr>
          <t xml:space="preserve">Tsai, Michael:
1.  Use fuel capacity 17766 kg MTOW 67812 kg Weight Variant 
chrome-extension://efaidnbmnnnibpcajpcglclefindmkaj/https://www.boeing.com/resources/boeingdotcom/commercial/airports/acaps/md80.pdf
2.
https://skybrary.aero/aircraft/md82
3.
chrome-extension://efaidnbmnnnibpcajpcglclefindmkaj/https://rgl.faa.gov/Regulatory_and_Guidance_Library/rgMakeModel.nsf/0/e902a54c589cfaca862586b800631b4f/$FILE/E9NE%20Rev%2012.pdf
4.
5. 
</t>
        </r>
      </text>
    </comment>
    <comment ref="F2" authorId="0" shapeId="0" xr:uid="{9919300F-04F4-4D68-8AFD-02000DD042F5}">
      <text>
        <r>
          <rPr>
            <sz val="11"/>
            <color theme="1"/>
            <rFont val="Calibri"/>
            <family val="2"/>
            <scheme val="minor"/>
          </rPr>
          <t xml:space="preserve">Tsai, Michael:
1.  Use fuel capacity 17766 kg MTOW 67812 kg Weight Variant 
chrome-extension://efaidnbmnnnibpcajpcglclefindmkaj/https://www.boeing.com/resources/boeingdotcom/commercial/airports/acaps/md80.pdf
2.
https://skybrary.aero/aircraft/md82
3.
chrome-extension://efaidnbmnnnibpcajpcglclefindmkaj/https://rgl.faa.gov/Regulatory_and_Guidance_Library/rgMakeModel.nsf/0/e902a54c589cfaca862586b800631b4f/$FILE/E9NE%20Rev%2012.pdf
4.
5. 
</t>
        </r>
      </text>
    </comment>
    <comment ref="G2" authorId="0" shapeId="0" xr:uid="{890EFFCD-48F9-4128-A7BA-8884AC6AFE8B}">
      <text>
        <r>
          <rPr>
            <sz val="11"/>
            <color theme="1"/>
            <rFont val="Calibri"/>
            <family val="2"/>
            <scheme val="minor"/>
          </rPr>
          <t xml:space="preserve">Tsai, Michael:
1.  Use fuel capacity 21216 kg MTOW 72575 kg Weight Variant 
chrome-extension://efaidnbmnnnibpcajpcglclefindmkaj/https://www.boeing.com/resources/boeingdotcom/commercial/airports/acaps/md80.pdf
2.
https://skybrary.aero/aircraft/md83
3.
chrome-extension://efaidnbmnnnibpcajpcglclefindmkaj/https://rgl.faa.gov/Regulatory_and_Guidance_Library/rgMakeModel.nsf/0/e902a54c589cfaca862586b800631b4f/$FILE/E9NE%20Rev%2012.pdf
4.
chrome-extension://efaidnbmnnnibpcajpcglclefindmkaj/https://usermanual.wiki/buckets/114020/2058891157/md80_aom_v2_rev_16_03___full_manual_2b858d41-259e-4d2a-89a2-df9cfc7ddc4e.pdf
5. 
</t>
        </r>
      </text>
    </comment>
    <comment ref="H2" authorId="0" shapeId="0" xr:uid="{61DD5322-5376-433C-B55C-51B92B91FC82}">
      <text>
        <r>
          <rPr>
            <sz val="11"/>
            <color theme="1"/>
            <rFont val="Calibri"/>
            <family val="2"/>
            <scheme val="minor"/>
          </rPr>
          <t xml:space="preserve">Tsai, Michael:
1.  Use fuel capacity 17764 kg MTOW 63503 kg Weight Variant 
chrome-extension://efaidnbmnnnibpcajpcglclefindmkaj/https://www.boeing.com/resources/boeingdotcom/commercial/airports/acaps/md80.pdf
2.
https://skybrary.aero/aircraft/md87
3.
chrome-extension://efaidnbmnnnibpcajpcglclefindmkaj/https://rgl.faa.gov/Regulatory_and_Guidance_Library/rgMakeModel.nsf/0/e902a54c589cfaca862586b800631b4f/$FILE/E9NE%20Rev%2012.pdf
4.
5. 
</t>
        </r>
      </text>
    </comment>
    <comment ref="I2" authorId="0" shapeId="0" xr:uid="{97E6E2BC-8183-4161-BCDE-6F65134E3A53}">
      <text>
        <r>
          <rPr>
            <sz val="11"/>
            <color theme="1"/>
            <rFont val="Calibri"/>
            <family val="2"/>
            <scheme val="minor"/>
          </rPr>
          <t xml:space="preserve">Tsai, Michael:
1.  Use fuel capacity 21213 kg MTOW 67812 kg Weight Variant 
chrome-extension://efaidnbmnnnibpcajpcglclefindmkaj/https://www.boeing.com/resources/boeingdotcom/commercial/airports/acaps/md80.pdf
2.
https://skybrary.aero/aircraft/md87
3.
chrome-extension://efaidnbmnnnibpcajpcglclefindmkaj/https://rgl.faa.gov/Regulatory_and_Guidance_Library/rgMakeModel.nsf/0/e902a54c589cfaca862586b800631b4f/$FILE/E9NE%20Rev%2012.pdf
4.
5. 
</t>
        </r>
      </text>
    </comment>
    <comment ref="J2" authorId="0" shapeId="0" xr:uid="{C8B69F4D-DE52-4B43-802B-47B65CDA3D32}">
      <text>
        <r>
          <rPr>
            <sz val="11"/>
            <color theme="1"/>
            <rFont val="Calibri"/>
            <family val="2"/>
            <scheme val="minor"/>
          </rPr>
          <t xml:space="preserve">Tsai, Michael:
1.  Use fuel capacity 11223 kg MTOW 41141 kg Weight Variant 
chrome-extension://efaidnbmnnnibpcajpcglclefindmkaj/https://www.boeing.com/resources/boeingdotcom/commercial/airports/acaps/dc9.pdf
2.
https://modernairliners.com/douglas-dc-9/
3.
https://skybrary.aero/aircraft/dc91
4.
chrome-extension://efaidnbmnnnibpcajpcglclefindmkaj/https://rgl.faa.gov/Regulatory_and_Guidance_Library/rgMakeModel.nsf/0/d63b4dd4434fdace862586b80050164d/$FILE/E2EA.pdf
5. 
https://customer.janes.com/Janes/Display/JAU_1428-JAU_
6.
https://customer.janes.com/Janes/Display/JAE_0746-JAE_
</t>
        </r>
      </text>
    </comment>
    <comment ref="K2" authorId="0" shapeId="0" xr:uid="{CDD378AA-A2DC-42C9-9ECA-13330206376E}">
      <text>
        <r>
          <rPr>
            <sz val="11"/>
            <color theme="1"/>
            <rFont val="Calibri"/>
            <family val="2"/>
            <scheme val="minor"/>
          </rPr>
          <t xml:space="preserve">Tsai, Michael:
1.  Use fuel capacity 11181 kg MTOW 45359 kg Weight Variant 
chrome-extension://efaidnbmnnnibpcajpcglclefindmkaj/https://www.boeing.com/resources/boeingdotcom/commercial/airports/acaps/dc9.pdf
2.
https://modernairliners.com/douglas-dc-9/
3.
https://skybrary.aero/aircraft/dc92
4.
chrome-extension://efaidnbmnnnibpcajpcglclefindmkaj/https://rgl.faa.gov/Regulatory_and_Guidance_Library/rgMakeModel.nsf/0/d63b4dd4434fdace862586b80050164d/$FILE/E2EA.pdf
5. 
</t>
        </r>
      </text>
    </comment>
    <comment ref="L2" authorId="0" shapeId="0" xr:uid="{6D6C56C9-D27E-4F66-8334-13E589B8525A}">
      <text>
        <r>
          <rPr>
            <sz val="11"/>
            <color theme="1"/>
            <rFont val="Calibri"/>
            <family val="2"/>
            <scheme val="minor"/>
          </rPr>
          <t xml:space="preserve">Tsai, Michael:
1.  Use fuel capacity 11181 kg MTOW 48988 kg Weight Variant 
chrome-extension://efaidnbmnnnibpcajpcglclefindmkaj/https://www.boeing.com/resources/boeingdotcom/commercial/airports/acaps/dc9.pdf
2.
https://modernairliners.com/douglas-dc-9/
3.
https://skybrary.aero/aircraft/dc93
4.
chrome-extension://efaidnbmnnnibpcajpcglclefindmkaj/https://rgl.faa.gov/Regulatory_and_Guidance_Library/rgMakeModel.nsf/0/d63b4dd4434fdace862586b80050164d/$FILE/E2EA.pdf
5. 
</t>
        </r>
      </text>
    </comment>
    <comment ref="M2" authorId="0" shapeId="0" xr:uid="{26752CE2-DF6C-41E6-958C-71E5ED01BE55}">
      <text>
        <r>
          <rPr>
            <sz val="11"/>
            <color theme="1"/>
            <rFont val="Calibri"/>
            <family val="2"/>
            <scheme val="minor"/>
          </rPr>
          <t xml:space="preserve">Tsai, Michael:
1.  Use fuel capacity 11181 kg MTOW 51710 kg Weight Variant 
chrome-extension://efaidnbmnnnibpcajpcglclefindmkaj/https://www.boeing.com/resources/boeingdotcom/commercial/airports/acaps/dc9.pdf
2.
https://modernairliners.com/douglas-dc-9/
3.
https://skybrary.aero/aircraft/dc94
4.
chrome-extension://efaidnbmnnnibpcajpcglclefindmkaj/https://rgl.faa.gov/Regulatory_and_Guidance_Library/rgMakeModel.nsf/0/d63b4dd4434fdace862586b80050164d/$FILE/E2EA.pdf
5. 
</t>
        </r>
      </text>
    </comment>
    <comment ref="N2" authorId="0" shapeId="0" xr:uid="{15390CDB-2961-42D5-9B78-D58E13889511}">
      <text>
        <r>
          <rPr>
            <sz val="11"/>
            <color theme="1"/>
            <rFont val="Calibri"/>
            <family val="2"/>
            <scheme val="minor"/>
          </rPr>
          <t xml:space="preserve">Tsai, Michael:
1.  Use fuel capacity 11181 kg MTOW 54885 kg Weight Variant 
chrome-extension://efaidnbmnnnibpcajpcglclefindmkaj/https://www.boeing.com/resources/boeingdotcom/commercial/airports/acaps/dc9.pdf
2.
https://modernairliners.com/douglas-dc-9/
3.
https://skybrary.aero/aircraft/dc95
4.
chrome-extension://efaidnbmnnnibpcajpcglclefindmkaj/https://rgl.faa.gov/Regulatory_and_Guidance_Library/rgMakeModel.nsf/0/d63b4dd4434fdace862586b80050164d/$FILE/E2EA.pdf
5. 
</t>
        </r>
      </text>
    </comment>
    <comment ref="O2" authorId="0" shapeId="0" xr:uid="{2F38C5BE-2150-4C32-8E89-56525DF767AE}">
      <text>
        <r>
          <rPr>
            <sz val="11"/>
            <color theme="1"/>
            <rFont val="Calibri"/>
            <family val="2"/>
            <scheme val="minor"/>
          </rPr>
          <t xml:space="preserve">Tsai, Michael:
1.  Use fuel capacity 53,183.94 kg MTOW 123800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chrome-extension://efaidnbmnnnibpcajpcglclefindmkaj/https://rgl.faa.gov/Regulatory_and_Guidance_Library/rgMakeModel.nsf/0/14218f17e8459a128525670d0061ae8d/$FILE/E-290.pdf
5. 
https://customer.janes.com/Janes/Display/JAU_1426-JAU_
6. 
</t>
        </r>
      </text>
    </comment>
    <comment ref="P2" authorId="0" shapeId="0" xr:uid="{DC5D3089-4B1E-4B45-AE36-44E99D649E46}">
      <text>
        <r>
          <rPr>
            <sz val="11"/>
            <color theme="1"/>
            <rFont val="Calibri"/>
            <family val="2"/>
            <scheme val="minor"/>
          </rPr>
          <t>Tsai, Michael:
1.  Use fuel capacity 53,183.94 kg MTOW 125200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chrome-extension://efaidnbmnnnibpcajpcglclefindmkaj/https://rgl.faa.gov/Regulatory_and_Guidance_Library/rgMakeModel.nsf/0/14218f17e8459a128525670d0061ae8d/$FILE/E-290.pdf
5. 
https://customer.janes.com/Janes/Display/jae_0323-jae_
6.
https://customer.janes.com/Janes/Display/JAU_1426-JAU_</t>
        </r>
      </text>
    </comment>
    <comment ref="Q2" authorId="0" shapeId="0" xr:uid="{FC145542-0F8E-4D10-A08F-E9F0ECECFBD7}">
      <text>
        <r>
          <rPr>
            <sz val="11"/>
            <color theme="1"/>
            <rFont val="Calibri"/>
            <family val="2"/>
            <scheme val="minor"/>
          </rPr>
          <t xml:space="preserve">Tsai, Michael:
1.  Use fuel capacity 53,183.94 kg MTOW 142884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chrome-extension://efaidnbmnnnibpcajpcglclefindmkaj/https://rgl.faa.gov/Regulatory_and_Guidance_Library/rgMakeModel.nsf/0/14218f17e8459a128525670d0061ae8d/$FILE/E-290.pdf
5. 
</t>
        </r>
      </text>
    </comment>
    <comment ref="R2" authorId="0" shapeId="0" xr:uid="{8DB30489-E8B3-445D-893F-7ECF3C87AC06}">
      <text>
        <r>
          <rPr>
            <sz val="11"/>
            <color theme="1"/>
            <rFont val="Calibri"/>
            <family val="2"/>
            <scheme val="minor"/>
          </rPr>
          <t xml:space="preserve">Tsai, Michael:
1.  Use fuel capacity 71093 kg MTOW 142884 kg Weight Variant 
chrome-extension://efaidnbmnnnibpcajpcglclefindmkaj/https://www.boeing.com/resources/boeingdotcom/commercial/airports/acaps/dc8.pdf
2.
https://modernairliners.com/douglas-dc8/
3.
https://manualzz.com/doc/6893004/-707-captain--flight-manual-part-iii-%E2%80%93-operations
4.
https://www.thisdayinaviation.com/tag/rolls-royce-conway-508/
5. 
https://www.enginehistory.org/members/Conway.php
</t>
        </r>
      </text>
    </comment>
    <comment ref="S2" authorId="0" shapeId="0" xr:uid="{1C0EB479-E3BE-4888-98A9-EBE233CFC33F}">
      <text>
        <r>
          <rPr>
            <sz val="11"/>
            <color theme="1"/>
            <rFont val="Calibri"/>
            <family val="2"/>
            <scheme val="minor"/>
          </rPr>
          <t xml:space="preserve">Tsai, Michael:
1.  Use fuel capacity 71,093 kg MTOW 147420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chrome-extension://efaidnbmnnnibpcajpcglclefindmkaj/https://rgl.faa.gov/Regulatory_and_Guidance_Library/rgMakeModel.nsf/0/4f009e533a182a5e8525670d0062cfc6/$FILE/1e8.pdf
5. 
https://skybrary.aero/aircraft/dc85
6. 
https://customer.janes.com/Janes/Display/JAE_0745-JAE_
</t>
        </r>
      </text>
    </comment>
    <comment ref="T2" authorId="0" shapeId="0" xr:uid="{818FD492-7971-4B48-960B-4AA844DDC63A}">
      <text>
        <r>
          <rPr>
            <sz val="11"/>
            <color theme="1"/>
            <rFont val="Calibri"/>
            <family val="2"/>
            <scheme val="minor"/>
          </rPr>
          <t xml:space="preserve">Tsai, Michael:
1.  Use fuel capacity 71,093 kg MTOW 147420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chrome-extension://efaidnbmnnnibpcajpcglclefindmkaj/https://rgl.faa.gov/Regulatory_and_Guidance_Library/rgMakeModel.nsf/0/4f009e533a182a5e8525670d0062cfc6/$FILE/1e8.pdf
5. 
https://skybrary.aero/aircraft/dc86
</t>
        </r>
      </text>
    </comment>
    <comment ref="U2" authorId="0" shapeId="0" xr:uid="{113FDEE6-E4A4-452B-8B0C-9FDDC9C68067}">
      <text>
        <r>
          <rPr>
            <sz val="11"/>
            <color theme="1"/>
            <rFont val="Calibri"/>
            <family val="2"/>
            <scheme val="minor"/>
          </rPr>
          <t xml:space="preserve">Tsai, Michael:
1.  Use fuel capacity 73,774 kg MTOW 158760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chrome-extension://efaidnbmnnnibpcajpcglclefindmkaj/https://rgl.faa.gov/Regulatory_and_Guidance_Library/rgMakeModel.nsf/0/4f009e533a182a5e8525670d0062cfc6/$FILE/1e8.pdf
5. 
https://skybrary.aero/aircraft/dc86
</t>
        </r>
      </text>
    </comment>
    <comment ref="V2" authorId="0" shapeId="0" xr:uid="{171D86CA-9B04-43E3-AEF4-A0B38F048A02}">
      <text>
        <r>
          <rPr>
            <sz val="11"/>
            <color theme="1"/>
            <rFont val="Calibri"/>
            <family val="2"/>
            <scheme val="minor"/>
          </rPr>
          <t xml:space="preserve">Tsai, Michael:
1.  Use fuel capacity kg MTOW 161028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chrome-extension://efaidnbmnnnibpcajpcglclefindmkaj/https://rgl.faa.gov/Regulatory_and_Guidance_Library/rgMakeModel.nsf/0/4f009e533a182a5e8525670d0062cfc6/$FILE/1e8.pdf
5. 
https://skybrary.aero/aircraft/dc86
</t>
        </r>
      </text>
    </comment>
    <comment ref="W2" authorId="0" shapeId="0" xr:uid="{DD7FD038-E640-48C4-B262-2F8EF7DC0AF2}">
      <text>
        <r>
          <rPr>
            <sz val="11"/>
            <color theme="1"/>
            <rFont val="Calibri"/>
            <family val="2"/>
            <scheme val="minor"/>
          </rPr>
          <t xml:space="preserve">Tsai, Michael:
1.  Use fuel capacity kg MTOW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chrome-extension://efaidnbmnnnibpcajpcglclefindmkaj/https://rgl.faa.gov/Regulatory_and_Guidance_Library/rgMakeModel.nsf/0/962114acaa05711c862587f300570fc1/$FILE/E21EU%20Revision%2013.pdf
5. 
https://skybrary.aero/aircraft/dc86
</t>
        </r>
      </text>
    </comment>
    <comment ref="X2" authorId="0" shapeId="0" xr:uid="{BE576207-C8BA-4A77-98BF-81AA3DE83C2B}">
      <text>
        <r>
          <rPr>
            <sz val="11"/>
            <color theme="1"/>
            <rFont val="Calibri"/>
            <family val="2"/>
            <scheme val="minor"/>
          </rPr>
          <t xml:space="preserve">Tsai, Michael:
1.  Use fuel capacity kg MTOW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chrome-extension://efaidnbmnnnibpcajpcglclefindmkaj/https://rgl.faa.gov/Regulatory_and_Guidance_Library/rgMakeModel.nsf/0/962114acaa05711c862587f300570fc1/$FILE/E21EU%20Revision%2013.pdf
5. 
https://skybrary.aero/aircraft/dc86
</t>
        </r>
      </text>
    </comment>
    <comment ref="Y2" authorId="0" shapeId="0" xr:uid="{585AD858-EAF6-4E1D-AF7A-C5F7D7411815}">
      <text>
        <r>
          <rPr>
            <sz val="11"/>
            <color theme="1"/>
            <rFont val="Calibri"/>
            <family val="2"/>
            <scheme val="minor"/>
          </rPr>
          <t xml:space="preserve">Tsai, Michael:
1.  Use fuel capacity kg MTOW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chrome-extension://efaidnbmnnnibpcajpcglclefindmkaj/https://rgl.faa.gov/Regulatory_and_Guidance_Library/rgMakeModel.nsf/0/962114acaa05711c862587f300570fc1/$FILE/E21EU%20Revision%2013.pdf
5. 
https://skybrary.aero/aircraft/dc86
</t>
        </r>
      </text>
    </comment>
    <comment ref="Z2" authorId="0" shapeId="0" xr:uid="{EDCD2593-1FD5-4775-9A61-64CCAD4D22B9}">
      <text>
        <r>
          <rPr>
            <sz val="11"/>
            <color theme="1"/>
            <rFont val="Calibri"/>
            <family val="2"/>
            <scheme val="minor"/>
          </rPr>
          <t xml:space="preserve">Tsai, Michael:
1.  Use fuel capacity 52,658.08 kg MTOW 117000 kg Weight Variant 
chrome-extension://efaidnbmnnnibpcajpcglclefindmkaj/https://www.boeing.com/resources/boeingdotcom/commercial/airports/acaps/707.pdf
2.
https://skybrary.aero/aircraft/b701
3.
https://modernairliners.com/boeing-707/
4.
chrome-extension://efaidnbmnnnibpcajpcglclefindmkaj/https://rgl.faa.gov/Regulatory_and_Guidance_Library/rgMakeModel.nsf/0/14218f17e8459a128525670d0061ae8d/$FILE/E-290.pdf
5. 
https://manualzz.com/doc/6893004/-707-captain--flight-manual-part-iii-%E2%80%93-operations
6.
https://customer.janes.com/Janes/Display/jau_1413-jau_
7. 
</t>
        </r>
      </text>
    </comment>
    <comment ref="AA2" authorId="0" shapeId="0" xr:uid="{09D20C13-1B75-45E0-97BD-DC1FF628B7A2}">
      <text>
        <r>
          <rPr>
            <sz val="11"/>
            <color theme="1"/>
            <rFont val="Calibri"/>
            <family val="2"/>
            <scheme val="minor"/>
          </rPr>
          <t xml:space="preserve">Tsai, Michael:
1.  Use fuel capacity 52,658.08 kg MTOW 117000 kg Weight Variant 
chrome-extension://efaidnbmnnnibpcajpcglclefindmkaj/https://www.boeing.com/resources/boeingdotcom/commercial/airports/acaps/707.pdf
2.
https://skybrary.aero/aircraft/b701
3.
https://modernairliners.com/boeing-707/
4.
chrome-extension://efaidnbmnnnibpcajpcglclefindmkaj/https://rgl.faa.gov/Regulatory_and_Guidance_Library/rgMakeModel.nsf/0/4f009e533a182a5e8525670d0062cfc6/$FILE/1e8.pdf
5. 
https://manualzz.com/doc/6893004/-707-captain--flight-manual-part-iii-%E2%80%93-operations
6.
http://www.all-aero.com/index.php/contactus/64-engines-power/13428-pratt-whitney-jt3d-tf33
</t>
        </r>
      </text>
    </comment>
    <comment ref="AB2" authorId="0" shapeId="0" xr:uid="{DEA0A4E6-F36D-4C8A-BE19-F5FCD2E16798}">
      <text>
        <r>
          <rPr>
            <sz val="11"/>
            <color theme="1"/>
            <rFont val="Calibri"/>
            <family val="2"/>
            <scheme val="minor"/>
          </rPr>
          <t xml:space="preserve">Tsai, Michael:
1.  Use fuel capacity 52,658.08 kg MTOW 117000 kg Weight Variant 
chrome-extension://efaidnbmnnnibpcajpcglclefindmkaj/https://www.boeing.com/resources/boeingdotcom/commercial/airports/acaps/707.pdf
2.
https://skybrary.aero/aircraft/b701
3.
https://modernairliners.com/boeing-707/
4.
chrome-extension://efaidnbmnnnibpcajpcglclefindmkaj/https://rgl.faa.gov/Regulatory_and_Guidance_Library/rgMakeModel.nsf/0/4f009e533a182a5e8525670d0062cfc6/$FILE/1e8.pdf
5. 
https://manualzz.com/doc/6893004/-707-captain--flight-manual-part-iii-%E2%80%93-operations
6. 
https://customer.janes.com/Janes/DisplayFile/JAU_1412
</t>
        </r>
      </text>
    </comment>
    <comment ref="AC2" authorId="0" shapeId="0" xr:uid="{C9CDECD3-CB5C-4A89-8975-C155FB5EF53C}">
      <text>
        <r>
          <rPr>
            <sz val="11"/>
            <color theme="1"/>
            <rFont val="Calibri"/>
            <family val="2"/>
            <scheme val="minor"/>
          </rPr>
          <t xml:space="preserve">Tsai, Michael:
1.  Use fuel capacity 72384 kg MTOW 141700 kg Weight Variant 
chrome-extension://efaidnbmnnnibpcajpcglclefindmkaj/https://www.boeing.com/resources/boeingdotcom/commercial/airports/acaps/707.pdf
2.
https://skybrary.aero/aircraft/b703
3.
https://modernairliners.com/boeing-707/
4.
chrome-extension://efaidnbmnnnibpcajpcglclefindmkaj/https://rgl.faa.gov/Regulatory_and_Guidance_Library/rgMakeModel.nsf/0/9b73f02385ceaed28525670d0061c80e/$FILE/E-291.pdf
5. 
https://manualzz.com/doc/6893004/-707-captain--flight-manual-part-iii-%E2%80%93-operations
</t>
        </r>
      </text>
    </comment>
    <comment ref="AD2" authorId="0" shapeId="0" xr:uid="{53ADED59-DE80-4B97-9C02-6DA3BD65D074}">
      <text>
        <r>
          <rPr>
            <sz val="11"/>
            <color theme="1"/>
            <rFont val="Calibri"/>
            <family val="2"/>
            <scheme val="minor"/>
          </rPr>
          <t xml:space="preserve">Tsai, Michael:
1.  Use fuel capacity 72384 kg MTOW 141700 kg Weight Variant 
chrome-extension://efaidnbmnnnibpcajpcglclefindmkaj/https://www.boeing.com/resources/boeingdotcom/commercial/airports/acaps/707.pdf
2.
https://skybrary.aero/aircraft/b703
3.
https://modernairliners.com/boeing-707/
4.
https://www.thisdayinaviation.com/tag/rolls-royce-conway-508/
5. 
https://manualzz.com/doc/6893004/-707-captain--flight-manual-part-iii-%E2%80%93-operations
</t>
        </r>
      </text>
    </comment>
    <comment ref="AE2" authorId="0" shapeId="0" xr:uid="{B7B5E98F-AD60-47F9-82D2-0FBDD91FAA4C}">
      <text>
        <r>
          <rPr>
            <sz val="11"/>
            <color theme="1"/>
            <rFont val="Calibri"/>
            <family val="2"/>
            <scheme val="minor"/>
          </rPr>
          <t xml:space="preserve">Tsai, Michael:
1.  Use fuel capacity  72,488.16 kg MTOW 148500 kg Weight Variant 
chrome-extension://efaidnbmnnnibpcajpcglclefindmkaj/https://www.boeing.com/resources/boeingdotcom/commercial/airports/acaps/707.pdf
2.
https://skybrary.aero/aircraft/b703
3.
https://modernairliners.com/boeing-707/
4.
chrome-extension://efaidnbmnnnibpcajpcglclefindmkaj/https://rgl.faa.gov/Regulatory_and_Guidance_Library/rgMakeModel.nsf/0/4f009e533a182a5e8525670d0062cfc6/$FILE/1e8.pdf
5. 
https://manualzz.com/doc/6893004/-707-captain--flight-manual-part-iii-%E2%80%93-operations
</t>
        </r>
      </text>
    </comment>
    <comment ref="AF2" authorId="0" shapeId="0" xr:uid="{4F160B81-DFD5-4E7A-A0F1-BB604BA247B9}">
      <text>
        <r>
          <rPr>
            <sz val="11"/>
            <color theme="1"/>
            <rFont val="Calibri"/>
            <family val="2"/>
            <scheme val="minor"/>
          </rPr>
          <t xml:space="preserve">Tsai, Michael:
1.  Use fuel capacity kg MTOW kg Weight Variant 
chrome-extension://efaidnbmnnnibpcajpcglclefindmkaj/https://www.boeing.com/resources/boeingdotcom/commercial/airports/acaps/707.pdf
2.
https://skybrary.aero/aircraft/b703
3.
https://modernairliners.com/boeing-707/
4.
chrome-extension://efaidnbmnnnibpcajpcglclefindmkaj/https://rgl.faa.gov/Regulatory_and_Guidance_Library/rgMakeModel.nsf/0/4f009e533a182a5e8525670d0062cfc6/$FILE/1e8.pdf
5. 
https://manualzz.com/doc/6893004/-707-captain--flight-manual-part-iii-%E2%80%93-operations
6.
https://aircraft-database.com/database/engine-models/jt3d-7
7.
chrome-extension://efaidnbmnnnibpcajpcglclefindmkaj/https://link.springer.com/content/pdf/bbm:978-1-4614-3532-7/1.pdf
</t>
        </r>
      </text>
    </comment>
    <comment ref="AG2" authorId="0" shapeId="0" xr:uid="{792B2E97-A8D7-469A-97A7-D75A3A644C4A}">
      <text>
        <r>
          <rPr>
            <sz val="11"/>
            <color theme="1"/>
            <rFont val="Calibri"/>
            <family val="2"/>
            <scheme val="minor"/>
          </rPr>
          <t xml:space="preserve">Tsai, Michael:
1.  Use fuel capacity 11163 kg MTOW 53524 kg Weight Variant 
chrome-extension://efaidnbmnnnibpcajpcglclefindmkaj/https://www.boeing.com/resources/boeingdotcom/commercial/airports/acaps/717.pdf
2.
https://skybrary.aero/aircraft/b712
3.
https://modernairliners.com/boeing-717-and-boeing-717-specs/
4.
chrome-extension://efaidnbmnnnibpcajpcglclefindmkaj/https://rgl.faa.gov/Regulatory_and_Guidance_Library/rgMakeModel.nsf/0/96de5f9c8d8dc161862572a60049bc9b/$FILE/E00061EN.pdf
5. 
</t>
        </r>
      </text>
    </comment>
    <comment ref="AH2" authorId="0" shapeId="0" xr:uid="{FCC58BA0-51FD-4F49-911D-F472B1A6E67F}">
      <text>
        <r>
          <rPr>
            <sz val="11"/>
            <color theme="1"/>
            <rFont val="Calibri"/>
            <family val="2"/>
            <scheme val="minor"/>
          </rPr>
          <t xml:space="preserve">Tsai, Michael:
1.  Use fuel capacity 13382 kg MTOW 54884 kg Weight Variant 
chrome-extension://efaidnbmnnnibpcajpcglclefindmkaj/https://www.boeing.com/resources/boeingdotcom/commercial/airports/acaps/717.pdf
2.
https://skybrary.aero/aircraft/b712
3.
https://modernairliners.com/boeing-717-and-boeing-717-specs/
4.
chrome-extension://efaidnbmnnnibpcajpcglclefindmkaj/https://rgl.faa.gov/Regulatory_and_Guidance_Library/rgMakeModel.nsf/0/96de5f9c8d8dc161862572a60049bc9b/$FILE/E00061EN.pdf
5. 
</t>
        </r>
      </text>
    </comment>
    <comment ref="AI2" authorId="0" shapeId="0" xr:uid="{E3228793-57DF-45A5-B78C-E081929886CF}">
      <text>
        <r>
          <rPr>
            <sz val="11"/>
            <color theme="1"/>
            <rFont val="Calibri"/>
            <family val="2"/>
            <scheme val="minor"/>
          </rPr>
          <t xml:space="preserve">Tsai, Michael:
1.  Use fuel capacity 23360 kg MTOW 72600 kg Weight Variant 
chrome-extension://efaidnbmnnnibpcajpcglclefindmkaj/https://www.boeing.com/resources/boeingdotcom/commercial/airports/acaps/727.pdf
2.
https://skybrary.aero/aircraft/b721
3.
https://modernairliners.com/boeing-727-and-boeing-727-specs/
4.
chrome-extension://efaidnbmnnnibpcajpcglclefindmkaj/https://rgl.faa.gov/Regulatory_and_Guidance_Library/rgMakeModel.nsf/0/d63b4dd4434fdace862586b80050164d/$FILE/E2EA.pdf
5. (Takeoff Reference)
https://www.boeing-727.com/Data/fly%20odds/thumb.html
</t>
        </r>
      </text>
    </comment>
    <comment ref="AJ2" authorId="0" shapeId="0" xr:uid="{75FCB3A3-B8AB-4F14-8DB7-5ED8EBA57791}">
      <text>
        <r>
          <rPr>
            <sz val="11"/>
            <color theme="1"/>
            <rFont val="Calibri"/>
            <family val="2"/>
            <scheme val="minor"/>
          </rPr>
          <t xml:space="preserve">Tsai, Michael:
1.  Use fuel capacity 23360 kg MTOW 76700 kg Weight Variant 
chrome-extension://efaidnbmnnnibpcajpcglclefindmkaj/https://www.boeing.com/resources/boeingdotcom/commercial/airports/acaps/727.pdf
2.
https://skybrary.aero/aircraft/b721
3.
https://modernairliners.com/boeing-727-and-boeing-727-specs/
4.
chrome-extension://efaidnbmnnnibpcajpcglclefindmkaj/https://rgl.faa.gov/Regulatory_and_Guidance_Library/rgMakeModel.nsf/0/d63b4dd4434fdace862586b80050164d/$FILE/E2EA.pdf
</t>
        </r>
      </text>
    </comment>
    <comment ref="AK2" authorId="0" shapeId="0" xr:uid="{94A1E172-B1D8-4F03-8807-4DFF0D7B9104}">
      <text>
        <r>
          <rPr>
            <sz val="11"/>
            <color theme="1"/>
            <rFont val="Calibri"/>
            <family val="2"/>
            <scheme val="minor"/>
          </rPr>
          <t xml:space="preserve">Tsai, Michael:
1.  Use fuel capacity 23360 kg MTOW 72600 kg Weight Variant 
chrome-extension://efaidnbmnnnibpcajpcglclefindmkaj/https://www.boeing.com/resources/boeingdotcom/commercial/airports/acaps/727.pdf
2.
https://skybrary.aero/aircraft/b721
3.
https://modernairliners.com/boeing-727-and-boeing-727-specs/
4.
chrome-extension://efaidnbmnnnibpcajpcglclefindmkaj/https://rgl.faa.gov/Regulatory_and_Guidance_Library/rgMakeModel.nsf/0/d63b4dd4434fdace862586b80050164d/$FILE/E2EA.pdf
</t>
        </r>
      </text>
    </comment>
    <comment ref="AL2" authorId="0" shapeId="0" xr:uid="{53B0927E-FACF-47B1-8574-C38F3090C332}">
      <text>
        <r>
          <rPr>
            <sz val="11"/>
            <color theme="1"/>
            <rFont val="Calibri"/>
            <family val="2"/>
            <scheme val="minor"/>
          </rPr>
          <t xml:space="preserve">Tsai, Michael:
1.  Use fuel capacity 23360 kg MTOW 76700 kg Weight Variant 
chrome-extension://efaidnbmnnnibpcajpcglclefindmkaj/https://www.boeing.com/resources/boeingdotcom/commercial/airports/acaps/727.pdf
2.
https://skybrary.aero/aircraft/b721
3.
https://modernairliners.com/boeing-727-and-boeing-727-specs/
4.
chrome-extension://efaidnbmnnnibpcajpcglclefindmkaj/https://rgl.faa.gov/Regulatory_and_Guidance_Library/rgMakeModel.nsf/0/d63b4dd4434fdace862586b80050164d/$FILE/E2EA.pdf
</t>
        </r>
      </text>
    </comment>
    <comment ref="AM2" authorId="0" shapeId="0" xr:uid="{12D5A281-1D27-4574-B400-E638E992CD12}">
      <text>
        <r>
          <rPr>
            <sz val="11"/>
            <color theme="1"/>
            <rFont val="Calibri"/>
            <family val="2"/>
            <scheme val="minor"/>
          </rPr>
          <t xml:space="preserve">Tsai, Michael:
1.  Use fuel capacity 24600 kg MTOW 78100 kg Weight Variant 
chrome-extension://efaidnbmnnnibpcajpcglclefindmkaj/https://www.boeing.com/resources/boeingdotcom/commercial/airports/acaps/727.pdf
2.
https://skybrary.aero/aircraft/b722
3.
https://modernairliners.com/boeing-727-and-boeing-727-specs/
4.
chrome-extension://efaidnbmnnnibpcajpcglclefindmkaj/https://rgl.faa.gov/Regulatory_and_Guidance_Library/rgMakeModel.nsf/0/d63b4dd4434fdace862586b80050164d/$FILE/E2EA.pdf
</t>
        </r>
      </text>
    </comment>
    <comment ref="AN2" authorId="0" shapeId="0" xr:uid="{7A278D0C-3785-49A2-9EF5-2ACC97E69CA1}">
      <text>
        <r>
          <rPr>
            <sz val="11"/>
            <color theme="1"/>
            <rFont val="Calibri"/>
            <family val="2"/>
            <scheme val="minor"/>
          </rPr>
          <t xml:space="preserve">Tsai, Michael:
1.  Use fuel capacity 24600 kg MTOW 83900 kg Weight Variant 
chrome-extension://efaidnbmnnnibpcajpcglclefindmkaj/https://www.boeing.com/resources/boeingdotcom/commercial/airports/acaps/727.pdf
2.
https://skybrary.aero/aircraft/b722
3.
https://modernairliners.com/boeing-727-and-boeing-727-specs/
4.
chrome-extension://efaidnbmnnnibpcajpcglclefindmkaj/https://rgl.faa.gov/Regulatory_and_Guidance_Library/rgMakeModel.nsf/0/d63b4dd4434fdace862586b80050164d/$FILE/E2EA.pdf
</t>
        </r>
      </text>
    </comment>
    <comment ref="AO2" authorId="0" shapeId="0" xr:uid="{B3205568-15D5-4166-997E-4CB3AC7EBC9D}">
      <text>
        <r>
          <rPr>
            <sz val="11"/>
            <color theme="1"/>
            <rFont val="Calibri"/>
            <family val="2"/>
            <scheme val="minor"/>
          </rPr>
          <t xml:space="preserve">Tsai, Michael:
1.  Use fuel capacity 27105 kg MTOW 86500 kg Weight Variant 
chrome-extension://efaidnbmnnnibpcajpcglclefindmkaj/https://www.boeing.com/resources/boeingdotcom/commercial/airports/acaps/727.pdf
2.
https://skybrary.aero/aircraft/b722
3.
https://modernairliners.com/boeing-727-and-boeing-727-specs/
4.
chrome-extension://efaidnbmnnnibpcajpcglclefindmkaj/https://rgl.faa.gov/Regulatory_and_Guidance_Library/rgMakeModel.nsf/0/d63b4dd4434fdace862586b80050164d/$FILE/E2EA.pdf
</t>
        </r>
      </text>
    </comment>
    <comment ref="AP2" authorId="0" shapeId="0" xr:uid="{D31E51B6-6867-43E4-84DD-61AADE43661E}">
      <text>
        <r>
          <rPr>
            <sz val="11"/>
            <color theme="1"/>
            <rFont val="Calibri"/>
            <family val="2"/>
            <scheme val="minor"/>
          </rPr>
          <t xml:space="preserve">Tsai, Michael:
1.  Use fuel capacity 32165 kg MTOW 95300 kg Weight Variant 
chrome-extension://efaidnbmnnnibpcajpcglclefindmkaj/https://www.boeing.com/resources/boeingdotcom/commercial/airports/acaps/727.pdf
2.
https://skybrary.aero/aircraft/b722
3.
https://modernairliners.com/boeing-727-and-boeing-727-specs/
4.
chrome-extension://efaidnbmnnnibpcajpcglclefindmkaj/https://rgl.faa.gov/Regulatory_and_Guidance_Library/rgMakeModel.nsf/0/d63b4dd4434fdace862586b80050164d/$FILE/E2EA.pdf
</t>
        </r>
      </text>
    </comment>
    <comment ref="AQ2" authorId="0" shapeId="0" xr:uid="{096FBF54-640A-4484-8C34-CB562A7BB006}">
      <text>
        <r>
          <rPr>
            <sz val="11"/>
            <color theme="1"/>
            <rFont val="Calibri"/>
            <family val="2"/>
            <scheme val="minor"/>
          </rPr>
          <t xml:space="preserve">Tsai, Michael:
1. Use middle Weight Variant (USABLE FUEL: 13399 L)
chrome-extension://efaidnbmnnnibpcajpcglclefindmkaj/https://www.boeing.com/resources/boeingdotcom/commercial/airports/acaps/737NG_REV%20C.pdf
2. 
https://skybrary.aero/aircraft/b731
3.
http://www.b737.org.uk/techspecsdetailed.htm
4. 
chrome-extension://efaidnbmnnnibpcajpcglclefindmkaj/https://rgl.faa.gov/Regulatory_and_Guidance_Library/rgMakeModel.nsf/0/a53bc308954e167e862579a500782155/$FILE/A16WE%20Rev%2050.pdf
</t>
        </r>
      </text>
    </comment>
    <comment ref="AR2" authorId="0" shapeId="0" xr:uid="{5F91C011-75B6-4F27-BE20-664F587C0F6B}">
      <text>
        <r>
          <rPr>
            <sz val="11"/>
            <color theme="1"/>
            <rFont val="Calibri"/>
            <family val="2"/>
            <scheme val="minor"/>
          </rPr>
          <t xml:space="preserve">Tsai, Michael:
1. Use middle-right Weight Variant (USABLE FUEL: 18090 L)
chrome-extension://efaidnbmnnnibpcajpcglclefindmkaj/https://www.boeing.com/resources/boeingdotcom/commercial/airports/acaps/737NG_REV%20C.pdf
2. 
https://skybrary.aero/aircraft/b732
3.
http://www.b737.org.uk/techspecsdetailed.htm
4. 
chrome-extension://efaidnbmnnnibpcajpcglclefindmkaj/https://rgl.faa.gov/Regulatory_and_Guidance_Library/rgMakeModel.nsf/0/a53bc308954e167e862579a500782155/$FILE/A16WE%20Rev%2050.pdf
5.
https://customer.janes.com/Janes/Display/JAWA1202-JAWA
</t>
        </r>
      </text>
    </comment>
    <comment ref="AS2" authorId="0" shapeId="0" xr:uid="{592F88D2-71AE-4893-A680-1F87FEB1F5E9}">
      <text>
        <r>
          <rPr>
            <sz val="11"/>
            <color theme="1"/>
            <rFont val="Calibri"/>
            <family val="2"/>
            <scheme val="minor"/>
          </rPr>
          <t xml:space="preserve">Tsai, Michael:
1. Use middle-right Weight Variant (USABLE FUEL: 18090 L)
chrome-extension://efaidnbmnnnibpcajpcglclefindmkaj/https://www.boeing.com/resources/boeingdotcom/commercial/airports/acaps/737NG_REV%20C.pdf
2. 
https://skybrary.aero/aircraft/b732
3.
http://www.b737.org.uk/techspecsdetailed.htm
4. 
chrome-extension://efaidnbmnnnibpcajpcglclefindmkaj/https://rgl.faa.gov/Regulatory_and_Guidance_Library/rgMakeModel.nsf/0/a53bc308954e167e862579a500782155/$FILE/A16WE%20Rev%2050.pdf
</t>
        </r>
      </text>
    </comment>
    <comment ref="AT2" authorId="0" shapeId="0" xr:uid="{05406363-DB58-40F2-8FF4-6AA9CBD86CF3}">
      <text>
        <r>
          <rPr>
            <sz val="11"/>
            <color theme="1"/>
            <rFont val="Calibri"/>
            <family val="2"/>
            <scheme val="minor"/>
          </rPr>
          <t xml:space="preserve">1. Use 19530 L Variant (First from left weight variant) 
chrome-extension://efaidnbmnnnibpcajpcglclefindmkaj/https://www.boeing.com/resources/boeingdotcom/commercial/airports/acaps/737NG_REV%20C.pdf
2. 
https://skybrary.aero/aircraft/b731
</t>
        </r>
      </text>
    </comment>
    <comment ref="AU2" authorId="0" shapeId="0" xr:uid="{2D51F31B-D89D-4FBE-82A6-5639E226C4C6}">
      <text>
        <r>
          <rPr>
            <sz val="11"/>
            <color theme="1"/>
            <rFont val="Calibri"/>
            <family val="2"/>
            <scheme val="minor"/>
          </rPr>
          <t xml:space="preserve">1. Use 19530 L Variant (second from left weight variant) 
chrome-extension://efaidnbmnnnibpcajpcglclefindmkaj/https://www.boeing.com/resources/boeingdotcom/commercial/airports/acaps/737NG_REV%20C.pdf
2. 
https://skybrary.aero/aircraft/b731
</t>
        </r>
      </text>
    </comment>
    <comment ref="AV2" authorId="0" shapeId="0" xr:uid="{465849D9-D62A-4769-A386-CB1C43FF602E}">
      <text>
        <r>
          <rPr>
            <sz val="11"/>
            <color theme="1"/>
            <rFont val="Calibri"/>
            <family val="2"/>
            <scheme val="minor"/>
          </rPr>
          <t xml:space="preserve">1. Use 21000 L Variant 
chrome-extension://efaidnbmnnnibpcajpcglclefindmkaj/https://www.boeing.com/resources/boeingdotcom/commercial/airports/acaps/737NG_REV%20C.pdf
2. 
https://skybrary.aero/aircraft/b731
</t>
        </r>
      </text>
    </comment>
    <comment ref="AW2" authorId="0" shapeId="0" xr:uid="{6AE66FFE-9F74-489C-A65D-CDCACCE1492C}">
      <text>
        <r>
          <rPr>
            <sz val="11"/>
            <color theme="1"/>
            <rFont val="Calibri"/>
            <family val="2"/>
            <scheme val="minor"/>
          </rPr>
          <t xml:space="preserve">1. Use Fuel Capacity 22600 L Variant 
chrome-extension://efaidnbmnnnibpcajpcglclefindmkaj/https://www.boeing.com/resources/boeingdotcom/commercial/airports/acaps/737NG_REV%20C.pdf
2. 
https://skybrary.aero/aircraft/b731
</t>
        </r>
      </text>
    </comment>
    <comment ref="AX2" authorId="0" shapeId="0" xr:uid="{19741005-EC1A-4D08-8FBA-11E74482F587}">
      <text>
        <r>
          <rPr>
            <sz val="11"/>
            <color theme="1"/>
            <rFont val="Calibri"/>
            <family val="2"/>
            <scheme val="minor"/>
          </rPr>
          <t xml:space="preserve">Tsai, Michael:
1. Use Fuel Capacity 19530 L most right weight variant  
chrome-extension://efaidnbmnnnibpcajpcglclefindmkaj/https://www.boeing.com/resources/boeingdotcom/commercial/airports/acaps/737NG_REV%20C.pdf
2. 
</t>
        </r>
      </text>
    </comment>
    <comment ref="AY2" authorId="0" shapeId="0" xr:uid="{30C0B62A-C0DA-499F-937B-B8BA33A9196B}">
      <text>
        <r>
          <rPr>
            <sz val="11"/>
            <color theme="1"/>
            <rFont val="Calibri"/>
            <family val="2"/>
            <scheme val="minor"/>
          </rPr>
          <t xml:space="preserve">Tsai, Michael:
1. Use Fuel Capacity 19530 L most right weight variant  
chrome-extension://efaidnbmnnnibpcajpcglclefindmkaj/https://www.boeing.com/resources/boeingdotcom/commercial/airports/acaps/737NG_REV%20C.pdf
2. 
</t>
        </r>
      </text>
    </comment>
    <comment ref="AZ2" authorId="0" shapeId="0" xr:uid="{FFA8FC9C-8DCB-4ACD-85F8-FF2A386FE895}">
      <text>
        <r>
          <rPr>
            <sz val="11"/>
            <color theme="1"/>
            <rFont val="Calibri"/>
            <family val="2"/>
            <scheme val="minor"/>
          </rPr>
          <t xml:space="preserve">Tsai, Michael:
1. Use Fuel Cap 20102 L weight variant  
chrome-extension://efaidnbmnnnibpcajpcglclefindmkaj/https://www.boeing.com/resources/boeingdotcom/commercial/airports/acaps/737NG_REV%20C.pdf
2. 
https://skybrary.aero/aircraft/b733
3. http://www.b737.org.uk/techspecsdetailed.htm
4. 
chrome-extension://efaidnbmnnnibpcajpcglclefindmkaj/https://www.easa.europa.eu/downloads/7691/en
5. 
chrome-extension://efaidnbmnnnibpcajpcglclefindmkaj/https://rgl.faa.gov/Regulatory_and_Guidance_Library/rgMakeModel.nsf/0/a53bc308954e167e862579a500782155/$FILE/A16WE%20Rev%2050.pdf
6.
https://customer.janes.com/Janes/Display/JAE_0631-JAE_
</t>
        </r>
      </text>
    </comment>
    <comment ref="BA2" authorId="0" shapeId="0" xr:uid="{2DA3BA29-DCBC-44DF-A5A3-D03F8A2576EC}">
      <text>
        <r>
          <rPr>
            <sz val="11"/>
            <color theme="1"/>
            <rFont val="Calibri"/>
            <family val="2"/>
            <scheme val="minor"/>
          </rPr>
          <t xml:space="preserve">Tsai, Michael:
1. Use Fuel Cap 21960 L weight variant  
chrome-extension://efaidnbmnnnibpcajpcglclefindmkaj/https://www.boeing.com/resources/boeingdotcom/commercial/airports/acaps/737NG_REV%20C.pdf
2. 
https://skybrary.aero/aircraft/b733
3. http://www.b737.org.uk/techspecsdetailed.htm
4. 
chrome-extension://efaidnbmnnnibpcajpcglclefindmkaj/https://www.easa.europa.eu/downloads/7691/en
5. 
chrome-extension://efaidnbmnnnibpcajpcglclefindmkaj/https://rgl.faa.gov/Regulatory_and_Guidance_Library/rgMakeModel.nsf/0/a53bc308954e167e862579a500782155/$FILE/A16WE%20Rev%2050.pdf
</t>
        </r>
      </text>
    </comment>
    <comment ref="BB2" authorId="0" shapeId="0" xr:uid="{697E99A5-CBA9-4E28-A7FC-6BFA09E2BBBD}">
      <text>
        <r>
          <rPr>
            <sz val="11"/>
            <color theme="1"/>
            <rFont val="Calibri"/>
            <family val="2"/>
            <scheme val="minor"/>
          </rPr>
          <t xml:space="preserve">Tsai, Michael:
1. Use Fuel Cap 20102 L Left most Weight Variant 
chrome-extension://efaidnbmnnnibpcajpcglclefindmkaj/https://www.boeing.com/resources/boeingdotcom/commercial/airports/acaps/737NG_REV%20C.pdf
2. 
https://skybrary.aero/aircraft/b734
3. 
chrome-extension://efaidnbmnnnibpcajpcglclefindmkaj/https://rgl.faa.gov/Regulatory_and_Guidance_Library/rgMakeModel.nsf/0/a53bc308954e167e862579a500782155/$FILE/A16WE%20Rev%2050.pdf
4. 
chrome-extension://efaidnbmnnnibpcajpcglclefindmkaj/https://www.easa.europa.eu/downloads/7691/en
</t>
        </r>
      </text>
    </comment>
    <comment ref="BC2" authorId="0" shapeId="0" xr:uid="{4A357E9F-7A4D-4980-A236-8419A78E8B93}">
      <text>
        <r>
          <rPr>
            <sz val="11"/>
            <color theme="1"/>
            <rFont val="Calibri"/>
            <family val="2"/>
            <scheme val="minor"/>
          </rPr>
          <t xml:space="preserve">Tsai, Michael:
1. Use Fuel Capacity 21960 L Weight Variant 
chrome-extension://efaidnbmnnnibpcajpcglclefindmkaj/https://www.boeing.com/resources/boeingdotcom/commercial/airports/acaps/737NG_REV%20C.pdf
2. 
https://skybrary.aero/aircraft/b734
3.
chrome-extension://efaidnbmnnnibpcajpcglclefindmkaj/https://rgl.faa.gov/Regulatory_and_Guidance_Library/rgMakeModel.nsf/0/a53bc308954e167e862579a500782155/$FILE/A16WE%20Rev%2050.pdf
4. 
chrome-extension://efaidnbmnnnibpcajpcglclefindmkaj/https://www.easa.europa.eu/downloads/7691/en
</t>
        </r>
      </text>
    </comment>
    <comment ref="BD2" authorId="0" shapeId="0" xr:uid="{318B8BE3-6A7A-4EB2-8A1B-EAC602894FDD}">
      <text>
        <r>
          <rPr>
            <sz val="11"/>
            <color theme="1"/>
            <rFont val="Calibri"/>
            <family val="2"/>
            <scheme val="minor"/>
          </rPr>
          <t xml:space="preserve">Tsai, Michael:
1. Use Fuel Capacity 20,102 L Weight Variant 
chrome-extension://efaidnbmnnnibpcajpcglclefindmkaj/https://www.boeing.com/resources/boeingdotcom/commercial/airports/acaps/737NG_REV%20C.pdf
2. 
https://skybrary.aero/aircraft/b735
3.
chrome-extension://efaidnbmnnnibpcajpcglclefindmkaj/https://rgl.faa.gov/Regulatory_and_Guidance_Library/rgMakeModel.nsf/0/a53bc308954e167e862579a500782155/$FILE/A16WE%20Rev%2050.pdf
4.
</t>
        </r>
      </text>
    </comment>
    <comment ref="BE2" authorId="0" shapeId="0" xr:uid="{4D51F318-6BDC-42B5-A6B4-1E4E954FF3EF}">
      <text>
        <r>
          <rPr>
            <sz val="11"/>
            <color theme="1"/>
            <rFont val="Calibri"/>
            <family val="2"/>
            <scheme val="minor"/>
          </rPr>
          <t xml:space="preserve">Tsai, Michael:
1. Use Fuel Capacity 26022L MTOW 56245 kg Weight Variant 
chrome-extension://efaidnbmnnnibpcajpcglclefindmkaj/https://www.boeing.com/resources/boeingdotcom/commercial/airports/acaps/737NG_REV%20C.pdf
2. 
https://skybrary.aero/aircraft/b736
3.
http://www.b737.org.uk/techspecsdetailed.htm
4.
https://modernairliners.com/boeing-737/boeing-737-specifications/
5.
chrome-extension://efaidnbmnnnibpcajpcglclefindmkaj/https://www.easa.europa.eu/downloads/7795/en
6.
chrome-extension://efaidnbmnnnibpcajpcglclefindmkaj/https://rgl.faa.gov/Regulatory_and_Guidance_Library/rgMakeModel.nsf/0/a53bc308954e167e862579a500782155/$FILE/A16WE%20Rev%2050.pdf
</t>
        </r>
      </text>
    </comment>
    <comment ref="BF2" authorId="0" shapeId="0" xr:uid="{1E3DCF25-FDF6-46E3-9A98-004305876138}">
      <text>
        <r>
          <rPr>
            <sz val="11"/>
            <color theme="1"/>
            <rFont val="Calibri"/>
            <family val="2"/>
            <scheme val="minor"/>
          </rPr>
          <t xml:space="preserve">Tsai, Michael:
1. Use Fuel Capacity 26022 L Max Weight Variant 
chrome-extension://efaidnbmnnnibpcajpcglclefindmkaj/https://www.boeing.com/resources/boeingdotcom/commercial/airports/acaps/737NG_REV%20C.pdf
2. 
https://skybrary.aero/aircraft/b731
3. 
chrome-extension://efaidnbmnnnibpcajpcglclefindmkaj/https://www.easa.europa.eu/downloads/7795/en
4. 
chrome-extension://efaidnbmnnnibpcajpcglclefindmkaj/https://rgl.faa.gov/Regulatory_and_Guidance_Library/rgMakeModel.nsf/0/a53bc308954e167e862579a500782155/$FILE/A16WE%20Rev%2050.pdf
5.
https://modernairliners.com/boeing-737/boeing-737-specifications/
</t>
        </r>
      </text>
    </comment>
    <comment ref="BG2" authorId="0" shapeId="0" xr:uid="{C8BDCEB6-55B8-4973-AECA-F2F0BCD1BEB2}">
      <text>
        <r>
          <rPr>
            <sz val="11"/>
            <color theme="1"/>
            <rFont val="Calibri"/>
            <family val="2"/>
            <scheme val="minor"/>
          </rPr>
          <t xml:space="preserve">Tsai, Michael:
1. Use Fuel Capacity 26022 L MTOW 79016 kg Weight Variant 
chrome-extension://efaidnbmnnnibpcajpcglclefindmkaj/https://www.boeing.com/resources/boeingdotcom/commercial/airports/acaps/737NG_REV%20C.pdf
2. 
https://skybrary.aero/aircraft/b738
3.
chrome-extension://efaidnbmnnnibpcajpcglclefindmkaj/https://www.boeing.com/resources/boeingdotcom/commercial/airports/acaps/737NG_REV%20C.pdf
4.
chrome-extension://efaidnbmnnnibpcajpcglclefindmkaj/https://www.easa.europa.eu/downloads/7795/en
</t>
        </r>
      </text>
    </comment>
    <comment ref="BH2" authorId="0" shapeId="0" xr:uid="{F3B50F32-6081-434E-AB6B-8D4021399EAB}">
      <text>
        <r>
          <rPr>
            <sz val="11"/>
            <color theme="1"/>
            <rFont val="Calibri"/>
            <family val="2"/>
            <scheme val="minor"/>
          </rPr>
          <t xml:space="preserve">Tsai, Michael:
1. Use Fuel Capacity 26022 L MTOW 70534 kg Weight Variant 
chrome-extension://efaidnbmnnnibpcajpcglclefindmkaj/https://www.boeing.com/resources/boeingdotcom/commercial/airports/acaps/737NG_REV%20C.pdf
2. 
https://skybrary.aero/aircraft/b739
3.
chrome-extension://efaidnbmnnnibpcajpcglclefindmkaj/https://www.boeing.com/resources/boeingdotcom/commercial/airports/acaps/737NG_REV%20C.pdf
4.
chrome-extension://efaidnbmnnnibpcajpcglclefindmkaj/https://www.easa.europa.eu/downloads/7795/en
</t>
        </r>
      </text>
    </comment>
    <comment ref="BI2" authorId="0" shapeId="0" xr:uid="{FC9EA6CE-4B82-4BDD-A5CC-1DF2FCF5EAB6}">
      <text>
        <r>
          <rPr>
            <sz val="11"/>
            <color theme="1"/>
            <rFont val="Calibri"/>
            <family val="2"/>
            <scheme val="minor"/>
          </rPr>
          <t xml:space="preserve">Tsai, Michael:
1. Use Fuel Capacity 29666 L MTOW 85,139 kg Weight Variant 
chrome-extension://efaidnbmnnnibpcajpcglclefindmkaj/https://www.boeing.com/resources/boeingdotcom/commercial/airports/acaps/737NG_REV%20C.pdf
2. 
https://skybrary.aero/aircraft/b739
3.
chrome-extension://efaidnbmnnnibpcajpcglclefindmkaj/https://www.boeing.com/resources/boeingdotcom/commercial/airports/acaps/737NG_REV%20C.pdf
4.
chrome-extension://efaidnbmnnnibpcajpcglclefindmkaj/https://www.easa.europa.eu/downloads/7795/en
</t>
        </r>
      </text>
    </comment>
    <comment ref="BJ2" authorId="0" shapeId="0" xr:uid="{240FF7B9-047A-4758-8326-7E2E9D7BA7D5}">
      <text>
        <r>
          <rPr>
            <sz val="11"/>
            <color theme="1"/>
            <rFont val="Calibri"/>
            <family val="2"/>
            <scheme val="minor"/>
          </rPr>
          <t xml:space="preserve">Tsai, Michael:
1. Use Fuel Capacity 27095 kg Weight Variant 
chrome-extension://efaidnbmnnnibpcajpcglclefindmkaj/https://www.boeing.com/resources/boeingdotcom/commercial/airports/acaps/737NG_REV%20C.pdf
2. 
https://skybrary.aero/aircraft/b737
</t>
        </r>
      </text>
    </comment>
    <comment ref="BK2" authorId="0" shapeId="0" xr:uid="{ADE91345-00DB-412F-9F30-546B4C3AFFB1}">
      <text>
        <r>
          <rPr>
            <sz val="11"/>
            <color theme="1"/>
            <rFont val="Calibri"/>
            <family val="2"/>
            <scheme val="minor"/>
          </rPr>
          <t xml:space="preserve">Tsai, Michael:
1. Use fuel capacity 30214 kg Weight Variant 
chrome-extension://efaidnbmnnnibpcajpcglclefindmkaj/https://www.boeing.com/resources/boeingdotcom/commercial/airports/acaps/737NG_REV%20C.pdf
2. 
https://skybrary.aero/aircraft/b738
</t>
        </r>
      </text>
    </comment>
    <comment ref="BL2" authorId="0" shapeId="0" xr:uid="{2316A1A0-C793-4A2C-9F08-4ED858965C58}">
      <text>
        <r>
          <rPr>
            <sz val="11"/>
            <color theme="1"/>
            <rFont val="Calibri"/>
            <family val="2"/>
            <scheme val="minor"/>
          </rPr>
          <t xml:space="preserve">Tsai, Michael:
1. Use fuel capacity 20730 kg MTOW 80285 kg Weight Variant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3. chrome-extension://efaidnbmnnnibpcajpcglclefindmkaj/https://arc-aiaa-org.proxy.lib.umich.edu/doi/pdf/10.2514/6.2019-2763
4. 
http://www.b737.org.uk/techspecsdetailed.htm
5. 
</t>
        </r>
      </text>
    </comment>
    <comment ref="BM2" authorId="0" shapeId="0" xr:uid="{27913ED2-1885-425C-AD5C-085262617515}">
      <text>
        <r>
          <rPr>
            <sz val="11"/>
            <color theme="1"/>
            <rFont val="Calibri"/>
            <family val="2"/>
            <scheme val="minor"/>
          </rPr>
          <t xml:space="preserve">Tsai, Michael:
1. Use fuel capacity 20730 kg MTOW 82644 kg Weight Variant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t>
        </r>
      </text>
    </comment>
    <comment ref="BN2" authorId="0" shapeId="0" xr:uid="{EEF409D0-A4C9-42AD-9F92-7D9002831B48}">
      <text>
        <r>
          <rPr>
            <sz val="11"/>
            <color theme="1"/>
            <rFont val="Calibri"/>
            <family val="2"/>
            <scheme val="minor"/>
          </rPr>
          <t xml:space="preserve">Tsai, Michael:
1. Use fuel capacity 20730 kg MTOW 82644 Weight Variant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t>
        </r>
      </text>
    </comment>
    <comment ref="BO2" authorId="0" shapeId="0" xr:uid="{C5C41B93-EDC2-4842-8682-DEC28BFDCFD1}">
      <text>
        <r>
          <rPr>
            <sz val="11"/>
            <color theme="1"/>
            <rFont val="Calibri"/>
            <family val="2"/>
            <scheme val="minor"/>
          </rPr>
          <t xml:space="preserve">Tsai, Michael:
1. Use fuel capacity 20730 kg MTOW 88314 kg Weight Variant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3.
https://modernairliners.com/boeing-737/boeing-737-specifications/
</t>
        </r>
      </text>
    </comment>
    <comment ref="BP2" authorId="0" shapeId="0" xr:uid="{0BF763D8-31CB-44F4-B88E-614195D2DC51}">
      <text>
        <r>
          <rPr>
            <sz val="11"/>
            <color theme="1"/>
            <rFont val="Calibri"/>
            <family val="2"/>
            <scheme val="minor"/>
          </rPr>
          <t xml:space="preserve">Tsai, Michael:
1. Use fuel capacity  kg Weight Variant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3. 
http://www.b737.org.uk/737max10.htm
</t>
        </r>
      </text>
    </comment>
    <comment ref="BQ2" authorId="0" shapeId="0" xr:uid="{5F34A2DC-1C5A-47B9-A95E-1D22B853B15C}">
      <text>
        <r>
          <rPr>
            <sz val="11"/>
            <color theme="1"/>
            <rFont val="Calibri"/>
            <family val="2"/>
            <scheme val="minor"/>
          </rPr>
          <t xml:space="preserve">Tsai, Michael:
1. Use fuel capacity  28347 kg MTOW 82644 kg Weight Variant (1 FWD and 4 AFT auxiliary tank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t>
        </r>
      </text>
    </comment>
    <comment ref="BR2" authorId="0" shapeId="0" xr:uid="{9D224274-4F15-49EB-ABEB-E4F5C6D2C70A}">
      <text>
        <r>
          <rPr>
            <sz val="11"/>
            <color theme="1"/>
            <rFont val="Calibri"/>
            <family val="2"/>
            <scheme val="minor"/>
          </rPr>
          <t xml:space="preserve">Tsai, Michael:
1.  Use fuel capacity  28342 kg MTOW 88314 kg Weight Variant (1 FWD and 4 AFT auxiliary tank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t>
        </r>
      </text>
    </comment>
    <comment ref="BS2" authorId="0" shapeId="0" xr:uid="{D46109AB-CF85-4154-AB3A-23A861F46FD9}">
      <text>
        <r>
          <rPr>
            <sz val="11"/>
            <color theme="1"/>
            <rFont val="Calibri"/>
            <family val="2"/>
            <scheme val="minor"/>
          </rPr>
          <t xml:space="preserve">Tsai, Michael:
1.  Use fuel capacity   kg MTOW  kg Weight Variant 
chrome-extension://efaidnbmnnnibpcajpcglclefindmkaj/https://www.boeing.com/resources/boeingdotcom/commercial/airports/acaps/757_23.pdf
2.
https://skybrary.aero/aircraft/b752
3.
chrome-extension://efaidnbmnnnibpcajpcglclefindmkaj/https://rgl.faa.gov/Regulatory_and_Guidance_Library/rgMakeModel.nsf/0/a5a31d7df6f5cec28625718b0065c20b/$FILE/A2NM.pdf
4.
chrome-extension://efaidnbmnnnibpcajpcglclefindmkaj/https://www.flightglobal.com/download?ac=79070
</t>
        </r>
      </text>
    </comment>
    <comment ref="BT2" authorId="0" shapeId="0" xr:uid="{FED8203D-4981-4737-BA34-3EB419BE5933}">
      <text>
        <r>
          <rPr>
            <sz val="11"/>
            <color theme="1"/>
            <rFont val="Calibri"/>
            <family val="2"/>
            <scheme val="minor"/>
          </rPr>
          <t xml:space="preserve">Tsai, Michael:
1.  Use fuel capacity   kg MTOW  kg Weight Variant 
chrome-extension://efaidnbmnnnibpcajpcglclefindmkaj/https://www.boeing.com/resources/boeingdotcom/commercial/airports/acaps/757_23.pdf
2.
https://skybrary.aero/aircraft/b752
3.
chrome-extension://efaidnbmnnnibpcajpcglclefindmkaj/https://rgl.faa.gov/Regulatory_and_Guidance_Library/rgMakeModel.nsf/0/a5a31d7df6f5cec28625718b0065c20b/$FILE/A2NM.pdf
4.
chrome-extension://efaidnbmnnnibpcajpcglclefindmkaj/https://www.flightglobal.com/download?ac=79070
</t>
        </r>
      </text>
    </comment>
    <comment ref="BU2" authorId="0" shapeId="0" xr:uid="{79CFFA97-60BB-47B4-B4CA-CDFD0F974FF3}">
      <text>
        <r>
          <rPr>
            <sz val="11"/>
            <color theme="1"/>
            <rFont val="Calibri"/>
            <family val="2"/>
            <scheme val="minor"/>
          </rPr>
          <t xml:space="preserve">Tsai, Michael:
1.  Use fuel capacity   34260 kg MTOW 108850 kg Weight Variant 
chrome-extension://efaidnbmnnnibpcajpcglclefindmkaj/https://www.boeing.com/resources/boeingdotcom/commercial/airports/acaps/757_23.pdf
2.
https://skybrary.aero/aircraft/b752
3.
chrome-extension://efaidnbmnnnibpcajpcglclefindmkaj/https://www.easa.europa.eu/downloads/7699/en
4.
chrome-extension://efaidnbmnnnibpcajpcglclefindmkaj/https://rgl.faa.gov/Regulatory_and_Guidance_Library/rgMakeModel.nsf/0/a5a31d7df6f5cec28625718b0065c20b/$FILE/A2NM.pdf
</t>
        </r>
      </text>
    </comment>
    <comment ref="BV2" authorId="0" shapeId="0" xr:uid="{7A721A87-06FE-4437-AD03-D3D5601662DE}">
      <text>
        <r>
          <rPr>
            <sz val="11"/>
            <color theme="1"/>
            <rFont val="Calibri"/>
            <family val="2"/>
            <scheme val="minor"/>
          </rPr>
          <t xml:space="preserve">Tsai, Michael:
1.  Use fuel capacity 34260 kg MTOW 115650 kg Weight Variant 
chrome-extension://efaidnbmnnnibpcajpcglclefindmkaj/https://www.boeing.com/resources/boeingdotcom/commercial/airports/acaps/757_23.pdf
2.
https://skybrary.aero/aircraft/b752
3.
chrome-extension://efaidnbmnnnibpcajpcglclefindmkaj/https://www.easa.europa.eu/downloads/7699/en
4.
chrome-extension://efaidnbmnnnibpcajpcglclefindmkaj/https://rgl.faa.gov/Regulatory_and_Guidance_Library/rgMakeModel.nsf/0/a5a31d7df6f5cec28625718b0065c20b/$FILE/A2NM.pdf
</t>
        </r>
      </text>
    </comment>
    <comment ref="BW2" authorId="0" shapeId="0" xr:uid="{77710487-2128-46CC-A892-2275A964B5C8}">
      <text>
        <r>
          <rPr>
            <sz val="11"/>
            <color theme="1"/>
            <rFont val="Calibri"/>
            <family val="2"/>
            <scheme val="minor"/>
          </rPr>
          <t xml:space="preserve">Tsai, Michael:
1.  Use fuel capacity 34260 kg MTOW 113400 kg Weight Variant 
chrome-extension://efaidnbmnnnibpcajpcglclefindmkaj/https://www.boeing.com/resources/boeingdotcom/commercial/airports/acaps/757_23.pdf
2.
https://skybrary.aero/aircraft/b752
3.
chrome-extension://efaidnbmnnnibpcajpcglclefindmkaj/https://rgl.faa.gov/Regulatory_and_Guidance_Library/rgMakeModel.nsf/0/a5a31d7df6f5cec28625718b0065c20b/$FILE/A2NM.pdf
4.
chrome-extension://efaidnbmnnnibpcajpcglclefindmkaj/https://www.flightglobal.com/download?ac=79070
</t>
        </r>
      </text>
    </comment>
    <comment ref="BX2" authorId="0" shapeId="0" xr:uid="{1DE12CF3-9CF9-4B9E-89E1-4720E9224507}">
      <text>
        <r>
          <rPr>
            <sz val="11"/>
            <color theme="1"/>
            <rFont val="Calibri"/>
            <family val="2"/>
            <scheme val="minor"/>
          </rPr>
          <t xml:space="preserve">Tsai, Michael:
1.  Use fuel capacity 34260 kg MTOW 116650 kg Weight Variant 
chrome-extension://efaidnbmnnnibpcajpcglclefindmkaj/https://www.boeing.com/resources/boeingdotcom/commercial/airports/acaps/757_23.pdf
2.
https://skybrary.aero/aircraft/b752
3.
chrome-extension://efaidnbmnnnibpcajpcglclefindmkaj/https://rgl.faa.gov/Regulatory_and_Guidance_Library/rgMakeModel.nsf/0/a5a31d7df6f5cec28625718b0065c20b/$FILE/A2NM.pdf
4. 
chrome-extension://efaidnbmnnnibpcajpcglclefindmkaj/https://www.flightglobal.com/download?ac=79070
</t>
        </r>
      </text>
    </comment>
    <comment ref="BY2" authorId="0" shapeId="0" xr:uid="{AD5E073D-2BBA-4CB8-B489-85B3BB032093}">
      <text>
        <r>
          <rPr>
            <sz val="11"/>
            <color theme="1"/>
            <rFont val="Calibri"/>
            <family val="2"/>
            <scheme val="minor"/>
          </rPr>
          <t xml:space="preserve">Tsai, Michael:
1.  Use fuel capacity 34930 kg MTOW 122470 kg Weight Variant 
chrome-extension://efaidnbmnnnibpcajpcglclefindmkaj/https://www.boeing.com/resources/boeingdotcom/commercial/airports/acaps/757_23.pdf
2.
https://skybrary.aero/aircraft/b753
3.
chrome-extension://efaidnbmnnnibpcajpcglclefindmkaj/https://rgl.faa.gov/Regulatory_and_Guidance_Library/rgMakeModel.nsf/0/a5a31d7df6f5cec28625718b0065c20b/$FILE/A2NM.pdf
4.
chrome-extension://efaidnbmnnnibpcajpcglclefindmkaj/https://www.flightglobal.com/download?ac=79070
</t>
        </r>
      </text>
    </comment>
    <comment ref="BZ2" authorId="0" shapeId="0" xr:uid="{F9612D64-D536-4EDE-94FF-8982D234F9EF}">
      <text>
        <r>
          <rPr>
            <sz val="11"/>
            <color theme="1"/>
            <rFont val="Calibri"/>
            <family val="2"/>
            <scheme val="minor"/>
          </rPr>
          <t xml:space="preserve">Tsai, Michael:
1.  Use fuel capacity 34930 kg MTOW 122470 kg Weight Variant 
chrome-extension://efaidnbmnnnibpcajpcglclefindmkaj/https://www.boeing.com/resources/boeingdotcom/commercial/airports/acaps/757_23.pdf
2.
https://skybrary.aero/aircraft/b753
3.
chrome-extension://efaidnbmnnnibpcajpcglclefindmkaj/https://rgl.faa.gov/Regulatory_and_Guidance_Library/rgMakeModel.nsf/0/a5a31d7df6f5cec28625718b0065c20b/$FILE/A2NM.pdf
4.
chrome-extension://efaidnbmnnnibpcajpcglclefindmkaj/https://www.flightglobal.com/download?ac=79070
</t>
        </r>
      </text>
    </comment>
    <comment ref="CA2" authorId="0" shapeId="0" xr:uid="{C352EFB5-EAD6-4FF5-BCC6-F106C800F902}">
      <text>
        <r>
          <rPr>
            <sz val="11"/>
            <color theme="1"/>
            <rFont val="Calibri"/>
            <family val="2"/>
            <scheme val="minor"/>
          </rPr>
          <t xml:space="preserve">Tsai, Michael:
1.  Use fuel capacity 34930 kg MTOW  kg Weight Variant 
chrome-extension://efaidnbmnnnibpcajpcglclefindmkaj/https://www.boeing.com/resources/boeingdotcom/commercial/airports/acaps/757_23.pdf
2.
https://skybrary.aero/aircraft/b753
3.
chrome-extension://efaidnbmnnnibpcajpcglclefindmkaj/https://rgl.faa.gov/Regulatory_and_Guidance_Library/rgMakeModel.nsf/0/a5a31d7df6f5cec28625718b0065c20b/$FILE/A2NM.pdf
</t>
        </r>
      </text>
    </comment>
    <comment ref="CB2" authorId="0" shapeId="0" xr:uid="{3ECD6981-BCC2-4EB7-80A6-11BE99672E9E}">
      <text>
        <r>
          <rPr>
            <sz val="11"/>
            <color theme="1"/>
            <rFont val="Calibri"/>
            <family val="2"/>
            <scheme val="minor"/>
          </rPr>
          <t xml:space="preserve">Tsai, Michael:
1.  Use fuel capacity 34930 kg MTOW 122470 kg Weight Variant 
chrome-extension://efaidnbmnnnibpcajpcglclefindmkaj/https://www.boeing.com/resources/boeingdotcom/commercial/airports/acaps/757_23.pdf
2.
https://skybrary.aero/aircraft/b753
3.
chrome-extension://efaidnbmnnnibpcajpcglclefindmkaj/https://www.easa.europa.eu/downloads/7699/en
4.
chrome-extension://efaidnbmnnnibpcajpcglclefindmkaj/https://rgl.faa.gov/Regulatory_and_Guidance_Library/rgMakeModel.nsf/0/a5a31d7df6f5cec28625718b0065c20b/$FILE/A2NM.pdf
</t>
        </r>
      </text>
    </comment>
    <comment ref="CC2" authorId="0" shapeId="0" xr:uid="{7DC11B2E-6011-4B0E-B315-C29E74DA1675}">
      <text>
        <r>
          <rPr>
            <sz val="11"/>
            <color theme="1"/>
            <rFont val="Calibri"/>
            <family val="2"/>
            <scheme val="minor"/>
          </rPr>
          <t xml:space="preserve">Tsai, Michael:
1.  Use fuel capacity 36894 kg MTOW 127913 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chrome-extension://efaidnbmnnnibpcajpcglclefindmkaj/https://rgl.faa.gov/Regulatory_and_Guidance_Library/rgMakeModel.nsf/0/1f744c3819e0622a86258443003da885/$FILE/E3NE_Rev16.pdf
</t>
        </r>
      </text>
    </comment>
    <comment ref="CD2" authorId="0" shapeId="0" xr:uid="{C9D505B2-DF45-4C82-A595-919754B65149}">
      <text>
        <r>
          <rPr>
            <sz val="11"/>
            <color theme="1"/>
            <rFont val="Calibri"/>
            <family val="2"/>
            <scheme val="minor"/>
          </rPr>
          <t xml:space="preserve">Tsai, Michael:
1.  Use fuel capacity 50753 kg MTOW 136,078 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chrome-extension://efaidnbmnnnibpcajpcglclefindmkaj/https://rgl.faa.gov/Regulatory_and_Guidance_library/rgMakeModel.nsf/0/706579a7e83efab48625727b00751aff/$FILE/E13NE.pdf
</t>
        </r>
      </text>
    </comment>
    <comment ref="CE2" authorId="0" shapeId="0" xr:uid="{36FD8C52-031F-4F9D-B4C0-6C940B61A10D}">
      <text>
        <r>
          <rPr>
            <sz val="11"/>
            <color theme="1"/>
            <rFont val="Calibri"/>
            <family val="2"/>
            <scheme val="minor"/>
          </rPr>
          <t xml:space="preserve">Tsai, Michael:
1.  Use fuel capacity 50753 kg MTOWkg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chrome-extension://efaidnbmnnnibpcajpcglclefindmkaj/https://rgl.faa.gov/Regulatory_and_Guidance_Library/rgMakeModel.nsf/0/1f744c3819e0622a86258443003da885/$FILE/E3NE_Rev16.pdf
</t>
        </r>
      </text>
    </comment>
    <comment ref="CF2" authorId="0" shapeId="0" xr:uid="{E45E5F6A-FAC9-4A27-9A85-5497016AEA29}">
      <text>
        <r>
          <rPr>
            <sz val="11"/>
            <color theme="1"/>
            <rFont val="Calibri"/>
            <family val="2"/>
            <scheme val="minor"/>
          </rPr>
          <t xml:space="preserve">Tsai, Michael:
1.  Use fuel capacity 50753 kg MTOWkg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chrome-extension://efaidnbmnnnibpcajpcglclefindmkaj/https://rgl.faa.gov/Regulatory_and_Guidance_library/rgMakeModel.nsf/0/706579a7e83efab48625727b00751aff/$FILE/E13NE.pdf
5.
https://customer.janes.com/Janes/Display/JAE_0282-JAE_
</t>
        </r>
      </text>
    </comment>
    <comment ref="CG2" authorId="0" shapeId="0" xr:uid="{5231652C-4314-4453-A321-44DB21C89B10}">
      <text>
        <r>
          <rPr>
            <sz val="11"/>
            <color theme="1"/>
            <rFont val="Calibri"/>
            <family val="2"/>
            <scheme val="minor"/>
          </rPr>
          <t xml:space="preserve">Tsai, Michael:
1.  Use fuel capacity 50753 kg MTOWkg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chrome-extension://efaidnbmnnnibpcajpcglclefindmkaj/https://rgl.faa.gov/Regulatory_and_Guidance_Library/rgMakeModel.nsf/0/a54a5cdbed477da18625753c004dd282/$FILE/E24NE.pdf
5. 
https://customer.janes.com/Janes/Display/JAE_A018-JAE_
</t>
        </r>
      </text>
    </comment>
    <comment ref="CH2" authorId="0" shapeId="0" xr:uid="{94A8CEE2-4A13-44B3-A429-BB0B7BC9C946}">
      <text>
        <r>
          <rPr>
            <sz val="11"/>
            <color theme="1"/>
            <rFont val="Calibri"/>
            <family val="2"/>
            <scheme val="minor"/>
          </rPr>
          <t xml:space="preserve">Tsai, Michael:
1.  Use fuel capacity 50753 kg MTOWkg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chrome-extension://efaidnbmnnnibpcajpcglclefindmkaj/https://rgl.faa.gov/Regulatory_and_Guidance_library/rgMakeModel.nsf/0/706579a7e83efab48625727b00751aff/$FILE/E13NE.pdf
</t>
        </r>
      </text>
    </comment>
    <comment ref="CI2" authorId="0" shapeId="0" xr:uid="{8ABC75DA-788F-4475-A043-0BF54AD52676}">
      <text>
        <r>
          <rPr>
            <sz val="11"/>
            <color theme="1"/>
            <rFont val="Calibri"/>
            <family val="2"/>
            <scheme val="minor"/>
          </rPr>
          <t xml:space="preserve">Tsai, Michael:
1.  Use fuel capacity 50752 kg MTOW 151,954 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chrome-extension://efaidnbmnnnibpcajpcglclefindmkaj/https://rgl.faa.gov/Regulatory_and_Guidance_library/rgMakeModel.nsf/0/706579a7e83efab48625727b00751aff/$FILE/E13NE.pdf
</t>
        </r>
      </text>
    </comment>
    <comment ref="CJ2" authorId="0" shapeId="0" xr:uid="{94BB42C4-84D9-4EAD-9FF9-19A76052C5D2}">
      <text>
        <r>
          <rPr>
            <sz val="11"/>
            <color theme="1"/>
            <rFont val="Calibri"/>
            <family val="2"/>
            <scheme val="minor"/>
          </rPr>
          <t xml:space="preserve">Tsai, Michael:
1.  Use fuel capacity 62422kg MTOW 159,211 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chrome-extension://efaidnbmnnnibpcajpcglclefindmkaj/https://rgl.faa.gov/Regulatory_and_Guidance_Library/rgMakeModel.nsf/0/a54a5cdbed477da18625753c004dd282/$FILE/E24NE.pdf
</t>
        </r>
      </text>
    </comment>
    <comment ref="CK2" authorId="0" shapeId="0" xr:uid="{F20150D5-1025-499A-9D29-017CA0766E25}">
      <text>
        <r>
          <rPr>
            <sz val="11"/>
            <color theme="1"/>
            <rFont val="Calibri"/>
            <family val="2"/>
            <scheme val="minor"/>
          </rPr>
          <t xml:space="preserve">Tsai, Michael:
1.  Use fuel capacity 73,363 kg MTOW 172,365 kg Weight Variant 
chrome-extension://efaidnbmnnnibpcajpcglclefindmkaj/https://www.boeing.com/resources/boeingdotcom/commercial/airports/acaps/767_REV_I.pdf
2.
https://skybrary.aero/aircraft/b762
3.
https://modernairliners.com/boeing-767/
4.
chrome-extension://efaidnbmnnnibpcajpcglclefindmkaj/https://www.easa.europa.eu/downloads/22523/en
</t>
        </r>
      </text>
    </comment>
    <comment ref="CL2" authorId="0" shapeId="0" xr:uid="{A983C802-B571-4866-8CBF-41A366842060}">
      <text>
        <r>
          <rPr>
            <sz val="11"/>
            <color theme="1"/>
            <rFont val="Calibri"/>
            <family val="2"/>
            <scheme val="minor"/>
          </rPr>
          <t>Tsai, Michael:
1.  Use fuel capacity 73,363 kg MTOW 175,540 kg Weight Variant 
chrome-extension://efaidnbmnnnibpcajpcglclefindmkaj/https://www.boeing.com/resources/boeingdotcom/commercial/airports/acaps/767_REV_I.pdf
2.
https://skybrary.aero/aircraft/b762
3.
https://modernairliners.com/boeing-767/
4.
chrome-extension://efaidnbmnnnibpcajpcglclefindmkaj/https://www.easa.europa.eu/downloads/22523/en</t>
        </r>
      </text>
    </comment>
    <comment ref="CM2" authorId="0" shapeId="0" xr:uid="{40717BE1-EAE3-4950-8BA0-FD124BF9B047}">
      <text>
        <r>
          <rPr>
            <sz val="11"/>
            <color theme="1"/>
            <rFont val="Calibri"/>
            <family val="2"/>
            <scheme val="minor"/>
          </rPr>
          <t xml:space="preserve">Tsai, Michael:
1.  Use fuel capacity 47940 kg MTOW 132000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chrome-extension://efaidnbmnnnibpcajpcglclefindmkaj/https://rgl.faa.gov/Regulatory_and_Guidance_Library/rgMakeModel.nsf/0/1047854cea0ef5fe86257d56006cb935/$FILE/E13NE_Rev_26.pdf
4.
chrome-extension://efaidnbmnnnibpcajpcglclefindmkaj/https://rgl.faa.gov/Regulatory_and_Guidance_Library/rgMakeModel.nsf/0/7f4dde8d2e4126bb8625870c005e776c/$FILE/A35EU_Rev32.pdf
5. 
chrome-extension://efaidnbmnnnibpcajpcglclefindmkaj/https://www.smartcockpit.com/docs/Getting_to_Grips_With_Aircraft_Performance.pdf
6. 
https://customer.janes.com/Janes/Display/JAE_0282-JAE_
</t>
        </r>
      </text>
    </comment>
    <comment ref="CN2" authorId="0" shapeId="0" xr:uid="{EEB65CC2-78C3-4A49-9B35-B1D7D3B5FC1D}">
      <text>
        <r>
          <rPr>
            <sz val="11"/>
            <color theme="1"/>
            <rFont val="Calibri"/>
            <family val="2"/>
            <scheme val="minor"/>
          </rPr>
          <t xml:space="preserve">Tsai, Michael:
1.  Use fuel capacity 47940 kg MTOW 132000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chrome-extension://efaidnbmnnnibpcajpcglclefindmkaj/https://rgl.faa.gov/Regulatory_and_Guidance_Library/rgMakeModel.nsf/0/4a0a9abd64fcce4f862586b800638847/$FILE/E3NE_Rev16.pdf
4.
chrome-extension://efaidnbmnnnibpcajpcglclefindmkaj/https://rgl.faa.gov/Regulatory_and_Guidance_Library/rgMakeModel.nsf/0/7f4dde8d2e4126bb8625870c005e776c/$FILE/A35EU_Rev32.pdf
5. 
</t>
        </r>
      </text>
    </comment>
    <comment ref="CO2" authorId="0" shapeId="0" xr:uid="{9F3D8DB9-6C4E-4A95-9270-8D276278333E}">
      <text>
        <r>
          <rPr>
            <sz val="11"/>
            <color theme="1"/>
            <rFont val="Calibri"/>
            <family val="2"/>
            <scheme val="minor"/>
          </rPr>
          <t xml:space="preserve">Tsai, Michael:
1.  Use fuel capacity 47940 kg MTOW 138600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chrome-extension://efaidnbmnnnibpcajpcglclefindmkaj/https://rgl.faa.gov/Regulatory_and_Guidance_Library/rgMakeModel.nsf/0/1047854cea0ef5fe86257d56006cb935/$FILE/E13NE_Rev_26.pdf
4.
chrome-extension://efaidnbmnnnibpcajpcglclefindmkaj/https://rgl.faa.gov/Regulatory_and_Guidance_Library/rgMakeModel.nsf/0/7f4dde8d2e4126bb8625870c005e776c/$FILE/A35EU_Rev32.pdf
5. 
</t>
        </r>
      </text>
    </comment>
    <comment ref="CP2" authorId="0" shapeId="0" xr:uid="{67520D1B-76FD-42C4-84D6-DCCF4CF2C9AB}">
      <text>
        <r>
          <rPr>
            <sz val="11"/>
            <color theme="1"/>
            <rFont val="Calibri"/>
            <family val="2"/>
            <scheme val="minor"/>
          </rPr>
          <t xml:space="preserve">Tsai, Michael:
1.  Use fuel capacity 47940 kg MTOW 142000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chrome-extension://efaidnbmnnnibpcajpcglclefindmkaj/https://rgl.faa.gov/Regulatory_and_Guidance_Library/rgMakeModel.nsf/0/1047854cea0ef5fe86257d56006cb935/$FILE/E13NE_Rev_26.pdf
4.
chrome-extension://efaidnbmnnnibpcajpcglclefindmkaj/https://rgl.faa.gov/Regulatory_and_Guidance_Library/rgMakeModel.nsf/0/7f4dde8d2e4126bb8625870c005e776c/$FILE/A35EU_Rev32.pdf
5. 
</t>
        </r>
      </text>
    </comment>
    <comment ref="CQ2" authorId="0" shapeId="0" xr:uid="{48E374A7-9648-4028-B2FA-C9162027BB9B}">
      <text>
        <r>
          <rPr>
            <sz val="11"/>
            <color theme="1"/>
            <rFont val="Calibri"/>
            <family val="2"/>
            <scheme val="minor"/>
          </rPr>
          <t xml:space="preserve">Tsai, Michael:
1.  Use fuel capacity 47940 kg MTOW 142000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chrome-extension://efaidnbmnnnibpcajpcglclefindmkaj/https://rgl.faa.gov/Regulatory_and_Guidance_Library/rgMakeModel.nsf/0/4a0a9abd64fcce4f862586b800638847/$FILE/E3NE_Rev16.pdf
4.
chrome-extension://efaidnbmnnnibpcajpcglclefindmkaj/https://rgl.faa.gov/Regulatory_and_Guidance_Library/rgMakeModel.nsf/0/7f4dde8d2e4126bb8625870c005e776c/$FILE/A35EU_Rev32.pdf
5. 
</t>
        </r>
      </text>
    </comment>
    <comment ref="CR2" authorId="0" shapeId="0" xr:uid="{0A7AAC3F-7C97-4AC4-9DC3-95E51D6D0DE1}">
      <text>
        <r>
          <rPr>
            <sz val="11"/>
            <color theme="1"/>
            <rFont val="Calibri"/>
            <family val="2"/>
            <scheme val="minor"/>
          </rPr>
          <t xml:space="preserve">Tsai, Michael:
1.  Use fuel capacity 47,940 kg MTOW 150000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chrome-extension://efaidnbmnnnibpcajpcglclefindmkaj/https://rgl.faa.gov/Regulatory_and_Guidance_Library/rgMakeModel.nsf/0/1047854cea0ef5fe86257d56006cb935/$FILE/E13NE_Rev_26.pdf
4.
chrome-extension://efaidnbmnnnibpcajpcglclefindmkaj/https://rgl.faa.gov/Regulatory_and_Guidance_Library/rgMakeModel.nsf/0/7f4dde8d2e4126bb8625870c005e776c/$FILE/A35EU_Rev32.pdf
5. 
https://customer.janes.com/Janes/Display/JAE_0731-JAE_
</t>
        </r>
      </text>
    </comment>
    <comment ref="CS2" authorId="0" shapeId="0" xr:uid="{197B5CE6-AC04-48D6-BA5F-958E947712B1}">
      <text>
        <r>
          <rPr>
            <sz val="11"/>
            <color theme="1"/>
            <rFont val="Calibri"/>
            <family val="2"/>
            <scheme val="minor"/>
          </rPr>
          <t xml:space="preserve">Tsai, Michael:
1.  Use fuel capacity 47,940 kg MTOW 153000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chrome-extension://efaidnbmnnnibpcajpcglclefindmkaj/https://rgl.faa.gov/Regulatory_and_Guidance_Library/rgMakeModel.nsf/0/4a0a9abd64fcce4f862586b800638847/$FILE/E3NE_Rev16.pdf
4.
chrome-extension://efaidnbmnnnibpcajpcglclefindmkaj/https://rgl.faa.gov/Regulatory_and_Guidance_Library/rgMakeModel.nsf/0/7f4dde8d2e4126bb8625870c005e776c/$FILE/A35EU_Rev32.pdf
5. 
</t>
        </r>
      </text>
    </comment>
    <comment ref="CT2" authorId="0" shapeId="0" xr:uid="{E3240E9E-9FE3-4194-AC3F-55B50E6487D6}">
      <text>
        <r>
          <rPr>
            <sz val="11"/>
            <color theme="1"/>
            <rFont val="Calibri"/>
            <family val="2"/>
            <scheme val="minor"/>
          </rPr>
          <t xml:space="preserve">Tsai, Michael:
1.  Use fuel capacity 47,940 kg MTOW 160000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chrome-extension://efaidnbmnnnibpcajpcglclefindmkaj/https://rgl.faa.gov/Regulatory_and_Guidance_Library/rgMakeModel.nsf/0/2a822313bea2157886257f060055beb1/$FILE/E24NE_Rev_13.pdf
4.
chrome-extension://efaidnbmnnnibpcajpcglclefindmkaj/https://rgl.faa.gov/Regulatory_and_Guidance_Library/rgMakeModel.nsf/0/7f4dde8d2e4126bb8625870c005e776c/$FILE/A35EU_Rev32.pdf
5. 
https://customer.janes.com/Janes/Display/JAE_A018-JAE_
</t>
        </r>
      </text>
    </comment>
    <comment ref="CU2" authorId="0" shapeId="0" xr:uid="{39ED0054-240E-4D35-880C-7FB3752DE0F2}">
      <text>
        <r>
          <rPr>
            <sz val="11"/>
            <color theme="1"/>
            <rFont val="Calibri"/>
            <family val="2"/>
            <scheme val="minor"/>
          </rPr>
          <t xml:space="preserve">Tsai, Michael:
1.  Use fuel capacity 47,940 kg MTOW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chrome-extension://efaidnbmnnnibpcajpcglclefindmkaj/https://rgl.faa.gov/Regulatory_and_Guidance_Library/rgMakeModel.nsf/0/1047854cea0ef5fe86257d56006cb935/$FILE/E13NE_Rev_26.pdf
4.
chrome-extension://efaidnbmnnnibpcajpcglclefindmkaj/https://rgl.faa.gov/Regulatory_and_Guidance_Library/rgMakeModel.nsf/0/7f4dde8d2e4126bb8625870c005e776c/$FILE/A35EU_Rev32.pdf
5. 
</t>
        </r>
      </text>
    </comment>
    <comment ref="CV2" authorId="0" shapeId="0" xr:uid="{A2F55DDE-6839-4951-A5EB-A800C679B175}">
      <text>
        <r>
          <rPr>
            <sz val="11"/>
            <color theme="1"/>
            <rFont val="Calibri"/>
            <family val="2"/>
            <scheme val="minor"/>
          </rPr>
          <t xml:space="preserve">Tsai, Michael:
1.  Use fuel capacity kg MTOW kg Weight Variant 
chrome-extension://efaidnbmnnnibpcajpcglclefindmkaj/https://www.airbus.com/sites/g/files/jlcbta136/files/2022-02/Airbus-techdata-AC_A318_0322.pdf
2.
https://skybrary.aero/aircraft/a318
3.
https://modernairliners.com/airbus-a320-introduction/airbus-a320-specs/
4.
chrome-extension://efaidnbmnnnibpcajpcglclefindmkaj/https://rgl.faa.gov/Regulatory_and_Guidance_Library/rgMakeModel.nsf/0/9bf38dfba5668751862583360062baa0/$FILE/E37NE_Rev_14.pdf
5. 
chrome-extension://efaidnbmnnnibpcajpcglclefindmkaj/https://rgl.faa.gov/Regulatory_and_Guidance_Library/rgMakeModel.nsf/0/8b8d7ee0d2db0209862587e200690ef2/$FILE/A28NM_Rev47.pdf
6.
Pilot Operating Manual 
7. 
https://customer.janes.com/Janes/Display/JAE_0631-JAE_
</t>
        </r>
      </text>
    </comment>
    <comment ref="CW2" authorId="0" shapeId="0" xr:uid="{4546FAB4-9D8F-4C58-B0A1-A8D6443B110D}">
      <text>
        <r>
          <rPr>
            <sz val="11"/>
            <color theme="1"/>
            <rFont val="Calibri"/>
            <family val="2"/>
            <scheme val="minor"/>
          </rPr>
          <t xml:space="preserve">Tsai, Michael:
1.  Use fuel capacity kg MTOW kg Weight Variant 
chrome-extension://efaidnbmnnnibpcajpcglclefindmkaj/https://www.airbus.com/sites/g/files/jlcbta136/files/2022-02/Airbus-techdata-AC_A318_0322.pdf
2.
https://skybrary.aero/aircraft/a318
3.
https://modernairliners.com/airbus-a320-introduction/airbus-a320-specs/
4.
chrome-extension://efaidnbmnnnibpcajpcglclefindmkaj/https://rgl.faa.gov/Regulatory_and_Guidance_Library/rgMakeModel.nsf/0/638464a951ad6c908625723a005cb4b8/$FILE/E00064EN.pdf
5. 
chrome-extension://efaidnbmnnnibpcajpcglclefindmkaj/https://rgl.faa.gov/Regulatory_and_Guidance_Library/rgMakeModel.nsf/0/8b8d7ee0d2db0209862587e200690ef2/$FILE/A28NM_Rev47.pdf
6.
Pilot Operating Manual 
</t>
        </r>
      </text>
    </comment>
    <comment ref="CX2" authorId="0" shapeId="0" xr:uid="{8FB72639-02CC-410D-AD5D-98FC3843D326}">
      <text>
        <r>
          <rPr>
            <sz val="11"/>
            <color theme="1"/>
            <rFont val="Calibri"/>
            <family val="2"/>
            <scheme val="minor"/>
          </rPr>
          <t xml:space="preserve">Tsai, Michael:
1.  Use fuel capacity kg MTOW kg Weight Variant 
chrome-extension://efaidnbmnnnibpcajpcglclefindmkaj/https://www.airbus.com/sites/g/files/jlcbta136/files/2022-02/Airbus-techdata-AC_A318_0322.pdf
2.
https://skybrary.aero/aircraft/a318
3.
https://modernairliners.com/airbus-a320-introduction/airbus-a320-specs/
4.
chrome-extension://efaidnbmnnnibpcajpcglclefindmkaj/https://rgl.faa.gov/Regulatory_and_Guidance_Library/rgMakeModel.nsf/0/9bf38dfba5668751862583360062baa0/$FILE/E37NE_Rev_14.pdf
5. 
chrome-extension://efaidnbmnnnibpcajpcglclefindmkaj/https://rgl.faa.gov/Regulatory_and_Guidance_Library/rgMakeModel.nsf/0/8b8d7ee0d2db0209862587e200690ef2/$FILE/A28NM_Rev47.pdf
6.
Pilot Operating Manual 
</t>
        </r>
      </text>
    </comment>
    <comment ref="CY2" authorId="0" shapeId="0" xr:uid="{A86CA809-9F86-4836-B7EB-B84F197A8DF7}">
      <text>
        <r>
          <rPr>
            <sz val="11"/>
            <color theme="1"/>
            <rFont val="Calibri"/>
            <family val="2"/>
            <scheme val="minor"/>
          </rPr>
          <t xml:space="preserve">Tsai, Michael:
1.  Use fuel capacity kg MTOW kg Weight Variant 
chrome-extension://efaidnbmnnnibpcajpcglclefindmkaj/https://www.airbus.com/sites/g/files/jlcbta136/files/2022-02/Airbus-techdata-AC_A318_0322.pdf
2.
https://skybrary.aero/aircraft/a318
3.
https://modernairliners.com/airbus-a320-introduction/airbus-a320-specs/
4.
chrome-extension://efaidnbmnnnibpcajpcglclefindmkaj/https://rgl.faa.gov/Regulatory_and_Guidance_Library/rgMakeModel.nsf/0/638464a951ad6c908625723a005cb4b8/$FILE/E00064EN.pdf
5. 
chrome-extension://efaidnbmnnnibpcajpcglclefindmkaj/https://rgl.faa.gov/Regulatory_and_Guidance_Library/rgMakeModel.nsf/0/8b8d7ee0d2db0209862587e200690ef2/$FILE/A28NM_Rev47.pdf
6.
Pilot Operating Manual 
</t>
        </r>
      </text>
    </comment>
    <comment ref="CZ2" authorId="0" shapeId="0" xr:uid="{80FAEE8B-74E7-47FC-B85E-C4D366542425}">
      <text>
        <r>
          <rPr>
            <sz val="11"/>
            <color theme="1"/>
            <rFont val="Calibri"/>
            <family val="2"/>
            <scheme val="minor"/>
          </rPr>
          <t xml:space="preserve">Tsai, Michael:
1.  Use fuel capacity 19,435 kg MTOW 64000 kg Weight Variant 
chrome-extension://efaidnbmnnnibpcajpcglclefindmkaj/https://www.airbus.com/sites/g/files/jlcbta136/files/2022-02/Airbus-techdata-AC_A319_0322.pdf
2.
https://skybrary.aero/aircraft/a319
3.
https://modernairliners.com/airbus-a320-introduction/airbus-a320-specs/
4.
chrome-extension://efaidnbmnnnibpcajpcglclefindmkaj/https://rgl.faa.gov/Regulatory_and_Guidance_Library/rgMakeModel.nsf/0/7c1d9a1a698ab1bf862583360063075f/$FILE/E38NE_Rev_13.pdf
5. 
chrome-extension://efaidnbmnnnibpcajpcglclefindmkaj/https://rgl.faa.gov/Regulatory_and_Guidance_Library/rgMakeModel.nsf/0/8b8d7ee0d2db0209862587e200690ef2/$FILE/A28NM_Rev47.pdf
6. 
A320 Family Airbus Fligt Training Pilot Manual
</t>
        </r>
      </text>
    </comment>
    <comment ref="DA2" authorId="0" shapeId="0" xr:uid="{84D328A5-8EB3-41A4-8AB7-6FA390D6B5FF}">
      <text>
        <r>
          <rPr>
            <sz val="11"/>
            <color theme="1"/>
            <rFont val="Calibri"/>
            <family val="2"/>
            <scheme val="minor"/>
          </rPr>
          <t xml:space="preserve">Tsai, Michael:
1.  Use fuel capacity 19,435 kg MTOW 75500 kg Weight Variant 
chrome-extension://efaidnbmnnnibpcajpcglclefindmkaj/https://www.airbus.com/sites/g/files/jlcbta136/files/2022-02/Airbus-techdata-AC_A319_0322.pdf
2.
https://skybrary.aero/aircraft/a319
3.
https://modernairliners.com/airbus-a320-introduction/airbus-a320-specs/
4.
chrome-extension://efaidnbmnnnibpcajpcglclefindmkaj/https://rgl.faa.gov/Regulatory_and_Guidance_Library/rgMakeModel.nsf/0/98e9833c9e9b394f86257b88004d0328/$FILE/E28NE_Rev_7.pdf
5. 
chrome-extension://efaidnbmnnnibpcajpcglclefindmkaj/https://rgl.faa.gov/Regulatory_and_Guidance_Library/rgMakeModel.nsf/0/8b8d7ee0d2db0209862587e200690ef2/$FILE/A28NM_Rev47.pdf
6. 
A320 Family Airbus Fligt Training Pilot Manual
</t>
        </r>
      </text>
    </comment>
    <comment ref="DB2" authorId="0" shapeId="0" xr:uid="{2C1C18F3-611E-4657-AF53-BB0A68346262}">
      <text>
        <r>
          <rPr>
            <sz val="11"/>
            <color theme="1"/>
            <rFont val="Calibri"/>
            <family val="2"/>
            <scheme val="minor"/>
          </rPr>
          <t xml:space="preserve">Tsai, Michael:
1.   Use fuel capacity 19,435 kg MTOW 75500 kg Weight Variant 
chrome-extension://efaidnbmnnnibpcajpcglclefindmkaj/https://www.airbus.com/sites/g/files/jlcbta136/files/2022-02/Airbus-techdata-AC_A319_0322.pdf
2.
https://skybrary.aero/aircraft/a319
3.
https://modernairliners.com/airbus-a320-introduction/airbus-a320-specs/
4.
chrome-extension://efaidnbmnnnibpcajpcglclefindmkaj/https://rgl.faa.gov/Regulatory_and_Guidance_Library/rgMakeModel.nsf/0/7c1d9a1a698ab1bf862583360063075f/$FILE/E38NE_Rev_13.pdf
5. 
chrome-extension://efaidnbmnnnibpcajpcglclefindmkaj/https://rgl.faa.gov/Regulatory_and_Guidance_Library/rgMakeModel.nsf/0/8b8d7ee0d2db0209862587e200690ef2/$FILE/A28NM_Rev47.pdf
6. 
A320 Family Airbus Fligt Training Pilot Manual
</t>
        </r>
      </text>
    </comment>
    <comment ref="DC2" authorId="0" shapeId="0" xr:uid="{A16F3C66-7D3C-4CF9-BD20-BA9DF1DB3527}">
      <text>
        <r>
          <rPr>
            <sz val="11"/>
            <color theme="1"/>
            <rFont val="Calibri"/>
            <family val="2"/>
            <scheme val="minor"/>
          </rPr>
          <t xml:space="preserve">Tsai, Michael:
1.   Use fuel capacity  19,435 kg MTOW 75500 kg Weight Variant 
chrome-extension://efaidnbmnnnibpcajpcglclefindmkaj/https://www.airbus.com/sites/g/files/jlcbta136/files/2022-02/Airbus-techdata-AC_A319_0322.pdf
2.
https://skybrary.aero/aircraft/a319
3.
https://modernairliners.com/airbus-a320-introduction/airbus-a320-specs/
4.
chrome-extension://efaidnbmnnnibpcajpcglclefindmkaj/https://rgl.faa.gov/Regulatory_and_Guidance_Library/rgMakeModel.nsf/0/fa74c08d4bd2d02386258281006d02a1/$FILE/E40NE_Rev_13.pdf
5. 
chrome-extension://efaidnbmnnnibpcajpcglclefindmkaj/https://rgl.faa.gov/Regulatory_and_Guidance_Library/rgMakeModel.nsf/0/8b8d7ee0d2db0209862587e200690ef2/$FILE/A28NM_Rev47.pdf
6. 
A320 Family Airbus Fligt Training Pilot Manual
7. 
https://customer.janes.com/Janes/Display/JAE_0635-JAE_
</t>
        </r>
      </text>
    </comment>
    <comment ref="DD2" authorId="0" shapeId="0" xr:uid="{C05E44F3-0823-418B-B768-D88CD523C78D}">
      <text>
        <r>
          <rPr>
            <sz val="11"/>
            <color theme="1"/>
            <rFont val="Calibri"/>
            <family val="2"/>
            <scheme val="minor"/>
          </rPr>
          <t xml:space="preserve">Tsai, Michael:
1.   Use fuel capacity  19,435 kg MTOW 75500 kg Weight Variant 
chrome-extension://efaidnbmnnnibpcajpcglclefindmkaj/https://www.airbus.com/sites/g/files/jlcbta136/files/2022-02/Airbus-techdata-AC_A319_0322.pdf
2.
https://skybrary.aero/aircraft/a319
3.
https://modernairliners.com/airbus-a320-introduction/airbus-a320-specs/
4.
chrome-extension://efaidnbmnnnibpcajpcglclefindmkaj/https://rgl.faa.gov/Regulatory_and_Guidance_Library/rgMakeModel.nsf/0/fa74c08d4bd2d02386258281006d02a1/$FILE/E40NE_Rev_13.pdf
5. 
chrome-extension://efaidnbmnnnibpcajpcglclefindmkaj/https://rgl.faa.gov/Regulatory_and_Guidance_Library/rgMakeModel.nsf/0/8b8d7ee0d2db0209862587e200690ef2/$FILE/A28NM_Rev47.pdf
6. 
A320 Family Airbus Fligt Training Pilot Manual
</t>
        </r>
      </text>
    </comment>
    <comment ref="DE2" authorId="0" shapeId="0" xr:uid="{40BFD266-E68A-44F6-A6C0-7CBE7800D55A}">
      <text>
        <r>
          <rPr>
            <sz val="11"/>
            <color theme="1"/>
            <rFont val="Calibri"/>
            <family val="2"/>
            <scheme val="minor"/>
          </rPr>
          <t xml:space="preserve">Tsai, Michael:
1.  Use fuel capacity 19059 kg MTOW 64000 kg Weight Variant 
chrome-extension://efaidnbmnnnibpcajpcglclefindmkaj/https://www.airbus.com/sites/g/files/jlcbta136/files/2022-02/Airbus-techdata-AC_A319_0322.pdf
2.
https://skybrary.aero/aircraft/a319n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6. 
A320 Family Airbus Fligt Training Pilot Manual
</t>
        </r>
      </text>
    </comment>
    <comment ref="DF2" authorId="0" shapeId="0" xr:uid="{B9CE8AD3-6F41-4EFC-96B0-D310A832B962}">
      <text>
        <r>
          <rPr>
            <sz val="11"/>
            <color theme="1"/>
            <rFont val="Calibri"/>
            <family val="2"/>
            <scheme val="minor"/>
          </rPr>
          <t xml:space="preserve">Tsai, Michael:
1.  Use fuel capacity 19059 kg MTOW 75500 kg Weight Variant
chrome-extension://efaidnbmnnnibpcajpcglclefindmkaj/https://www.airbus.com/sites/g/files/jlcbta136/files/2022-02/Airbus-techdata-AC_A319_0322.pdf
2.
https://skybrary.aero/aircraft/a319n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6. 
A320 Family Airbus Fligt Training Pilot Manual
</t>
        </r>
      </text>
    </comment>
    <comment ref="DG2" authorId="0" shapeId="0" xr:uid="{41718AA7-51D6-4BEB-8AF3-C1B5B9EAA4E7}">
      <text>
        <r>
          <rPr>
            <sz val="11"/>
            <color theme="1"/>
            <rFont val="Calibri"/>
            <family val="2"/>
            <scheme val="minor"/>
          </rPr>
          <t xml:space="preserve">Tsai, Michael:
1. Use fuel capacity 19059 kg MTOW 64000 kg Weight Variant
chrome-extension://efaidnbmnnnibpcajpcglclefindmkaj/https://www.airbus.com/sites/g/files/jlcbta136/files/2022-02/Airbus-techdata-AC_A319_0322.pdf
2.
https://skybrary.aero/aircraft/a319n
3.
https://modernairliners.com/airbus-a320-introduction/airbus-a320-specs/
4.
chrome-extension://efaidnbmnnnibpcajpcglclefindmkaj/https://rgl.faa.gov/Regulatory_and_Guidance_Library/rgMakeModel.nsf/0/74e4c2086661f360862584120046b423/$FILE/E00087EN_Rev6.pdf
5. 
chrome-extension://efaidnbmnnnibpcajpcglclefindmkaj/https://rgl.faa.gov/Regulatory_and_Guidance_Library/rgMakeModel.nsf/0/8b8d7ee0d2db0209862587e200690ef2/$FILE/A28NM_Rev47.pdf
6. 
A320 Family Airbus Flight Training Pilot Manual
</t>
        </r>
      </text>
    </comment>
    <comment ref="DH2" authorId="0" shapeId="0" xr:uid="{4E5D864B-16A0-460A-854E-E42832546180}">
      <text>
        <r>
          <rPr>
            <sz val="11"/>
            <color theme="1"/>
            <rFont val="Calibri"/>
            <family val="2"/>
            <scheme val="minor"/>
          </rPr>
          <t xml:space="preserve">Tsai, Michael:
1.  Use fuel capacity 19436 kg MTOW 73500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chrome-extension://efaidnbmnnnibpcajpcglclefindmkaj/https://rgl.faa.gov/Regulatory_and_Guidance_Library/rgMakeModel.nsf/0/98e9833c9e9b394f86257b88004d0328/$FILE/E28NE_Rev_7.pdf
5. 
chrome-extension://efaidnbmnnnibpcajpcglclefindmkaj/https://rgl.faa.gov/Regulatory_and_Guidance_Library/rgMakeModel.nsf/0/8b8d7ee0d2db0209862587e200690ef2/$FILE/A28NM_Rev47.pdf
6.
A320 Family Airbus Flight Training Pilot Manual
7.
https://customer.janes.com/Janes/Display/JAE_0631-JAE_
</t>
        </r>
      </text>
    </comment>
    <comment ref="DI2" authorId="0" shapeId="0" xr:uid="{D62CCD12-68B4-4DC9-948A-9E7432049227}">
      <text>
        <r>
          <rPr>
            <sz val="11"/>
            <color theme="1"/>
            <rFont val="Calibri"/>
            <family val="2"/>
            <scheme val="minor"/>
          </rPr>
          <t xml:space="preserve">Tsai, Michael:
1.  Use fuel capacity 19436 kg MTOW 73500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chrome-extension://efaidnbmnnnibpcajpcglclefindmkaj/https://rgl.faa.gov/Regulatory_and_Guidance_Library/rgMakeModel.nsf/0/98e9833c9e9b394f86257b88004d0328/$FILE/E28NE_Rev_7.pdf
5. 
chrome-extension://efaidnbmnnnibpcajpcglclefindmkaj/https://rgl.faa.gov/Regulatory_and_Guidance_Library/rgMakeModel.nsf/0/8b8d7ee0d2db0209862587e200690ef2/$FILE/A28NM_Rev47.pdf
6.
A320 Family Airbus Flight Training Pilot Manual
</t>
        </r>
      </text>
    </comment>
    <comment ref="DJ2" authorId="0" shapeId="0" xr:uid="{76E88EBE-57B8-4281-A9D8-A5BA9B9EE399}">
      <text>
        <r>
          <rPr>
            <sz val="11"/>
            <color theme="1"/>
            <rFont val="Calibri"/>
            <family val="2"/>
            <scheme val="minor"/>
          </rPr>
          <t xml:space="preserve">Tsai, Michael:
1.  Use fuel capacity 19436 kg MTOW 78000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chrome-extension://efaidnbmnnnibpcajpcglclefindmkaj/https://rgl.faa.gov/Regulatory_and_Guidance_Library/rgMakeModel.nsf/0/7c1d9a1a698ab1bf862583360063075f/$FILE/E38NE_Rev_13.pdf
5. 
chrome-extension://efaidnbmnnnibpcajpcglclefindmkaj/https://rgl.faa.gov/Regulatory_and_Guidance_Library/rgMakeModel.nsf/0/8b8d7ee0d2db0209862587e200690ef2/$FILE/A28NM_Rev47.pdf
6.
A320 Family Airbus Flight Training Pilot Manual
</t>
        </r>
      </text>
    </comment>
    <comment ref="DK2" authorId="0" shapeId="0" xr:uid="{968AFD98-845B-454A-8720-49608DC5530A}">
      <text>
        <r>
          <rPr>
            <sz val="11"/>
            <color theme="1"/>
            <rFont val="Calibri"/>
            <family val="2"/>
            <scheme val="minor"/>
          </rPr>
          <t xml:space="preserve">Tsai, Michael:
1.  Use fuel capacity 19155 kg MTOW 73500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chrome-extension://efaidnbmnnnibpcajpcglclefindmkaj/https://rgl.faa.gov/Regulatory_and_Guidance_Library/rgMakeModel.nsf/0/f724dc616b554fc38525670c006a5edb/$FILE/E31ne.pdf
5. 
chrome-extension://efaidnbmnnnibpcajpcglclefindmkaj/https://rgl.faa.gov/Regulatory_and_Guidance_Library/rgMakeModel.nsf/0/8b8d7ee0d2db0209862587e200690ef2/$FILE/A28NM_Rev47.pdf
6.
A320 Family Airbus Flight Training Pilot Manual
</t>
        </r>
      </text>
    </comment>
    <comment ref="DL2" authorId="0" shapeId="0" xr:uid="{2DDBD0F9-6B59-432A-8997-6AEB84C3B80D}">
      <text>
        <r>
          <rPr>
            <sz val="11"/>
            <color theme="1"/>
            <rFont val="Calibri"/>
            <family val="2"/>
            <scheme val="minor"/>
          </rPr>
          <t xml:space="preserve">Tsai, Michael:
1.  Use fuel capacity 19155 kg MTOW 78000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chrome-extension://efaidnbmnnnibpcajpcglclefindmkaj/https://rgl.faa.gov/Regulatory_and_Guidance_Library/rgMakeModel.nsf/0/fa74c08d4bd2d02386258281006d02a1/$FILE/E40NE_Rev_13.pdf
5. 
chrome-extension://efaidnbmnnnibpcajpcglclefindmkaj/https://rgl.faa.gov/Regulatory_and_Guidance_Library/rgMakeModel.nsf/0/8b8d7ee0d2db0209862587e200690ef2/$FILE/A28NM_Rev47.pdf
6.
A320 Family Airbus Flight Training Pilot Manual
</t>
        </r>
      </text>
    </comment>
    <comment ref="DM2" authorId="0" shapeId="0" xr:uid="{D67654E6-5605-4044-BE88-62BD74C4F124}">
      <text>
        <r>
          <rPr>
            <sz val="11"/>
            <color theme="1"/>
            <rFont val="Calibri"/>
            <family val="2"/>
            <scheme val="minor"/>
          </rPr>
          <t xml:space="preserve">Tsai, Michael:
1.  Use fuel capacity 19059 kg MTOW 73500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6.
A320 Family Airbus Flight Training Pilot Manual
</t>
        </r>
      </text>
    </comment>
    <comment ref="DN2" authorId="0" shapeId="0" xr:uid="{C0490FE8-AF17-45E2-9B59-39335D125331}">
      <text>
        <r>
          <rPr>
            <sz val="11"/>
            <color theme="1"/>
            <rFont val="Calibri"/>
            <family val="2"/>
            <scheme val="minor"/>
          </rPr>
          <t xml:space="preserve">Tsai, Michael:
1.  Use fuel capacity 19059 kg MTOW 79000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6.
A320 Family Airbus Flight Training Pilot Manual
</t>
        </r>
      </text>
    </comment>
    <comment ref="DO2" authorId="0" shapeId="0" xr:uid="{EB87B9EA-7433-475E-B075-C39B2FD90531}">
      <text>
        <r>
          <rPr>
            <sz val="11"/>
            <color theme="1"/>
            <rFont val="Calibri"/>
            <family val="2"/>
            <scheme val="minor"/>
          </rPr>
          <t xml:space="preserve">Tsai, Michael:
1.  Use fuel capacity 19059 kg MTOW 79000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chrome-extension://efaidnbmnnnibpcajpcglclefindmkaj/https://rgl.faa.gov/Regulatory_and_Guidance_Library/rgMakeModel.nsf/0/74e4c2086661f360862584120046b423/$FILE/E00087EN_Rev6.pdf
5. 
chrome-extension://efaidnbmnnnibpcajpcglclefindmkaj/https://rgl.faa.gov/Regulatory_and_Guidance_Library/rgMakeModel.nsf/0/8b8d7ee0d2db0209862587e200690ef2/$FILE/A28NM_Rev47.pdf
6.
A320 Family Airbus Flight Training Pilot Manual
</t>
        </r>
      </text>
    </comment>
    <comment ref="DP2" authorId="0" shapeId="0" xr:uid="{B1DC1D43-9F2C-44E3-A8D6-320EE15D88C6}">
      <text>
        <r>
          <rPr>
            <sz val="11"/>
            <color theme="1"/>
            <rFont val="Calibri"/>
            <family val="2"/>
            <scheme val="minor"/>
          </rPr>
          <t xml:space="preserve">Tsai, Michael:
1.  Use fuel capacity 19059 kg MTOW 73500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chrome-extension://efaidnbmnnnibpcajpcglclefindmkaj/https://rgl.faa.gov/Regulatory_and_Guidance_Library/rgMakeModel.nsf/0/74e4c2086661f360862584120046b423/$FILE/E00087EN_Rev6.pdf
5. 
chrome-extension://efaidnbmnnnibpcajpcglclefindmkaj/https://rgl.faa.gov/Regulatory_and_Guidance_Library/rgMakeModel.nsf/0/8b8d7ee0d2db0209862587e200690ef2/$FILE/A28NM_Rev47.pdf
6.
A320 Family Airbus Flight Training Pilot Manual
</t>
        </r>
      </text>
    </comment>
    <comment ref="DQ2" authorId="0" shapeId="0" xr:uid="{F6C43195-4311-4118-9F17-27BD79961140}">
      <text>
        <r>
          <rPr>
            <sz val="11"/>
            <color theme="1"/>
            <rFont val="Calibri"/>
            <family val="2"/>
            <scheme val="minor"/>
          </rPr>
          <t xml:space="preserve">Tsai, Michael:
1.  Use fuel capacity 19059 kg MTOW 79000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6.
A320 Family Airbus Flight Training Pilot Manual
</t>
        </r>
      </text>
    </comment>
    <comment ref="DR2" authorId="0" shapeId="0" xr:uid="{D686F3E9-67B0-4BE3-91A2-8358001182E4}">
      <text>
        <r>
          <rPr>
            <sz val="11"/>
            <color theme="1"/>
            <rFont val="Calibri"/>
            <family val="2"/>
            <scheme val="minor"/>
          </rPr>
          <t xml:space="preserve">Tsai, Michael:
1.  Use fuel capacity 19059 kg MTOW 79000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chrome-extension://efaidnbmnnnibpcajpcglclefindmkaj/https://rgl.faa.gov/Regulatory_and_Guidance_Library/rgMakeModel.nsf/0/74e4c2086661f360862584120046b423/$FILE/E00087EN_Rev6.pdf
5. 
chrome-extension://efaidnbmnnnibpcajpcglclefindmkaj/https://rgl.faa.gov/Regulatory_and_Guidance_Library/rgMakeModel.nsf/0/8b8d7ee0d2db0209862587e200690ef2/$FILE/A28NM_Rev47.pdf
6.
A320 Family Airbus Flight Training Pilot Manual
</t>
        </r>
      </text>
    </comment>
    <comment ref="DS2" authorId="0" shapeId="0" xr:uid="{DADF3276-7800-41D7-B925-F35363BC026D}">
      <text>
        <r>
          <rPr>
            <sz val="11"/>
            <color theme="1"/>
            <rFont val="Calibri"/>
            <family val="2"/>
            <scheme val="minor"/>
          </rPr>
          <t xml:space="preserve">Tsai, Michael:
1.  Use fuel capacity 19,308 kg MTOW 83000 kg Weight Variant 
chrome-extension://efaidnbmnnnibpcajpcglclefindmkaj/https://www.airbus.com/sites/g/files/jlcbta136/files/2022-02/Airbus-techdata-AC_A321_0322.pdf
2.
https://skybrary.aero/aircraft/a321
3.
https://modernairliners.com/airbus-a320-introduction/airbus-a320-specs/
4.
chrome-extension://efaidnbmnnnibpcajpcglclefindmkaj/https://rgl.faa.gov/Regulatory_and_Guidance_Library/rgMakeModel.nsf/0/7c1d9a1a698ab1bf862583360063075f/$FILE/E38NE_Rev_13.pdf
5. 
chrome-extension://efaidnbmnnnibpcajpcglclefindmkaj/https://rgl.faa.gov/Regulatory_and_Guidance_Library/rgMakeModel.nsf/0/8b8d7ee0d2db0209862587e200690ef2/$FILE/A28NM_Rev47.pdf
6.
https://customer.janes.com/Janes/Display/JAE_0631-JAE_
</t>
        </r>
      </text>
    </comment>
    <comment ref="DT2" authorId="0" shapeId="0" xr:uid="{63C119F1-F7D8-418A-9E4B-4B7422AD464E}">
      <text>
        <r>
          <rPr>
            <sz val="11"/>
            <color theme="1"/>
            <rFont val="Calibri"/>
            <family val="2"/>
            <scheme val="minor"/>
          </rPr>
          <t xml:space="preserve">Tsai, Michael:
1.  Use fuel capacity 19,027 kg MTOW 83000 kg Weight Variant 
chrome-extension://efaidnbmnnnibpcajpcglclefindmkaj/https://www.airbus.com/sites/g/files/jlcbta136/files/2022-02/Airbus-techdata-AC_A321_0322.pdf
2.
https://skybrary.aero/aircraft/a321
3.
https://modernairliners.com/airbus-a320-introduction/airbus-a320-specs/
4.
chrome-extension://efaidnbmnnnibpcajpcglclefindmkaj/https://rgl.faa.gov/Regulatory_and_Guidance_Library/rgMakeModel.nsf/0/fa74c08d4bd2d02386258281006d02a1/$FILE/E40NE_Rev_13.pdf
5. 
chrome-extension://efaidnbmnnnibpcajpcglclefindmkaj/https://rgl.faa.gov/Regulatory_and_Guidance_Library/rgMakeModel.nsf/0/8b8d7ee0d2db0209862587e200690ef2/$FILE/A28NM_Rev47.pdf
</t>
        </r>
      </text>
    </comment>
    <comment ref="DU2" authorId="0" shapeId="0" xr:uid="{D12091FE-E474-4EC0-A16C-5AD0293198E7}">
      <text>
        <r>
          <rPr>
            <sz val="11"/>
            <color theme="1"/>
            <rFont val="Calibri"/>
            <family val="2"/>
            <scheme val="minor"/>
          </rPr>
          <t xml:space="preserve">Tsai, Michael:
1.  Use fuel capacity 19,308 kg MTOW 89000 kg Weight Variant 
chrome-extension://efaidnbmnnnibpcajpcglclefindmkaj/https://www.airbus.com/sites/g/files/jlcbta136/files/2022-02/Airbus-techdata-AC_A321_0322.pdf
2.
https://skybrary.aero/aircraft/a321
3.
https://modernairliners.com/airbus-a320-introduction/airbus-a320-specs/
4.
chrome-extension://efaidnbmnnnibpcajpcglclefindmkaj/https://rgl.faa.gov/Regulatory_and_Guidance_Library/rgMakeModel.nsf/0/7c1d9a1a698ab1bf862583360063075f/$FILE/E38NE_Rev_13.pdf
5. 
chrome-extension://efaidnbmnnnibpcajpcglclefindmkaj/https://rgl.faa.gov/Regulatory_and_Guidance_Library/rgMakeModel.nsf/0/8b8d7ee0d2db0209862587e200690ef2/$FILE/A28NM_Rev47.pdf
</t>
        </r>
      </text>
    </comment>
    <comment ref="DV2" authorId="0" shapeId="0" xr:uid="{1AE5F050-939C-424D-BA55-B35FD954F149}">
      <text>
        <r>
          <rPr>
            <sz val="11"/>
            <color theme="1"/>
            <rFont val="Calibri"/>
            <family val="2"/>
            <scheme val="minor"/>
          </rPr>
          <t xml:space="preserve">Tsai, Michael:
1.  Use fuel capacity 19,308 kg MTOW 93500 kg Weight Variant 
chrome-extension://efaidnbmnnnibpcajpcglclefindmkaj/https://www.airbus.com/sites/g/files/jlcbta136/files/2022-02/Airbus-techdata-AC_A321_0322.pdf
2.
https://skybrary.aero/aircraft/a321
3.
https://modernairliners.com/airbus-a320-introduction/airbus-a320-specs/
4.
chrome-extension://efaidnbmnnnibpcajpcglclefindmkaj/https://rgl.faa.gov/Regulatory_and_Guidance_Library/rgMakeModel.nsf/0/7c1d9a1a698ab1bf862583360063075f/$FILE/E38NE_Rev_13.pdf
5. 
chrome-extension://efaidnbmnnnibpcajpcglclefindmkaj/https://rgl.faa.gov/Regulatory_and_Guidance_Library/rgMakeModel.nsf/0/8b8d7ee0d2db0209862587e200690ef2/$FILE/A28NM_Rev47.pdf
</t>
        </r>
      </text>
    </comment>
    <comment ref="DW2" authorId="0" shapeId="0" xr:uid="{3FEBF6C2-2BD7-4EE9-AC06-A3C035AB8A93}">
      <text>
        <r>
          <rPr>
            <sz val="11"/>
            <color theme="1"/>
            <rFont val="Calibri"/>
            <family val="2"/>
            <scheme val="minor"/>
          </rPr>
          <t xml:space="preserve">Tsai, Michael:
1.  Use fuel capacity 19,027 kg MTOW 93500 kg Weight Variant 
chrome-extension://efaidnbmnnnibpcajpcglclefindmkaj/https://www.airbus.com/sites/g/files/jlcbta136/files/2022-02/Airbus-techdata-AC_A321_0322.pdf
2.
https://skybrary.aero/aircraft/a321
3.
https://modernairliners.com/airbus-a320-introduction/airbus-a320-specs/
4.
chrome-extension://efaidnbmnnnibpcajpcglclefindmkaj/https://rgl.faa.gov/Regulatory_and_Guidance_Library/rgMakeModel.nsf/0/fa74c08d4bd2d02386258281006d02a1/$FILE/E40NE_Rev_13.pdf
5. 
chrome-extension://efaidnbmnnnibpcajpcglclefindmkaj/https://rgl.faa.gov/Regulatory_and_Guidance_Library/rgMakeModel.nsf/0/8b8d7ee0d2db0209862587e200690ef2/$FILE/A28NM_Rev47.pdf
</t>
        </r>
      </text>
    </comment>
    <comment ref="DX2" authorId="0" shapeId="0" xr:uid="{09547F05-5791-49A2-8FF7-59A836F6CFDF}">
      <text>
        <r>
          <rPr>
            <sz val="11"/>
            <color theme="1"/>
            <rFont val="Calibri"/>
            <family val="2"/>
            <scheme val="minor"/>
          </rPr>
          <t xml:space="preserve">Tsai, Michael:
1.  Use fuel capacity 18,859 kg MTOW 89000 kg Weight Variant 
chrome-extension://efaidnbmnnnibpcajpcglclefindmkaj/https://www.airbus.com/sites/g/files/jlcbta136/files/2022-02/Airbus-techdata-AC_A321_0322.pdf
2.
https://skybrary.aero/aircraft/a21n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t>
        </r>
      </text>
    </comment>
    <comment ref="DY2" authorId="0" shapeId="0" xr:uid="{DC3645E6-8739-4711-BEDD-177EFBD5B22D}">
      <text>
        <r>
          <rPr>
            <sz val="11"/>
            <color theme="1"/>
            <rFont val="Calibri"/>
            <family val="2"/>
            <scheme val="minor"/>
          </rPr>
          <t xml:space="preserve">Tsai, Michael:
1.  Use fuel capacity 18,859 kg MTOW 93500 kg Weight Variant 
chrome-extension://efaidnbmnnnibpcajpcglclefindmkaj/https://www.airbus.com/sites/g/files/jlcbta136/files/2022-02/Airbus-techdata-AC_A321_0322.pdf
2.
https://skybrary.aero/aircraft/a21n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t>
        </r>
      </text>
    </comment>
    <comment ref="DZ2" authorId="0" shapeId="0" xr:uid="{14F2F0AE-5924-4A01-837C-0DD189ACDCC3}">
      <text>
        <r>
          <rPr>
            <sz val="11"/>
            <color theme="1"/>
            <rFont val="Calibri"/>
            <family val="2"/>
            <scheme val="minor"/>
          </rPr>
          <t xml:space="preserve">Tsai, Michael:
1.  Use fuel capacity 18,859 kg MTOW 93500 kg Weight Variant 
chrome-extension://efaidnbmnnnibpcajpcglclefindmkaj/https://www.airbus.com/sites/g/files/jlcbta136/files/2022-02/Airbus-techdata-AC_A321_0322.pdf
2.
https://skybrary.aero/aircraft/a21n
3.
https://modernairliners.com/airbus-a320-introduction/airbus-a320-specs/
4.
chrome-extension://efaidnbmnnnibpcajpcglclefindmkaj/https://rgl.faa.gov/Regulatory_and_Guidance_Library/rgMakeModel.nsf/0/74e4c2086661f360862584120046b423/$FILE/E00087EN_Rev6.pdf
5. 
chrome-extension://efaidnbmnnnibpcajpcglclefindmkaj/https://rgl.faa.gov/Regulatory_and_Guidance_Library/rgMakeModel.nsf/0/8b8d7ee0d2db0209862587e200690ef2/$FILE/A28NM_Rev47.pdf
</t>
        </r>
      </text>
    </comment>
    <comment ref="EA2" authorId="0" shapeId="0" xr:uid="{511F1D7D-63D7-4285-A360-594B8661C3CB}">
      <text>
        <r>
          <rPr>
            <sz val="11"/>
            <color theme="1"/>
            <rFont val="Calibri"/>
            <family val="2"/>
            <scheme val="minor"/>
          </rPr>
          <t xml:space="preserve">Tsai, Michael:
1.  Use fuel capacity 26,448 kg MTOW 97000 kg Weight Variant 
chrome-extension://efaidnbmnnnibpcajpcglclefindmkaj/https://www.airbus.com/sites/g/files/jlcbta136/files/2022-02/Airbus-techdata-AC_A321_0322.pdf
2.
https://skybrary.aero/aircraft/a21n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t>
        </r>
      </text>
    </comment>
    <comment ref="EB2" authorId="0" shapeId="0" xr:uid="{3BC09270-0431-45B8-AFE3-F4FFC9026DDF}">
      <text>
        <r>
          <rPr>
            <sz val="11"/>
            <color theme="1"/>
            <rFont val="Calibri"/>
            <family val="2"/>
            <scheme val="minor"/>
          </rPr>
          <t xml:space="preserve">Tsai, Michael:
1.  Use fuel capacity kg MTOW 101000 kg Weight Variant 
chrome-extension://efaidnbmnnnibpcajpcglclefindmkaj/https://www.airbus.com/sites/g/files/jlcbta136/files/2022-02/Airbus-techdata-AC_A321_0322.pdf
2.
https://skybrary.aero/aircraft/a21n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t>
        </r>
      </text>
    </comment>
    <comment ref="EC2" authorId="0" shapeId="0" xr:uid="{C798402A-980F-4D5A-A2FD-5ED68C89ACD7}">
      <text>
        <r>
          <rPr>
            <sz val="11"/>
            <color theme="1"/>
            <rFont val="Calibri"/>
            <family val="2"/>
            <scheme val="minor"/>
          </rPr>
          <t xml:space="preserve">Tsai, Michael:
1.  Use fuel capacity 
31,911kg MTOW 101000 kg Weight Variant 
chrome-extension://efaidnbmnnnibpcajpcglclefindmkaj/https://www.airbus.com/sites/g/files/jlcbta136/files/2022-02/Airbus-techdata-AC_A321_0322.pdf
2.
https://skybrary.aero/aircraft/a21n
3.
https://modernairliners.com/airbus-a320-introduction/airbus-a320-specs/
4.
chrome-extension://efaidnbmnnnibpcajpcglclefindmkaj/https://rgl.faa.gov/Regulatory_and_Guidance_Library/rgMakeModel.nsf/0/74e4c2086661f360862584120046b423/$FILE/E00087EN_Rev6.pdf
5. 
chrome-extension://efaidnbmnnnibpcajpcglclefindmkaj/https://rgl.faa.gov/Regulatory_and_Guidance_Library/rgMakeModel.nsf/0/8b8d7ee0d2db0209862587e200690ef2/$FILE/A28NM_Rev47.pdf
</t>
        </r>
      </text>
    </comment>
    <comment ref="ED2" authorId="0" shapeId="0" xr:uid="{CAD7A91D-F4E0-446E-B430-663CE3B9FB3C}">
      <text>
        <r>
          <rPr>
            <sz val="11"/>
            <color theme="1"/>
            <rFont val="Calibri"/>
            <family val="2"/>
            <scheme val="minor"/>
          </rPr>
          <t xml:space="preserve">Tsai, Michael:
1.  Use fuel capacity kg MTOW kg Weight Variant 
https://customer.janes.com/Janes/Display/JAWA0061-JAWA
2.
FAA ERJ
3.
ERJ APM
4.
https://skybrary.aero/aircraft/e170
5. 
chrome-extension://efaidnbmnnnibpcajpcglclefindmkaj/https://rgl.faa.gov/Regulatory_and_Guidance_Library/rgMakeModel.nsf/0/8791d80ecf9b508486258074005a16b0/$FILE/E00063EN_Rev_8.pdf
</t>
        </r>
      </text>
    </comment>
    <comment ref="EE2" authorId="0" shapeId="0" xr:uid="{90618655-3C98-4E22-BF42-BE12593A46E6}">
      <text>
        <r>
          <rPr>
            <sz val="11"/>
            <color theme="1"/>
            <rFont val="Calibri"/>
            <family val="2"/>
            <scheme val="minor"/>
          </rPr>
          <t xml:space="preserve">Tsai, Michael:
1.  Use fuel capacity kg MTOW kg Weight Variant 
https://customer.janes.com/Janes/Display/JAWA0061-JAWA
2.
FAA ERJ
3.
ERJ APM
4.
5. 
</t>
        </r>
      </text>
    </comment>
    <comment ref="EF2" authorId="0" shapeId="0" xr:uid="{39ED4E48-6157-4CBF-9A11-DBDCC13FB956}">
      <text>
        <r>
          <rPr>
            <sz val="11"/>
            <color theme="1"/>
            <rFont val="Calibri"/>
            <family val="2"/>
            <scheme val="minor"/>
          </rPr>
          <t xml:space="preserve">Tsai, Michael:
1.  Use fuel capacity kg MTOW kg Weight Variant 
https://customer.janes.com/Janes/Display/JAWA0061-JAWA
2.
FAA ERJ
3.
ERJ APM
4.
5. 
</t>
        </r>
      </text>
    </comment>
    <comment ref="EG2" authorId="0" shapeId="0" xr:uid="{418DD817-561F-49D5-AF15-11BB40D5717D}">
      <text>
        <r>
          <rPr>
            <sz val="11"/>
            <color theme="1"/>
            <rFont val="Calibri"/>
            <family val="2"/>
            <scheme val="minor"/>
          </rPr>
          <t xml:space="preserve">Tsai, Michael:
1.  Use fuel capacity kg MTOW kg Weight Variant 
https://customer.janes.com/Janes/Display/JAWA0061-JAWA
2.
FAA ERJ
3.
ERJ APM
4.
5. 
</t>
        </r>
      </text>
    </comment>
    <comment ref="EH2" authorId="0" shapeId="0" xr:uid="{8BC56D35-A047-4458-9A68-029E7ED9EB26}">
      <text>
        <r>
          <rPr>
            <sz val="11"/>
            <color theme="1"/>
            <rFont val="Calibri"/>
            <family val="2"/>
            <scheme val="minor"/>
          </rPr>
          <t xml:space="preserve">Tsai, Michael:
1.  Use fuel capacity kg MTOW kg Weight Variant 
https://customer.janes.com/Janes/Display/JAWA0061-JAWA
2.
FAA ERJ
3.
ERJ APM
4.
5. 
</t>
        </r>
      </text>
    </comment>
    <comment ref="EI2" authorId="0" shapeId="0" xr:uid="{F9F75576-048E-4EC9-91A6-7F3CB4DD86B3}">
      <text>
        <r>
          <rPr>
            <sz val="11"/>
            <color theme="1"/>
            <rFont val="Calibri"/>
            <family val="2"/>
            <scheme val="minor"/>
          </rPr>
          <t xml:space="preserve">Tsai, Michael:
1.  Use fuel capacity kg MTOW kg Weight Variant 
https://customer.janes.com/Janes/Display/JAWA0061-JAWA
2.
FAA ERJ
3.
ERJ APM
4.
5. 
</t>
        </r>
      </text>
    </comment>
    <comment ref="EJ2" authorId="0" shapeId="0" xr:uid="{0F8CE718-821C-4BD6-93F9-F5A2D2233A55}">
      <text>
        <r>
          <rPr>
            <sz val="11"/>
            <color theme="1"/>
            <rFont val="Calibri"/>
            <family val="2"/>
            <scheme val="minor"/>
          </rPr>
          <t xml:space="preserve">Tsai, Michael:
1.  Use fuel capacity kg MTOW kg Weight Variant 
https://customer.janes.com/Janes/Display/JAWA0061-JAWA
2.
chrome-extension://efaidnbmnnnibpcajpcglclefindmkaj/https://rgl.faa.gov/Regulatory_and_Guidance_Library/rgMakeModel.nsf/0/f1ceafc6b7c41c07862587d4004dd1a6/$FILE/A57NM_Rev22.pdf
3.
ERJ APM
4.
https://www.skybrary.aero/aircraft/e190
5. 
</t>
        </r>
      </text>
    </comment>
    <comment ref="EK2" authorId="0" shapeId="0" xr:uid="{E60BF2CC-9B28-4427-8676-2522068AEEDC}">
      <text>
        <r>
          <rPr>
            <sz val="11"/>
            <color theme="1"/>
            <rFont val="Calibri"/>
            <family val="2"/>
            <scheme val="minor"/>
          </rPr>
          <t xml:space="preserve">Tsai, Michael:
1.  Use fuel capacity kg MTOW kg Weight Variant 
https://customer.janes.com/Janes/Display/JAWA0061-JAWA
2.
chrome-extension://efaidnbmnnnibpcajpcglclefindmkaj/https://rgl.faa.gov/Regulatory_and_Guidance_Library/rgMakeModel.nsf/0/f1ceafc6b7c41c07862587d4004dd1a6/$FILE/A57NM_Rev22.pdf
3.
ERJ APM
4.
5. 
</t>
        </r>
      </text>
    </comment>
    <comment ref="EL2" authorId="0" shapeId="0" xr:uid="{1C58D397-0DFF-4B0F-8B4D-BA98E0B980AA}">
      <text>
        <r>
          <rPr>
            <sz val="11"/>
            <color theme="1"/>
            <rFont val="Calibri"/>
            <family val="2"/>
            <scheme val="minor"/>
          </rPr>
          <t xml:space="preserve">Tsai, Michael:
1.  Use fuel capacity kg MTOW kg Weight Variant 
https://customer.janes.com/Janes/Display/JAWA0061-JAWA
2.
chrome-extension://efaidnbmnnnibpcajpcglclefindmkaj/https://rgl.faa.gov/Regulatory_and_Guidance_Library/rgMakeModel.nsf/0/f1ceafc6b7c41c07862587d4004dd1a6/$FILE/A57NM_Rev22.pdf
3.
ERJ APM
4.
5. 
</t>
        </r>
      </text>
    </comment>
    <comment ref="EM2" authorId="0" shapeId="0" xr:uid="{0DF67290-4844-4E3B-87F6-2EE95ED5DE70}">
      <text>
        <r>
          <rPr>
            <sz val="11"/>
            <color theme="1"/>
            <rFont val="Calibri"/>
            <family val="2"/>
            <scheme val="minor"/>
          </rPr>
          <t xml:space="preserve">Tsai, Michael:
1.  Use fuel capacity kg MTOW kg Weight Variant 
https://customer.janes.com/Janes/Display/JAWA0061-JAWA
2.
chrome-extension://efaidnbmnnnibpcajpcglclefindmkaj/https://rgl.faa.gov/Regulatory_and_Guidance_Library/rgMakeModel.nsf/0/f1ceafc6b7c41c07862587d4004dd1a6/$FILE/A57NM_Rev22.pdf
3.
ERJ APM
4.
5. 
</t>
        </r>
      </text>
    </comment>
    <comment ref="EN2" authorId="0" shapeId="0" xr:uid="{BE588242-CCCF-40B3-AB9A-B54FFC131937}">
      <text>
        <r>
          <rPr>
            <sz val="11"/>
            <color theme="1"/>
            <rFont val="Calibri"/>
            <family val="2"/>
            <scheme val="minor"/>
          </rPr>
          <t xml:space="preserve">Tsai, Michael:
1.  Use fuel capacity kg MTOW kg Weight Variant 
https://customer.janes.com/Janes/Display/JAWA0061-JAWA
2.
chrome-extension://efaidnbmnnnibpcajpcglclefindmkaj/https://rgl.faa.gov/Regulatory_and_Guidance_Library/rgMakeModel.nsf/0/f1ceafc6b7c41c07862587d4004dd1a6/$FILE/A57NM_Rev22.pdf
3.
ERJ APM
4.
5. 
</t>
        </r>
      </text>
    </comment>
    <comment ref="EO2" authorId="0" shapeId="0" xr:uid="{C0222390-B8FC-45BF-808B-0A3D52B3AAC8}">
      <text>
        <r>
          <rPr>
            <sz val="11"/>
            <color theme="1"/>
            <rFont val="Calibri"/>
            <family val="2"/>
            <scheme val="minor"/>
          </rPr>
          <t xml:space="preserve">Tsai, Michael:
1.  Use fuel capacity kg MTOW kg Weight Variant 
https://customer.janes.com/Janes/Display/JAWA0061-JAWA
2.
chrome-extension://efaidnbmnnnibpcajpcglclefindmkaj/https://rgl.faa.gov/Regulatory_and_Guidance_Library/rgMakeModel.nsf/0/f1ceafc6b7c41c07862587d4004dd1a6/$FILE/A57NM_Rev22.pdf
3.
ERJ APM
4.
5. 
</t>
        </r>
      </text>
    </comment>
    <comment ref="EP2" authorId="0" shapeId="0" xr:uid="{B9B714D6-5C8F-44FC-92F4-27CA5446226B}">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EQ2" authorId="0" shapeId="0" xr:uid="{4405FEBF-6EA4-41DE-B659-ABCDA012C8BA}">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ER2" authorId="0" shapeId="0" xr:uid="{C8442503-0A91-4175-8EEA-FC3FE5460C63}">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ES2" authorId="0" shapeId="0" xr:uid="{E792A229-E538-4D60-A3B3-78E51F17B610}">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ET2" authorId="0" shapeId="0" xr:uid="{AD681821-E3FE-4C4E-AD1C-063890C1DC2E}">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EU2" authorId="0" shapeId="0" xr:uid="{8F3174D9-E641-47F8-8A5C-988F80CCE143}">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EV2" authorId="0" shapeId="0" xr:uid="{DD9A533A-718C-4BB3-B438-8AAB590820BE}">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EW2" authorId="0" shapeId="0" xr:uid="{F430DBA7-205B-4D4E-B35C-DE8180DB7CB8}">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EX2" authorId="0" shapeId="0" xr:uid="{EB882F32-8B73-4849-8A9A-10285770B704}">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EY2" authorId="0" shapeId="0" xr:uid="{FEC3404F-F8DB-4A80-A1BE-79285AE5293F}">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https://www.klm.com/information/travel-class-extra-options/aircraft-types/embraer-195-e2#about-the-embraer-195-e2
5. 
</t>
        </r>
      </text>
    </comment>
    <comment ref="EZ2" authorId="0" shapeId="0" xr:uid="{97874F89-5A19-4738-A489-7AD33F7239C2}">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chrome-extension://efaidnbmnnnibpcajpcglclefindmkaj/https://customer.aero.bombardier.com/webd/BAG/CustSite/BRAD/RACSDocument.nsf/51aae8b2b3bfdf6685256c300045ff31/ec63f8639ff3ab9d85257c1500635bd8/$FILE/ATT1ES4H.pdf/CRJ200APMR8.pdf
3.
4.
5. 
</t>
        </r>
      </text>
    </comment>
    <comment ref="FA2" authorId="0" shapeId="0" xr:uid="{D2FADAAB-1FC1-423C-BF12-DAE4CA2BE39C}">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chrome-extension://efaidnbmnnnibpcajpcglclefindmkaj/https://customer.aero.bombardier.com/webd/BAG/CustSite/BRAD/RACSDocument.nsf/51aae8b2b3bfdf6685256c300045ff31/ec63f8639ff3ab9d85257c1500635bd8/$FILE/ATT1ES4H.pdf/CRJ200APMR8.pdf
3.
https://drs.faa.gov/browse/excelExternalWindow/D2BF05B9565184E886257CFC004E7259.0001
4.
5. 
</t>
        </r>
      </text>
    </comment>
    <comment ref="FB2" authorId="0" shapeId="0" xr:uid="{963717B5-9B4F-4680-8DCB-49C1775BF93D}">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chrome-extension://efaidnbmnnnibpcajpcglclefindmkaj/https://customer.aero.bombardier.com/webd/BAG/CustSite/BRAD/RACSDocument.nsf/51aae8b2b3bfdf6685256c300045ff31/ec63f8639ff3ab9d85257c1500635bd8/$FILE/ATT1ES4H.pdf/CRJ200APMR8.pdf
3.
4.
5. 
</t>
        </r>
      </text>
    </comment>
    <comment ref="FC2" authorId="0" shapeId="0" xr:uid="{4EB54C28-CD36-4D4A-8EB6-7C921ED15BE4}">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chrome-extension://efaidnbmnnnibpcajpcglclefindmkaj/https://customer.aero.bombardier.com/webd/BAG/CustSite/BRAD/RACSDocument.nsf/51aae8b2b3bfdf6685256c300045ff31/ec63f8639ff3ab9d85257c1500635bd8/$FILE/ATT1ES4H.pdf/CRJ200APMR8.pdf
3.
4.
5. 
</t>
        </r>
      </text>
    </comment>
    <comment ref="FD2" authorId="0" shapeId="0" xr:uid="{01F030D1-6B2B-4257-B9A0-FEDBCD9B3873}">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chrome-extension://efaidnbmnnnibpcajpcglclefindmkaj/https://customer.aero.bombardier.com/webd/BAG/CustSite/BRAD/RACSDocument.nsf/51aae8b2b3bfdf6685256c300045ff31/ec63f8639ff3ab9d85257c1500635bd8/$FILE/ATT1ES4H.pdf/CRJ200APMR8.pdf
3.
4.
5. 
</t>
        </r>
      </text>
    </comment>
    <comment ref="FE2" authorId="0" shapeId="0" xr:uid="{A5D91AE1-97C0-4A7A-98F4-091D5F336437}">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chrome-extension://efaidnbmnnnibpcajpcglclefindmkaj/https://customer.aero.bombardier.com/webd/BAG/CustSite/BRAD/RACSDocument.nsf/51aae8b2b3bfdf6685256c300045ff31/ec63f8639ff3ab9d85257c1500635bd8/$FILE/ATTE8Q23.pdf/CRJ700APMR15.pdf
3.
4.
5. 
</t>
        </r>
      </text>
    </comment>
    <comment ref="FF2" authorId="0" shapeId="0" xr:uid="{0A9ADC23-3C27-4B67-BF41-EEF5CBD90367}">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chrome-extension://efaidnbmnnnibpcajpcglclefindmkaj/https://customer.aero.bombardier.com/webd/BAG/CustSite/BRAD/RACSDocument.nsf/51aae8b2b3bfdf6685256c300045ff31/ec63f8639ff3ab9d85257c1500635bd8/$FILE/ATTQF1EY.pdf/CRJ900APMR11.pdf
3.
4.
5. 
</t>
        </r>
      </text>
    </comment>
    <comment ref="FG2" authorId="0" shapeId="0" xr:uid="{D9D30DB1-76DA-43F3-AD71-77CE03274206}">
      <text>
        <r>
          <rPr>
            <sz val="11"/>
            <color theme="1"/>
            <rFont val="Calibri"/>
            <family val="2"/>
            <scheme val="minor"/>
          </rPr>
          <t xml:space="preserve">Tsai, Michael:
1.  Use fuel capacity kg MTOW kg Weight Variant 
2.
http://tealgroup.com/images/TGCTOC/sample-babeng.pdf
chrome-extension://efaidnbmnnnibpcajpcglclefindmkaj/https://customer.aero.bombardier.com/webd/BAG/CustSite/BRAD/RACSDocument.nsf/51aae8b2b3bfdf6685256c300045ff31/ec63f8639ff3ab9d85257c1500635bd8/$FILE/ATTQF1EY.pdf/CRJ900APMR11.pdf
3.
4.
5. 
</t>
        </r>
      </text>
    </comment>
    <comment ref="FH2" authorId="0" shapeId="0" xr:uid="{2FB25922-0B51-4BE3-8F01-CD81E5FB6E75}">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chrome-extension://efaidnbmnnnibpcajpcglclefindmkaj/https://customer.aero.bombardier.com/webd/BAG/CustSite/BRAD/RACSDocument.nsf/51aae8b2b3bfdf6685256c300045ff31/ec63f8639ff3ab9d85257c1500635bd8/$FILE/ATT82VLY.pdf/CRJ1000APMR8.pdf
3.
4.
5. 
</t>
        </r>
      </text>
    </comment>
    <comment ref="A5" authorId="0" shapeId="0" xr:uid="{9C8AD074-A032-448F-9168-F110F03DECE9}">
      <text>
        <r>
          <rPr>
            <sz val="11"/>
            <color theme="1"/>
            <rFont val="Calibri"/>
            <family val="2"/>
            <scheme val="minor"/>
          </rPr>
          <t>Tsai, Michael:
&lt;19 TJ (Light Red)
20 - 100 TJ (Light Green)
100 - 250 TJ (Light Blue)
Business Jets (Purple)</t>
        </r>
      </text>
    </comment>
    <comment ref="AF6" authorId="0" shapeId="0" xr:uid="{A9561DBC-4625-4153-A885-31F83E1F7F3A}">
      <text>
        <r>
          <rPr>
            <sz val="11"/>
            <color theme="1"/>
            <rFont val="Calibri"/>
            <family val="2"/>
            <scheme val="minor"/>
          </rPr>
          <t>Tsai, Michael:
7 pallets + 69 passenger
or 
13 pallets</t>
        </r>
      </text>
    </comment>
    <comment ref="AQ6" authorId="0" shapeId="0" xr:uid="{A5477307-F808-4901-B88F-9E4C2DECC8D9}">
      <text>
        <r>
          <rPr>
            <sz val="11"/>
            <color theme="1"/>
            <rFont val="Calibri"/>
            <family val="2"/>
            <scheme val="minor"/>
          </rPr>
          <t xml:space="preserve">Tsai, Michael:
First class: 12 
Economy: 73
</t>
        </r>
      </text>
    </comment>
    <comment ref="B7" authorId="0" shapeId="0" xr:uid="{91A41886-C4D3-49C6-B149-679F8558FB01}">
      <text>
        <r>
          <rPr>
            <sz val="11"/>
            <color theme="1"/>
            <rFont val="Calibri"/>
            <family val="2"/>
            <scheme val="minor"/>
          </rPr>
          <t>Tsai, Michael:
FAA Exit Limit: 172</t>
        </r>
      </text>
    </comment>
    <comment ref="C7" authorId="0" shapeId="0" xr:uid="{35B1CCB7-EA36-449F-8CE3-F4437812B335}">
      <text>
        <r>
          <rPr>
            <sz val="11"/>
            <color theme="1"/>
            <rFont val="Calibri"/>
            <family val="2"/>
            <scheme val="minor"/>
          </rPr>
          <t>Tsai, Michael:
FAA Exit Limit: 172</t>
        </r>
      </text>
    </comment>
    <comment ref="D7" authorId="0" shapeId="0" xr:uid="{17697143-E316-426A-9975-CDCFF6E6CD8A}">
      <text>
        <r>
          <rPr>
            <sz val="11"/>
            <color theme="1"/>
            <rFont val="Calibri"/>
            <family val="2"/>
            <scheme val="minor"/>
          </rPr>
          <t>Tsai, Michael:
FAA Exit Limit: 172</t>
        </r>
      </text>
    </comment>
    <comment ref="E7" authorId="0" shapeId="0" xr:uid="{95FD7EC9-CB27-4FD8-8742-0FC5FC80ED1C}">
      <text>
        <r>
          <rPr>
            <sz val="11"/>
            <color theme="1"/>
            <rFont val="Calibri"/>
            <family val="2"/>
            <scheme val="minor"/>
          </rPr>
          <t xml:space="preserve">Tsai, Michael:
FAA Exit Limit: </t>
        </r>
      </text>
    </comment>
    <comment ref="F7" authorId="0" shapeId="0" xr:uid="{4552F9DF-C6C2-461E-B9AE-4B15263F064D}">
      <text>
        <r>
          <rPr>
            <sz val="11"/>
            <color theme="1"/>
            <rFont val="Calibri"/>
            <family val="2"/>
            <scheme val="minor"/>
          </rPr>
          <t xml:space="preserve">Tsai, Michael:
FAA Exit Limit: </t>
        </r>
      </text>
    </comment>
    <comment ref="G7" authorId="0" shapeId="0" xr:uid="{E3C0813C-5887-4CAD-BEB3-E913531D0F90}">
      <text>
        <r>
          <rPr>
            <sz val="11"/>
            <color theme="1"/>
            <rFont val="Calibri"/>
            <family val="2"/>
            <scheme val="minor"/>
          </rPr>
          <t xml:space="preserve">Tsai, Michael:
FAA Exit Limit: </t>
        </r>
      </text>
    </comment>
    <comment ref="H7" authorId="0" shapeId="0" xr:uid="{B96F7EF0-4B7D-441B-8279-543C9DE4ABD2}">
      <text>
        <r>
          <rPr>
            <sz val="11"/>
            <color theme="1"/>
            <rFont val="Calibri"/>
            <family val="2"/>
            <scheme val="minor"/>
          </rPr>
          <t xml:space="preserve">Tsai, Michael:
FAA Exit Limit: </t>
        </r>
      </text>
    </comment>
    <comment ref="I7" authorId="0" shapeId="0" xr:uid="{C953C8FE-B8DD-4FFE-BA67-E78F22C1B2B6}">
      <text>
        <r>
          <rPr>
            <sz val="11"/>
            <color theme="1"/>
            <rFont val="Calibri"/>
            <family val="2"/>
            <scheme val="minor"/>
          </rPr>
          <t xml:space="preserve">Tsai, Michael:
FAA Exit Limit: </t>
        </r>
      </text>
    </comment>
    <comment ref="Z7" authorId="0" shapeId="0" xr:uid="{A63E3706-93DE-4855-9D45-1DD04D3B08ED}">
      <text>
        <r>
          <rPr>
            <sz val="11"/>
            <color theme="1"/>
            <rFont val="Calibri"/>
            <family val="2"/>
            <scheme val="minor"/>
          </rPr>
          <t xml:space="preserve">Tsai, Michael:
FAA Exit Limit: 156 </t>
        </r>
      </text>
    </comment>
    <comment ref="AA7" authorId="0" shapeId="0" xr:uid="{4D20BAC8-0ACB-416F-8715-E622965A2A81}">
      <text>
        <r>
          <rPr>
            <sz val="11"/>
            <color theme="1"/>
            <rFont val="Calibri"/>
            <family val="2"/>
            <scheme val="minor"/>
          </rPr>
          <t xml:space="preserve">Tsai, Michael:
FAA Exit Limit: 156 </t>
        </r>
      </text>
    </comment>
    <comment ref="AI7" authorId="0" shapeId="0" xr:uid="{6B98832B-15D1-41B3-A0E8-9B4E1F75F42B}">
      <text>
        <r>
          <rPr>
            <sz val="11"/>
            <color theme="1"/>
            <rFont val="Calibri"/>
            <family val="2"/>
            <scheme val="minor"/>
          </rPr>
          <t>Tsai, Michael:
FAA Exit Limit: 125</t>
        </r>
      </text>
    </comment>
    <comment ref="AJ7" authorId="0" shapeId="0" xr:uid="{92B95A4B-9E37-4280-AA9B-E0D8BDD080D5}">
      <text>
        <r>
          <rPr>
            <sz val="11"/>
            <color theme="1"/>
            <rFont val="Calibri"/>
            <family val="2"/>
            <scheme val="minor"/>
          </rPr>
          <t>Tsai, Michael:
FAA Exit Limit: 125</t>
        </r>
      </text>
    </comment>
    <comment ref="AK7" authorId="0" shapeId="0" xr:uid="{A133B582-4CE0-4B00-854B-D7C1C4DF9A23}">
      <text>
        <r>
          <rPr>
            <sz val="11"/>
            <color theme="1"/>
            <rFont val="Calibri"/>
            <family val="2"/>
            <scheme val="minor"/>
          </rPr>
          <t>Tsai, Michael:
FAA Exit Limit: 125</t>
        </r>
      </text>
    </comment>
    <comment ref="AL7" authorId="0" shapeId="0" xr:uid="{19A1F4FF-3F6E-4385-932C-64BBF98A5525}">
      <text>
        <r>
          <rPr>
            <sz val="11"/>
            <color theme="1"/>
            <rFont val="Calibri"/>
            <family val="2"/>
            <scheme val="minor"/>
          </rPr>
          <t>Tsai, Michael:
FAA Exit Limit: 125</t>
        </r>
      </text>
    </comment>
    <comment ref="AM7" authorId="0" shapeId="0" xr:uid="{BDCFD346-D524-410A-9912-DFFF9016C47E}">
      <text>
        <r>
          <rPr>
            <sz val="11"/>
            <color theme="1"/>
            <rFont val="Calibri"/>
            <family val="2"/>
            <scheme val="minor"/>
          </rPr>
          <t>Tsai, Michael:
FAA Exit Limit: 189</t>
        </r>
      </text>
    </comment>
    <comment ref="AN7" authorId="0" shapeId="0" xr:uid="{799AC88F-15BD-4155-9EB8-907C622F1A3F}">
      <text>
        <r>
          <rPr>
            <sz val="11"/>
            <color theme="1"/>
            <rFont val="Calibri"/>
            <family val="2"/>
            <scheme val="minor"/>
          </rPr>
          <t>Tsai, Michael:
FAA Exit Limit: 189</t>
        </r>
      </text>
    </comment>
    <comment ref="AO7" authorId="0" shapeId="0" xr:uid="{7AC7A264-7EFB-492F-9D19-5A31B501DE59}">
      <text>
        <r>
          <rPr>
            <sz val="11"/>
            <color theme="1"/>
            <rFont val="Calibri"/>
            <family val="2"/>
            <scheme val="minor"/>
          </rPr>
          <t>Tsai, Michael:
FAA Exit Limit: 189</t>
        </r>
      </text>
    </comment>
    <comment ref="AP7" authorId="0" shapeId="0" xr:uid="{5CDAF345-E0DD-4B8D-9E3A-55E22A34F511}">
      <text>
        <r>
          <rPr>
            <sz val="11"/>
            <color theme="1"/>
            <rFont val="Calibri"/>
            <family val="2"/>
            <scheme val="minor"/>
          </rPr>
          <t>Tsai, Michael:
FAA Exit Limit: 189</t>
        </r>
      </text>
    </comment>
    <comment ref="AQ7" authorId="0" shapeId="0" xr:uid="{085D9C26-3F2B-4366-A0D5-3FCD996AB77C}">
      <text>
        <r>
          <rPr>
            <sz val="11"/>
            <color theme="1"/>
            <rFont val="Calibri"/>
            <family val="2"/>
            <scheme val="minor"/>
          </rPr>
          <t xml:space="preserve">Tsai, Michael:
FAA exit limit: 124
</t>
        </r>
      </text>
    </comment>
    <comment ref="AR7" authorId="0" shapeId="0" xr:uid="{D65F38DB-1A25-46EF-B8D1-D8B208131BD2}">
      <text>
        <r>
          <rPr>
            <sz val="11"/>
            <color theme="1"/>
            <rFont val="Calibri"/>
            <family val="2"/>
            <scheme val="minor"/>
          </rPr>
          <t xml:space="preserve">Tsai, Michael:
FAA Exit Limit: 136
</t>
        </r>
      </text>
    </comment>
    <comment ref="AS7" authorId="0" shapeId="0" xr:uid="{2AEC8011-78FE-4452-9C93-A3511A6B0EEF}">
      <text>
        <r>
          <rPr>
            <sz val="11"/>
            <color theme="1"/>
            <rFont val="Calibri"/>
            <family val="2"/>
            <scheme val="minor"/>
          </rPr>
          <t>Tsai, Michael:
FAA Exit Limit: 136</t>
        </r>
      </text>
    </comment>
    <comment ref="AT7" authorId="0" shapeId="0" xr:uid="{B964B03D-02A6-4090-B9B7-92CA124FFFB4}">
      <text>
        <r>
          <rPr>
            <sz val="11"/>
            <color theme="1"/>
            <rFont val="Calibri"/>
            <family val="2"/>
            <scheme val="minor"/>
          </rPr>
          <t xml:space="preserve">Tsai, Michael:
FAA Exit Limit 136
</t>
        </r>
      </text>
    </comment>
    <comment ref="AU7" authorId="0" shapeId="0" xr:uid="{6A4EA694-4AC2-4A4B-883A-56557DCCBD12}">
      <text>
        <r>
          <rPr>
            <sz val="11"/>
            <color theme="1"/>
            <rFont val="Calibri"/>
            <family val="2"/>
            <scheme val="minor"/>
          </rPr>
          <t xml:space="preserve">Tsai, Michael:
FAA Exit Limit 136
</t>
        </r>
      </text>
    </comment>
    <comment ref="AV7" authorId="0" shapeId="0" xr:uid="{6BD748D9-5E0E-4DEA-AF0C-20D91DDA0639}">
      <text>
        <r>
          <rPr>
            <sz val="11"/>
            <color theme="1"/>
            <rFont val="Calibri"/>
            <family val="2"/>
            <scheme val="minor"/>
          </rPr>
          <t xml:space="preserve">Tsai, Michael:
FAA Exit Limit 136
</t>
        </r>
      </text>
    </comment>
    <comment ref="AW7" authorId="0" shapeId="0" xr:uid="{90E38C48-7B51-4C54-BAC3-DF7C7744A8FE}">
      <text>
        <r>
          <rPr>
            <sz val="11"/>
            <color theme="1"/>
            <rFont val="Calibri"/>
            <family val="2"/>
            <scheme val="minor"/>
          </rPr>
          <t xml:space="preserve">Tsai, Michael:
FAA Exit Limit 136
</t>
        </r>
      </text>
    </comment>
    <comment ref="AY7" authorId="0" shapeId="0" xr:uid="{BC954C55-EB9C-4FFE-A0C4-ED96AC6EF5AB}">
      <text>
        <r>
          <rPr>
            <sz val="11"/>
            <color theme="1"/>
            <rFont val="Calibri"/>
            <family val="2"/>
            <scheme val="minor"/>
          </rPr>
          <t>Tsai, Michael:
FAA EXIT limit: 136</t>
        </r>
      </text>
    </comment>
    <comment ref="AZ7" authorId="0" shapeId="0" xr:uid="{745FFC7A-3A40-4280-A087-B9BE8B3FF5FC}">
      <text>
        <r>
          <rPr>
            <sz val="11"/>
            <color theme="1"/>
            <rFont val="Calibri"/>
            <family val="2"/>
            <scheme val="minor"/>
          </rPr>
          <t xml:space="preserve">Tsai, Michael:
FAA Exit Limit: 149
</t>
        </r>
      </text>
    </comment>
    <comment ref="BA7" authorId="0" shapeId="0" xr:uid="{49DF39FF-0E7C-413E-A5B2-B5374C48E815}">
      <text>
        <r>
          <rPr>
            <sz val="11"/>
            <color theme="1"/>
            <rFont val="Calibri"/>
            <family val="2"/>
            <scheme val="minor"/>
          </rPr>
          <t xml:space="preserve">Tsai, Michael:
FAA Exit Limit: 149
</t>
        </r>
      </text>
    </comment>
    <comment ref="BB7" authorId="0" shapeId="0" xr:uid="{7231FA3F-DC97-4A61-BC2C-6C5DC13182E0}">
      <text>
        <r>
          <rPr>
            <sz val="11"/>
            <color theme="1"/>
            <rFont val="Calibri"/>
            <family val="2"/>
            <scheme val="minor"/>
          </rPr>
          <t xml:space="preserve">Tsai, Michael:
FAA Exit Limit: 189
</t>
        </r>
      </text>
    </comment>
    <comment ref="BC7" authorId="0" shapeId="0" xr:uid="{EF517D86-CCB6-4988-B645-044A1017A7CC}">
      <text>
        <r>
          <rPr>
            <sz val="11"/>
            <color theme="1"/>
            <rFont val="Calibri"/>
            <family val="2"/>
            <scheme val="minor"/>
          </rPr>
          <t xml:space="preserve">Tsai, Michael:
FAA Exit Limit: 189
</t>
        </r>
      </text>
    </comment>
    <comment ref="BD7" authorId="0" shapeId="0" xr:uid="{7F5D9FC6-05B3-4549-A590-B90754BE32BC}">
      <text>
        <r>
          <rPr>
            <sz val="11"/>
            <color theme="1"/>
            <rFont val="Calibri"/>
            <family val="2"/>
            <scheme val="minor"/>
          </rPr>
          <t xml:space="preserve">Tsai, Michael:
FAA Exit Limit: 149
</t>
        </r>
      </text>
    </comment>
    <comment ref="BE7" authorId="0" shapeId="0" xr:uid="{405DEA6C-054E-4FC9-B69B-316AA0811843}">
      <text>
        <r>
          <rPr>
            <sz val="11"/>
            <color theme="1"/>
            <rFont val="Calibri"/>
            <family val="2"/>
            <scheme val="minor"/>
          </rPr>
          <t xml:space="preserve">Tsai, Michael:
FAA Limit: 149
</t>
        </r>
      </text>
    </comment>
    <comment ref="BF7" authorId="0" shapeId="0" xr:uid="{4452A039-2460-4D31-832D-9654EC33BA52}">
      <text>
        <r>
          <rPr>
            <sz val="11"/>
            <color theme="1"/>
            <rFont val="Calibri"/>
            <family val="2"/>
            <scheme val="minor"/>
          </rPr>
          <t>Tsai, Michael:
FAA Limit: 149</t>
        </r>
      </text>
    </comment>
    <comment ref="BG7" authorId="0" shapeId="0" xr:uid="{2DA3E558-16C3-4C01-86A0-A179BF699A17}">
      <text>
        <r>
          <rPr>
            <sz val="11"/>
            <color theme="1"/>
            <rFont val="Calibri"/>
            <family val="2"/>
            <scheme val="minor"/>
          </rPr>
          <t xml:space="preserve">Tsai, Michael:
FAA Limit: 189
</t>
        </r>
      </text>
    </comment>
    <comment ref="BI7" authorId="0" shapeId="0" xr:uid="{7D85D9B4-5FD6-4984-8A3D-DD77B63A0B89}">
      <text>
        <r>
          <rPr>
            <sz val="11"/>
            <color theme="1"/>
            <rFont val="Calibri"/>
            <family val="2"/>
            <scheme val="minor"/>
          </rPr>
          <t>Tsai, Michael:
FAA Exit Limit: 215</t>
        </r>
      </text>
    </comment>
    <comment ref="BN7" authorId="0" shapeId="0" xr:uid="{A09F85B2-0F9B-408B-807A-C47E9E357ADA}">
      <text>
        <r>
          <rPr>
            <sz val="11"/>
            <color theme="1"/>
            <rFont val="Calibri"/>
            <family val="2"/>
            <scheme val="minor"/>
          </rPr>
          <t>Tsai, Michael:
Only has one class configuration</t>
        </r>
      </text>
    </comment>
    <comment ref="BS7" authorId="0" shapeId="0" xr:uid="{B432A0F3-2390-4B45-B7C4-DC7DEE468639}">
      <text>
        <r>
          <rPr>
            <sz val="11"/>
            <color theme="1"/>
            <rFont val="Calibri"/>
            <family val="2"/>
            <scheme val="minor"/>
          </rPr>
          <t>Tsai, Michael
overwing-exit configuration airplane</t>
        </r>
      </text>
    </comment>
    <comment ref="BT7" authorId="0" shapeId="0" xr:uid="{62F7A7A0-2AD1-4F8C-92EC-93CE988DB119}">
      <text>
        <r>
          <rPr>
            <sz val="11"/>
            <color theme="1"/>
            <rFont val="Calibri"/>
            <family val="2"/>
            <scheme val="minor"/>
          </rPr>
          <t>Tsai, Michael:
Four-Door Configuration</t>
        </r>
      </text>
    </comment>
    <comment ref="BU7" authorId="0" shapeId="0" xr:uid="{CCAC6DB1-6601-48E9-8AA3-6CAD1C35216C}">
      <text>
        <r>
          <rPr>
            <sz val="11"/>
            <color theme="1"/>
            <rFont val="Calibri"/>
            <family val="2"/>
            <scheme val="minor"/>
          </rPr>
          <t>Tsai, Michael
overwing-exit configuration airplane</t>
        </r>
      </text>
    </comment>
    <comment ref="BV7" authorId="0" shapeId="0" xr:uid="{8D466FB0-E4E8-4932-912E-5C22964FE552}">
      <text>
        <r>
          <rPr>
            <sz val="11"/>
            <color theme="1"/>
            <rFont val="Calibri"/>
            <family val="2"/>
            <scheme val="minor"/>
          </rPr>
          <t>Tsai, Michael:
Four-Door Configuration</t>
        </r>
      </text>
    </comment>
    <comment ref="BW7" authorId="0" shapeId="0" xr:uid="{A7C99A08-3C84-4087-BA57-B04150562E18}">
      <text>
        <r>
          <rPr>
            <sz val="11"/>
            <color theme="1"/>
            <rFont val="Calibri"/>
            <family val="2"/>
            <scheme val="minor"/>
          </rPr>
          <t>Tsai, Michael:
Cargo</t>
        </r>
      </text>
    </comment>
    <comment ref="BX7" authorId="0" shapeId="0" xr:uid="{C06E8F6A-7D9A-4E95-909E-ED3EA6DF1990}">
      <text>
        <r>
          <rPr>
            <sz val="11"/>
            <color theme="1"/>
            <rFont val="Calibri"/>
            <family val="2"/>
            <scheme val="minor"/>
          </rPr>
          <t>Tsai, Michael:
Cargo</t>
        </r>
      </text>
    </comment>
    <comment ref="CC7" authorId="0" shapeId="0" xr:uid="{2C8ACDA0-2F81-43F1-940C-99608042B02A}">
      <text>
        <r>
          <rPr>
            <sz val="11"/>
            <color theme="1"/>
            <rFont val="Calibri"/>
            <family val="2"/>
            <scheme val="minor"/>
          </rPr>
          <t>Tsai, Michael:
FAA Exit Limit: 255</t>
        </r>
      </text>
    </comment>
    <comment ref="CD7" authorId="0" shapeId="0" xr:uid="{81666F18-B933-4250-8368-597ED5DBC3E6}">
      <text>
        <r>
          <rPr>
            <sz val="11"/>
            <color theme="1"/>
            <rFont val="Calibri"/>
            <family val="2"/>
            <scheme val="minor"/>
          </rPr>
          <t>Tsai, Michael:
FAA Exit Limit: 255</t>
        </r>
      </text>
    </comment>
    <comment ref="CE7" authorId="0" shapeId="0" xr:uid="{44990FCC-03EC-4EAD-B215-6760B35A351C}">
      <text>
        <r>
          <rPr>
            <sz val="11"/>
            <color theme="1"/>
            <rFont val="Calibri"/>
            <family val="2"/>
            <scheme val="minor"/>
          </rPr>
          <t>Tsai, Michael:
FAA Exit Limit: 255</t>
        </r>
      </text>
    </comment>
    <comment ref="CF7" authorId="0" shapeId="0" xr:uid="{B3D584CA-D2E2-45B8-BE8F-173687F8C1A5}">
      <text>
        <r>
          <rPr>
            <sz val="11"/>
            <color theme="1"/>
            <rFont val="Calibri"/>
            <family val="2"/>
            <scheme val="minor"/>
          </rPr>
          <t>Tsai, Michael:
FAA Exit Limit: 255</t>
        </r>
      </text>
    </comment>
    <comment ref="CG7" authorId="0" shapeId="0" xr:uid="{4E921337-9346-4B1D-80B9-D9A2A218E1A8}">
      <text>
        <r>
          <rPr>
            <sz val="11"/>
            <color theme="1"/>
            <rFont val="Calibri"/>
            <family val="2"/>
            <scheme val="minor"/>
          </rPr>
          <t>Tsai, Michael:
FAA Exit Limit: 255</t>
        </r>
      </text>
    </comment>
    <comment ref="CH7" authorId="0" shapeId="0" xr:uid="{2D64FFBC-2DA8-4602-8D33-351E90AC9339}">
      <text>
        <r>
          <rPr>
            <sz val="11"/>
            <color theme="1"/>
            <rFont val="Calibri"/>
            <family val="2"/>
            <scheme val="minor"/>
          </rPr>
          <t>Tsai, Michael:
FAA Exit Limit: 255</t>
        </r>
      </text>
    </comment>
    <comment ref="CI7" authorId="0" shapeId="0" xr:uid="{09503F14-680B-4EC7-A3E1-DDA016A1EF6B}">
      <text>
        <r>
          <rPr>
            <sz val="11"/>
            <color theme="1"/>
            <rFont val="Calibri"/>
            <family val="2"/>
            <scheme val="minor"/>
          </rPr>
          <t>Tsai, Michael:
FAA Exit limit: 255</t>
        </r>
      </text>
    </comment>
    <comment ref="CJ7" authorId="0" shapeId="0" xr:uid="{4E943DA5-941D-40D6-B049-2695768FC6D9}">
      <text>
        <r>
          <rPr>
            <sz val="11"/>
            <color theme="1"/>
            <rFont val="Calibri"/>
            <family val="2"/>
            <scheme val="minor"/>
          </rPr>
          <t>Tsai, Michael:
FAA Exit limit: 255</t>
        </r>
      </text>
    </comment>
    <comment ref="CK7" authorId="0" shapeId="0" xr:uid="{FB35DF13-FB82-49C0-92E8-0623B373F23C}">
      <text>
        <r>
          <rPr>
            <sz val="11"/>
            <color theme="1"/>
            <rFont val="Calibri"/>
            <family val="2"/>
            <scheme val="minor"/>
          </rPr>
          <t>Tsai, Michael:
FAA Exit limit: 255</t>
        </r>
      </text>
    </comment>
    <comment ref="CL7" authorId="0" shapeId="0" xr:uid="{74F2D234-8704-4584-9B03-098F0240BBA4}">
      <text>
        <r>
          <rPr>
            <sz val="11"/>
            <color theme="1"/>
            <rFont val="Calibri"/>
            <family val="2"/>
            <scheme val="minor"/>
          </rPr>
          <t>Tsai, Michael:
FAA Exit limit: 255</t>
        </r>
      </text>
    </comment>
    <comment ref="CM7" authorId="0" shapeId="0" xr:uid="{EDCFA6A2-888E-400D-A01D-658B460D065C}">
      <text>
        <r>
          <rPr>
            <sz val="11"/>
            <color theme="1"/>
            <rFont val="Calibri"/>
            <family val="2"/>
            <scheme val="minor"/>
          </rPr>
          <t>Tsai, Michael:
FAA Exit Limit: 265</t>
        </r>
      </text>
    </comment>
    <comment ref="CN7" authorId="0" shapeId="0" xr:uid="{4BB21C04-F8F6-4231-B8BF-9F472183A119}">
      <text>
        <r>
          <rPr>
            <sz val="11"/>
            <color theme="1"/>
            <rFont val="Calibri"/>
            <family val="2"/>
            <scheme val="minor"/>
          </rPr>
          <t>Tsai, Michael:
FAA Exit Limit: 265</t>
        </r>
      </text>
    </comment>
    <comment ref="CO7" authorId="0" shapeId="0" xr:uid="{8DA7D1A3-D1E6-41F6-8CF4-95D20821EB5C}">
      <text>
        <r>
          <rPr>
            <sz val="11"/>
            <color theme="1"/>
            <rFont val="Calibri"/>
            <family val="2"/>
            <scheme val="minor"/>
          </rPr>
          <t>Tsai, Michael:
FAA Exit Limit: 265</t>
        </r>
      </text>
    </comment>
    <comment ref="CP7" authorId="0" shapeId="0" xr:uid="{0F6EF84B-AB93-499F-AC86-A19B8F463E2F}">
      <text>
        <r>
          <rPr>
            <sz val="11"/>
            <color theme="1"/>
            <rFont val="Calibri"/>
            <family val="2"/>
            <scheme val="minor"/>
          </rPr>
          <t>Tsai, Michael:
FAA Exit Limit: 265</t>
        </r>
      </text>
    </comment>
    <comment ref="CQ7" authorId="0" shapeId="0" xr:uid="{98370DF0-F56B-42E2-A3A0-638B488DC8DB}">
      <text>
        <r>
          <rPr>
            <sz val="11"/>
            <color theme="1"/>
            <rFont val="Calibri"/>
            <family val="2"/>
            <scheme val="minor"/>
          </rPr>
          <t>Tsai, Michael:
FAA Exit Limit: 265</t>
        </r>
      </text>
    </comment>
    <comment ref="CR7" authorId="0" shapeId="0" xr:uid="{1BF2FB27-9FAE-48BD-A3AA-416E5E64D65D}">
      <text>
        <r>
          <rPr>
            <sz val="11"/>
            <color theme="1"/>
            <rFont val="Calibri"/>
            <family val="2"/>
            <scheme val="minor"/>
          </rPr>
          <t>Tsai, Michael:
FAA Exit Limit: 265</t>
        </r>
      </text>
    </comment>
    <comment ref="CS7" authorId="0" shapeId="0" xr:uid="{24139C4A-C57D-4DA6-87A5-A98DDFD560EA}">
      <text>
        <r>
          <rPr>
            <sz val="11"/>
            <color theme="1"/>
            <rFont val="Calibri"/>
            <family val="2"/>
            <scheme val="minor"/>
          </rPr>
          <t>Tsai, Michael:
FAA Exit Limit: 265</t>
        </r>
      </text>
    </comment>
    <comment ref="CT7" authorId="0" shapeId="0" xr:uid="{F69E8A84-96A4-42CC-88BB-1336DF4A477C}">
      <text>
        <r>
          <rPr>
            <sz val="11"/>
            <color theme="1"/>
            <rFont val="Calibri"/>
            <family val="2"/>
            <scheme val="minor"/>
          </rPr>
          <t>Tsai, Michael:
FAA Exit Limit: 265</t>
        </r>
      </text>
    </comment>
    <comment ref="CU7" authorId="0" shapeId="0" xr:uid="{D1320C6E-9326-44B2-B83E-00E32AA4E3F9}">
      <text>
        <r>
          <rPr>
            <sz val="11"/>
            <color theme="1"/>
            <rFont val="Calibri"/>
            <family val="2"/>
            <scheme val="minor"/>
          </rPr>
          <t>Tsai, Michael:
FAA Exit Limit: 265</t>
        </r>
      </text>
    </comment>
    <comment ref="CV7" authorId="0" shapeId="0" xr:uid="{F8378F8F-350C-48AF-B845-9441A7AEF8B7}">
      <text>
        <r>
          <rPr>
            <sz val="11"/>
            <color theme="1"/>
            <rFont val="Calibri"/>
            <family val="2"/>
            <scheme val="minor"/>
          </rPr>
          <t xml:space="preserve">Tsai, Michael:
FAA Exit Limit: </t>
        </r>
      </text>
    </comment>
    <comment ref="CW7" authorId="0" shapeId="0" xr:uid="{79413C42-FB79-41C8-A7AD-63B2B333D546}">
      <text>
        <r>
          <rPr>
            <sz val="11"/>
            <color theme="1"/>
            <rFont val="Calibri"/>
            <family val="2"/>
            <scheme val="minor"/>
          </rPr>
          <t xml:space="preserve">Tsai, Michael:
FAA Exit Limit: </t>
        </r>
      </text>
    </comment>
    <comment ref="CX7" authorId="0" shapeId="0" xr:uid="{FBA5D7EF-6F1D-487A-A1CC-E1CB43C727DE}">
      <text>
        <r>
          <rPr>
            <sz val="11"/>
            <color theme="1"/>
            <rFont val="Calibri"/>
            <family val="2"/>
            <scheme val="minor"/>
          </rPr>
          <t xml:space="preserve">Tsai, Michael:
FAA Exit Limit: </t>
        </r>
      </text>
    </comment>
    <comment ref="CY7" authorId="0" shapeId="0" xr:uid="{15DAAAA2-4858-41D4-B7ED-13E502165F7E}">
      <text>
        <r>
          <rPr>
            <sz val="11"/>
            <color theme="1"/>
            <rFont val="Calibri"/>
            <family val="2"/>
            <scheme val="minor"/>
          </rPr>
          <t xml:space="preserve">Tsai, Michael:
FAA Exit Limit: </t>
        </r>
      </text>
    </comment>
    <comment ref="CZ7" authorId="0" shapeId="0" xr:uid="{51BE8363-FF7B-4368-A756-18BD5B661D40}">
      <text>
        <r>
          <rPr>
            <sz val="11"/>
            <color theme="1"/>
            <rFont val="Calibri"/>
            <family val="2"/>
            <scheme val="minor"/>
          </rPr>
          <t xml:space="preserve">Tsai, Michael:
FAA Exit Limit: </t>
        </r>
      </text>
    </comment>
    <comment ref="DA7" authorId="0" shapeId="0" xr:uid="{2F2CB0D4-9373-4696-93FB-D3726E14EB9D}">
      <text>
        <r>
          <rPr>
            <sz val="11"/>
            <color theme="1"/>
            <rFont val="Calibri"/>
            <family val="2"/>
            <scheme val="minor"/>
          </rPr>
          <t xml:space="preserve">Tsai, Michael:
FAA Exit Limit: </t>
        </r>
      </text>
    </comment>
    <comment ref="DB7" authorId="0" shapeId="0" xr:uid="{0766F723-CEB4-4C39-ABFB-2502634CF7C2}">
      <text>
        <r>
          <rPr>
            <sz val="11"/>
            <color theme="1"/>
            <rFont val="Calibri"/>
            <family val="2"/>
            <scheme val="minor"/>
          </rPr>
          <t xml:space="preserve">Tsai, Michael:
FAA Exit Limit: </t>
        </r>
      </text>
    </comment>
    <comment ref="DC7" authorId="0" shapeId="0" xr:uid="{1AA5B5F5-6940-49CB-AE6F-1835C7B0EC5C}">
      <text>
        <r>
          <rPr>
            <sz val="11"/>
            <color theme="1"/>
            <rFont val="Calibri"/>
            <family val="2"/>
            <scheme val="minor"/>
          </rPr>
          <t xml:space="preserve">Tsai, Michael:
FAA Exit Limit: </t>
        </r>
      </text>
    </comment>
    <comment ref="DD7" authorId="0" shapeId="0" xr:uid="{77BD7935-829C-484A-A34A-7F7581744DE5}">
      <text>
        <r>
          <rPr>
            <sz val="11"/>
            <color theme="1"/>
            <rFont val="Calibri"/>
            <family val="2"/>
            <scheme val="minor"/>
          </rPr>
          <t xml:space="preserve">Tsai, Michael:
FAA Exit Limit: </t>
        </r>
      </text>
    </comment>
    <comment ref="DE7" authorId="0" shapeId="0" xr:uid="{6AB829A9-83C5-41CA-84D5-9414D40674D1}">
      <text>
        <r>
          <rPr>
            <sz val="11"/>
            <color theme="1"/>
            <rFont val="Calibri"/>
            <family val="2"/>
            <scheme val="minor"/>
          </rPr>
          <t xml:space="preserve">Tsai, Michael:
FAA Exit Limit: </t>
        </r>
      </text>
    </comment>
    <comment ref="DF7" authorId="0" shapeId="0" xr:uid="{F9D15F5C-A858-45BE-AB0A-15B26CCA5968}">
      <text>
        <r>
          <rPr>
            <sz val="11"/>
            <color theme="1"/>
            <rFont val="Calibri"/>
            <family val="2"/>
            <scheme val="minor"/>
          </rPr>
          <t xml:space="preserve">Tsai, Michael:
FAA Exit Limit: </t>
        </r>
      </text>
    </comment>
    <comment ref="DG7" authorId="0" shapeId="0" xr:uid="{8F0331CF-F028-42FF-BE48-4BC6F8B28AEC}">
      <text>
        <r>
          <rPr>
            <sz val="11"/>
            <color theme="1"/>
            <rFont val="Calibri"/>
            <family val="2"/>
            <scheme val="minor"/>
          </rPr>
          <t xml:space="preserve">Tsai, Michael:
FAA Exit Limit: </t>
        </r>
      </text>
    </comment>
    <comment ref="DH7" authorId="0" shapeId="0" xr:uid="{533DDE15-4550-40F9-8C4C-F580278B5CD6}">
      <text>
        <r>
          <rPr>
            <sz val="11"/>
            <color theme="1"/>
            <rFont val="Calibri"/>
            <family val="2"/>
            <scheme val="minor"/>
          </rPr>
          <t xml:space="preserve">Tsai, Michael:
FAA Exit Limit: </t>
        </r>
      </text>
    </comment>
    <comment ref="DI7" authorId="0" shapeId="0" xr:uid="{0268BC7B-7333-4196-8A67-66EAC2FF8313}">
      <text>
        <r>
          <rPr>
            <sz val="11"/>
            <color theme="1"/>
            <rFont val="Calibri"/>
            <family val="2"/>
            <scheme val="minor"/>
          </rPr>
          <t xml:space="preserve">Tsai, Michael:
FAA Exit Limit: </t>
        </r>
      </text>
    </comment>
    <comment ref="DJ7" authorId="0" shapeId="0" xr:uid="{2EB29C4C-FB49-4C94-8860-EF5D12A809E3}">
      <text>
        <r>
          <rPr>
            <sz val="11"/>
            <color theme="1"/>
            <rFont val="Calibri"/>
            <family val="2"/>
            <scheme val="minor"/>
          </rPr>
          <t xml:space="preserve">Tsai, Michael:
FAA Exit Limit: </t>
        </r>
      </text>
    </comment>
    <comment ref="DK7" authorId="0" shapeId="0" xr:uid="{9BBE00C6-CC09-4DB9-9E40-46668C63760F}">
      <text>
        <r>
          <rPr>
            <sz val="11"/>
            <color theme="1"/>
            <rFont val="Calibri"/>
            <family val="2"/>
            <scheme val="minor"/>
          </rPr>
          <t xml:space="preserve">Tsai, Michael:
FAA Exit Limit: </t>
        </r>
      </text>
    </comment>
    <comment ref="DL7" authorId="0" shapeId="0" xr:uid="{AE1348BC-251E-4095-B303-9A04033403FC}">
      <text>
        <r>
          <rPr>
            <sz val="11"/>
            <color theme="1"/>
            <rFont val="Calibri"/>
            <family val="2"/>
            <scheme val="minor"/>
          </rPr>
          <t xml:space="preserve">Tsai, Michael:
FAA Exit Limit: </t>
        </r>
      </text>
    </comment>
    <comment ref="DM7" authorId="0" shapeId="0" xr:uid="{B3716E1C-75EB-4C45-8FE4-3B6B0433DCA6}">
      <text>
        <r>
          <rPr>
            <sz val="11"/>
            <color theme="1"/>
            <rFont val="Calibri"/>
            <family val="2"/>
            <scheme val="minor"/>
          </rPr>
          <t xml:space="preserve">Tsai, Michael:
FAA Exit Limit: </t>
        </r>
      </text>
    </comment>
    <comment ref="DN7" authorId="0" shapeId="0" xr:uid="{063746DD-ED9D-41C9-AC4D-AF3F0259396C}">
      <text>
        <r>
          <rPr>
            <sz val="11"/>
            <color theme="1"/>
            <rFont val="Calibri"/>
            <family val="2"/>
            <scheme val="minor"/>
          </rPr>
          <t xml:space="preserve">Tsai, Michael:
FAA Exit Limit: </t>
        </r>
      </text>
    </comment>
    <comment ref="DO7" authorId="0" shapeId="0" xr:uid="{5C7DB526-59B4-4F61-995C-FFAECF3B61A6}">
      <text>
        <r>
          <rPr>
            <sz val="11"/>
            <color theme="1"/>
            <rFont val="Calibri"/>
            <family val="2"/>
            <scheme val="minor"/>
          </rPr>
          <t xml:space="preserve">Tsai, Michael:
FAA Exit Limit: </t>
        </r>
      </text>
    </comment>
    <comment ref="DP7" authorId="0" shapeId="0" xr:uid="{C12C5018-6699-4070-85CA-5192D08B585F}">
      <text>
        <r>
          <rPr>
            <sz val="11"/>
            <color theme="1"/>
            <rFont val="Calibri"/>
            <family val="2"/>
            <scheme val="minor"/>
          </rPr>
          <t xml:space="preserve">Tsai, Michael:
FAA Exit Limit: </t>
        </r>
      </text>
    </comment>
    <comment ref="DQ7" authorId="0" shapeId="0" xr:uid="{20E4B0AC-0E10-4751-8A6A-817CD587C45F}">
      <text>
        <r>
          <rPr>
            <sz val="11"/>
            <color theme="1"/>
            <rFont val="Calibri"/>
            <family val="2"/>
            <scheme val="minor"/>
          </rPr>
          <t xml:space="preserve">Tsai, Michael:
FAA Exit Limit: </t>
        </r>
      </text>
    </comment>
    <comment ref="DR7" authorId="0" shapeId="0" xr:uid="{E0F50817-3E85-4157-A37D-B4C9128FE09F}">
      <text>
        <r>
          <rPr>
            <sz val="11"/>
            <color theme="1"/>
            <rFont val="Calibri"/>
            <family val="2"/>
            <scheme val="minor"/>
          </rPr>
          <t xml:space="preserve">Tsai, Michael:
FAA Exit Limit: </t>
        </r>
      </text>
    </comment>
    <comment ref="DS7" authorId="0" shapeId="0" xr:uid="{D9A0631E-6751-42AA-880C-87572A853578}">
      <text>
        <r>
          <rPr>
            <sz val="11"/>
            <color theme="1"/>
            <rFont val="Calibri"/>
            <family val="2"/>
            <scheme val="minor"/>
          </rPr>
          <t xml:space="preserve">Tsai, Michael:
FAA Exit Limit: </t>
        </r>
      </text>
    </comment>
    <comment ref="DT7" authorId="0" shapeId="0" xr:uid="{6D8DF1C0-2E55-4F9C-A418-9657033120E4}">
      <text>
        <r>
          <rPr>
            <sz val="11"/>
            <color theme="1"/>
            <rFont val="Calibri"/>
            <family val="2"/>
            <scheme val="minor"/>
          </rPr>
          <t xml:space="preserve">Tsai, Michael:
FAA Exit Limit: </t>
        </r>
      </text>
    </comment>
    <comment ref="DU7" authorId="0" shapeId="0" xr:uid="{9E91000A-522F-45AE-A385-F62B1BFF26D6}">
      <text>
        <r>
          <rPr>
            <sz val="11"/>
            <color theme="1"/>
            <rFont val="Calibri"/>
            <family val="2"/>
            <scheme val="minor"/>
          </rPr>
          <t xml:space="preserve">Tsai, Michael:
FAA Exit Limit: </t>
        </r>
      </text>
    </comment>
    <comment ref="DV7" authorId="0" shapeId="0" xr:uid="{DE7E1D7C-D1DA-4204-A387-C5BF62A8A669}">
      <text>
        <r>
          <rPr>
            <sz val="11"/>
            <color theme="1"/>
            <rFont val="Calibri"/>
            <family val="2"/>
            <scheme val="minor"/>
          </rPr>
          <t xml:space="preserve">Tsai, Michael:
FAA Exit Limit: </t>
        </r>
      </text>
    </comment>
    <comment ref="DW7" authorId="0" shapeId="0" xr:uid="{AA419D42-74A9-45E8-B399-9427C00EB18D}">
      <text>
        <r>
          <rPr>
            <sz val="11"/>
            <color theme="1"/>
            <rFont val="Calibri"/>
            <family val="2"/>
            <scheme val="minor"/>
          </rPr>
          <t xml:space="preserve">Tsai, Michael:
FAA Exit Limit: </t>
        </r>
      </text>
    </comment>
    <comment ref="DX7" authorId="0" shapeId="0" xr:uid="{17D90E74-3072-41A0-A5AA-995CBDF43843}">
      <text>
        <r>
          <rPr>
            <sz val="11"/>
            <color theme="1"/>
            <rFont val="Calibri"/>
            <family val="2"/>
            <scheme val="minor"/>
          </rPr>
          <t xml:space="preserve">Tsai, Michael:
FAA Exit Limit: </t>
        </r>
      </text>
    </comment>
    <comment ref="DY7" authorId="0" shapeId="0" xr:uid="{2CDD2F1E-422F-4E43-B450-CADE7B53F971}">
      <text>
        <r>
          <rPr>
            <sz val="11"/>
            <color theme="1"/>
            <rFont val="Calibri"/>
            <family val="2"/>
            <scheme val="minor"/>
          </rPr>
          <t xml:space="preserve">Tsai, Michael:
FAA Exit Limit: </t>
        </r>
      </text>
    </comment>
    <comment ref="DZ7" authorId="0" shapeId="0" xr:uid="{68A02F8E-E93C-4EF9-A2BE-EE08027C5179}">
      <text>
        <r>
          <rPr>
            <sz val="11"/>
            <color theme="1"/>
            <rFont val="Calibri"/>
            <family val="2"/>
            <scheme val="minor"/>
          </rPr>
          <t xml:space="preserve">Tsai, Michael:
FAA Exit Limit: </t>
        </r>
      </text>
    </comment>
    <comment ref="EA7" authorId="0" shapeId="0" xr:uid="{8518EA2D-A6E6-4203-BD76-DAD70DC47D3D}">
      <text>
        <r>
          <rPr>
            <sz val="11"/>
            <color theme="1"/>
            <rFont val="Calibri"/>
            <family val="2"/>
            <scheme val="minor"/>
          </rPr>
          <t xml:space="preserve">Tsai, Michael:
FAA Exit Limit: </t>
        </r>
      </text>
    </comment>
    <comment ref="EB7" authorId="0" shapeId="0" xr:uid="{62D561A5-1BDA-4647-88D0-168F7518A87D}">
      <text>
        <r>
          <rPr>
            <sz val="11"/>
            <color theme="1"/>
            <rFont val="Calibri"/>
            <family val="2"/>
            <scheme val="minor"/>
          </rPr>
          <t xml:space="preserve">Tsai, Michael:
FAA Exit Limit: </t>
        </r>
      </text>
    </comment>
    <comment ref="EC7" authorId="0" shapeId="0" xr:uid="{9FE82154-F52D-427B-AFE1-CEAC9F60B459}">
      <text>
        <r>
          <rPr>
            <sz val="11"/>
            <color theme="1"/>
            <rFont val="Calibri"/>
            <family val="2"/>
            <scheme val="minor"/>
          </rPr>
          <t xml:space="preserve">Tsai, Michael:
FAA Exit Limit: </t>
        </r>
      </text>
    </comment>
    <comment ref="A8" authorId="0" shapeId="0" xr:uid="{D555A6BA-E08C-4E04-B92D-970B062979D7}">
      <text>
        <r>
          <rPr>
            <sz val="11"/>
            <color theme="1"/>
            <rFont val="Calibri"/>
            <family val="2"/>
            <scheme val="minor"/>
          </rPr>
          <t>Tsai, Michael:
Black: Max Ferry range
Red: Typical Passenger range</t>
        </r>
      </text>
    </comment>
    <comment ref="B8" authorId="0" shapeId="0" xr:uid="{C938528B-ADEB-4883-8A0D-55B891A09600}">
      <text>
        <r>
          <rPr>
            <sz val="11"/>
            <color theme="1"/>
            <rFont val="Calibri"/>
            <family val="2"/>
            <scheme val="minor"/>
          </rPr>
          <t>Tsai, Michael: Use (95kg for avg) OEW+payload: 54719 kg
2000 Passenger and Baggage Range:  2000 nmi</t>
        </r>
      </text>
    </comment>
    <comment ref="C8" authorId="0" shapeId="0" xr:uid="{B96BD897-00B9-40C1-95CD-E2B81F7D3D20}">
      <text>
        <r>
          <rPr>
            <sz val="11"/>
            <color theme="1"/>
            <rFont val="Calibri"/>
            <family val="2"/>
            <scheme val="minor"/>
          </rPr>
          <t>Tsai, Michael: Use (95kg for avg) OEW+payload: 55121 kg
155 Passenger and Baggage Range:  2200 nmi</t>
        </r>
      </text>
    </comment>
    <comment ref="D8" authorId="0" shapeId="0" xr:uid="{A5BAB2DD-8F29-43BE-9F69-18C233F1E933}">
      <text>
        <r>
          <rPr>
            <sz val="11"/>
            <color theme="1"/>
            <rFont val="Calibri"/>
            <family val="2"/>
            <scheme val="minor"/>
          </rPr>
          <t>Tsai, Michael: Use (95kg for avg) OEW+payload: 48345 kg
137 Passenger and Baggage Range:  1800 nmi</t>
        </r>
      </text>
    </comment>
    <comment ref="E8" authorId="0" shapeId="0" xr:uid="{20EFE303-B571-4CF1-A5C2-CDD05936536B}">
      <text>
        <r>
          <rPr>
            <sz val="11"/>
            <color theme="1"/>
            <rFont val="Calibri"/>
            <family val="2"/>
            <scheme val="minor"/>
          </rPr>
          <t>Tsai, Michael: Use (95kg for avg) OEW+payload: 50094 kg
155 Passenger and Baggage Range:  2000 nmi</t>
        </r>
      </text>
    </comment>
    <comment ref="F8" authorId="0" shapeId="0" xr:uid="{8052B083-6E75-4F2C-9D80-F3F91AB30340}">
      <text>
        <r>
          <rPr>
            <sz val="11"/>
            <color theme="1"/>
            <rFont val="Calibri"/>
            <family val="2"/>
            <scheme val="minor"/>
          </rPr>
          <t>Tsai, Michael: Use (95kg for avg) OEW+payload: 50094 kg
155 Passenger and Baggage Range:  2000 nmi</t>
        </r>
      </text>
    </comment>
    <comment ref="G8" authorId="0" shapeId="0" xr:uid="{07C60ECA-3A28-4DFB-996D-69EA813183F9}">
      <text>
        <r>
          <rPr>
            <sz val="11"/>
            <color theme="1"/>
            <rFont val="Calibri"/>
            <family val="2"/>
            <scheme val="minor"/>
          </rPr>
          <t>Tsai, Michael: Use (95kg for avg) OEW+payload: 50870 kg
155 Passenger and Baggage Range: 2500 nmi</t>
        </r>
      </text>
    </comment>
    <comment ref="H8" authorId="0" shapeId="0" xr:uid="{EC3986BE-6CCF-4B55-879E-C6C649F7A3A0}">
      <text>
        <r>
          <rPr>
            <sz val="11"/>
            <color theme="1"/>
            <rFont val="Calibri"/>
            <family val="2"/>
            <scheme val="minor"/>
          </rPr>
          <t>Tsai, Michael: Use (95kg for avg) OEW+payload: 45587 kg
130 Passenger and Baggage Range: 2400 nmi</t>
        </r>
      </text>
    </comment>
    <comment ref="I8" authorId="0" shapeId="0" xr:uid="{7F2D2731-4E09-4309-B8A2-A1D17CC576C5}">
      <text>
        <r>
          <rPr>
            <sz val="11"/>
            <color theme="1"/>
            <rFont val="Calibri"/>
            <family val="2"/>
            <scheme val="minor"/>
          </rPr>
          <t>Tsai, Michael: Use (95kg for avg) OEW+payload: 46315 kg
130 Passenger and Baggage Range:  2900 nmi</t>
        </r>
      </text>
    </comment>
    <comment ref="J8" authorId="0" shapeId="0" xr:uid="{13FCC32F-9EEF-4E23-9BCF-1F2170C42B56}">
      <text>
        <r>
          <rPr>
            <sz val="11"/>
            <color theme="1"/>
            <rFont val="Calibri"/>
            <family val="2"/>
            <scheme val="minor"/>
          </rPr>
          <t>Tsai, Michael: Use (95kg for avg) OEW+payload: 30850
90 Passenger and Baggage Range: 1300 nmi</t>
        </r>
      </text>
    </comment>
    <comment ref="K8" authorId="0" shapeId="0" xr:uid="{10AE3E8A-5F95-43BE-9DCB-CFD5EF9952DC}">
      <text>
        <r>
          <rPr>
            <sz val="11"/>
            <color theme="1"/>
            <rFont val="Calibri"/>
            <family val="2"/>
            <scheme val="minor"/>
          </rPr>
          <t>Tsai, Michael: Use (95kg for avg) OEW+payload: 32429 kg
90 Passenger and Baggage Range:  1450 nmi</t>
        </r>
      </text>
    </comment>
    <comment ref="L8" authorId="0" shapeId="0" xr:uid="{DE4A03D4-34F2-4AD2-BA5F-5F54FC6DB88D}">
      <text>
        <r>
          <rPr>
            <sz val="11"/>
            <color theme="1"/>
            <rFont val="Calibri"/>
            <family val="2"/>
            <scheme val="minor"/>
          </rPr>
          <t>Tsai, Michael: Use (95kg for avg) OEW+payload: 36714 kg
115 Passenger and Baggage Range: 1300 nmi</t>
        </r>
      </text>
    </comment>
    <comment ref="M8" authorId="0" shapeId="0" xr:uid="{4E19B7CC-4D47-49F1-B644-234B5CBF6B42}">
      <text>
        <r>
          <rPr>
            <sz val="11"/>
            <color theme="1"/>
            <rFont val="Calibri"/>
            <family val="2"/>
            <scheme val="minor"/>
          </rPr>
          <t>Tsai, Michael: Use (95kg for avg) OEW+payload: 39696 kg
125 Passenger and Baggage Range: 1100 nmi</t>
        </r>
      </text>
    </comment>
    <comment ref="N8" authorId="0" shapeId="0" xr:uid="{8EC7B065-F916-4D61-9DDF-3F3A452FFBD4}">
      <text>
        <r>
          <rPr>
            <sz val="11"/>
            <color theme="1"/>
            <rFont val="Calibri"/>
            <family val="2"/>
            <scheme val="minor"/>
          </rPr>
          <t>Tsai, Michael: Use (95kg for avg) OEW+payload: 42161 kg
135 Passenger and Baggage Range: 1050 nmi</t>
        </r>
      </text>
    </comment>
    <comment ref="O8" authorId="0" shapeId="0" xr:uid="{550F7093-9DB5-43BE-9620-F5638F1FEC0E}">
      <text>
        <r>
          <rPr>
            <sz val="11"/>
            <color theme="1"/>
            <rFont val="Calibri"/>
            <family val="2"/>
            <scheme val="minor"/>
          </rPr>
          <t>Tsai, Michael: Use (95kg for avg) OEW+payload:
177 Passenger and Baggage Range: 3760 nmi</t>
        </r>
      </text>
    </comment>
    <comment ref="P8" authorId="0" shapeId="0" xr:uid="{F6D4EA11-9F8E-4169-A63C-062DCF3DBA7E}">
      <text>
        <r>
          <rPr>
            <sz val="11"/>
            <color theme="1"/>
            <rFont val="Calibri"/>
            <family val="2"/>
            <scheme val="minor"/>
          </rPr>
          <t>Tsai, Michael:
177 Passenger+ baggage
4050 nmi</t>
        </r>
      </text>
    </comment>
    <comment ref="Q8" authorId="0" shapeId="0" xr:uid="{37B35257-6F25-432F-8797-CD07CCC196EC}">
      <text>
        <r>
          <rPr>
            <sz val="11"/>
            <color theme="1"/>
            <rFont val="Calibri"/>
            <family val="2"/>
            <scheme val="minor"/>
          </rPr>
          <t>Tsai, Michael:
177 Passenger+ baggage
4005 nmi</t>
        </r>
      </text>
    </comment>
    <comment ref="R8" authorId="0" shapeId="0" xr:uid="{B4AA5090-0879-47D3-981A-44752BF6144A}">
      <text>
        <r>
          <rPr>
            <sz val="11"/>
            <color theme="1"/>
            <rFont val="Calibri"/>
            <family val="2"/>
            <scheme val="minor"/>
          </rPr>
          <t>Tsai, Michael: Use (95kg for avg) OEW+payload:78735 kg
177 Passenger and Baggage Range: 4000 nmi</t>
        </r>
      </text>
    </comment>
    <comment ref="S8" authorId="0" shapeId="0" xr:uid="{2A502A8C-C956-4A6D-BDE3-D7EE52850204}">
      <text>
        <r>
          <rPr>
            <sz val="11"/>
            <color theme="1"/>
            <rFont val="Calibri"/>
            <family val="2"/>
            <scheme val="minor"/>
          </rPr>
          <t>Tsai, Michael: Use (95kg for avg) OEW+payload:80672kg
189 Passenger and Baggage Range: 4500 nmi</t>
        </r>
      </text>
    </comment>
    <comment ref="T8" authorId="0" shapeId="0" xr:uid="{E29EC37E-8DBE-4C2A-AF1C-44CFFD63CDA0}">
      <text>
        <r>
          <rPr>
            <sz val="11"/>
            <color theme="1"/>
            <rFont val="Calibri"/>
            <family val="2"/>
            <scheme val="minor"/>
          </rPr>
          <t>Tsai, Michael: Use (95kg for avg) OEW+payload:93598 kg
259 Passenger and Baggage Range: 3150 nmi</t>
        </r>
      </text>
    </comment>
    <comment ref="U8" authorId="0" shapeId="0" xr:uid="{FC44F6CC-5183-40FF-ABE3-7B2AFC928C9A}">
      <text>
        <r>
          <rPr>
            <sz val="11"/>
            <color theme="1"/>
            <rFont val="Calibri"/>
            <family val="2"/>
            <scheme val="minor"/>
          </rPr>
          <t>Tsai, Michael: Use (95kg for avg) OEW+payload:82935 kg
259 Passenger and Baggage Range: 5050 nmi</t>
        </r>
      </text>
    </comment>
    <comment ref="V8" authorId="0" shapeId="0" xr:uid="{156B5742-5789-4C54-A560-676AC7B3F5A5}">
      <text>
        <r>
          <rPr>
            <sz val="11"/>
            <color theme="1"/>
            <rFont val="Calibri"/>
            <family val="2"/>
            <scheme val="minor"/>
          </rPr>
          <t>Tsai, Michael: Use (95kg for avg) OEW+payload: 96609 kg
259 Passenger and Baggage Range: 4000 nmi</t>
        </r>
      </text>
    </comment>
    <comment ref="W8" authorId="0" shapeId="0" xr:uid="{39D68C4F-2623-4A7D-AAFC-2A45EA89FEC4}">
      <text>
        <r>
          <rPr>
            <sz val="11"/>
            <color theme="1"/>
            <rFont val="Calibri"/>
            <family val="2"/>
            <scheme val="minor"/>
          </rPr>
          <t>Tsai, Michael: Use (95kg for avg) OEW+payload: 98859 kg
259 Passenger and Baggage Range:  3500 nmi</t>
        </r>
      </text>
    </comment>
    <comment ref="X8" authorId="0" shapeId="0" xr:uid="{E19006EB-5494-43AC-A589-B039CBF56E67}">
      <text>
        <r>
          <rPr>
            <sz val="11"/>
            <color theme="1"/>
            <rFont val="Calibri"/>
            <family val="2"/>
            <scheme val="minor"/>
          </rPr>
          <t>Tsai, Michael: Use (95kg for avg) OEW+payload: 87447 kg
189 Passenger and Baggage Range:  5100 nmi</t>
        </r>
      </text>
    </comment>
    <comment ref="Y8" authorId="0" shapeId="0" xr:uid="{0019E54A-3E3A-4458-ADDE-CBE24E083DEC}">
      <text>
        <r>
          <rPr>
            <sz val="11"/>
            <color theme="1"/>
            <rFont val="Calibri"/>
            <family val="2"/>
            <scheme val="minor"/>
          </rPr>
          <t>Tsai, Michael: Use (95kg for avg) OEW+payload: 99993 kg
259 Passenger and Baggage Range:  4500 nmi</t>
        </r>
      </text>
    </comment>
    <comment ref="Z8" authorId="0" shapeId="0" xr:uid="{ECED727F-BFCB-4EE7-BC81-1BD459AA4665}">
      <text>
        <r>
          <rPr>
            <sz val="11"/>
            <color theme="1"/>
            <rFont val="Calibri"/>
            <family val="2"/>
            <scheme val="minor"/>
          </rPr>
          <t>Tsai, Michael:
131 passenger + baggage range: 2800 nmi</t>
        </r>
      </text>
    </comment>
    <comment ref="AA8" authorId="0" shapeId="0" xr:uid="{73ECB127-F6D7-432E-9208-CEA4524B47DE}">
      <text>
        <r>
          <rPr>
            <sz val="11"/>
            <color theme="1"/>
            <rFont val="Calibri"/>
            <family val="2"/>
            <scheme val="minor"/>
          </rPr>
          <t>Tsai, Michael:
156 passenger + baggage range: 3200 nmi</t>
        </r>
      </text>
    </comment>
    <comment ref="AB8" authorId="0" shapeId="0" xr:uid="{5BAA9B99-E5F6-4F93-ACCD-2528A0EA0A5D}">
      <text>
        <r>
          <rPr>
            <sz val="11"/>
            <color theme="1"/>
            <rFont val="Calibri"/>
            <family val="2"/>
            <scheme val="minor"/>
          </rPr>
          <t>Tsai, Michael:
137 passenger + baggage range: 3600 nmi</t>
        </r>
      </text>
    </comment>
    <comment ref="AC8" authorId="0" shapeId="0" xr:uid="{430ED75B-E395-40C3-858D-D56BE16762F5}">
      <text>
        <r>
          <rPr>
            <sz val="11"/>
            <color theme="1"/>
            <rFont val="Calibri"/>
            <family val="2"/>
            <scheme val="minor"/>
          </rPr>
          <t>Tsai, Michael: Use (95kg for avg) OEW+payload:
141 Passenger and Baggage Range:  3800 nmi</t>
        </r>
      </text>
    </comment>
    <comment ref="AD8" authorId="0" shapeId="0" xr:uid="{98C9EE73-AE1D-4D2B-BE08-C3F04C73E6ED}">
      <text>
        <r>
          <rPr>
            <sz val="11"/>
            <color theme="1"/>
            <rFont val="Calibri"/>
            <family val="2"/>
            <scheme val="minor"/>
          </rPr>
          <t>Tsai, Michael: Use (95kg for avg) OEW+payload:
141 Passenger and Baggage Range:  3800 nmi</t>
        </r>
      </text>
    </comment>
    <comment ref="AE8" authorId="0" shapeId="0" xr:uid="{284D0FF7-F742-41E5-9F58-66C74FC774D7}">
      <text>
        <r>
          <rPr>
            <sz val="11"/>
            <color theme="1"/>
            <rFont val="Calibri"/>
            <family val="2"/>
            <scheme val="minor"/>
          </rPr>
          <t>Tsai, Michael: Use (95kg for avg) OEW+payload:
141 Passenger and Baggage Range:  4800 nmi</t>
        </r>
      </text>
    </comment>
    <comment ref="AF8" authorId="0" shapeId="0" xr:uid="{DB649EE9-801D-46FC-AEF3-5B86175D530F}">
      <text>
        <r>
          <rPr>
            <sz val="11"/>
            <color theme="1"/>
            <rFont val="Calibri"/>
            <family val="2"/>
            <scheme val="minor"/>
          </rPr>
          <t>Tsai, Michael: Use (95kg for avg) OEW+payload:
194 Passenger and Baggage Range:  4500 nmi</t>
        </r>
      </text>
    </comment>
    <comment ref="AG8" authorId="0" shapeId="0" xr:uid="{7AEA07EB-E4D9-4BF0-B349-6E1F3051B8A7}">
      <text>
        <r>
          <rPr>
            <sz val="11"/>
            <color theme="1"/>
            <rFont val="Calibri"/>
            <family val="2"/>
            <scheme val="minor"/>
          </rPr>
          <t>Tsai, Michael: Use (95kg for avg) OEW+payload: 40687
106 Passenger and Baggage Range: 1700 nmi</t>
        </r>
      </text>
    </comment>
    <comment ref="AH8" authorId="0" shapeId="0" xr:uid="{6AFF3507-6D68-4AA4-80F1-3A139FB16885}">
      <text>
        <r>
          <rPr>
            <sz val="11"/>
            <color theme="1"/>
            <rFont val="Calibri"/>
            <family val="2"/>
            <scheme val="minor"/>
          </rPr>
          <t>Tsai, Michael: Use (95kg for avg) OEW+payload: 41141
106 Passenger and Baggage Range: 2050 nmi</t>
        </r>
      </text>
    </comment>
    <comment ref="AI8" authorId="0" shapeId="0" xr:uid="{EE6523D9-B314-40A3-AFF5-DF2269238D1E}">
      <text>
        <r>
          <rPr>
            <sz val="11"/>
            <color theme="1"/>
            <rFont val="Calibri"/>
            <family val="2"/>
            <scheme val="minor"/>
          </rPr>
          <t>Tsai, Michael:
106 Passenger and Baggage Range: 2100 nmi</t>
        </r>
      </text>
    </comment>
    <comment ref="AJ8" authorId="0" shapeId="0" xr:uid="{9BBDD92E-C5E8-4002-B5AB-972B7A4035C7}">
      <text>
        <r>
          <rPr>
            <sz val="11"/>
            <color theme="1"/>
            <rFont val="Calibri"/>
            <family val="2"/>
            <scheme val="minor"/>
          </rPr>
          <t>Tsai, Michael:
106 Passenger and Baggage Range: 2200 nmi</t>
        </r>
      </text>
    </comment>
    <comment ref="AK8" authorId="0" shapeId="0" xr:uid="{AE736D2A-E1AA-44EE-836F-37AB1AC64B51}">
      <text>
        <r>
          <rPr>
            <sz val="11"/>
            <color theme="1"/>
            <rFont val="Calibri"/>
            <family val="2"/>
            <scheme val="minor"/>
          </rPr>
          <t>Tsai, Michael:
106 Passenger and Baggage Range: 1900 nmi</t>
        </r>
      </text>
    </comment>
    <comment ref="AL8" authorId="0" shapeId="0" xr:uid="{209BFB00-F031-47C5-8A35-C1E77D7DD05D}">
      <text>
        <r>
          <rPr>
            <sz val="11"/>
            <color theme="1"/>
            <rFont val="Calibri"/>
            <family val="2"/>
            <scheme val="minor"/>
          </rPr>
          <t>Tsai, Michael:
106 Passenger and Baggage Range: 2200 nmi</t>
        </r>
      </text>
    </comment>
    <comment ref="AM8" authorId="0" shapeId="0" xr:uid="{9C42633E-9E58-4B52-824F-D90CC4EC1CF4}">
      <text>
        <r>
          <rPr>
            <sz val="11"/>
            <color theme="1"/>
            <rFont val="Calibri"/>
            <family val="2"/>
            <scheme val="minor"/>
          </rPr>
          <t>Tsai, Michael:
134 Passenger and Baggage Range: 1500 nmi</t>
        </r>
      </text>
    </comment>
    <comment ref="AN8" authorId="0" shapeId="0" xr:uid="{EB093A76-16D2-4497-86D0-F5AE19D271CA}">
      <text>
        <r>
          <rPr>
            <sz val="11"/>
            <color theme="1"/>
            <rFont val="Calibri"/>
            <family val="2"/>
            <scheme val="minor"/>
          </rPr>
          <t>Tsai, Michael:
134 Passenger and Baggage Range: 1900 nmi</t>
        </r>
      </text>
    </comment>
    <comment ref="AO8" authorId="0" shapeId="0" xr:uid="{FE01A342-3BA6-429A-891F-E52BAC030507}">
      <text>
        <r>
          <rPr>
            <sz val="11"/>
            <color theme="1"/>
            <rFont val="Calibri"/>
            <family val="2"/>
            <scheme val="minor"/>
          </rPr>
          <t>Tsai, Michael:
134 Passenger and Baggage Range: 2100 nmi</t>
        </r>
      </text>
    </comment>
    <comment ref="AP8" authorId="0" shapeId="0" xr:uid="{D6227F0F-3FCC-4855-A54C-24B7291C0EE8}">
      <text>
        <r>
          <rPr>
            <sz val="11"/>
            <color theme="1"/>
            <rFont val="Calibri"/>
            <family val="2"/>
            <scheme val="minor"/>
          </rPr>
          <t>Tsai, Michael:
134 Passenger and Baggage Range: 2600 nmi</t>
        </r>
      </text>
    </comment>
    <comment ref="AQ8" authorId="0" shapeId="0" xr:uid="{812B4C0F-95FD-4A91-8A12-1CBCBF6EF0D2}">
      <text>
        <r>
          <rPr>
            <sz val="11"/>
            <color theme="1"/>
            <rFont val="Calibri"/>
            <family val="2"/>
            <scheme val="minor"/>
          </rPr>
          <t>Tsai, Michael:
96 Passenger and Baggage Range: 1400 nmi</t>
        </r>
      </text>
    </comment>
    <comment ref="AR8" authorId="0" shapeId="0" xr:uid="{CEDD98B8-7D3B-4FB8-9561-6AEE97A8DB33}">
      <text>
        <r>
          <rPr>
            <sz val="11"/>
            <color theme="1"/>
            <rFont val="Calibri"/>
            <family val="2"/>
            <scheme val="minor"/>
          </rPr>
          <t>Tsai, Michael:
90 Passenger and Baggage Range: 2000 nmi</t>
        </r>
      </text>
    </comment>
    <comment ref="AS8" authorId="0" shapeId="0" xr:uid="{7A7303C7-D104-48F8-8B7F-4BEE76CFB520}">
      <text>
        <r>
          <rPr>
            <sz val="11"/>
            <color theme="1"/>
            <rFont val="Calibri"/>
            <family val="2"/>
            <scheme val="minor"/>
          </rPr>
          <t>Tsai, Michael:
103 Passenger and Baggage Range: 1850 nmi</t>
        </r>
      </text>
    </comment>
    <comment ref="AT8" authorId="0" shapeId="0" xr:uid="{C7BB0C91-7B92-46B2-9E2F-07BAB5C499B3}">
      <text>
        <r>
          <rPr>
            <sz val="11"/>
            <color theme="1"/>
            <rFont val="Calibri"/>
            <family val="2"/>
            <scheme val="minor"/>
          </rPr>
          <t>Tsai, Michael:
90 Passenger and Baggage Range: 2250 nmi</t>
        </r>
      </text>
    </comment>
    <comment ref="AU8" authorId="0" shapeId="0" xr:uid="{DE69313E-C277-4BF2-AB23-F18B461F7164}">
      <text>
        <r>
          <rPr>
            <sz val="11"/>
            <color theme="1"/>
            <rFont val="Calibri"/>
            <family val="2"/>
            <scheme val="minor"/>
          </rPr>
          <t>Tsai, Michael:
120 Passenger and Baggage Range: 1700 nmi</t>
        </r>
      </text>
    </comment>
    <comment ref="AV8" authorId="0" shapeId="0" xr:uid="{D80E54C2-37BC-4D49-BC3D-0E4F11D9FFAA}">
      <text>
        <r>
          <rPr>
            <sz val="11"/>
            <color theme="1"/>
            <rFont val="Calibri"/>
            <family val="2"/>
            <scheme val="minor"/>
          </rPr>
          <t>Tsai, Michael:
93 Passenger and Baggage Range: 2200 nmi</t>
        </r>
      </text>
    </comment>
    <comment ref="AW8" authorId="0" shapeId="0" xr:uid="{779DEC32-0B79-44BA-A0AA-D5F55C9D3167}">
      <text>
        <r>
          <rPr>
            <sz val="11"/>
            <color theme="1"/>
            <rFont val="Calibri"/>
            <family val="2"/>
            <scheme val="minor"/>
          </rPr>
          <t>Tsai, Michael:
120 Passenger and Baggage Range: 2350 nmi</t>
        </r>
      </text>
    </comment>
    <comment ref="AX8" authorId="0" shapeId="0" xr:uid="{E4487FD4-BB7D-4CB9-935B-06804C2D5053}">
      <text>
        <r>
          <rPr>
            <sz val="11"/>
            <color theme="1"/>
            <rFont val="Calibri"/>
            <family val="2"/>
            <scheme val="minor"/>
          </rPr>
          <t>Tsai, Michael:
93 Passenger and Baggage Range: 2190 nmi</t>
        </r>
      </text>
    </comment>
    <comment ref="AY8" authorId="0" shapeId="0" xr:uid="{4B32EF63-4CA4-4411-9F56-DC1FD5810C28}">
      <text>
        <r>
          <rPr>
            <sz val="11"/>
            <color theme="1"/>
            <rFont val="Calibri"/>
            <family val="2"/>
            <scheme val="minor"/>
          </rPr>
          <t>Tsai, Michael:
120 Passenger and Baggage Range: 2080 nmi</t>
        </r>
      </text>
    </comment>
    <comment ref="AZ8" authorId="0" shapeId="0" xr:uid="{41C8B66A-CBFD-433B-9F04-8087D0071332}">
      <text>
        <r>
          <rPr>
            <sz val="11"/>
            <color theme="1"/>
            <rFont val="Calibri"/>
            <family val="2"/>
            <scheme val="minor"/>
          </rPr>
          <t>Tsai, Michael:
128 Passenger and Baggage Range: 1800 nmi</t>
        </r>
      </text>
    </comment>
    <comment ref="BA8" authorId="0" shapeId="0" xr:uid="{8F37CE54-585E-4035-AE70-1359D0A72A54}">
      <text>
        <r>
          <rPr>
            <sz val="11"/>
            <color theme="1"/>
            <rFont val="Calibri"/>
            <family val="2"/>
            <scheme val="minor"/>
          </rPr>
          <t>Tsai, Michael:
128 Passenger and Baggage Range: 2450 nmi</t>
        </r>
      </text>
    </comment>
    <comment ref="BB8" authorId="0" shapeId="0" xr:uid="{936F2A46-35D4-49B7-80AA-AB0280AE3D46}">
      <text>
        <r>
          <rPr>
            <sz val="11"/>
            <color theme="1"/>
            <rFont val="Calibri"/>
            <family val="2"/>
            <scheme val="minor"/>
          </rPr>
          <t>Tsai, Michael:
146 Passenger and Baggage Range: 1950 nmi</t>
        </r>
      </text>
    </comment>
    <comment ref="BC8" authorId="0" shapeId="0" xr:uid="{8EBA26FA-8916-4538-8D6F-6480AEA2DAC7}">
      <text>
        <r>
          <rPr>
            <sz val="11"/>
            <color theme="1"/>
            <rFont val="Calibri"/>
            <family val="2"/>
            <scheme val="minor"/>
          </rPr>
          <t>Tsai, Michael:
146 Passenger and Baggage Range: 2250 nmi</t>
        </r>
      </text>
    </comment>
    <comment ref="BD8" authorId="0" shapeId="0" xr:uid="{AC74A1E8-2309-4403-AF7A-B062173A85C2}">
      <text>
        <r>
          <rPr>
            <sz val="11"/>
            <color theme="1"/>
            <rFont val="Calibri"/>
            <family val="2"/>
            <scheme val="minor"/>
          </rPr>
          <t>Tsai, Michael:
108 Passenger and Baggage Range: 1620 nmi</t>
        </r>
      </text>
    </comment>
    <comment ref="BE8" authorId="0" shapeId="0" xr:uid="{24E27EED-D55C-48EB-A5F6-37FE13257780}">
      <text>
        <r>
          <rPr>
            <sz val="11"/>
            <color theme="1"/>
            <rFont val="Calibri"/>
            <family val="2"/>
            <scheme val="minor"/>
          </rPr>
          <t>Tsai, Michael:
110 Passenger and Baggage Range: 1340 nmi</t>
        </r>
      </text>
    </comment>
    <comment ref="BF8" authorId="0" shapeId="0" xr:uid="{2C18B56F-FB9E-4024-A8BF-255AF89998B0}">
      <text>
        <r>
          <rPr>
            <sz val="11"/>
            <color theme="1"/>
            <rFont val="Calibri"/>
            <family val="2"/>
            <scheme val="minor"/>
          </rPr>
          <t>Tsai, Michael:
126 Passenger and Baggage Range: 1540 nmi</t>
        </r>
      </text>
    </comment>
    <comment ref="BG8" authorId="0" shapeId="0" xr:uid="{3EBE13F7-EF5C-48AB-BDAF-A3D38234288D}">
      <text>
        <r>
          <rPr>
            <sz val="11"/>
            <color theme="1"/>
            <rFont val="Calibri"/>
            <family val="2"/>
            <scheme val="minor"/>
          </rPr>
          <t>Tsai, Michael:
162 Passenger and Baggage Range: 1990 nmi</t>
        </r>
      </text>
    </comment>
    <comment ref="BH8" authorId="0" shapeId="0" xr:uid="{47087A9F-1DEC-4009-90BD-F7BB4B7685E4}">
      <text>
        <r>
          <rPr>
            <sz val="11"/>
            <color theme="1"/>
            <rFont val="Calibri"/>
            <family val="2"/>
            <scheme val="minor"/>
          </rPr>
          <t>Tsai, Michael:
177 Passenger and Baggage Range: 2060 nmi</t>
        </r>
      </text>
    </comment>
    <comment ref="BI8" authorId="0" shapeId="0" xr:uid="{31469096-02AB-4AF8-B1F4-1CB4DAB651BD}">
      <text>
        <r>
          <rPr>
            <sz val="11"/>
            <color theme="1"/>
            <rFont val="Calibri"/>
            <family val="2"/>
            <scheme val="minor"/>
          </rPr>
          <t>Tsai, Michael:
177 Passenger and Baggage Range: 2920 nmi</t>
        </r>
      </text>
    </comment>
    <comment ref="BJ8" authorId="0" shapeId="0" xr:uid="{D5EE3F77-D9A6-4739-9440-A2F09E53C94A}">
      <text>
        <r>
          <rPr>
            <sz val="11"/>
            <color theme="1"/>
            <rFont val="Calibri"/>
            <family val="2"/>
            <scheme val="minor"/>
          </rPr>
          <t>Tsai, Michael:
126 Passenger and Baggage Range: 3600 nmi</t>
        </r>
      </text>
    </comment>
    <comment ref="BK8" authorId="0" shapeId="0" xr:uid="{D1D9BAF4-0883-4BD6-BB27-EEE5D25B0230}">
      <text>
        <r>
          <rPr>
            <sz val="11"/>
            <color theme="1"/>
            <rFont val="Calibri"/>
            <family val="2"/>
            <scheme val="minor"/>
          </rPr>
          <t>Tsai, Michael:
point starting fuel capacity limit 
4580 nmi</t>
        </r>
      </text>
    </comment>
    <comment ref="BL8" authorId="0" shapeId="0" xr:uid="{E96B9D8F-9000-4A80-8874-DB75227C45A9}">
      <text>
        <r>
          <rPr>
            <sz val="11"/>
            <color theme="1"/>
            <rFont val="Calibri"/>
            <family val="2"/>
            <scheme val="minor"/>
          </rPr>
          <t>Tsai, Michael:
153 Passenger and Baggage Range: 3900 nmi</t>
        </r>
      </text>
    </comment>
    <comment ref="BM8" authorId="0" shapeId="0" xr:uid="{8897FE1F-A30A-4EC0-AA97-9FE5B2E0F4AD}">
      <text>
        <r>
          <rPr>
            <sz val="11"/>
            <color theme="1"/>
            <rFont val="Calibri"/>
            <family val="2"/>
            <scheme val="minor"/>
          </rPr>
          <t>Tsai, Michael:
178 Passenger and Baggage Range: 3500 nmi</t>
        </r>
      </text>
    </comment>
    <comment ref="BN8" authorId="0" shapeId="0" xr:uid="{EFD7F1F4-6E58-40A2-897C-A10CC253E557}">
      <text>
        <r>
          <rPr>
            <sz val="11"/>
            <color theme="1"/>
            <rFont val="Calibri"/>
            <family val="2"/>
            <scheme val="minor"/>
          </rPr>
          <t>Tsai, Michael:
202 Passenger and Baggage Range: 2860 nmi</t>
        </r>
      </text>
    </comment>
    <comment ref="BO8" authorId="0" shapeId="0" xr:uid="{C90FA7D9-681A-4A33-A7A0-B1F50674931F}">
      <text>
        <r>
          <rPr>
            <sz val="11"/>
            <color theme="1"/>
            <rFont val="Calibri"/>
            <family val="2"/>
            <scheme val="minor"/>
          </rPr>
          <t>Tsai, Michael:
193 Passenger and Baggage Range: 3250 nmi</t>
        </r>
      </text>
    </comment>
    <comment ref="BP8" authorId="0" shapeId="0" xr:uid="{3B1EC16A-C1A5-407D-9FA0-0BCF23AEA962}">
      <text>
        <r>
          <rPr>
            <sz val="11"/>
            <color theme="1"/>
            <rFont val="Calibri"/>
            <family val="2"/>
            <scheme val="minor"/>
          </rPr>
          <t>Tsai, Michael:
204 Passenger and Baggage Range: 3215 nmi</t>
        </r>
      </text>
    </comment>
    <comment ref="BQ8" authorId="0" shapeId="0" xr:uid="{D52FF7FB-399F-438E-AC0C-8D47479888BE}">
      <text>
        <r>
          <rPr>
            <sz val="11"/>
            <color theme="1"/>
            <rFont val="Calibri"/>
            <family val="2"/>
            <scheme val="minor"/>
          </rPr>
          <t>Tsai, Michael:
point starting fuel capacity limit 
5250 nmi</t>
        </r>
      </text>
    </comment>
    <comment ref="BR8" authorId="0" shapeId="0" xr:uid="{2B7F25F7-2910-4729-878B-5914006D3438}">
      <text>
        <r>
          <rPr>
            <sz val="11"/>
            <color theme="1"/>
            <rFont val="Calibri"/>
            <family val="2"/>
            <scheme val="minor"/>
          </rPr>
          <t>Tsai, Michael:
point starting fuel capacity limit 
4800 nmi</t>
        </r>
      </text>
    </comment>
    <comment ref="BS8" authorId="0" shapeId="0" xr:uid="{FB4E0EFA-7F12-4297-8159-CB035F181ACB}">
      <text>
        <r>
          <rPr>
            <sz val="11"/>
            <color theme="1"/>
            <rFont val="Calibri"/>
            <family val="2"/>
            <scheme val="minor"/>
          </rPr>
          <t>Tsai, Michael:
200 Passenger and Baggage Range: 4000 nmi</t>
        </r>
      </text>
    </comment>
    <comment ref="BT8" authorId="0" shapeId="0" xr:uid="{8F671E72-CFA4-40FB-AE4E-5A10630954F7}">
      <text>
        <r>
          <rPr>
            <sz val="11"/>
            <color theme="1"/>
            <rFont val="Calibri"/>
            <family val="2"/>
            <scheme val="minor"/>
          </rPr>
          <t>Tsai, Michael:
200 Passenger and Baggage Range: 3900 nmi</t>
        </r>
      </text>
    </comment>
    <comment ref="BU8" authorId="0" shapeId="0" xr:uid="{D2644DB2-A51D-48D2-8DB6-66A4821F71EE}">
      <text>
        <r>
          <rPr>
            <sz val="11"/>
            <color theme="1"/>
            <rFont val="Calibri"/>
            <family val="2"/>
            <scheme val="minor"/>
          </rPr>
          <t>Tsai, Michael:
200 Passenger and Baggage Range: 2260 nmi</t>
        </r>
      </text>
    </comment>
    <comment ref="BV8" authorId="0" shapeId="0" xr:uid="{24A3D9A0-F37A-4367-A89D-3543111D5E11}">
      <text>
        <r>
          <rPr>
            <sz val="11"/>
            <color theme="1"/>
            <rFont val="Calibri"/>
            <family val="2"/>
            <scheme val="minor"/>
          </rPr>
          <t>Tsai, Michael:
200 Passenger and Baggage Range: 3655 nmi</t>
        </r>
      </text>
    </comment>
    <comment ref="BW8" authorId="0" shapeId="0" xr:uid="{DA581B3A-303E-4101-BE4C-52F390521F50}">
      <text>
        <r>
          <rPr>
            <sz val="11"/>
            <color theme="1"/>
            <rFont val="Calibri"/>
            <family val="2"/>
            <scheme val="minor"/>
          </rPr>
          <t>Tsai, Michael:
200 Passenger and Baggage Range: 3655 nmi</t>
        </r>
      </text>
    </comment>
    <comment ref="BX8" authorId="0" shapeId="0" xr:uid="{35F58C85-7CC6-4D44-887E-BFC665FE498B}">
      <text>
        <r>
          <rPr>
            <sz val="11"/>
            <color theme="1"/>
            <rFont val="Calibri"/>
            <family val="2"/>
            <scheme val="minor"/>
          </rPr>
          <t>Tsai, Michael:
200 Passenger and Baggage Range: 3655 nmi</t>
        </r>
      </text>
    </comment>
    <comment ref="BY8" authorId="0" shapeId="0" xr:uid="{0433A524-BDBF-4BD4-9C0F-00308CCFFC82}">
      <text>
        <r>
          <rPr>
            <sz val="11"/>
            <color theme="1"/>
            <rFont val="Calibri"/>
            <family val="2"/>
            <scheme val="minor"/>
          </rPr>
          <t>Tsai, Michael:
243 Passenger and Baggage Range: 2120 nmi
janes used 108.9 k brake release gross weight</t>
        </r>
      </text>
    </comment>
    <comment ref="BZ8" authorId="0" shapeId="0" xr:uid="{5459EA14-EF83-4930-8DBE-A0663BA0C670}">
      <text>
        <r>
          <rPr>
            <sz val="11"/>
            <color theme="1"/>
            <rFont val="Calibri"/>
            <family val="2"/>
            <scheme val="minor"/>
          </rPr>
          <t>Tsai, Michael:
243 Passenger and Baggage Range: 3395 nmi</t>
        </r>
      </text>
    </comment>
    <comment ref="CA8" authorId="0" shapeId="0" xr:uid="{A20E28AE-EF44-4F9D-A415-1BA3786D90C7}">
      <text>
        <r>
          <rPr>
            <sz val="11"/>
            <color theme="1"/>
            <rFont val="Calibri"/>
            <family val="2"/>
            <scheme val="minor"/>
          </rPr>
          <t>Tsai, Michael:
243 Passenger and Baggage Range: 1955 nmi</t>
        </r>
      </text>
    </comment>
    <comment ref="CB8" authorId="0" shapeId="0" xr:uid="{549302FB-ADC3-4A89-93F3-688F1F7EE5DD}">
      <text>
        <r>
          <rPr>
            <sz val="11"/>
            <color theme="1"/>
            <rFont val="Calibri"/>
            <family val="2"/>
            <scheme val="minor"/>
          </rPr>
          <t>Tsai, Michael:
243 Passenger and Baggage Range: 3180 nmi</t>
        </r>
      </text>
    </comment>
    <comment ref="CC8" authorId="0" shapeId="0" xr:uid="{18A0A2E7-9D88-464A-94A9-58DCFA0DCC23}">
      <text>
        <r>
          <rPr>
            <sz val="11"/>
            <color theme="1"/>
            <rFont val="Calibri"/>
            <family val="2"/>
            <scheme val="minor"/>
          </rPr>
          <t>Tsai, Michael:
216 Passenger and Baggage Range: 2250 nmi</t>
        </r>
      </text>
    </comment>
    <comment ref="CD8" authorId="0" shapeId="0" xr:uid="{0EF75BD6-4E3A-46BA-8C1B-F6453C341099}">
      <text>
        <r>
          <rPr>
            <sz val="11"/>
            <color theme="1"/>
            <rFont val="Calibri"/>
            <family val="2"/>
            <scheme val="minor"/>
          </rPr>
          <t>Tsai, Michael:
Passenger and Baggage Range: 3200 nmi</t>
        </r>
      </text>
    </comment>
    <comment ref="CE8" authorId="0" shapeId="0" xr:uid="{36616611-919C-4C56-B773-04CB83E2144F}">
      <text>
        <r>
          <rPr>
            <sz val="11"/>
            <color theme="1"/>
            <rFont val="Calibri"/>
            <family val="2"/>
            <scheme val="minor"/>
          </rPr>
          <t>Tsai, Michael:
Passenger and Baggage Range: 3650 nmi</t>
        </r>
      </text>
    </comment>
    <comment ref="CF8" authorId="0" shapeId="0" xr:uid="{ADB92BBA-191C-40E7-8E18-71157826CC41}">
      <text>
        <r>
          <rPr>
            <sz val="11"/>
            <color theme="1"/>
            <rFont val="Calibri"/>
            <family val="2"/>
            <scheme val="minor"/>
          </rPr>
          <t>Tsai, Michael:
Passenger and Baggage Range: 3950 nmi</t>
        </r>
      </text>
    </comment>
    <comment ref="CG8" authorId="0" shapeId="0" xr:uid="{E1240711-42AD-48D0-B93C-A18CA9BDE4AA}">
      <text>
        <r>
          <rPr>
            <sz val="11"/>
            <color theme="1"/>
            <rFont val="Calibri"/>
            <family val="2"/>
            <scheme val="minor"/>
          </rPr>
          <t>Tsai, Michael:
Passenger and Baggage Range: 3650 nmi</t>
        </r>
      </text>
    </comment>
    <comment ref="CH8" authorId="0" shapeId="0" xr:uid="{FAE6E46E-FF20-4987-A919-C1413BE366ED}">
      <text>
        <r>
          <rPr>
            <sz val="11"/>
            <color theme="1"/>
            <rFont val="Calibri"/>
            <family val="2"/>
            <scheme val="minor"/>
          </rPr>
          <t>Tsai, Michael:
Passenger and Baggage Range: 3950 nmi</t>
        </r>
      </text>
    </comment>
    <comment ref="CI8" authorId="0" shapeId="0" xr:uid="{909CEF8F-FB9D-4A08-9032-58D729260FDE}">
      <text>
        <r>
          <rPr>
            <sz val="11"/>
            <color theme="1"/>
            <rFont val="Calibri"/>
            <family val="2"/>
            <scheme val="minor"/>
          </rPr>
          <t>Tsai, Michael:
Assume 216 passenger &amp; Baggage
4500 nmi</t>
        </r>
      </text>
    </comment>
    <comment ref="CJ8" authorId="0" shapeId="0" xr:uid="{E00BC098-92B6-43A2-878D-0F9187473E24}">
      <text>
        <r>
          <rPr>
            <sz val="11"/>
            <color theme="1"/>
            <rFont val="Calibri"/>
            <family val="2"/>
            <scheme val="minor"/>
          </rPr>
          <t>Tsai, Michael:
Assume 216 passenger &amp; Baggage
5100 nmi</t>
        </r>
      </text>
    </comment>
    <comment ref="CK8" authorId="0" shapeId="0" xr:uid="{9BB158A7-B71D-4124-97F5-76465D28F691}">
      <text>
        <r>
          <rPr>
            <sz val="11"/>
            <color theme="1"/>
            <rFont val="Calibri"/>
            <family val="2"/>
            <scheme val="minor"/>
          </rPr>
          <t>Tsai, Michael:
Assume 216 passenger &amp; Baggage
6100 nmi</t>
        </r>
      </text>
    </comment>
    <comment ref="CL8" authorId="0" shapeId="0" xr:uid="{7216839E-02FA-4EF1-A564-ABDFF520BE00}">
      <text>
        <r>
          <rPr>
            <sz val="11"/>
            <color theme="1"/>
            <rFont val="Calibri"/>
            <family val="2"/>
            <scheme val="minor"/>
          </rPr>
          <t>Tsai, Michael:
Assume 216 passenger &amp; Baggage
6600 nmi</t>
        </r>
      </text>
    </comment>
    <comment ref="CM8" authorId="0" shapeId="0" xr:uid="{51CCAB77-2776-43DB-88E9-79AA80F1E681}">
      <text>
        <r>
          <rPr>
            <sz val="11"/>
            <color theme="1"/>
            <rFont val="Calibri"/>
            <family val="2"/>
            <scheme val="minor"/>
          </rPr>
          <t>Tsai, Michael: Use (95kg for avg) payload:22515 kg
237 Passenger and Baggage Range:  2600 nmi</t>
        </r>
      </text>
    </comment>
    <comment ref="CN8" authorId="0" shapeId="0" xr:uid="{9E3A1F37-71DC-4898-BCCE-C3F67E388655}">
      <text>
        <r>
          <rPr>
            <sz val="11"/>
            <color theme="1"/>
            <rFont val="Calibri"/>
            <family val="2"/>
            <scheme val="minor"/>
          </rPr>
          <t>Tsai, Michael: Use (95kg for avg) payload:22515 kg
Passenger and Baggage Range:  2650 nmi</t>
        </r>
      </text>
    </comment>
    <comment ref="CO8" authorId="0" shapeId="0" xr:uid="{2B3206EA-5227-4179-B833-240C99E1BBF4}">
      <text>
        <r>
          <rPr>
            <sz val="11"/>
            <color theme="1"/>
            <rFont val="Calibri"/>
            <family val="2"/>
            <scheme val="minor"/>
          </rPr>
          <t>Tsai, Michael: Use (95kg for avg) payload: 22515 kg
Passenger and Baggage Range:  3300 nmi</t>
        </r>
      </text>
    </comment>
    <comment ref="CP8" authorId="0" shapeId="0" xr:uid="{064E710C-EE69-41F9-A31C-01C401BBBC90}">
      <text>
        <r>
          <rPr>
            <sz val="11"/>
            <color theme="1"/>
            <rFont val="Calibri"/>
            <family val="2"/>
            <scheme val="minor"/>
          </rPr>
          <t>Tsai, Michael: Use (95kg for avg) payload: 22515 kg
237 Passenger and Baggage Range:  3350 nmi</t>
        </r>
      </text>
    </comment>
    <comment ref="CQ8" authorId="0" shapeId="0" xr:uid="{940528B7-C7F7-48CC-84DD-BE12A9459C54}">
      <text>
        <r>
          <rPr>
            <sz val="11"/>
            <color theme="1"/>
            <rFont val="Calibri"/>
            <family val="2"/>
            <scheme val="minor"/>
          </rPr>
          <t>Tsai, Michael: Use (95kg for avg) payload: 22515 kg
237 Passenger and Baggage Range:  3500 nmi</t>
        </r>
      </text>
    </comment>
    <comment ref="CR8" authorId="0" shapeId="0" xr:uid="{F780CBBE-E762-447A-8556-207BAD9337EE}">
      <text>
        <r>
          <rPr>
            <sz val="11"/>
            <color theme="1"/>
            <rFont val="Calibri"/>
            <family val="2"/>
            <scheme val="minor"/>
          </rPr>
          <t>Tsai, Michael: Use (95kg for avg) payload: 23085
243 Passenger and Baggage Range:  4250 nmi</t>
        </r>
      </text>
    </comment>
    <comment ref="CS8" authorId="0" shapeId="0" xr:uid="{80FF6C0F-E4F9-4C15-A559-A99AD46BCBD2}">
      <text>
        <r>
          <rPr>
            <sz val="11"/>
            <color theme="1"/>
            <rFont val="Calibri"/>
            <family val="2"/>
            <scheme val="minor"/>
          </rPr>
          <t>Tsai, Michael: Use (95kg for avg) payload: 23085
243 Passenger and Baggage Range:  3900 nmi</t>
        </r>
      </text>
    </comment>
    <comment ref="CT8" authorId="0" shapeId="0" xr:uid="{6FC1FD5E-240E-4B0F-8191-F26A6CB21724}">
      <text>
        <r>
          <rPr>
            <sz val="11"/>
            <color theme="1"/>
            <rFont val="Calibri"/>
            <family val="2"/>
            <scheme val="minor"/>
          </rPr>
          <t>Tsai, Michael: Use (95kg for avg) payload: 23085
240 Passenger and Baggage Range:  4700 nmi</t>
        </r>
      </text>
    </comment>
    <comment ref="CU8" authorId="0" shapeId="0" xr:uid="{ADBC031E-F9BE-400C-8A00-57F4A03DDBC1}">
      <text>
        <r>
          <rPr>
            <sz val="11"/>
            <color theme="1"/>
            <rFont val="Calibri"/>
            <family val="2"/>
            <scheme val="minor"/>
          </rPr>
          <t>Tsai, Michael: Use (95kg for avg) payload: 23085
240 Passenger and Baggage Range: 5150 nmi</t>
        </r>
      </text>
    </comment>
    <comment ref="CV8" authorId="0" shapeId="0" xr:uid="{D2FB7BC4-1E8C-4371-8C8C-4CBC52EEE63B}">
      <text>
        <r>
          <rPr>
            <sz val="11"/>
            <color theme="1"/>
            <rFont val="Calibri"/>
            <family val="2"/>
            <scheme val="minor"/>
          </rPr>
          <t>Tsai, Michael: Use (95kg for avg) payload: 10165 kg
107 Passenger and Baggage Range:  1400 nmi</t>
        </r>
      </text>
    </comment>
    <comment ref="CW8" authorId="0" shapeId="0" xr:uid="{E7DFE70B-3810-4998-8534-F112CCE54460}">
      <text>
        <r>
          <rPr>
            <sz val="11"/>
            <color theme="1"/>
            <rFont val="Calibri"/>
            <family val="2"/>
            <scheme val="minor"/>
          </rPr>
          <t>Tsai, Michael: Use (95kg for avg) payload: 10165 kg
107 Passenger and Baggage Range:  1400 nmi</t>
        </r>
      </text>
    </comment>
    <comment ref="CX8" authorId="0" shapeId="0" xr:uid="{42F9FDAD-E93E-412B-9030-F6AFB7BEF275}">
      <text>
        <r>
          <rPr>
            <sz val="11"/>
            <color theme="1"/>
            <rFont val="Calibri"/>
            <family val="2"/>
            <scheme val="minor"/>
          </rPr>
          <t>Tsai, Michael: Use (95kg for avg) payload: 10165 kg
107 Passenger and Baggage Range:  3100 nmi</t>
        </r>
      </text>
    </comment>
    <comment ref="CY8" authorId="0" shapeId="0" xr:uid="{98426CC5-38DA-4FF8-9667-CA38208420E8}">
      <text>
        <r>
          <rPr>
            <sz val="11"/>
            <color theme="1"/>
            <rFont val="Calibri"/>
            <family val="2"/>
            <scheme val="minor"/>
          </rPr>
          <t>Tsai, Michael: Use (95kg for avg) payload: 10165 kg
107 Passenger and Baggage Range:  3100 nmi</t>
        </r>
      </text>
    </comment>
    <comment ref="CZ8" authorId="0" shapeId="0" xr:uid="{6859F826-B85B-4E0E-AB88-E83303E6E696}">
      <text>
        <r>
          <rPr>
            <sz val="11"/>
            <color theme="1"/>
            <rFont val="Calibri"/>
            <family val="2"/>
            <scheme val="minor"/>
          </rPr>
          <t>Tsai, Michael: Use (95kg for avg) payload: 11780 kg
124 Passenger and Baggage Range: 1750 nmi</t>
        </r>
      </text>
    </comment>
    <comment ref="DA8" authorId="0" shapeId="0" xr:uid="{85B1BE03-920F-4DE5-9135-CEB622E14DF8}">
      <text>
        <r>
          <rPr>
            <sz val="11"/>
            <color theme="1"/>
            <rFont val="Calibri"/>
            <family val="2"/>
            <scheme val="minor"/>
          </rPr>
          <t>Tsai, Michael: Use (95kg for avg) payload: 11780 kg
124 Passenger and Baggage Range:  3150 nmi</t>
        </r>
      </text>
    </comment>
    <comment ref="DB8" authorId="0" shapeId="0" xr:uid="{D49DB920-1A40-44AE-9830-AAC42F121ACF}">
      <text>
        <r>
          <rPr>
            <sz val="11"/>
            <color theme="1"/>
            <rFont val="Calibri"/>
            <family val="2"/>
            <scheme val="minor"/>
          </rPr>
          <t>Tsai, Michael: Use (95kg for avg) payload: 11780 kg
124 Passenger and Baggage Range:  3250 nmi</t>
        </r>
      </text>
    </comment>
    <comment ref="DC8" authorId="0" shapeId="0" xr:uid="{E24A3961-EC46-4251-8A5A-82B0A4F3A7C9}">
      <text>
        <r>
          <rPr>
            <sz val="11"/>
            <color theme="1"/>
            <rFont val="Calibri"/>
            <family val="2"/>
            <scheme val="minor"/>
          </rPr>
          <t>Tsai, Michael: Use (95kg for avg) payload: 11780 kg
124 Passenger and Baggage Range:  3250 nmi</t>
        </r>
      </text>
    </comment>
    <comment ref="DD8" authorId="0" shapeId="0" xr:uid="{486556F7-4278-4C7C-AC0E-4D1BB3B95E16}">
      <text>
        <r>
          <rPr>
            <sz val="11"/>
            <color theme="1"/>
            <rFont val="Calibri"/>
            <family val="2"/>
            <scheme val="minor"/>
          </rPr>
          <t>Tsai, Michael: Use (95kg for avg) payload: 11780 kg
124 Passenger and Baggage Range:  3250 nmi</t>
        </r>
      </text>
    </comment>
    <comment ref="DE8" authorId="0" shapeId="0" xr:uid="{AAD133BC-E910-45EA-9CF0-D3179DA6EE22}">
      <text>
        <r>
          <rPr>
            <sz val="11"/>
            <color theme="1"/>
            <rFont val="Calibri"/>
            <family val="2"/>
            <scheme val="minor"/>
          </rPr>
          <t>Tsai, Michael: Use (95kg for avg) payload:13300 kg
140 Passenger and Baggage Range:  1350 nmi</t>
        </r>
      </text>
    </comment>
    <comment ref="DF8" authorId="0" shapeId="0" xr:uid="{3F0F2F8C-0456-4466-BC86-6D032C7BB126}">
      <text>
        <r>
          <rPr>
            <sz val="11"/>
            <color theme="1"/>
            <rFont val="Calibri"/>
            <family val="2"/>
            <scheme val="minor"/>
          </rPr>
          <t>Tsai, Michael: Use (95kg for avg) payload:13300 kg
140 Passenger and Baggage Range:  3750 nmi</t>
        </r>
      </text>
    </comment>
    <comment ref="DG8" authorId="0" shapeId="0" xr:uid="{638FF196-3EA9-4E6D-835B-AC8DBA7786D3}">
      <text>
        <r>
          <rPr>
            <sz val="11"/>
            <color theme="1"/>
            <rFont val="Calibri"/>
            <family val="2"/>
            <scheme val="minor"/>
          </rPr>
          <t>Tsai, Michael: Use (95kg for avg) payload:13300 kg
140 Passenger and Baggage Range:  1350 nmi</t>
        </r>
      </text>
    </comment>
    <comment ref="DH8" authorId="0" shapeId="0" xr:uid="{E15E13F9-622E-45E5-B56A-92A5098328AB}">
      <text>
        <r>
          <rPr>
            <sz val="11"/>
            <color theme="1"/>
            <rFont val="Calibri"/>
            <family val="2"/>
            <scheme val="minor"/>
          </rPr>
          <t>Tsai, Michael: Use (95kg for avg) payload: 14250 kg
150 Passenger and Baggage Range:  2450 nmi</t>
        </r>
      </text>
    </comment>
    <comment ref="DI8" authorId="0" shapeId="0" xr:uid="{7F7CFB02-A27D-480D-ACA5-B5F98CDCB1A1}">
      <text>
        <r>
          <rPr>
            <sz val="11"/>
            <color theme="1"/>
            <rFont val="Calibri"/>
            <family val="2"/>
            <scheme val="minor"/>
          </rPr>
          <t>Tsai, Michael: Use (95kg for avg) payload: 14250 kg
150 Passenger and Baggage Range:  2450 nmi</t>
        </r>
      </text>
    </comment>
    <comment ref="DJ8" authorId="0" shapeId="0" xr:uid="{EE291C86-CCE1-4A7E-A33F-53CE9E6081CA}">
      <text>
        <r>
          <rPr>
            <sz val="11"/>
            <color theme="1"/>
            <rFont val="Calibri"/>
            <family val="2"/>
            <scheme val="minor"/>
          </rPr>
          <t>Tsai, Michael: Use (95kg for avg) payload: 14250 kg
150 Passenger and Baggage Range:  2700 nmi</t>
        </r>
      </text>
    </comment>
    <comment ref="DK8" authorId="0" shapeId="0" xr:uid="{E31594FC-F7EC-4AC9-A97B-CCF5C39FD590}">
      <text>
        <r>
          <rPr>
            <sz val="11"/>
            <color theme="1"/>
            <rFont val="Calibri"/>
            <family val="2"/>
            <scheme val="minor"/>
          </rPr>
          <t>Tsai, Michael: Use (95kg for avg) payload: 14250 kg
150 Passenger and Baggage Range: 2600 nmi</t>
        </r>
      </text>
    </comment>
    <comment ref="DL8" authorId="0" shapeId="0" xr:uid="{F88880F6-706D-4672-9107-8B9098B98F66}">
      <text>
        <r>
          <rPr>
            <sz val="11"/>
            <color theme="1"/>
            <rFont val="Calibri"/>
            <family val="2"/>
            <scheme val="minor"/>
          </rPr>
          <t>Tsai, Michael: Use (95kg for avg) payload: 14250 kg
150 Passenger and Baggage Range: 3000 nmi</t>
        </r>
      </text>
    </comment>
    <comment ref="DM8" authorId="0" shapeId="0" xr:uid="{03B673AC-ABBC-4CD6-BC2A-F7BB60A01BA9}">
      <text>
        <r>
          <rPr>
            <sz val="11"/>
            <color theme="1"/>
            <rFont val="Calibri"/>
            <family val="2"/>
            <scheme val="minor"/>
          </rPr>
          <t>Tsai, Michael: Use (95kg for avg) payload: 15675 kg
165 Passenger and Baggage Range: 2250 nmi</t>
        </r>
      </text>
    </comment>
    <comment ref="DN8" authorId="0" shapeId="0" xr:uid="{D9417DEF-D944-4E91-B33D-68DC93745401}">
      <text>
        <r>
          <rPr>
            <sz val="11"/>
            <color theme="1"/>
            <rFont val="Calibri"/>
            <family val="2"/>
            <scheme val="minor"/>
          </rPr>
          <t>Tsai, Michael: Use (95kg for avg) payload: 15675 kg
165 Passenger and Baggage Range: 3250 nmi</t>
        </r>
      </text>
    </comment>
    <comment ref="DO8" authorId="0" shapeId="0" xr:uid="{6D412783-0437-428A-9985-ED9027537D8F}">
      <text>
        <r>
          <rPr>
            <sz val="11"/>
            <color theme="1"/>
            <rFont val="Calibri"/>
            <family val="2"/>
            <scheme val="minor"/>
          </rPr>
          <t>Tsai, Michael: Use (95kg for avg) payload: 15675 kg
165 Passenger and Baggage Range: 3250 nmi</t>
        </r>
      </text>
    </comment>
    <comment ref="DP8" authorId="0" shapeId="0" xr:uid="{0FECADB1-AFF1-4DBF-8CE5-A77079EAD654}">
      <text>
        <r>
          <rPr>
            <sz val="11"/>
            <color theme="1"/>
            <rFont val="Calibri"/>
            <family val="2"/>
            <scheme val="minor"/>
          </rPr>
          <t>Tsai, Michael: Use (95kg for avg) payload: 15675 kg
165 Passenger and Baggage Range: 2250 nmi</t>
        </r>
      </text>
    </comment>
    <comment ref="DQ8" authorId="0" shapeId="0" xr:uid="{2B904CC3-ABF6-4801-ACFC-275A3317EC30}">
      <text>
        <r>
          <rPr>
            <sz val="11"/>
            <color theme="1"/>
            <rFont val="Calibri"/>
            <family val="2"/>
            <scheme val="minor"/>
          </rPr>
          <t>Tsai, Michael: Use (95kg for avg) payload: 15675 kg
165 Passenger and Baggage Range: 3250 nmi</t>
        </r>
      </text>
    </comment>
    <comment ref="DR8" authorId="0" shapeId="0" xr:uid="{F0D54558-A7D7-4E75-BA2E-968AC1D96A3D}">
      <text>
        <r>
          <rPr>
            <sz val="11"/>
            <color theme="1"/>
            <rFont val="Calibri"/>
            <family val="2"/>
            <scheme val="minor"/>
          </rPr>
          <t>Tsai, Michael: Use (95kg for avg) payload: 15675 kg
165 Passenger and Baggage Range: 3250 nmi</t>
        </r>
      </text>
    </comment>
    <comment ref="DS8" authorId="0" shapeId="0" xr:uid="{ACEEEF7D-C4F2-4FF1-AB31-7BAF96F2CBA9}">
      <text>
        <r>
          <rPr>
            <sz val="11"/>
            <color theme="1"/>
            <rFont val="Calibri"/>
            <family val="2"/>
            <scheme val="minor"/>
          </rPr>
          <t>Tsai, Michael: Use (95kg for avg) payload:
185 Passenger and Baggage Range:  2138 nmi</t>
        </r>
      </text>
    </comment>
    <comment ref="DT8" authorId="0" shapeId="0" xr:uid="{BE27AC6B-8CF3-485B-9CB5-E46068F761EF}">
      <text>
        <r>
          <rPr>
            <sz val="11"/>
            <color theme="1"/>
            <rFont val="Calibri"/>
            <family val="2"/>
            <scheme val="minor"/>
          </rPr>
          <t>Tsai, Michael: Use (95kg for avg) payload:
185 Passenger and Baggage Range:  2253 nmi</t>
        </r>
      </text>
    </comment>
    <comment ref="DU8" authorId="0" shapeId="0" xr:uid="{A76D6CBF-8F4A-4B06-9054-4396187AB37B}">
      <text>
        <r>
          <rPr>
            <sz val="11"/>
            <color theme="1"/>
            <rFont val="Calibri"/>
            <family val="2"/>
            <scheme val="minor"/>
          </rPr>
          <t>Tsai, Michael: Use (95kg for avg) payload:
185 Passenger and Baggage Range: 2250 nmi</t>
        </r>
      </text>
    </comment>
    <comment ref="DV8" authorId="0" shapeId="0" xr:uid="{0AD7CA68-8FCA-4D4B-8FCE-52816236AA02}">
      <text>
        <r>
          <rPr>
            <sz val="11"/>
            <color theme="1"/>
            <rFont val="Calibri"/>
            <family val="2"/>
            <scheme val="minor"/>
          </rPr>
          <t>Tsai, Michael: Use (95kg for avg) payload:
185 Passenger and Baggage Range:  nmi 2700</t>
        </r>
      </text>
    </comment>
    <comment ref="DW8" authorId="0" shapeId="0" xr:uid="{BA33FFD1-160F-4BBD-9D69-5D74C571C739}">
      <text>
        <r>
          <rPr>
            <sz val="11"/>
            <color theme="1"/>
            <rFont val="Calibri"/>
            <family val="2"/>
            <scheme val="minor"/>
          </rPr>
          <t>Tsai, Michael: Use (95kg for avg) payload:
185 Passenger and Baggage Range: 2714 nmi</t>
        </r>
      </text>
    </comment>
    <comment ref="DX8" authorId="0" shapeId="0" xr:uid="{947EF658-5337-4199-82CF-0F9BD674D031}">
      <text>
        <r>
          <rPr>
            <sz val="11"/>
            <color theme="1"/>
            <rFont val="Calibri"/>
            <family val="2"/>
            <scheme val="minor"/>
          </rPr>
          <t>Tsai, Michael: Use (95kg for avg) payload:18050
190 Passenger and Baggage Range: 2750 nmi</t>
        </r>
      </text>
    </comment>
    <comment ref="DY8" authorId="0" shapeId="0" xr:uid="{90D80953-4DCA-45A2-895A-C4932F725855}">
      <text>
        <r>
          <rPr>
            <sz val="11"/>
            <color theme="1"/>
            <rFont val="Calibri"/>
            <family val="2"/>
            <scheme val="minor"/>
          </rPr>
          <t>Tsai, Michael: Use (95kg for avg) payload:18050
190 Passenger and Baggage Range: 2750 nmi</t>
        </r>
      </text>
    </comment>
    <comment ref="DZ8" authorId="0" shapeId="0" xr:uid="{2397D670-ADB2-4FB6-9522-E1BE19664AAE}">
      <text>
        <r>
          <rPr>
            <sz val="11"/>
            <color theme="1"/>
            <rFont val="Calibri"/>
            <family val="2"/>
            <scheme val="minor"/>
          </rPr>
          <t>Tsai, Michael: Use (95kg for avg) payload:18050
190 Passenger and Baggage Range: 3250 nmi</t>
        </r>
      </text>
    </comment>
    <comment ref="EA8" authorId="0" shapeId="0" xr:uid="{1E62987F-5B2D-41D2-8DE9-7C57D8B4D2A1}">
      <text>
        <r>
          <rPr>
            <sz val="11"/>
            <color theme="1"/>
            <rFont val="Calibri"/>
            <family val="2"/>
            <scheme val="minor"/>
          </rPr>
          <t>Tsai, Michael: Use (95kg for avg) payload:
185 Passenger and Baggage Range:  3620 nmi</t>
        </r>
      </text>
    </comment>
    <comment ref="EB8" authorId="0" shapeId="0" xr:uid="{DB030D9B-4AFA-4FC6-9944-94FBEE4D783B}">
      <text>
        <r>
          <rPr>
            <sz val="11"/>
            <color theme="1"/>
            <rFont val="Calibri"/>
            <family val="2"/>
            <scheme val="minor"/>
          </rPr>
          <t>Tsai, Michael: Use (95kg for avg) payload:
206 Passenger and Baggage Range: 4500 nmi</t>
        </r>
      </text>
    </comment>
    <comment ref="EC8" authorId="0" shapeId="0" xr:uid="{5A4DD579-87C1-45C5-A83F-8435A9D07F7D}">
      <text>
        <r>
          <rPr>
            <sz val="11"/>
            <color theme="1"/>
            <rFont val="Calibri"/>
            <family val="2"/>
            <scheme val="minor"/>
          </rPr>
          <t>Tsai, Michael: Use (95kg for avg) payload:
206 Passenger and Baggage Range: 4500 nmi</t>
        </r>
      </text>
    </comment>
    <comment ref="ED8" authorId="0" shapeId="0" xr:uid="{8586287A-C5D1-4A5A-8EE2-5E90DE0FB9F4}">
      <text>
        <r>
          <rPr>
            <sz val="11"/>
            <color theme="1"/>
            <rFont val="Calibri"/>
            <family val="2"/>
            <scheme val="minor"/>
          </rPr>
          <t>Tsai, Michael: Use (95kg for avg) payload:
Passenger and Baggage Range:  nmi</t>
        </r>
      </text>
    </comment>
    <comment ref="EE8" authorId="0" shapeId="0" xr:uid="{1165D2B8-4F1C-4902-82C2-F2A514C81A5F}">
      <text>
        <r>
          <rPr>
            <sz val="11"/>
            <color theme="1"/>
            <rFont val="Calibri"/>
            <family val="2"/>
            <scheme val="minor"/>
          </rPr>
          <t>Tsai, Michael: Use (95kg for avg) payload:
Passenger and Baggage Range:  nmi</t>
        </r>
      </text>
    </comment>
    <comment ref="EF8" authorId="0" shapeId="0" xr:uid="{EEDEA3E5-05A2-42C2-AC59-8DF835B8DB48}">
      <text>
        <r>
          <rPr>
            <sz val="11"/>
            <color theme="1"/>
            <rFont val="Calibri"/>
            <family val="2"/>
            <scheme val="minor"/>
          </rPr>
          <t>Tsai, Michael: Use (95kg for avg) payload:
Passenger and Baggage Range:  nmi</t>
        </r>
      </text>
    </comment>
    <comment ref="EG8" authorId="0" shapeId="0" xr:uid="{1D0BDD67-9EE6-42D8-8338-53CE21692E7D}">
      <text>
        <r>
          <rPr>
            <sz val="11"/>
            <color theme="1"/>
            <rFont val="Calibri"/>
            <family val="2"/>
            <scheme val="minor"/>
          </rPr>
          <t>Tsai, Michael: Use (95kg for avg) payload:
Passenger and Baggage Range:  nmi</t>
        </r>
      </text>
    </comment>
    <comment ref="EH8" authorId="0" shapeId="0" xr:uid="{05F6C027-A067-4657-9473-E002E87A3C28}">
      <text>
        <r>
          <rPr>
            <sz val="11"/>
            <color theme="1"/>
            <rFont val="Calibri"/>
            <family val="2"/>
            <scheme val="minor"/>
          </rPr>
          <t>Tsai, Michael: Use (95kg for avg) payload:
Passenger and Baggage Range:  nmi</t>
        </r>
      </text>
    </comment>
    <comment ref="EI8" authorId="0" shapeId="0" xr:uid="{FA2C3EE0-E179-4CFB-912B-40439D36CCAD}">
      <text>
        <r>
          <rPr>
            <sz val="11"/>
            <color theme="1"/>
            <rFont val="Calibri"/>
            <family val="2"/>
            <scheme val="minor"/>
          </rPr>
          <t>Tsai, Michael: Use (95kg for avg) payload:
Passenger and Baggage Range:  nmi</t>
        </r>
      </text>
    </comment>
    <comment ref="EJ8" authorId="0" shapeId="0" xr:uid="{64B2A622-9252-41F2-9A97-18FFCBB66697}">
      <text>
        <r>
          <rPr>
            <sz val="11"/>
            <color theme="1"/>
            <rFont val="Calibri"/>
            <family val="2"/>
            <scheme val="minor"/>
          </rPr>
          <t>Tsai, Michael: Use (95kg for avg) payload:
Passenger and Baggage Range:  nmi</t>
        </r>
      </text>
    </comment>
    <comment ref="EK8" authorId="0" shapeId="0" xr:uid="{773AAF74-7FEC-4FA3-BD5F-E8643A320766}">
      <text>
        <r>
          <rPr>
            <sz val="11"/>
            <color theme="1"/>
            <rFont val="Calibri"/>
            <family val="2"/>
            <scheme val="minor"/>
          </rPr>
          <t>Tsai, Michael: Use (95kg for avg) payload:
Passenger and Baggage Range:  nmi</t>
        </r>
      </text>
    </comment>
    <comment ref="EL8" authorId="0" shapeId="0" xr:uid="{7D591CDC-66C1-4934-9631-E895BF404B85}">
      <text>
        <r>
          <rPr>
            <sz val="11"/>
            <color theme="1"/>
            <rFont val="Calibri"/>
            <family val="2"/>
            <scheme val="minor"/>
          </rPr>
          <t>Tsai, Michael: Use (95kg for avg) payload:
Passenger and Baggage Range:  nmi</t>
        </r>
      </text>
    </comment>
    <comment ref="EM8" authorId="0" shapeId="0" xr:uid="{D8ACA5D3-A01F-48D9-A1DA-EF39836E7241}">
      <text>
        <r>
          <rPr>
            <sz val="11"/>
            <color theme="1"/>
            <rFont val="Calibri"/>
            <family val="2"/>
            <scheme val="minor"/>
          </rPr>
          <t>Tsai, Michael: Use (95kg for avg) payload:
Passenger and Baggage Range:  nmi</t>
        </r>
      </text>
    </comment>
    <comment ref="EN8" authorId="0" shapeId="0" xr:uid="{5E1D04E5-E4CC-4DD2-8498-21390CA20FA2}">
      <text>
        <r>
          <rPr>
            <sz val="11"/>
            <color theme="1"/>
            <rFont val="Calibri"/>
            <family val="2"/>
            <scheme val="minor"/>
          </rPr>
          <t>Tsai, Michael: Use (95kg for avg) payload:
Passenger and Baggage Range:  nmi</t>
        </r>
      </text>
    </comment>
    <comment ref="EO8" authorId="0" shapeId="0" xr:uid="{9103F684-ED49-4C86-BE91-8BE78A334029}">
      <text>
        <r>
          <rPr>
            <sz val="11"/>
            <color theme="1"/>
            <rFont val="Calibri"/>
            <family val="2"/>
            <scheme val="minor"/>
          </rPr>
          <t>Tsai, Michael: Use (95kg for avg) payload:
Passenger and Baggage Range:  nmi</t>
        </r>
      </text>
    </comment>
    <comment ref="EZ8" authorId="0" shapeId="0" xr:uid="{F57D8DBC-29D8-4A2C-9802-3739547C2EFA}">
      <text>
        <r>
          <rPr>
            <sz val="11"/>
            <color theme="1"/>
            <rFont val="Calibri"/>
            <family val="2"/>
            <scheme val="minor"/>
          </rPr>
          <t>Tsai, Michael:
1000 nmi</t>
        </r>
      </text>
    </comment>
    <comment ref="FA8" authorId="0" shapeId="0" xr:uid="{789967A8-B034-461C-8DCE-AA0C1EC8B698}">
      <text>
        <r>
          <rPr>
            <sz val="11"/>
            <color theme="1"/>
            <rFont val="Calibri"/>
            <family val="2"/>
            <scheme val="minor"/>
          </rPr>
          <t>Tsai, Michael:
1660 nmi</t>
        </r>
      </text>
    </comment>
    <comment ref="FB8" authorId="0" shapeId="0" xr:uid="{AA3AC08C-B10F-4400-AEAD-0DC171C7DF8C}">
      <text>
        <r>
          <rPr>
            <sz val="11"/>
            <color theme="1"/>
            <rFont val="Calibri"/>
            <family val="2"/>
            <scheme val="minor"/>
          </rPr>
          <t>Tsai, Michael:
1660 nmi</t>
        </r>
      </text>
    </comment>
    <comment ref="FC8" authorId="0" shapeId="0" xr:uid="{E22ED210-4443-4AE2-8498-D60BC37D8791}">
      <text>
        <r>
          <rPr>
            <sz val="11"/>
            <color theme="1"/>
            <rFont val="Calibri"/>
            <family val="2"/>
            <scheme val="minor"/>
          </rPr>
          <t>Tsai, Michael:
1800 nmi</t>
        </r>
      </text>
    </comment>
    <comment ref="FD8" authorId="0" shapeId="0" xr:uid="{4D8B712D-A1C9-4A8C-93B1-928A0C20A473}">
      <text>
        <r>
          <rPr>
            <sz val="11"/>
            <color theme="1"/>
            <rFont val="Calibri"/>
            <family val="2"/>
            <scheme val="minor"/>
          </rPr>
          <t>Tsai, Michael:
2150 nmi</t>
        </r>
      </text>
    </comment>
    <comment ref="FE8" authorId="0" shapeId="0" xr:uid="{EE66D9B0-FEA2-4235-8BAF-4870F0F3E33D}">
      <text>
        <r>
          <rPr>
            <sz val="11"/>
            <color theme="1"/>
            <rFont val="Calibri"/>
            <family val="2"/>
            <scheme val="minor"/>
          </rPr>
          <t>Tsai, Michael:
1680 nmi</t>
        </r>
      </text>
    </comment>
    <comment ref="FF8" authorId="0" shapeId="0" xr:uid="{BA72DA36-550A-4E26-BF0A-2761A62D3A6E}">
      <text>
        <r>
          <rPr>
            <sz val="11"/>
            <color theme="1"/>
            <rFont val="Calibri"/>
            <family val="2"/>
            <scheme val="minor"/>
          </rPr>
          <t>Tsai, Michael:
1986 nmi</t>
        </r>
      </text>
    </comment>
    <comment ref="FG8" authorId="0" shapeId="0" xr:uid="{2837E05E-65BF-4A19-817A-A16CD71F6A7E}">
      <text>
        <r>
          <rPr>
            <sz val="11"/>
            <color theme="1"/>
            <rFont val="Calibri"/>
            <family val="2"/>
            <scheme val="minor"/>
          </rPr>
          <t>Tsai, Michael:
2160 nmi</t>
        </r>
      </text>
    </comment>
    <comment ref="A9" authorId="0" shapeId="0" xr:uid="{99A08665-255D-405D-9EA5-4F7B6F697810}">
      <text>
        <r>
          <rPr>
            <sz val="11"/>
            <color theme="1"/>
            <rFont val="Calibri"/>
            <family val="2"/>
            <scheme val="minor"/>
          </rPr>
          <t xml:space="preserve">Tsai, Michael:
Black: Third Party Website
Blue: Literature Performance Table
Red: 1.05*VMC
Green: Research paper
</t>
        </r>
      </text>
    </comment>
    <comment ref="B9" authorId="0" shapeId="0" xr:uid="{CA7C0812-6C49-4D0B-8B7D-73FCEA99D558}">
      <text>
        <r>
          <rPr>
            <sz val="11"/>
            <color theme="1"/>
            <rFont val="Calibri"/>
            <family val="2"/>
            <scheme val="minor"/>
          </rPr>
          <t xml:space="preserve">Tsai, Michael:
KTAS V2: 140 kts
</t>
        </r>
      </text>
    </comment>
    <comment ref="C9" authorId="0" shapeId="0" xr:uid="{7FAF3923-7473-4859-98DD-5B08EF6C7AEB}">
      <text>
        <r>
          <rPr>
            <sz val="11"/>
            <color theme="1"/>
            <rFont val="Calibri"/>
            <family val="2"/>
            <scheme val="minor"/>
          </rPr>
          <t xml:space="preserve">Tsai, Michael:
KTAS V2: 140 kts
</t>
        </r>
      </text>
    </comment>
    <comment ref="D9" authorId="0" shapeId="0" xr:uid="{DEC991CA-7D69-4149-86F8-A78A57B8A6BF}">
      <text>
        <r>
          <rPr>
            <sz val="11"/>
            <color theme="1"/>
            <rFont val="Calibri"/>
            <family val="2"/>
            <scheme val="minor"/>
          </rPr>
          <t xml:space="preserve">Tsai, Michael:
KTAS V2: 130 kts
</t>
        </r>
      </text>
    </comment>
    <comment ref="E9" authorId="0" shapeId="0" xr:uid="{62BC5523-39C2-475F-9973-DA78A1D2000A}">
      <text>
        <r>
          <rPr>
            <sz val="11"/>
            <color theme="1"/>
            <rFont val="Calibri"/>
            <family val="2"/>
            <scheme val="minor"/>
          </rPr>
          <t xml:space="preserve">Tsai, Michael:
KTAS V2: 140 kts
</t>
        </r>
      </text>
    </comment>
    <comment ref="F9" authorId="0" shapeId="0" xr:uid="{CD095621-6BDA-4A46-A107-3F6C0EEFBAA5}">
      <text>
        <r>
          <rPr>
            <sz val="11"/>
            <color theme="1"/>
            <rFont val="Calibri"/>
            <family val="2"/>
            <scheme val="minor"/>
          </rPr>
          <t xml:space="preserve">Tsai, Michael:
KTAS V2: 140 kts
</t>
        </r>
      </text>
    </comment>
    <comment ref="G9" authorId="0" shapeId="0" xr:uid="{65966F75-56AE-475C-A5B4-2AE719227AEF}">
      <text>
        <r>
          <rPr>
            <sz val="11"/>
            <color theme="1"/>
            <rFont val="Calibri"/>
            <family val="2"/>
            <scheme val="minor"/>
          </rPr>
          <t xml:space="preserve">Tsai, Michael:
KTAS V2: 140 kts
</t>
        </r>
      </text>
    </comment>
    <comment ref="H9" authorId="0" shapeId="0" xr:uid="{66EACB31-0CCA-48B2-B015-D108A864ACD1}">
      <text>
        <r>
          <rPr>
            <sz val="11"/>
            <color theme="1"/>
            <rFont val="Calibri"/>
            <family val="2"/>
            <scheme val="minor"/>
          </rPr>
          <t xml:space="preserve">Tsai, Michael:
KTAS V2: 140 kts
</t>
        </r>
      </text>
    </comment>
    <comment ref="I9" authorId="0" shapeId="0" xr:uid="{38359B24-FC3E-4908-BB1C-D820989402B8}">
      <text>
        <r>
          <rPr>
            <sz val="11"/>
            <color theme="1"/>
            <rFont val="Calibri"/>
            <family val="2"/>
            <scheme val="minor"/>
          </rPr>
          <t xml:space="preserve">Tsai, Michael:
KTAS V2: 140 kts
</t>
        </r>
      </text>
    </comment>
    <comment ref="J9" authorId="0" shapeId="0" xr:uid="{F570326E-7058-4D06-A013-53BA1CEE62D6}">
      <text>
        <r>
          <rPr>
            <sz val="11"/>
            <color theme="1"/>
            <rFont val="Calibri"/>
            <family val="2"/>
            <scheme val="minor"/>
          </rPr>
          <t xml:space="preserve">Tsai, Michael:
V2 KTAS: 115 kts
</t>
        </r>
      </text>
    </comment>
    <comment ref="K9" authorId="0" shapeId="0" xr:uid="{29179BED-66D3-46E1-935D-406F45F03675}">
      <text>
        <r>
          <rPr>
            <sz val="11"/>
            <color theme="1"/>
            <rFont val="Calibri"/>
            <family val="2"/>
            <scheme val="minor"/>
          </rPr>
          <t xml:space="preserve">Tsai, Michael:
V2 KTAS: 140 kts
</t>
        </r>
      </text>
    </comment>
    <comment ref="L9" authorId="0" shapeId="0" xr:uid="{ACAC5313-DB1F-4963-98FB-9733581BB6E2}">
      <text>
        <r>
          <rPr>
            <sz val="11"/>
            <color theme="1"/>
            <rFont val="Calibri"/>
            <family val="2"/>
            <scheme val="minor"/>
          </rPr>
          <t xml:space="preserve">Tsai, Michael:
V2 KTAS: 140 kts
</t>
        </r>
      </text>
    </comment>
    <comment ref="M9" authorId="0" shapeId="0" xr:uid="{27A6B839-4DF7-4C42-B03A-DA122AE4755B}">
      <text>
        <r>
          <rPr>
            <sz val="11"/>
            <color theme="1"/>
            <rFont val="Calibri"/>
            <family val="2"/>
            <scheme val="minor"/>
          </rPr>
          <t xml:space="preserve">Tsai, Michael:
V2 KTAS: 120 kts
</t>
        </r>
      </text>
    </comment>
    <comment ref="N9" authorId="0" shapeId="0" xr:uid="{CCD4F261-7309-4B5F-928C-7559BF0566B7}">
      <text>
        <r>
          <rPr>
            <sz val="11"/>
            <color theme="1"/>
            <rFont val="Calibri"/>
            <family val="2"/>
            <scheme val="minor"/>
          </rPr>
          <t xml:space="preserve">Tsai, Michael:
V2 KTAS: 140 kts
</t>
        </r>
      </text>
    </comment>
    <comment ref="O9" authorId="0" shapeId="0" xr:uid="{5551A4C5-6F84-4F64-9DBA-FD52246478FB}">
      <text>
        <r>
          <rPr>
            <sz val="11"/>
            <color theme="1"/>
            <rFont val="Calibri"/>
            <family val="2"/>
            <scheme val="minor"/>
          </rPr>
          <t>Tsai, Michael:
IAS VR: 137 kts</t>
        </r>
      </text>
    </comment>
    <comment ref="P9" authorId="0" shapeId="0" xr:uid="{5B1988CE-16D6-4522-8B08-178074CEDA20}">
      <text>
        <r>
          <rPr>
            <sz val="11"/>
            <color theme="1"/>
            <rFont val="Calibri"/>
            <family val="2"/>
            <scheme val="minor"/>
          </rPr>
          <t>Tsai, Michael:
IAS VR: 138 kts</t>
        </r>
      </text>
    </comment>
    <comment ref="Q9" authorId="0" shapeId="0" xr:uid="{111CFB7F-7938-4A31-8EB1-8EFD92DEA3EE}">
      <text>
        <r>
          <rPr>
            <sz val="11"/>
            <color theme="1"/>
            <rFont val="Calibri"/>
            <family val="2"/>
            <scheme val="minor"/>
          </rPr>
          <t>Tsai, Michael:
IAS VR: 150 kts</t>
        </r>
      </text>
    </comment>
    <comment ref="R9" authorId="0" shapeId="0" xr:uid="{778E7364-BA2F-4E69-9124-B23EC9348882}">
      <text>
        <r>
          <rPr>
            <sz val="11"/>
            <color theme="1"/>
            <rFont val="Calibri"/>
            <family val="2"/>
            <scheme val="minor"/>
          </rPr>
          <t>Tsai, Michael:
IAS VR: 150 kts</t>
        </r>
      </text>
    </comment>
    <comment ref="S9" authorId="0" shapeId="0" xr:uid="{0D2BF124-17A4-4DB3-8566-D8122E0ED101}">
      <text>
        <r>
          <rPr>
            <sz val="11"/>
            <color theme="1"/>
            <rFont val="Calibri"/>
            <family val="2"/>
            <scheme val="minor"/>
          </rPr>
          <t>Tsai, Michael:
IAS VR: 153 kts</t>
        </r>
      </text>
    </comment>
    <comment ref="T9" authorId="0" shapeId="0" xr:uid="{D7E3FA93-F5A3-416B-986A-AE8A55B59045}">
      <text>
        <r>
          <rPr>
            <sz val="11"/>
            <color theme="1"/>
            <rFont val="Calibri"/>
            <family val="2"/>
            <scheme val="minor"/>
          </rPr>
          <t>Tsai, Michael:
IAS VR: 153 kts</t>
        </r>
      </text>
    </comment>
    <comment ref="U9" authorId="0" shapeId="0" xr:uid="{448F73BF-11ED-4219-89A7-E38E84A09CB2}">
      <text>
        <r>
          <rPr>
            <sz val="11"/>
            <color theme="1"/>
            <rFont val="Calibri"/>
            <family val="2"/>
            <scheme val="minor"/>
          </rPr>
          <t>Tsai, Michael:
IAS VR: 160 kts</t>
        </r>
      </text>
    </comment>
    <comment ref="V9" authorId="0" shapeId="0" xr:uid="{BA4C98F1-F714-4372-AFF8-81D7881897DD}">
      <text>
        <r>
          <rPr>
            <sz val="11"/>
            <color theme="1"/>
            <rFont val="Calibri"/>
            <family val="2"/>
            <scheme val="minor"/>
          </rPr>
          <t>Tsai, Michael:
IAS VR: 160 kts</t>
        </r>
      </text>
    </comment>
    <comment ref="W9" authorId="0" shapeId="0" xr:uid="{F76F77D1-C366-43DE-9619-A18358D0A9C8}">
      <text>
        <r>
          <rPr>
            <sz val="11"/>
            <color theme="1"/>
            <rFont val="Calibri"/>
            <family val="2"/>
            <scheme val="minor"/>
          </rPr>
          <t>Tsai, Michael:
IAS VR: 153 kts</t>
        </r>
      </text>
    </comment>
    <comment ref="X9" authorId="0" shapeId="0" xr:uid="{68FBB522-1B7B-4D54-8011-D3A513E48900}">
      <text>
        <r>
          <rPr>
            <sz val="11"/>
            <color theme="1"/>
            <rFont val="Calibri"/>
            <family val="2"/>
            <scheme val="minor"/>
          </rPr>
          <t>Tsai, Michael:
IAS VR: 160 kts</t>
        </r>
      </text>
    </comment>
    <comment ref="Y9" authorId="0" shapeId="0" xr:uid="{150FBB8A-9798-42EE-B00E-CC9F341DA606}">
      <text>
        <r>
          <rPr>
            <sz val="11"/>
            <color theme="1"/>
            <rFont val="Calibri"/>
            <family val="2"/>
            <scheme val="minor"/>
          </rPr>
          <t>Tsai, Michael:
IAS VR: 160 kts</t>
        </r>
      </text>
    </comment>
    <comment ref="Z9" authorId="0" shapeId="0" xr:uid="{978F8EE1-55DB-4A9D-A9E0-C68BD6ECE75F}">
      <text>
        <r>
          <rPr>
            <sz val="11"/>
            <color theme="1"/>
            <rFont val="Calibri"/>
            <family val="2"/>
            <scheme val="minor"/>
          </rPr>
          <t>Tsai, Michael:
IAS VR: 122 kts</t>
        </r>
      </text>
    </comment>
    <comment ref="AA9" authorId="0" shapeId="0" xr:uid="{1ADA0E49-AF2F-431F-B626-B9E98B449FE9}">
      <text>
        <r>
          <rPr>
            <sz val="11"/>
            <color theme="1"/>
            <rFont val="Calibri"/>
            <family val="2"/>
            <scheme val="minor"/>
          </rPr>
          <t>Tsai, Michael:
IAS VR: 124 kts</t>
        </r>
      </text>
    </comment>
    <comment ref="AB9" authorId="0" shapeId="0" xr:uid="{691BD0DE-B345-482B-AA16-BC27E31A8537}">
      <text>
        <r>
          <rPr>
            <sz val="11"/>
            <color theme="1"/>
            <rFont val="Calibri"/>
            <family val="2"/>
            <scheme val="minor"/>
          </rPr>
          <t>Tsai, Michael:
IAS VR: 133 kts</t>
        </r>
      </text>
    </comment>
    <comment ref="AC9" authorId="0" shapeId="0" xr:uid="{8E128242-3006-41D9-9092-868330C9284F}">
      <text>
        <r>
          <rPr>
            <sz val="11"/>
            <color theme="1"/>
            <rFont val="Calibri"/>
            <family val="2"/>
            <scheme val="minor"/>
          </rPr>
          <t>Tsai, Michael:
IAS VR: 150 kts</t>
        </r>
      </text>
    </comment>
    <comment ref="AD9" authorId="0" shapeId="0" xr:uid="{F2993861-BBA8-4B62-8A81-4DB9A0F4AA43}">
      <text>
        <r>
          <rPr>
            <sz val="11"/>
            <color theme="1"/>
            <rFont val="Calibri"/>
            <family val="2"/>
            <scheme val="minor"/>
          </rPr>
          <t>Tsai, Michael:
IAS VR: 150 kts</t>
        </r>
      </text>
    </comment>
    <comment ref="AE9" authorId="0" shapeId="0" xr:uid="{1763121A-D136-4DD6-8AC6-544FEB59064D}">
      <text>
        <r>
          <rPr>
            <sz val="11"/>
            <color theme="1"/>
            <rFont val="Calibri"/>
            <family val="2"/>
            <scheme val="minor"/>
          </rPr>
          <t>Tsai, Michael:
IAS VR: 153 kts</t>
        </r>
      </text>
    </comment>
    <comment ref="AF9" authorId="0" shapeId="0" xr:uid="{81565E4D-6CC4-4034-9395-EAB315D8A002}">
      <text>
        <r>
          <rPr>
            <sz val="11"/>
            <color theme="1"/>
            <rFont val="Calibri"/>
            <family val="2"/>
            <scheme val="minor"/>
          </rPr>
          <t>Tsai, Michael:
IAS VR: 155 kts</t>
        </r>
      </text>
    </comment>
    <comment ref="AG9" authorId="0" shapeId="0" xr:uid="{B183434D-4554-4186-BC30-D13A7A65A453}">
      <text>
        <r>
          <rPr>
            <sz val="11"/>
            <color theme="1"/>
            <rFont val="Calibri"/>
            <family val="2"/>
            <scheme val="minor"/>
          </rPr>
          <t xml:space="preserve">Tsai, Michael:
KTAS: V2 130 kts
</t>
        </r>
      </text>
    </comment>
    <comment ref="AH9" authorId="0" shapeId="0" xr:uid="{F5C1A74A-5CB6-4C80-BAED-BE76365EA717}">
      <text>
        <r>
          <rPr>
            <sz val="11"/>
            <color theme="1"/>
            <rFont val="Calibri"/>
            <family val="2"/>
            <scheme val="minor"/>
          </rPr>
          <t xml:space="preserve">Tsai, Michael:
KTAS: V2 130 kts
</t>
        </r>
      </text>
    </comment>
    <comment ref="AI9" authorId="0" shapeId="0" xr:uid="{3A4667C0-29F9-4667-A708-08077491671B}">
      <text>
        <r>
          <rPr>
            <sz val="11"/>
            <color theme="1"/>
            <rFont val="Calibri"/>
            <family val="2"/>
            <scheme val="minor"/>
          </rPr>
          <t>Tsai, Michael:
KTAS
VR Flap 5 140 kts</t>
        </r>
      </text>
    </comment>
    <comment ref="AJ9" authorId="0" shapeId="0" xr:uid="{DDA9D406-95DE-48A3-A87D-ACD5EA460340}">
      <text>
        <r>
          <rPr>
            <sz val="11"/>
            <color theme="1"/>
            <rFont val="Calibri"/>
            <family val="2"/>
            <scheme val="minor"/>
          </rPr>
          <t>Tsai, Michael:
KTAS
VR Flap 5 140 kts</t>
        </r>
      </text>
    </comment>
    <comment ref="AK9" authorId="0" shapeId="0" xr:uid="{88AFB77F-7683-4C2E-8216-08CBFAE458E1}">
      <text>
        <r>
          <rPr>
            <sz val="11"/>
            <color theme="1"/>
            <rFont val="Calibri"/>
            <family val="2"/>
            <scheme val="minor"/>
          </rPr>
          <t>Tsai, Michael:
KTAS
VR Flap 5 140 kts</t>
        </r>
      </text>
    </comment>
    <comment ref="AL9" authorId="0" shapeId="0" xr:uid="{4D3639AF-B803-4667-8C81-8D1ACD4EA578}">
      <text>
        <r>
          <rPr>
            <sz val="11"/>
            <color theme="1"/>
            <rFont val="Calibri"/>
            <family val="2"/>
            <scheme val="minor"/>
          </rPr>
          <t>Tsai, Michael:
KTAS
VR Flap 5 140 kts</t>
        </r>
      </text>
    </comment>
    <comment ref="AM9" authorId="0" shapeId="0" xr:uid="{7B2CF878-F603-41EE-B499-772D315468E7}">
      <text>
        <r>
          <rPr>
            <sz val="11"/>
            <color theme="1"/>
            <rFont val="Calibri"/>
            <family val="2"/>
            <scheme val="minor"/>
          </rPr>
          <t>Tsai, Michael:
V2: 145 kts</t>
        </r>
      </text>
    </comment>
    <comment ref="AN9" authorId="0" shapeId="0" xr:uid="{A10A3920-AB81-43B8-8B24-CF71A0AE0090}">
      <text>
        <r>
          <rPr>
            <sz val="11"/>
            <color theme="1"/>
            <rFont val="Calibri"/>
            <family val="2"/>
            <scheme val="minor"/>
          </rPr>
          <t>Tsai, Michael:
V2: 145 kts</t>
        </r>
      </text>
    </comment>
    <comment ref="AO9" authorId="0" shapeId="0" xr:uid="{F004C450-0D3B-4D54-86DA-CD06B5C06954}">
      <text>
        <r>
          <rPr>
            <sz val="11"/>
            <color theme="1"/>
            <rFont val="Calibri"/>
            <family val="2"/>
            <scheme val="minor"/>
          </rPr>
          <t>Tsai, Michael:
V2: 145 kts</t>
        </r>
      </text>
    </comment>
    <comment ref="AP9" authorId="0" shapeId="0" xr:uid="{697B52A3-3481-42C4-860A-E244F2EAE487}">
      <text>
        <r>
          <rPr>
            <sz val="11"/>
            <color theme="1"/>
            <rFont val="Calibri"/>
            <family val="2"/>
            <scheme val="minor"/>
          </rPr>
          <t>Tsai, Michael:
V2: 145 kts</t>
        </r>
      </text>
    </comment>
    <comment ref="AR9" authorId="0" shapeId="0" xr:uid="{387EFF50-4134-42BF-B137-5B2D9857FC82}">
      <text>
        <r>
          <rPr>
            <sz val="11"/>
            <color theme="1"/>
            <rFont val="Calibri"/>
            <family val="2"/>
            <scheme val="minor"/>
          </rPr>
          <t>Tsai, Michael:
V2</t>
        </r>
      </text>
    </comment>
    <comment ref="AZ9" authorId="0" shapeId="0" xr:uid="{A4042C34-E439-467B-970A-EF9EDA2CAEF3}">
      <text>
        <r>
          <rPr>
            <sz val="11"/>
            <color theme="1"/>
            <rFont val="Calibri"/>
            <family val="2"/>
            <scheme val="minor"/>
          </rPr>
          <t>Tsai, Michael:
v2</t>
        </r>
      </text>
    </comment>
    <comment ref="BA9" authorId="0" shapeId="0" xr:uid="{62B81405-C396-4D6D-95BB-1C2739EFF11B}">
      <text>
        <r>
          <rPr>
            <sz val="11"/>
            <color theme="1"/>
            <rFont val="Calibri"/>
            <family val="2"/>
            <scheme val="minor"/>
          </rPr>
          <t xml:space="preserve">Tsai, Michael:
v2
</t>
        </r>
      </text>
    </comment>
    <comment ref="BB9" authorId="0" shapeId="0" xr:uid="{3CB55B01-6B17-41FA-B123-DA6392448BB7}">
      <text>
        <r>
          <rPr>
            <sz val="11"/>
            <color theme="1"/>
            <rFont val="Calibri"/>
            <family val="2"/>
            <scheme val="minor"/>
          </rPr>
          <t>Tsai, Michael:
v2</t>
        </r>
      </text>
    </comment>
    <comment ref="BC9" authorId="0" shapeId="0" xr:uid="{2D7432D2-52E8-48C7-B4D2-87374C4BD5D2}">
      <text>
        <r>
          <rPr>
            <sz val="11"/>
            <color theme="1"/>
            <rFont val="Calibri"/>
            <family val="2"/>
            <scheme val="minor"/>
          </rPr>
          <t>Tsai, Michael:
v2</t>
        </r>
      </text>
    </comment>
    <comment ref="BD9" authorId="0" shapeId="0" xr:uid="{5B327308-1AF0-46F6-B83F-DE2C6636FA51}">
      <text>
        <r>
          <rPr>
            <sz val="11"/>
            <color theme="1"/>
            <rFont val="Calibri"/>
            <family val="2"/>
            <scheme val="minor"/>
          </rPr>
          <t>Tsai, Michael:
v2</t>
        </r>
      </text>
    </comment>
    <comment ref="BE9" authorId="0" shapeId="0" xr:uid="{F3705091-FAE0-4714-98F2-5E895E619181}">
      <text>
        <r>
          <rPr>
            <sz val="11"/>
            <color theme="1"/>
            <rFont val="Calibri"/>
            <family val="2"/>
            <scheme val="minor"/>
          </rPr>
          <t>Tsai, Michael:
V2: 135 kts</t>
        </r>
      </text>
    </comment>
    <comment ref="BF9" authorId="0" shapeId="0" xr:uid="{169E6779-056E-4BAB-B8DA-520D7A2FB6DC}">
      <text>
        <r>
          <rPr>
            <sz val="11"/>
            <color theme="1"/>
            <rFont val="Calibri"/>
            <family val="2"/>
            <scheme val="minor"/>
          </rPr>
          <t xml:space="preserve">Tsai, Michael:
V2: 150 kts
</t>
        </r>
      </text>
    </comment>
    <comment ref="BG9" authorId="0" shapeId="0" xr:uid="{E9EA4636-26D5-4F86-8CE0-34A177BB5C1D}">
      <text>
        <r>
          <rPr>
            <sz val="11"/>
            <color theme="1"/>
            <rFont val="Calibri"/>
            <family val="2"/>
            <scheme val="minor"/>
          </rPr>
          <t>Tsai, Michael:
V2: 145 kts</t>
        </r>
      </text>
    </comment>
    <comment ref="BH9" authorId="0" shapeId="0" xr:uid="{162AE0F0-2A84-4D5C-B8DF-5B1D28D88168}">
      <text>
        <r>
          <rPr>
            <sz val="11"/>
            <color theme="1"/>
            <rFont val="Calibri"/>
            <family val="2"/>
            <scheme val="minor"/>
          </rPr>
          <t>Tsai, Michael:
V2: 149 kts</t>
        </r>
      </text>
    </comment>
    <comment ref="BJ9" authorId="0" shapeId="0" xr:uid="{A2FF7272-3C75-471D-B391-0DF7487D6573}">
      <text>
        <r>
          <rPr>
            <sz val="11"/>
            <color theme="1"/>
            <rFont val="Calibri"/>
            <family val="2"/>
            <scheme val="minor"/>
          </rPr>
          <t xml:space="preserve">Tsai, Michael:
V2: 150 kts
</t>
        </r>
      </text>
    </comment>
    <comment ref="BK9" authorId="0" shapeId="0" xr:uid="{37031D9C-E0E3-428D-A9BF-99C6003DD1A1}">
      <text>
        <r>
          <rPr>
            <sz val="11"/>
            <color theme="1"/>
            <rFont val="Calibri"/>
            <family val="2"/>
            <scheme val="minor"/>
          </rPr>
          <t>Tsai, Michael:
V2: 145 kts</t>
        </r>
      </text>
    </comment>
    <comment ref="BL9" authorId="0" shapeId="0" xr:uid="{3B1CBC4B-FFA1-4171-B851-464FE8A71743}">
      <text>
        <r>
          <rPr>
            <sz val="11"/>
            <color theme="1"/>
            <rFont val="Calibri"/>
            <family val="2"/>
            <scheme val="minor"/>
          </rPr>
          <t xml:space="preserve">Tsai, Michael:
180 KCAS from paper 
Flight Test Methodology for NASA Advanced Inlet Liner on 737MAX-7 Test
Bed (3) in references </t>
        </r>
      </text>
    </comment>
    <comment ref="BM9" authorId="0" shapeId="0" xr:uid="{C4B4839C-49A7-407D-9ECA-A9F9180DCD5B}">
      <text>
        <r>
          <rPr>
            <sz val="11"/>
            <color theme="1"/>
            <rFont val="Calibri"/>
            <family val="2"/>
            <scheme val="minor"/>
          </rPr>
          <t xml:space="preserve">Tsai, Michael:
180 KCAS from paper 
Flight Test Methodology for NASA Advanced Inlet Liner on 737MAX-7 Test
Bed (3) in references </t>
        </r>
      </text>
    </comment>
    <comment ref="BN9" authorId="0" shapeId="0" xr:uid="{78D063F6-C2BC-4564-AB6D-2B0668D6EA3E}">
      <text>
        <r>
          <rPr>
            <sz val="11"/>
            <color theme="1"/>
            <rFont val="Calibri"/>
            <family val="2"/>
            <scheme val="minor"/>
          </rPr>
          <t xml:space="preserve">Tsai, Michael:
180 KCAS from paper 
Flight Test Methodology for NASA Advanced Inlet Liner on 737MAX-7 Test
Bed (3) in references </t>
        </r>
      </text>
    </comment>
    <comment ref="BO9" authorId="0" shapeId="0" xr:uid="{4705AB55-51FB-473D-8992-103ACE5B902C}">
      <text>
        <r>
          <rPr>
            <sz val="11"/>
            <color theme="1"/>
            <rFont val="Calibri"/>
            <family val="2"/>
            <scheme val="minor"/>
          </rPr>
          <t xml:space="preserve">Tsai, Michael:
180 KCAS from paper 
Flight Test Methodology for NASA Advanced Inlet Liner on 737MAX-7 Test
Bed (3) in references </t>
        </r>
      </text>
    </comment>
    <comment ref="BP9" authorId="0" shapeId="0" xr:uid="{CF446BCD-0DA6-4E7F-9B48-67C91AA5C15F}">
      <text>
        <r>
          <rPr>
            <sz val="11"/>
            <color theme="1"/>
            <rFont val="Calibri"/>
            <family val="2"/>
            <scheme val="minor"/>
          </rPr>
          <t xml:space="preserve">Tsai, Michael:
180 KCAS from paper 
Flight Test Methodology for NASA Advanced Inlet Liner on 737MAX-7 Test
Bed (3) in references </t>
        </r>
      </text>
    </comment>
    <comment ref="BQ9" authorId="0" shapeId="0" xr:uid="{786D9BC6-E8EE-4A3A-BF39-61E4741C53BE}">
      <text>
        <r>
          <rPr>
            <sz val="11"/>
            <color theme="1"/>
            <rFont val="Calibri"/>
            <family val="2"/>
            <scheme val="minor"/>
          </rPr>
          <t xml:space="preserve">Tsai, Michael:
180 KCAS from paper 
Flight Test Methodology for NASA Advanced Inlet Liner on 737MAX-7 Test
Bed (3) in references </t>
        </r>
      </text>
    </comment>
    <comment ref="BR9" authorId="0" shapeId="0" xr:uid="{5053C715-BB10-489C-97E9-A3355814FEFF}">
      <text>
        <r>
          <rPr>
            <sz val="11"/>
            <color theme="1"/>
            <rFont val="Calibri"/>
            <family val="2"/>
            <scheme val="minor"/>
          </rPr>
          <t xml:space="preserve">Tsai, Michael:
180 KCAS from paper 
Flight Test Methodology for NASA Advanced Inlet Liner on 737MAX-7 Test
Bed (3) in references </t>
        </r>
      </text>
    </comment>
    <comment ref="BS9" authorId="0" shapeId="0" xr:uid="{F7130FF0-ACE5-4AF6-9C25-FB6C1519122A}">
      <text>
        <r>
          <rPr>
            <sz val="11"/>
            <color theme="1"/>
            <rFont val="Calibri"/>
            <family val="2"/>
            <scheme val="minor"/>
          </rPr>
          <t>Tsai, Michael:
V2: 145 kts (2)</t>
        </r>
      </text>
    </comment>
    <comment ref="BT9" authorId="0" shapeId="0" xr:uid="{0B68E949-FFBA-4F60-B606-CD8B7B165485}">
      <text>
        <r>
          <rPr>
            <sz val="11"/>
            <color theme="1"/>
            <rFont val="Calibri"/>
            <family val="2"/>
            <scheme val="minor"/>
          </rPr>
          <t>Tsai, Michael:
V2: 145 kts (2)</t>
        </r>
      </text>
    </comment>
    <comment ref="BU9" authorId="0" shapeId="0" xr:uid="{AA017528-21C8-4D02-B3EB-A451ED501654}">
      <text>
        <r>
          <rPr>
            <sz val="11"/>
            <color theme="1"/>
            <rFont val="Calibri"/>
            <family val="2"/>
            <scheme val="minor"/>
          </rPr>
          <t>Tsai, Michael:
V2: 145 kts (2)</t>
        </r>
      </text>
    </comment>
    <comment ref="BV9" authorId="0" shapeId="0" xr:uid="{EE46B938-A216-4FC8-B069-E05E0ACC561B}">
      <text>
        <r>
          <rPr>
            <sz val="11"/>
            <color theme="1"/>
            <rFont val="Calibri"/>
            <family val="2"/>
            <scheme val="minor"/>
          </rPr>
          <t>Tsai, Michael:
V2: 145 kts (2)</t>
        </r>
      </text>
    </comment>
    <comment ref="BW9" authorId="0" shapeId="0" xr:uid="{900DAAA7-C780-47ED-8B7D-1B78C5123512}">
      <text>
        <r>
          <rPr>
            <sz val="11"/>
            <color theme="1"/>
            <rFont val="Calibri"/>
            <family val="2"/>
            <scheme val="minor"/>
          </rPr>
          <t>Tsai, Michael:
V2: 145 kts (2)</t>
        </r>
      </text>
    </comment>
    <comment ref="BX9" authorId="0" shapeId="0" xr:uid="{37BD3920-10D5-4EF9-9AEB-087693A6D3DC}">
      <text>
        <r>
          <rPr>
            <sz val="11"/>
            <color theme="1"/>
            <rFont val="Calibri"/>
            <family val="2"/>
            <scheme val="minor"/>
          </rPr>
          <t>Tsai, Michael:
V2: 145 kts (2)</t>
        </r>
      </text>
    </comment>
    <comment ref="BY9" authorId="0" shapeId="0" xr:uid="{D31CE573-949A-4F34-BE11-83647D5E04DC}">
      <text>
        <r>
          <rPr>
            <sz val="11"/>
            <color theme="1"/>
            <rFont val="Calibri"/>
            <family val="2"/>
            <scheme val="minor"/>
          </rPr>
          <t>Tsai, Michael:
V2: 145 kts (2)</t>
        </r>
      </text>
    </comment>
    <comment ref="BZ9" authorId="0" shapeId="0" xr:uid="{3DC3DCB7-6601-4F2F-8946-78F670E481A7}">
      <text>
        <r>
          <rPr>
            <sz val="11"/>
            <color theme="1"/>
            <rFont val="Calibri"/>
            <family val="2"/>
            <scheme val="minor"/>
          </rPr>
          <t>Tsai, Michael:
V2: 145 kts (2)</t>
        </r>
      </text>
    </comment>
    <comment ref="CA9" authorId="0" shapeId="0" xr:uid="{CF1D8838-19AE-4EAC-AAB2-F6F8BB4B0258}">
      <text>
        <r>
          <rPr>
            <sz val="11"/>
            <color theme="1"/>
            <rFont val="Calibri"/>
            <family val="2"/>
            <scheme val="minor"/>
          </rPr>
          <t>Tsai, Michael:
V2: 145 kts (2)</t>
        </r>
      </text>
    </comment>
    <comment ref="CB9" authorId="0" shapeId="0" xr:uid="{2455F63C-C592-4FB5-8D5D-F39F81002204}">
      <text>
        <r>
          <rPr>
            <sz val="11"/>
            <color theme="1"/>
            <rFont val="Calibri"/>
            <family val="2"/>
            <scheme val="minor"/>
          </rPr>
          <t>Tsai, Michael:
V2: 145 kts (2)</t>
        </r>
      </text>
    </comment>
    <comment ref="CC9" authorId="0" shapeId="0" xr:uid="{4A98E5A1-05DD-473D-AEEB-6884D723B449}">
      <text>
        <r>
          <rPr>
            <sz val="11"/>
            <color theme="1"/>
            <rFont val="Calibri"/>
            <family val="2"/>
            <scheme val="minor"/>
          </rPr>
          <t xml:space="preserve">Tsai, Michael:
V2: 160 Kts (2)
</t>
        </r>
      </text>
    </comment>
    <comment ref="CD9" authorId="0" shapeId="0" xr:uid="{8434ACC3-A84B-41B2-92D6-51AF3D7872E5}">
      <text>
        <r>
          <rPr>
            <sz val="11"/>
            <color theme="1"/>
            <rFont val="Calibri"/>
            <family val="2"/>
            <scheme val="minor"/>
          </rPr>
          <t xml:space="preserve">Tsai, Michael:
V2: 160 Kts (2)
</t>
        </r>
      </text>
    </comment>
    <comment ref="CE9" authorId="0" shapeId="0" xr:uid="{410C139F-A1F4-4C14-8E45-DCA29F9656E9}">
      <text>
        <r>
          <rPr>
            <sz val="11"/>
            <color theme="1"/>
            <rFont val="Calibri"/>
            <family val="2"/>
            <scheme val="minor"/>
          </rPr>
          <t xml:space="preserve">Tsai, Michael:
V2: 160 Kts (2)
</t>
        </r>
      </text>
    </comment>
    <comment ref="CF9" authorId="0" shapeId="0" xr:uid="{8EE7EFE3-E32C-49FE-8E05-99F0132C29BF}">
      <text>
        <r>
          <rPr>
            <sz val="11"/>
            <color theme="1"/>
            <rFont val="Calibri"/>
            <family val="2"/>
            <scheme val="minor"/>
          </rPr>
          <t xml:space="preserve">Tsai, Michael:
V2: 160 Kts (2)
</t>
        </r>
      </text>
    </comment>
    <comment ref="CG9" authorId="0" shapeId="0" xr:uid="{23ADCDA0-68D6-4E57-B72B-19D54AAC9412}">
      <text>
        <r>
          <rPr>
            <sz val="11"/>
            <color theme="1"/>
            <rFont val="Calibri"/>
            <family val="2"/>
            <scheme val="minor"/>
          </rPr>
          <t xml:space="preserve">Tsai, Michael:
V2: 160 Kts (2)
</t>
        </r>
      </text>
    </comment>
    <comment ref="CH9" authorId="0" shapeId="0" xr:uid="{9F035AAD-AC67-4397-8903-2892FBDEB937}">
      <text>
        <r>
          <rPr>
            <sz val="11"/>
            <color theme="1"/>
            <rFont val="Calibri"/>
            <family val="2"/>
            <scheme val="minor"/>
          </rPr>
          <t xml:space="preserve">Tsai, Michael:
V2: 160 Kts (2)
</t>
        </r>
      </text>
    </comment>
    <comment ref="CI9" authorId="0" shapeId="0" xr:uid="{3D563E1F-7B07-4A49-AE9B-E404A1063093}">
      <text>
        <r>
          <rPr>
            <sz val="11"/>
            <color theme="1"/>
            <rFont val="Calibri"/>
            <family val="2"/>
            <scheme val="minor"/>
          </rPr>
          <t xml:space="preserve">Tsai, Michael:
V2: 160 Kts (2)
</t>
        </r>
      </text>
    </comment>
    <comment ref="CJ9" authorId="0" shapeId="0" xr:uid="{7FF4FCFD-3B7D-455C-BED8-A567D3AD8A6C}">
      <text>
        <r>
          <rPr>
            <sz val="11"/>
            <color theme="1"/>
            <rFont val="Calibri"/>
            <family val="2"/>
            <scheme val="minor"/>
          </rPr>
          <t xml:space="preserve">Tsai, Michael:
V2: 160 Kts (2)
</t>
        </r>
      </text>
    </comment>
    <comment ref="CK9" authorId="0" shapeId="0" xr:uid="{F3A06E45-733F-4260-A309-FC8EABAB11D3}">
      <text>
        <r>
          <rPr>
            <sz val="11"/>
            <color theme="1"/>
            <rFont val="Calibri"/>
            <family val="2"/>
            <scheme val="minor"/>
          </rPr>
          <t xml:space="preserve">Tsai, Michael:
V2: 160 Kts (2)
</t>
        </r>
      </text>
    </comment>
    <comment ref="CL9" authorId="0" shapeId="0" xr:uid="{0503D2E2-B898-43C4-AB98-4A159945A4A0}">
      <text>
        <r>
          <rPr>
            <sz val="11"/>
            <color theme="1"/>
            <rFont val="Calibri"/>
            <family val="2"/>
            <scheme val="minor"/>
          </rPr>
          <t xml:space="preserve">Tsai, Michael:
V2: 160 Kts (2)
</t>
        </r>
      </text>
    </comment>
    <comment ref="CM9" authorId="0" shapeId="0" xr:uid="{269652BA-D2E8-41A5-BFF0-047E66799CFE}">
      <text>
        <r>
          <rPr>
            <sz val="11"/>
            <color theme="1"/>
            <rFont val="Calibri"/>
            <family val="2"/>
            <scheme val="minor"/>
          </rPr>
          <t xml:space="preserve">Tsai, Michael:
KTAS VR: 114.45 kts
</t>
        </r>
      </text>
    </comment>
    <comment ref="CN9" authorId="0" shapeId="0" xr:uid="{0C344E18-1502-425C-84D2-79DC96BCC82C}">
      <text>
        <r>
          <rPr>
            <sz val="11"/>
            <color theme="1"/>
            <rFont val="Calibri"/>
            <family val="2"/>
            <scheme val="minor"/>
          </rPr>
          <t xml:space="preserve">Tsai, Michael:
KTAS VR: 111.3 kts
</t>
        </r>
      </text>
    </comment>
    <comment ref="CO9" authorId="0" shapeId="0" xr:uid="{54C3A4D5-5ADC-46FB-8389-C6E72E4722EF}">
      <text>
        <r>
          <rPr>
            <sz val="11"/>
            <color theme="1"/>
            <rFont val="Calibri"/>
            <family val="2"/>
            <scheme val="minor"/>
          </rPr>
          <t xml:space="preserve">Tsai, Michael:
KTAS VR: 114.45 kts
</t>
        </r>
      </text>
    </comment>
    <comment ref="CP9" authorId="0" shapeId="0" xr:uid="{5FBE10B8-51A9-4F8D-A3DC-E1ED1948E26B}">
      <text>
        <r>
          <rPr>
            <sz val="11"/>
            <color theme="1"/>
            <rFont val="Calibri"/>
            <family val="2"/>
            <scheme val="minor"/>
          </rPr>
          <t xml:space="preserve">Tsai, Michael:
KTAS VR: 120.75 kts
</t>
        </r>
      </text>
    </comment>
    <comment ref="CQ9" authorId="0" shapeId="0" xr:uid="{E24F2517-D16D-4408-B639-C5BBC5C6A9DB}">
      <text>
        <r>
          <rPr>
            <sz val="11"/>
            <color theme="1"/>
            <rFont val="Calibri"/>
            <family val="2"/>
            <scheme val="minor"/>
          </rPr>
          <t xml:space="preserve">Tsai, Michael:
KTAS VR: 120.75 kts
</t>
        </r>
      </text>
    </comment>
    <comment ref="CR9" authorId="0" shapeId="0" xr:uid="{B308EF8D-CD02-4C64-A5CD-6997CED2D309}">
      <text>
        <r>
          <rPr>
            <sz val="11"/>
            <color theme="1"/>
            <rFont val="Calibri"/>
            <family val="2"/>
            <scheme val="minor"/>
          </rPr>
          <t xml:space="preserve">Tsai, Michael:
KTAS VR: 120.75 kts
</t>
        </r>
      </text>
    </comment>
    <comment ref="CS9" authorId="0" shapeId="0" xr:uid="{DDEBEA38-75CB-49BB-8B80-9BFB1A68EBF2}">
      <text>
        <r>
          <rPr>
            <sz val="11"/>
            <color theme="1"/>
            <rFont val="Calibri"/>
            <family val="2"/>
            <scheme val="minor"/>
          </rPr>
          <t xml:space="preserve">Tsai, Michael:
KTAS VR: 120.75 kts
</t>
        </r>
      </text>
    </comment>
    <comment ref="CT9" authorId="0" shapeId="0" xr:uid="{EAA9BE01-4EF9-4730-9BDD-16D2F11F0D52}">
      <text>
        <r>
          <rPr>
            <sz val="11"/>
            <color theme="1"/>
            <rFont val="Calibri"/>
            <family val="2"/>
            <scheme val="minor"/>
          </rPr>
          <t xml:space="preserve">Tsai, Michael:
KTAS VR: 127.05 kts
</t>
        </r>
      </text>
    </comment>
    <comment ref="CU9" authorId="0" shapeId="0" xr:uid="{11EF16C1-EF9E-4735-AC8E-3F77069C0D77}">
      <text>
        <r>
          <rPr>
            <sz val="11"/>
            <color theme="1"/>
            <rFont val="Calibri"/>
            <family val="2"/>
            <scheme val="minor"/>
          </rPr>
          <t xml:space="preserve">Tsai, Michael:
KTAS VR: 122.85 kts
</t>
        </r>
      </text>
    </comment>
    <comment ref="CV9" authorId="0" shapeId="0" xr:uid="{C7F98A5D-31F5-4941-81F2-E1AF86AF4D86}">
      <text>
        <r>
          <rPr>
            <sz val="11"/>
            <color theme="1"/>
            <rFont val="Calibri"/>
            <family val="2"/>
            <scheme val="minor"/>
          </rPr>
          <t xml:space="preserve">Tsai, Michael:
KTAS VR: 115.5 kts
VMCA = 110
</t>
        </r>
      </text>
    </comment>
    <comment ref="CW9" authorId="0" shapeId="0" xr:uid="{505E98AE-93FD-4A9A-8168-D494F7AC40A0}">
      <text>
        <r>
          <rPr>
            <sz val="11"/>
            <color theme="1"/>
            <rFont val="Calibri"/>
            <family val="2"/>
            <scheme val="minor"/>
          </rPr>
          <t xml:space="preserve">Tsai, Michael:
KTAS VR: 115.5 kts
VMCA = 110
</t>
        </r>
      </text>
    </comment>
    <comment ref="CX9" authorId="0" shapeId="0" xr:uid="{146C5E93-635A-482A-9C85-1E8D5ECF3523}">
      <text>
        <r>
          <rPr>
            <sz val="11"/>
            <color theme="1"/>
            <rFont val="Calibri"/>
            <family val="2"/>
            <scheme val="minor"/>
          </rPr>
          <t xml:space="preserve">Tsai, Michael:
KTAS VR: 115.5 kts
VMCA = 110
</t>
        </r>
      </text>
    </comment>
    <comment ref="CY9" authorId="0" shapeId="0" xr:uid="{CD356FB4-2743-40FA-920C-6734DECF1407}">
      <text>
        <r>
          <rPr>
            <sz val="11"/>
            <color theme="1"/>
            <rFont val="Calibri"/>
            <family val="2"/>
            <scheme val="minor"/>
          </rPr>
          <t xml:space="preserve">Tsai, Michael:
KTAS VR: 115.5 kts
VMCA = 110
</t>
        </r>
      </text>
    </comment>
    <comment ref="CZ9" authorId="0" shapeId="0" xr:uid="{36851685-5D9D-4B5F-8921-8BB40E4D0011}">
      <text>
        <r>
          <rPr>
            <sz val="11"/>
            <color theme="1"/>
            <rFont val="Calibri"/>
            <family val="2"/>
            <scheme val="minor"/>
          </rPr>
          <t xml:space="preserve">Tsai, Michael:
KTAS VR: 115.5 kts
VMCA = 110
</t>
        </r>
      </text>
    </comment>
    <comment ref="DA9" authorId="0" shapeId="0" xr:uid="{8EBE9F97-C39A-4385-BD0A-138B22E57BCF}">
      <text>
        <r>
          <rPr>
            <sz val="11"/>
            <color theme="1"/>
            <rFont val="Calibri"/>
            <family val="2"/>
            <scheme val="minor"/>
          </rPr>
          <t xml:space="preserve">Tsai, Michael:
KTAS VR: 115.5 kts
VMCA = 110
</t>
        </r>
      </text>
    </comment>
    <comment ref="DB9" authorId="0" shapeId="0" xr:uid="{D65855DC-14A6-48E8-AC23-7AC4FE770B3C}">
      <text>
        <r>
          <rPr>
            <sz val="11"/>
            <color theme="1"/>
            <rFont val="Calibri"/>
            <family val="2"/>
            <scheme val="minor"/>
          </rPr>
          <t xml:space="preserve">Tsai, Michael:
KTAS VR: 115.5 kts
VMCA = 110
</t>
        </r>
      </text>
    </comment>
    <comment ref="DC9" authorId="0" shapeId="0" xr:uid="{017203A8-C2C9-44FF-A7CC-0A2D1CB17F65}">
      <text>
        <r>
          <rPr>
            <sz val="11"/>
            <color theme="1"/>
            <rFont val="Calibri"/>
            <family val="2"/>
            <scheme val="minor"/>
          </rPr>
          <t xml:space="preserve">Tsai, Michael:
KTAS VR: 115.5 kts
VMCA = 110
</t>
        </r>
      </text>
    </comment>
    <comment ref="DD9" authorId="0" shapeId="0" xr:uid="{49565B70-AF21-46A1-A492-232E80A76781}">
      <text>
        <r>
          <rPr>
            <sz val="11"/>
            <color theme="1"/>
            <rFont val="Calibri"/>
            <family val="2"/>
            <scheme val="minor"/>
          </rPr>
          <t xml:space="preserve">Tsai, Michael:
KTAS VR: 115.5 kts
VMCA = 110
</t>
        </r>
      </text>
    </comment>
    <comment ref="DE9" authorId="0" shapeId="0" xr:uid="{A69A89AC-F144-4781-B9B8-33315A5758B1}">
      <text>
        <r>
          <rPr>
            <sz val="11"/>
            <color theme="1"/>
            <rFont val="Calibri"/>
            <family val="2"/>
            <scheme val="minor"/>
          </rPr>
          <t xml:space="preserve">Tsai, Michael:
KTAS VR: 115.5 kts
VMCA = 110
</t>
        </r>
      </text>
    </comment>
    <comment ref="DF9" authorId="0" shapeId="0" xr:uid="{4F9D6DE4-480B-4A60-B28B-813AA8029543}">
      <text>
        <r>
          <rPr>
            <sz val="11"/>
            <color theme="1"/>
            <rFont val="Calibri"/>
            <family val="2"/>
            <scheme val="minor"/>
          </rPr>
          <t xml:space="preserve">Tsai, Michael:
KTAS VR: 115.5 kts
VMCA = 110
</t>
        </r>
      </text>
    </comment>
    <comment ref="DG9" authorId="0" shapeId="0" xr:uid="{C3B90520-CDB1-45CE-BB7A-5930C6F6272C}">
      <text>
        <r>
          <rPr>
            <sz val="11"/>
            <color theme="1"/>
            <rFont val="Calibri"/>
            <family val="2"/>
            <scheme val="minor"/>
          </rPr>
          <t xml:space="preserve">Tsai, Michael:
KTAS VR: 115.5 kts
VMCA = 110
</t>
        </r>
      </text>
    </comment>
    <comment ref="DH9" authorId="0" shapeId="0" xr:uid="{B87D57D7-FDDD-49F1-AA2B-D68DFFB4FE1E}">
      <text>
        <r>
          <rPr>
            <sz val="11"/>
            <color theme="1"/>
            <rFont val="Calibri"/>
            <family val="2"/>
            <scheme val="minor"/>
          </rPr>
          <t xml:space="preserve">Tsai, Michael:
KTAS VR: 115.5 kts
VMCA = 110
</t>
        </r>
      </text>
    </comment>
    <comment ref="DI9" authorId="0" shapeId="0" xr:uid="{4E206B47-555E-4C4B-AF8F-40DA1C84B6A4}">
      <text>
        <r>
          <rPr>
            <sz val="11"/>
            <color theme="1"/>
            <rFont val="Calibri"/>
            <family val="2"/>
            <scheme val="minor"/>
          </rPr>
          <t xml:space="preserve">Tsai, Michael:
KTAS VR: 115.5 kts
VMCA = 110
</t>
        </r>
      </text>
    </comment>
    <comment ref="DJ9" authorId="0" shapeId="0" xr:uid="{18EB8A57-9EE1-4C4C-9E5C-9773F466485E}">
      <text>
        <r>
          <rPr>
            <sz val="11"/>
            <color theme="1"/>
            <rFont val="Calibri"/>
            <family val="2"/>
            <scheme val="minor"/>
          </rPr>
          <t xml:space="preserve">Tsai, Michael:
KTAS VR: 115.5 kts
VMCA = 110
</t>
        </r>
      </text>
    </comment>
    <comment ref="DK9" authorId="0" shapeId="0" xr:uid="{FA6913B8-3FD2-46DD-AD9E-1DB096740891}">
      <text>
        <r>
          <rPr>
            <sz val="11"/>
            <color theme="1"/>
            <rFont val="Calibri"/>
            <family val="2"/>
            <scheme val="minor"/>
          </rPr>
          <t xml:space="preserve">Tsai, Michael:
KTAS VR: 115.5 kts
VMCA = 110
</t>
        </r>
      </text>
    </comment>
    <comment ref="DL9" authorId="0" shapeId="0" xr:uid="{F8768115-8529-4C3D-85EE-FB774B0E100F}">
      <text>
        <r>
          <rPr>
            <sz val="11"/>
            <color theme="1"/>
            <rFont val="Calibri"/>
            <family val="2"/>
            <scheme val="minor"/>
          </rPr>
          <t xml:space="preserve">Tsai, Michael:
KTAS VR: 115.5 kts
VMCA = 110
</t>
        </r>
      </text>
    </comment>
    <comment ref="DM9" authorId="0" shapeId="0" xr:uid="{545BDFA5-A906-4404-8C5F-87183638024E}">
      <text>
        <r>
          <rPr>
            <sz val="11"/>
            <color theme="1"/>
            <rFont val="Calibri"/>
            <family val="2"/>
            <scheme val="minor"/>
          </rPr>
          <t xml:space="preserve">Tsai, Michael:
KTAS VR: 115.5 kts
VMCA = 110
</t>
        </r>
      </text>
    </comment>
    <comment ref="DN9" authorId="0" shapeId="0" xr:uid="{16AE6EBD-259D-4CBB-B900-CE8F93A1F9CD}">
      <text>
        <r>
          <rPr>
            <sz val="11"/>
            <color theme="1"/>
            <rFont val="Calibri"/>
            <family val="2"/>
            <scheme val="minor"/>
          </rPr>
          <t xml:space="preserve">Tsai, Michael:
KTAS VR: 115.5 kts
VMCA = 110
</t>
        </r>
      </text>
    </comment>
    <comment ref="DO9" authorId="0" shapeId="0" xr:uid="{D17F3E33-DEDC-447C-BC57-57F8023ED791}">
      <text>
        <r>
          <rPr>
            <sz val="11"/>
            <color theme="1"/>
            <rFont val="Calibri"/>
            <family val="2"/>
            <scheme val="minor"/>
          </rPr>
          <t xml:space="preserve">Tsai, Michael:
KTAS VR: 115.5 kts
VMCA = 110
</t>
        </r>
      </text>
    </comment>
    <comment ref="DP9" authorId="0" shapeId="0" xr:uid="{35ED8A1B-BBC0-4B62-947E-C15503C920D1}">
      <text>
        <r>
          <rPr>
            <sz val="11"/>
            <color theme="1"/>
            <rFont val="Calibri"/>
            <family val="2"/>
            <scheme val="minor"/>
          </rPr>
          <t xml:space="preserve">Tsai, Michael:
KTAS VR: 115.5 kts
VMCA = 110
</t>
        </r>
      </text>
    </comment>
    <comment ref="DQ9" authorId="0" shapeId="0" xr:uid="{940DA4B5-5887-48FF-8416-925B526FB4EF}">
      <text>
        <r>
          <rPr>
            <sz val="11"/>
            <color theme="1"/>
            <rFont val="Calibri"/>
            <family val="2"/>
            <scheme val="minor"/>
          </rPr>
          <t xml:space="preserve">Tsai, Michael:
KTAS VR: 115.5 kts
VMCA = 110
</t>
        </r>
      </text>
    </comment>
    <comment ref="DR9" authorId="0" shapeId="0" xr:uid="{A86ED440-0446-43A6-B942-6D0EC82ED155}">
      <text>
        <r>
          <rPr>
            <sz val="11"/>
            <color theme="1"/>
            <rFont val="Calibri"/>
            <family val="2"/>
            <scheme val="minor"/>
          </rPr>
          <t xml:space="preserve">Tsai, Michael:
KTAS VR: 115.5 kts
VMCA = 110
</t>
        </r>
      </text>
    </comment>
    <comment ref="DS9" authorId="0" shapeId="0" xr:uid="{71C0810F-6C01-4D77-A16F-9CC9E85AEEDB}">
      <text>
        <r>
          <rPr>
            <sz val="11"/>
            <color theme="1"/>
            <rFont val="Calibri"/>
            <family val="2"/>
            <scheme val="minor"/>
          </rPr>
          <t xml:space="preserve">Tsai, Michael:
KTAS VR: 115.5 kts
VMCA = 110
</t>
        </r>
      </text>
    </comment>
    <comment ref="DT9" authorId="0" shapeId="0" xr:uid="{529DF4C1-E3EE-425E-8500-7ADA5F5898FC}">
      <text>
        <r>
          <rPr>
            <sz val="11"/>
            <color theme="1"/>
            <rFont val="Calibri"/>
            <family val="2"/>
            <scheme val="minor"/>
          </rPr>
          <t xml:space="preserve">Tsai, Michael:
KTAS VR: 115.5 kts
VMCA = 110
</t>
        </r>
      </text>
    </comment>
    <comment ref="DU9" authorId="0" shapeId="0" xr:uid="{F49FF948-8F6B-4649-94ED-A4EA1EC36356}">
      <text>
        <r>
          <rPr>
            <sz val="11"/>
            <color theme="1"/>
            <rFont val="Calibri"/>
            <family val="2"/>
            <scheme val="minor"/>
          </rPr>
          <t xml:space="preserve">Tsai, Michael:
KTAS VR: 115.5 kts
VMCA = 110
</t>
        </r>
      </text>
    </comment>
    <comment ref="DV9" authorId="0" shapeId="0" xr:uid="{DD513F23-9EB0-4D83-9D2B-53D842E5DB34}">
      <text>
        <r>
          <rPr>
            <sz val="11"/>
            <color theme="1"/>
            <rFont val="Calibri"/>
            <family val="2"/>
            <scheme val="minor"/>
          </rPr>
          <t xml:space="preserve">Tsai, Michael:
KTAS VR: 115.5 kts
VMCA = 110
</t>
        </r>
      </text>
    </comment>
    <comment ref="DW9" authorId="0" shapeId="0" xr:uid="{4FDF8D18-54F7-41B5-861B-6E227C3BDD3F}">
      <text>
        <r>
          <rPr>
            <sz val="11"/>
            <color theme="1"/>
            <rFont val="Calibri"/>
            <family val="2"/>
            <scheme val="minor"/>
          </rPr>
          <t xml:space="preserve">Tsai, Michael:
KTAS VR: 115.5 kts
VMCA = 110
</t>
        </r>
      </text>
    </comment>
    <comment ref="DX9" authorId="0" shapeId="0" xr:uid="{6D54ECDA-DC19-496E-91DC-201B3025B811}">
      <text>
        <r>
          <rPr>
            <sz val="11"/>
            <color theme="1"/>
            <rFont val="Calibri"/>
            <family val="2"/>
            <scheme val="minor"/>
          </rPr>
          <t xml:space="preserve">Tsai, Michael:
KTAS VR: 115.5 kts
VMCA = 110
</t>
        </r>
      </text>
    </comment>
    <comment ref="DY9" authorId="0" shapeId="0" xr:uid="{7EEB356B-BF10-474E-9489-3FBB690FAC79}">
      <text>
        <r>
          <rPr>
            <sz val="11"/>
            <color theme="1"/>
            <rFont val="Calibri"/>
            <family val="2"/>
            <scheme val="minor"/>
          </rPr>
          <t xml:space="preserve">Tsai, Michael:
KTAS VR: 115.5 kts
VMCA = 110
</t>
        </r>
      </text>
    </comment>
    <comment ref="DZ9" authorId="0" shapeId="0" xr:uid="{E13C18E7-3434-492E-B2C3-E17A9704C74D}">
      <text>
        <r>
          <rPr>
            <sz val="11"/>
            <color theme="1"/>
            <rFont val="Calibri"/>
            <family val="2"/>
            <scheme val="minor"/>
          </rPr>
          <t xml:space="preserve">Tsai, Michael:
KTAS VR: 115.5 kts
VMCA = 110
</t>
        </r>
      </text>
    </comment>
    <comment ref="EA9" authorId="0" shapeId="0" xr:uid="{B1B2A75F-A90A-498C-9868-BF33DC9937FE}">
      <text>
        <r>
          <rPr>
            <sz val="11"/>
            <color theme="1"/>
            <rFont val="Calibri"/>
            <family val="2"/>
            <scheme val="minor"/>
          </rPr>
          <t xml:space="preserve">Tsai, Michael:
KTAS VR: 115.5 kts
VMCA = 110
</t>
        </r>
      </text>
    </comment>
    <comment ref="EB9" authorId="0" shapeId="0" xr:uid="{0BFEEB40-8BB0-40D8-A29E-2092381E4B77}">
      <text>
        <r>
          <rPr>
            <sz val="11"/>
            <color theme="1"/>
            <rFont val="Calibri"/>
            <family val="2"/>
            <scheme val="minor"/>
          </rPr>
          <t xml:space="preserve">Tsai, Michael:
KTAS VR: 115.5 kts
VMCA = 110
</t>
        </r>
      </text>
    </comment>
    <comment ref="EC9" authorId="0" shapeId="0" xr:uid="{6107DF8D-F513-4F08-8640-4348A2C75500}">
      <text>
        <r>
          <rPr>
            <sz val="11"/>
            <color theme="1"/>
            <rFont val="Calibri"/>
            <family val="2"/>
            <scheme val="minor"/>
          </rPr>
          <t xml:space="preserve">Tsai, Michael:
KTAS VR: 115.5 kts
VMCA = 110
</t>
        </r>
      </text>
    </comment>
    <comment ref="ED9" authorId="0" shapeId="0" xr:uid="{F5AE1CF1-E331-4458-9567-FA8C2D8906BC}">
      <text>
        <r>
          <rPr>
            <sz val="11"/>
            <color theme="1"/>
            <rFont val="Calibri"/>
            <family val="2"/>
            <scheme val="minor"/>
          </rPr>
          <t xml:space="preserve">Tsai, Michael:
KTAS v2: 138 kts
</t>
        </r>
      </text>
    </comment>
    <comment ref="EE9" authorId="0" shapeId="0" xr:uid="{E1F862DA-D797-4329-BF5B-058E9F7C3546}">
      <text>
        <r>
          <rPr>
            <sz val="11"/>
            <color theme="1"/>
            <rFont val="Calibri"/>
            <family val="2"/>
            <scheme val="minor"/>
          </rPr>
          <t xml:space="preserve">Tsai, Michael:
KTAS v2: 138 kts
</t>
        </r>
      </text>
    </comment>
    <comment ref="EF9" authorId="0" shapeId="0" xr:uid="{E04E39DD-63D3-4C6F-AD8F-47C05B0810E1}">
      <text>
        <r>
          <rPr>
            <sz val="11"/>
            <color theme="1"/>
            <rFont val="Calibri"/>
            <family val="2"/>
            <scheme val="minor"/>
          </rPr>
          <t xml:space="preserve">Tsai, Michael:
KTAS v2: 138 kts
</t>
        </r>
      </text>
    </comment>
    <comment ref="EG9" authorId="0" shapeId="0" xr:uid="{2ACE2BE5-2EDD-4BD3-99E0-43F794D71C29}">
      <text>
        <r>
          <rPr>
            <sz val="11"/>
            <color theme="1"/>
            <rFont val="Calibri"/>
            <family val="2"/>
            <scheme val="minor"/>
          </rPr>
          <t xml:space="preserve">Tsai, Michael:
KTAS v2: 138 kts
</t>
        </r>
      </text>
    </comment>
    <comment ref="EH9" authorId="0" shapeId="0" xr:uid="{2D0E327A-09DE-4EC4-9FB3-41B565C94711}">
      <text>
        <r>
          <rPr>
            <sz val="11"/>
            <color theme="1"/>
            <rFont val="Calibri"/>
            <family val="2"/>
            <scheme val="minor"/>
          </rPr>
          <t xml:space="preserve">Tsai, Michael:
KTAS v2: 138 kts
</t>
        </r>
      </text>
    </comment>
    <comment ref="EI9" authorId="0" shapeId="0" xr:uid="{87871550-88A8-43FA-8548-0EE8E7AE0B48}">
      <text>
        <r>
          <rPr>
            <sz val="11"/>
            <color theme="1"/>
            <rFont val="Calibri"/>
            <family val="2"/>
            <scheme val="minor"/>
          </rPr>
          <t xml:space="preserve">Tsai, Michael:
KTAS v2: 138 kts
</t>
        </r>
      </text>
    </comment>
    <comment ref="EJ9" authorId="0" shapeId="0" xr:uid="{50B2E83E-5FDA-4AE3-9475-516C2E01B181}">
      <text>
        <r>
          <rPr>
            <sz val="11"/>
            <color theme="1"/>
            <rFont val="Calibri"/>
            <family val="2"/>
            <scheme val="minor"/>
          </rPr>
          <t xml:space="preserve">Tsai, Michael:
KTAS v2: 135 kts
</t>
        </r>
      </text>
    </comment>
    <comment ref="EK9" authorId="0" shapeId="0" xr:uid="{449D66DE-E635-4047-B26F-C243F8A0F068}">
      <text>
        <r>
          <rPr>
            <sz val="11"/>
            <color theme="1"/>
            <rFont val="Calibri"/>
            <family val="2"/>
            <scheme val="minor"/>
          </rPr>
          <t xml:space="preserve">Tsai, Michael:
KTAS v2: 135 kts
</t>
        </r>
      </text>
    </comment>
    <comment ref="EL9" authorId="0" shapeId="0" xr:uid="{56B9223D-9D09-464B-BA0C-45BAE98BB658}">
      <text>
        <r>
          <rPr>
            <sz val="11"/>
            <color theme="1"/>
            <rFont val="Calibri"/>
            <family val="2"/>
            <scheme val="minor"/>
          </rPr>
          <t xml:space="preserve">Tsai, Michael:
KTAS v2: 135 kts
</t>
        </r>
      </text>
    </comment>
    <comment ref="EM9" authorId="0" shapeId="0" xr:uid="{3C0C671C-A482-4717-BF98-BFE8D31E74B6}">
      <text>
        <r>
          <rPr>
            <sz val="11"/>
            <color theme="1"/>
            <rFont val="Calibri"/>
            <family val="2"/>
            <scheme val="minor"/>
          </rPr>
          <t xml:space="preserve">Tsai, Michael:
KTAS v2: 135 kts
</t>
        </r>
      </text>
    </comment>
    <comment ref="EN9" authorId="0" shapeId="0" xr:uid="{BC228F58-49D0-4BC9-8389-167B71707CCB}">
      <text>
        <r>
          <rPr>
            <sz val="11"/>
            <color theme="1"/>
            <rFont val="Calibri"/>
            <family val="2"/>
            <scheme val="minor"/>
          </rPr>
          <t xml:space="preserve">Tsai, Michael:
KTAS v2: 135 kts
</t>
        </r>
      </text>
    </comment>
    <comment ref="EO9" authorId="0" shapeId="0" xr:uid="{4521E1DB-3E04-4468-A15C-C93A75E2266F}">
      <text>
        <r>
          <rPr>
            <sz val="11"/>
            <color theme="1"/>
            <rFont val="Calibri"/>
            <family val="2"/>
            <scheme val="minor"/>
          </rPr>
          <t xml:space="preserve">Tsai, Michael:
KTAS v2: 135 kts
</t>
        </r>
      </text>
    </comment>
    <comment ref="EP9" authorId="0" shapeId="0" xr:uid="{77E6994D-92CE-4C31-B276-CBAAC7ED859C}">
      <text>
        <r>
          <rPr>
            <sz val="11"/>
            <color theme="1"/>
            <rFont val="Calibri"/>
            <family val="2"/>
            <scheme val="minor"/>
          </rPr>
          <t xml:space="preserve">Tsai, Michael:
Flap 9
KTAS vR: 123 kts
</t>
        </r>
      </text>
    </comment>
    <comment ref="EQ9" authorId="0" shapeId="0" xr:uid="{AA420DB8-23BF-427F-A5FC-06560A1F7180}">
      <text>
        <r>
          <rPr>
            <sz val="11"/>
            <color theme="1"/>
            <rFont val="Calibri"/>
            <family val="2"/>
            <scheme val="minor"/>
          </rPr>
          <t xml:space="preserve">Tsai, Michael:
Flap 9
KTAS vR: 123 kts
</t>
        </r>
      </text>
    </comment>
    <comment ref="ER9" authorId="0" shapeId="0" xr:uid="{D17761FA-91B5-4F63-B14D-8BEF8A094EB8}">
      <text>
        <r>
          <rPr>
            <sz val="11"/>
            <color theme="1"/>
            <rFont val="Calibri"/>
            <family val="2"/>
            <scheme val="minor"/>
          </rPr>
          <t xml:space="preserve">Tsai, Michael:
Flap 9
KTAS vR: 133 kts
</t>
        </r>
      </text>
    </comment>
    <comment ref="ES9" authorId="0" shapeId="0" xr:uid="{49F67044-6150-4012-8C8D-8215630ACBA8}">
      <text>
        <r>
          <rPr>
            <sz val="11"/>
            <color theme="1"/>
            <rFont val="Calibri"/>
            <family val="2"/>
            <scheme val="minor"/>
          </rPr>
          <t xml:space="preserve">Tsai, Michael:
Flap 9
KTAS vR: 133 kts
</t>
        </r>
      </text>
    </comment>
    <comment ref="ET9" authorId="0" shapeId="0" xr:uid="{86975C7E-4CEC-4E2E-B375-F2E72A0C63DE}">
      <text>
        <r>
          <rPr>
            <sz val="11"/>
            <color theme="1"/>
            <rFont val="Calibri"/>
            <family val="2"/>
            <scheme val="minor"/>
          </rPr>
          <t xml:space="preserve">Tsai, Michael:
Flap 9
KTAS vR: 135 kts
</t>
        </r>
      </text>
    </comment>
    <comment ref="EU9" authorId="0" shapeId="0" xr:uid="{07CB4003-9469-426A-97E6-55A3A8C2EED9}">
      <text>
        <r>
          <rPr>
            <sz val="11"/>
            <color theme="1"/>
            <rFont val="Calibri"/>
            <family val="2"/>
            <scheme val="minor"/>
          </rPr>
          <t xml:space="preserve">Tsai, Michael:
Flap 9
KTAS vR: 135 kts
</t>
        </r>
      </text>
    </comment>
    <comment ref="EV9" authorId="0" shapeId="0" xr:uid="{2E3385A0-F4B8-4478-82E1-13C173B596BC}">
      <text>
        <r>
          <rPr>
            <sz val="11"/>
            <color theme="1"/>
            <rFont val="Calibri"/>
            <family val="2"/>
            <scheme val="minor"/>
          </rPr>
          <t xml:space="preserve">Tsai, Michael:
KTAS v2: 135 kts
</t>
        </r>
      </text>
    </comment>
    <comment ref="EW9" authorId="0" shapeId="0" xr:uid="{514E5A5D-D5D7-40DE-884B-A253589D83D3}">
      <text>
        <r>
          <rPr>
            <sz val="11"/>
            <color theme="1"/>
            <rFont val="Calibri"/>
            <family val="2"/>
            <scheme val="minor"/>
          </rPr>
          <t xml:space="preserve">Tsai, Michael:
KTAS v2: 135 kts
</t>
        </r>
      </text>
    </comment>
    <comment ref="EX9" authorId="0" shapeId="0" xr:uid="{B5ED4F14-4AF9-4255-82B0-92F15BBE87D6}">
      <text>
        <r>
          <rPr>
            <sz val="11"/>
            <color theme="1"/>
            <rFont val="Calibri"/>
            <family val="2"/>
            <scheme val="minor"/>
          </rPr>
          <t xml:space="preserve">Tsai, Michael:
KTAS v2: 135 kts
</t>
        </r>
      </text>
    </comment>
    <comment ref="EY9" authorId="0" shapeId="0" xr:uid="{FF7CD412-8A76-4B80-8908-2A08BFBEA749}">
      <text>
        <r>
          <rPr>
            <sz val="11"/>
            <color theme="1"/>
            <rFont val="Calibri"/>
            <family val="2"/>
            <scheme val="minor"/>
          </rPr>
          <t xml:space="preserve">Tsai, Michael:
KTAS v2: 135 kts
</t>
        </r>
      </text>
    </comment>
    <comment ref="EZ9" authorId="0" shapeId="0" xr:uid="{E3BD60B1-9EE3-463D-976A-34E9F6B8015F}">
      <text>
        <r>
          <rPr>
            <sz val="11"/>
            <color theme="1"/>
            <rFont val="Calibri"/>
            <family val="2"/>
            <scheme val="minor"/>
          </rPr>
          <t xml:space="preserve">Tsai, Michael:
KTAS v2: 132 kts
</t>
        </r>
      </text>
    </comment>
    <comment ref="FA9" authorId="0" shapeId="0" xr:uid="{200BF8B8-57CF-4A7C-ADC3-184749A4B78D}">
      <text>
        <r>
          <rPr>
            <sz val="11"/>
            <color theme="1"/>
            <rFont val="Calibri"/>
            <family val="2"/>
            <scheme val="minor"/>
          </rPr>
          <t xml:space="preserve">Tsai, Michael:
KTAS v2: 135 kts
</t>
        </r>
      </text>
    </comment>
    <comment ref="FB9" authorId="0" shapeId="0" xr:uid="{E767C598-960C-4297-83AD-2EC715325B36}">
      <text>
        <r>
          <rPr>
            <sz val="11"/>
            <color theme="1"/>
            <rFont val="Calibri"/>
            <family val="2"/>
            <scheme val="minor"/>
          </rPr>
          <t xml:space="preserve">Tsai, Michael:
KTAS v2: 135 kts
</t>
        </r>
      </text>
    </comment>
    <comment ref="FC9" authorId="0" shapeId="0" xr:uid="{AD60DE0B-0038-4182-B316-825FC3F697D4}">
      <text>
        <r>
          <rPr>
            <sz val="11"/>
            <color theme="1"/>
            <rFont val="Calibri"/>
            <family val="2"/>
            <scheme val="minor"/>
          </rPr>
          <t xml:space="preserve">Tsai, Michael:
KTAS v2: 135 kts
</t>
        </r>
      </text>
    </comment>
    <comment ref="FD9" authorId="0" shapeId="0" xr:uid="{1C37766D-3B35-4F43-8E27-BE2BA6F3F92E}">
      <text>
        <r>
          <rPr>
            <sz val="11"/>
            <color theme="1"/>
            <rFont val="Calibri"/>
            <family val="2"/>
            <scheme val="minor"/>
          </rPr>
          <t xml:space="preserve">Tsai, Michael:
KTAS v2: 135 kts
</t>
        </r>
      </text>
    </comment>
    <comment ref="FE9" authorId="0" shapeId="0" xr:uid="{31858108-CC4A-481D-8429-FF9553F80B95}">
      <text>
        <r>
          <rPr>
            <sz val="11"/>
            <color theme="1"/>
            <rFont val="Calibri"/>
            <family val="2"/>
            <scheme val="minor"/>
          </rPr>
          <t xml:space="preserve">Tsai, Michael:
KTAS v2: 145 kts
</t>
        </r>
      </text>
    </comment>
    <comment ref="FF9" authorId="0" shapeId="0" xr:uid="{6015B98E-A50C-440B-ABFA-A7A8BF3A0C85}">
      <text>
        <r>
          <rPr>
            <sz val="11"/>
            <color theme="1"/>
            <rFont val="Calibri"/>
            <family val="2"/>
            <scheme val="minor"/>
          </rPr>
          <t xml:space="preserve">Tsai, Michael:
KTAS v2: 146 kts
</t>
        </r>
      </text>
    </comment>
    <comment ref="FG9" authorId="0" shapeId="0" xr:uid="{D024C5BF-BE39-4C1F-90B1-93366791B8DC}">
      <text>
        <r>
          <rPr>
            <sz val="11"/>
            <color theme="1"/>
            <rFont val="Calibri"/>
            <family val="2"/>
            <scheme val="minor"/>
          </rPr>
          <t xml:space="preserve">Tsai, Michael:
KTAS v2: 146 kts
</t>
        </r>
      </text>
    </comment>
    <comment ref="FH9" authorId="0" shapeId="0" xr:uid="{3CC34A1D-8448-4EA8-873B-C5F7460BBF58}">
      <text>
        <r>
          <rPr>
            <sz val="11"/>
            <color theme="1"/>
            <rFont val="Calibri"/>
            <family val="2"/>
            <scheme val="minor"/>
          </rPr>
          <t xml:space="preserve">Tsai, Michael:
KTAS v2: 146 kts
</t>
        </r>
      </text>
    </comment>
    <comment ref="A13" authorId="0" shapeId="0" xr:uid="{99207AAD-9DFA-4F92-BAD0-5655CAB4BC86}">
      <text>
        <r>
          <rPr>
            <sz val="11"/>
            <color theme="1"/>
            <rFont val="Calibri"/>
            <family val="2"/>
            <scheme val="minor"/>
          </rPr>
          <t>Tsai, Michael:
KIAS (black)
KTAS (blue)
kts (no specification, green)</t>
        </r>
      </text>
    </comment>
    <comment ref="B14" authorId="0" shapeId="0" xr:uid="{29C1C8EE-FC27-4E40-8F91-3C7AE9BB84FD}">
      <text>
        <r>
          <rPr>
            <sz val="11"/>
            <color theme="1"/>
            <rFont val="Calibri"/>
            <family val="2"/>
            <scheme val="minor"/>
          </rPr>
          <t>Tsai, Michael:
KTAS: 440 kts</t>
        </r>
      </text>
    </comment>
    <comment ref="C14" authorId="0" shapeId="0" xr:uid="{1A995484-0C5D-4765-A8FA-80CF2CFF6935}">
      <text>
        <r>
          <rPr>
            <sz val="11"/>
            <color theme="1"/>
            <rFont val="Calibri"/>
            <family val="2"/>
            <scheme val="minor"/>
          </rPr>
          <t>Tsai, Michael:
KTAS: 440 kts</t>
        </r>
      </text>
    </comment>
    <comment ref="D14" authorId="0" shapeId="0" xr:uid="{B9A1502C-3B3D-4621-AE1C-12CF98821370}">
      <text>
        <r>
          <rPr>
            <sz val="11"/>
            <color theme="1"/>
            <rFont val="Calibri"/>
            <family val="2"/>
            <scheme val="minor"/>
          </rPr>
          <t>Tsai, Michael:
KTAS: 480 kts</t>
        </r>
      </text>
    </comment>
    <comment ref="E14" authorId="0" shapeId="0" xr:uid="{CEF26E13-5BAC-49B8-80DB-A10829A08C9F}">
      <text>
        <r>
          <rPr>
            <sz val="11"/>
            <color theme="1"/>
            <rFont val="Calibri"/>
            <family val="2"/>
            <scheme val="minor"/>
          </rPr>
          <t>Tsai, Michael:
KTAS: 440 kts</t>
        </r>
      </text>
    </comment>
    <comment ref="F14" authorId="0" shapeId="0" xr:uid="{DB2F0315-13E5-47D4-A9FA-8F56767D7CF9}">
      <text>
        <r>
          <rPr>
            <sz val="11"/>
            <color theme="1"/>
            <rFont val="Calibri"/>
            <family val="2"/>
            <scheme val="minor"/>
          </rPr>
          <t>Tsai, Michael:
KTAS: 450 kts</t>
        </r>
      </text>
    </comment>
    <comment ref="G14" authorId="0" shapeId="0" xr:uid="{1F548ADA-8A09-4385-A6B6-22F73989801A}">
      <text>
        <r>
          <rPr>
            <sz val="11"/>
            <color theme="1"/>
            <rFont val="Calibri"/>
            <family val="2"/>
            <scheme val="minor"/>
          </rPr>
          <t>Tsai, Michael:
KTAS: 440 kts</t>
        </r>
      </text>
    </comment>
    <comment ref="H14" authorId="0" shapeId="0" xr:uid="{7CC795AA-DD5F-4092-A87B-F79EDA1E2BF0}">
      <text>
        <r>
          <rPr>
            <sz val="11"/>
            <color theme="1"/>
            <rFont val="Calibri"/>
            <family val="2"/>
            <scheme val="minor"/>
          </rPr>
          <t>Tsai, Michael:
KTAS: 440 kts</t>
        </r>
      </text>
    </comment>
    <comment ref="I14" authorId="0" shapeId="0" xr:uid="{63475F9B-97AA-48A6-85D5-108D1BA8AD25}">
      <text>
        <r>
          <rPr>
            <sz val="11"/>
            <color theme="1"/>
            <rFont val="Calibri"/>
            <family val="2"/>
            <scheme val="minor"/>
          </rPr>
          <t>Tsai, Michael:
KTAS: 440 kts</t>
        </r>
      </text>
    </comment>
    <comment ref="J14" authorId="0" shapeId="0" xr:uid="{FF42BE23-5286-449A-8DED-48515639419C}">
      <text>
        <r>
          <rPr>
            <sz val="11"/>
            <color theme="1"/>
            <rFont val="Calibri"/>
            <family val="2"/>
            <scheme val="minor"/>
          </rPr>
          <t>Tsai, Michael:
KTAS: 380 kts</t>
        </r>
      </text>
    </comment>
    <comment ref="K14" authorId="0" shapeId="0" xr:uid="{53E8746A-81AE-4872-A402-25041071B42B}">
      <text>
        <r>
          <rPr>
            <sz val="11"/>
            <color theme="1"/>
            <rFont val="Calibri"/>
            <family val="2"/>
            <scheme val="minor"/>
          </rPr>
          <t>Tsai, Michael:
KTAS: 440 kts</t>
        </r>
      </text>
    </comment>
    <comment ref="L14" authorId="0" shapeId="0" xr:uid="{62744FEF-578C-4168-A2AC-5E5A8475617E}">
      <text>
        <r>
          <rPr>
            <sz val="11"/>
            <color theme="1"/>
            <rFont val="Calibri"/>
            <family val="2"/>
            <scheme val="minor"/>
          </rPr>
          <t>Tsai, Michael:
KTAS: 440 kts</t>
        </r>
      </text>
    </comment>
    <comment ref="M14" authorId="0" shapeId="0" xr:uid="{55372747-F361-47A0-8F91-7C93CD670983}">
      <text>
        <r>
          <rPr>
            <sz val="11"/>
            <color theme="1"/>
            <rFont val="Calibri"/>
            <family val="2"/>
            <scheme val="minor"/>
          </rPr>
          <t>Tsai, Michael:
KTAS: 380 kts</t>
        </r>
      </text>
    </comment>
    <comment ref="N14" authorId="0" shapeId="0" xr:uid="{402B1984-1BA7-4EA6-8872-57521E9DB038}">
      <text>
        <r>
          <rPr>
            <sz val="11"/>
            <color theme="1"/>
            <rFont val="Calibri"/>
            <family val="2"/>
            <scheme val="minor"/>
          </rPr>
          <t>Tsai, Michael:
KTAS: 440 kts</t>
        </r>
      </text>
    </comment>
    <comment ref="O14" authorId="0" shapeId="0" xr:uid="{7A0C1F35-EC40-4FE5-9CE5-97DFAFC9CEDF}">
      <text>
        <r>
          <rPr>
            <sz val="11"/>
            <color theme="1"/>
            <rFont val="Calibri"/>
            <family val="2"/>
            <scheme val="minor"/>
          </rPr>
          <t>Tsai, Michael:
KTAS: 510 kts</t>
        </r>
      </text>
    </comment>
    <comment ref="P14" authorId="0" shapeId="0" xr:uid="{31E01114-F1CF-44F7-B4CD-74ECEE02B31C}">
      <text>
        <r>
          <rPr>
            <sz val="11"/>
            <color theme="1"/>
            <rFont val="Calibri"/>
            <family val="2"/>
            <scheme val="minor"/>
          </rPr>
          <t>Tsai, Michael:
KTAS: 510 kts</t>
        </r>
      </text>
    </comment>
    <comment ref="Q14" authorId="0" shapeId="0" xr:uid="{B04F68C3-1334-4CD6-BCEC-1BA6B3097C4C}">
      <text>
        <r>
          <rPr>
            <sz val="11"/>
            <color theme="1"/>
            <rFont val="Calibri"/>
            <family val="2"/>
            <scheme val="minor"/>
          </rPr>
          <t>Tsai, Michael:
KTAS: 510 kts</t>
        </r>
      </text>
    </comment>
    <comment ref="R14" authorId="0" shapeId="0" xr:uid="{99D16D76-CAE6-4B4C-98DF-4F00FDB6C19B}">
      <text>
        <r>
          <rPr>
            <sz val="11"/>
            <color theme="1"/>
            <rFont val="Calibri"/>
            <family val="2"/>
            <scheme val="minor"/>
          </rPr>
          <t>Tsai, Michael:
KTAS: 510 kts</t>
        </r>
      </text>
    </comment>
    <comment ref="S14" authorId="0" shapeId="0" xr:uid="{7CC174BE-432C-4672-AD34-CCCED92111D5}">
      <text>
        <r>
          <rPr>
            <sz val="11"/>
            <color theme="1"/>
            <rFont val="Calibri"/>
            <family val="2"/>
            <scheme val="minor"/>
          </rPr>
          <t>Tsai, Michael:
KTAS: 510 kts</t>
        </r>
      </text>
    </comment>
    <comment ref="T14" authorId="0" shapeId="0" xr:uid="{4CA75F9A-8471-46AB-A5CD-87D76FABFFAC}">
      <text>
        <r>
          <rPr>
            <sz val="11"/>
            <color theme="1"/>
            <rFont val="Calibri"/>
            <family val="2"/>
            <scheme val="minor"/>
          </rPr>
          <t>Tsai, Michael:
KTAS: 510 kts</t>
        </r>
      </text>
    </comment>
    <comment ref="U14" authorId="0" shapeId="0" xr:uid="{6DC84266-142B-4328-9F7B-7D248EE968B7}">
      <text>
        <r>
          <rPr>
            <sz val="11"/>
            <color theme="1"/>
            <rFont val="Calibri"/>
            <family val="2"/>
            <scheme val="minor"/>
          </rPr>
          <t>Tsai, Michael:
KTAS: 510 kts</t>
        </r>
      </text>
    </comment>
    <comment ref="V14" authorId="0" shapeId="0" xr:uid="{7170F662-80F7-4B16-8933-9BD5FA6F605F}">
      <text>
        <r>
          <rPr>
            <sz val="11"/>
            <color theme="1"/>
            <rFont val="Calibri"/>
            <family val="2"/>
            <scheme val="minor"/>
          </rPr>
          <t>Tsai, Michael:
KTAS: 510 kts</t>
        </r>
      </text>
    </comment>
    <comment ref="W14" authorId="0" shapeId="0" xr:uid="{4F163D57-DD1F-428D-A7C5-B6EBF9FE09C9}">
      <text>
        <r>
          <rPr>
            <sz val="11"/>
            <color theme="1"/>
            <rFont val="Calibri"/>
            <family val="2"/>
            <scheme val="minor"/>
          </rPr>
          <t>Tsai, Michael:
KTAS: 460 kts</t>
        </r>
      </text>
    </comment>
    <comment ref="X14" authorId="0" shapeId="0" xr:uid="{A90B5538-BF71-440D-87F4-C6565A6355AE}">
      <text>
        <r>
          <rPr>
            <sz val="11"/>
            <color theme="1"/>
            <rFont val="Calibri"/>
            <family val="2"/>
            <scheme val="minor"/>
          </rPr>
          <t>Tsai, Michael:
KTAS: 460 kts</t>
        </r>
      </text>
    </comment>
    <comment ref="Y14" authorId="0" shapeId="0" xr:uid="{F69B512D-7047-400D-A5CC-5F1EB8C7984F}">
      <text>
        <r>
          <rPr>
            <sz val="11"/>
            <color theme="1"/>
            <rFont val="Calibri"/>
            <family val="2"/>
            <scheme val="minor"/>
          </rPr>
          <t>Tsai, Michael:
KTAS: 460 kts</t>
        </r>
      </text>
    </comment>
    <comment ref="Z14" authorId="0" shapeId="0" xr:uid="{A7489C86-E55E-4DBA-A833-36793A4D0164}">
      <text>
        <r>
          <rPr>
            <sz val="11"/>
            <color theme="1"/>
            <rFont val="Calibri"/>
            <family val="2"/>
            <scheme val="minor"/>
          </rPr>
          <t>Tsai, Michael:
KTAS: 470 kts</t>
        </r>
      </text>
    </comment>
    <comment ref="AA14" authorId="0" shapeId="0" xr:uid="{FE17E8F3-825B-43BD-A8A6-127636A08209}">
      <text>
        <r>
          <rPr>
            <sz val="11"/>
            <color theme="1"/>
            <rFont val="Calibri"/>
            <family val="2"/>
            <scheme val="minor"/>
          </rPr>
          <t>Tsai, Michael:
KTAS: 470 kts</t>
        </r>
      </text>
    </comment>
    <comment ref="AB14" authorId="0" shapeId="0" xr:uid="{B5E91D84-F5E4-4AA0-8C0E-1A05B8B4ED3B}">
      <text>
        <r>
          <rPr>
            <sz val="11"/>
            <color theme="1"/>
            <rFont val="Calibri"/>
            <family val="2"/>
            <scheme val="minor"/>
          </rPr>
          <t>Tsai, Michael:
KTAS: 470 kts</t>
        </r>
      </text>
    </comment>
    <comment ref="AC14" authorId="0" shapeId="0" xr:uid="{BC85CC05-3D72-4E4B-8ED7-6E472B1F9E96}">
      <text>
        <r>
          <rPr>
            <sz val="11"/>
            <color theme="1"/>
            <rFont val="Calibri"/>
            <family val="2"/>
            <scheme val="minor"/>
          </rPr>
          <t>Tsai, Michael:
KTAS: 470 kts</t>
        </r>
      </text>
    </comment>
    <comment ref="AD14" authorId="0" shapeId="0" xr:uid="{08BE629A-5EDF-4167-A5CD-FB2A7AF10EC5}">
      <text>
        <r>
          <rPr>
            <sz val="11"/>
            <color theme="1"/>
            <rFont val="Calibri"/>
            <family val="2"/>
            <scheme val="minor"/>
          </rPr>
          <t>Tsai, Michael:
KTAS: 470 kts</t>
        </r>
      </text>
    </comment>
    <comment ref="AE14" authorId="0" shapeId="0" xr:uid="{7023CCC7-D338-4FC5-B114-D40C9BF9FD68}">
      <text>
        <r>
          <rPr>
            <sz val="11"/>
            <color theme="1"/>
            <rFont val="Calibri"/>
            <family val="2"/>
            <scheme val="minor"/>
          </rPr>
          <t>Tsai, Michael:
KTAS: 470 kts</t>
        </r>
      </text>
    </comment>
    <comment ref="AF14" authorId="0" shapeId="0" xr:uid="{67EB2516-F5A4-46D8-994A-5DCEFA784206}">
      <text>
        <r>
          <rPr>
            <sz val="11"/>
            <color theme="1"/>
            <rFont val="Calibri"/>
            <family val="2"/>
            <scheme val="minor"/>
          </rPr>
          <t>Tsai, Michael:
KTAS: 470 kts</t>
        </r>
      </text>
    </comment>
    <comment ref="AG14" authorId="0" shapeId="0" xr:uid="{7FF4C002-3A20-4F99-A0FB-386AE6B1AFEB}">
      <text>
        <r>
          <rPr>
            <sz val="11"/>
            <color theme="1"/>
            <rFont val="Calibri"/>
            <family val="2"/>
            <scheme val="minor"/>
          </rPr>
          <t>Tsai, Michael:
KTAS: 435 kts</t>
        </r>
      </text>
    </comment>
    <comment ref="AH14" authorId="0" shapeId="0" xr:uid="{717A9B84-FB78-4F25-ADD3-7D4F03A9D6D4}">
      <text>
        <r>
          <rPr>
            <sz val="11"/>
            <color theme="1"/>
            <rFont val="Calibri"/>
            <family val="2"/>
            <scheme val="minor"/>
          </rPr>
          <t>Tsai, Michael:
KTAS: 435 kts</t>
        </r>
      </text>
    </comment>
    <comment ref="AI14" authorId="0" shapeId="0" xr:uid="{67B59AC4-2248-4B2D-9D3C-CA37E089EF28}">
      <text>
        <r>
          <rPr>
            <sz val="11"/>
            <color theme="1"/>
            <rFont val="Calibri"/>
            <family val="2"/>
            <scheme val="minor"/>
          </rPr>
          <t>Tsai, Michael:
KTAS: 470 kts (2)</t>
        </r>
      </text>
    </comment>
    <comment ref="AJ14" authorId="0" shapeId="0" xr:uid="{D6672D4B-9FB9-4892-A288-6F7C49645008}">
      <text>
        <r>
          <rPr>
            <sz val="11"/>
            <color theme="1"/>
            <rFont val="Calibri"/>
            <family val="2"/>
            <scheme val="minor"/>
          </rPr>
          <t>Tsai, Michael:
KTAS: 470 kts (2)</t>
        </r>
      </text>
    </comment>
    <comment ref="AK14" authorId="0" shapeId="0" xr:uid="{9CD6F798-30DF-4B01-A9DC-0EC6B95FBEDD}">
      <text>
        <r>
          <rPr>
            <sz val="11"/>
            <color theme="1"/>
            <rFont val="Calibri"/>
            <family val="2"/>
            <scheme val="minor"/>
          </rPr>
          <t>Tsai, Michael:
KTAS: 470 kts (2)</t>
        </r>
      </text>
    </comment>
    <comment ref="AL14" authorId="0" shapeId="0" xr:uid="{1E550D33-C259-41F3-BB91-757E828132A0}">
      <text>
        <r>
          <rPr>
            <sz val="11"/>
            <color theme="1"/>
            <rFont val="Calibri"/>
            <family val="2"/>
            <scheme val="minor"/>
          </rPr>
          <t>Tsai, Michael:
KTAS: 470 kts (2)</t>
        </r>
      </text>
    </comment>
    <comment ref="AM14" authorId="0" shapeId="0" xr:uid="{BCFCAC57-677A-4CF0-A011-DA512F7B9F13}">
      <text>
        <r>
          <rPr>
            <sz val="11"/>
            <color theme="1"/>
            <rFont val="Calibri"/>
            <family val="2"/>
            <scheme val="minor"/>
          </rPr>
          <t>Tsai, Michael:
KTAS: 470 kts (2)</t>
        </r>
      </text>
    </comment>
    <comment ref="AN14" authorId="0" shapeId="0" xr:uid="{33D2EDBE-902B-4303-8D12-97DDD869D2E3}">
      <text>
        <r>
          <rPr>
            <sz val="11"/>
            <color theme="1"/>
            <rFont val="Calibri"/>
            <family val="2"/>
            <scheme val="minor"/>
          </rPr>
          <t>Tsai, Michael:
KTAS: 470 kts (2)</t>
        </r>
      </text>
    </comment>
    <comment ref="AO14" authorId="0" shapeId="0" xr:uid="{D0F05ADF-FE14-4DA8-AA10-9FFB09DB2623}">
      <text>
        <r>
          <rPr>
            <sz val="11"/>
            <color theme="1"/>
            <rFont val="Calibri"/>
            <family val="2"/>
            <scheme val="minor"/>
          </rPr>
          <t>Tsai, Michael:
KTAS: 470 kts (2)</t>
        </r>
      </text>
    </comment>
    <comment ref="AP14" authorId="0" shapeId="0" xr:uid="{93E8FDC8-4E4D-4458-BE85-4306919FD4F8}">
      <text>
        <r>
          <rPr>
            <sz val="11"/>
            <color theme="1"/>
            <rFont val="Calibri"/>
            <family val="2"/>
            <scheme val="minor"/>
          </rPr>
          <t>Tsai, Michael:
KTAS: 470 kts (2)</t>
        </r>
      </text>
    </comment>
    <comment ref="AQ14" authorId="0" shapeId="0" xr:uid="{8EA95E81-9999-4F23-AFEA-9AAC5285F5DE}">
      <text>
        <r>
          <rPr>
            <sz val="11"/>
            <color theme="1"/>
            <rFont val="Calibri"/>
            <family val="2"/>
            <scheme val="minor"/>
          </rPr>
          <t>Tsai, Michael:
KTAS = 420</t>
        </r>
      </text>
    </comment>
    <comment ref="AR14" authorId="0" shapeId="0" xr:uid="{6134227C-91F7-4F13-8C67-D2CA9E6949EF}">
      <text>
        <r>
          <rPr>
            <sz val="11"/>
            <color theme="1"/>
            <rFont val="Calibri"/>
            <family val="2"/>
            <scheme val="minor"/>
          </rPr>
          <t>Tsai, Michael:
KTAS = 420</t>
        </r>
      </text>
    </comment>
    <comment ref="AS14" authorId="0" shapeId="0" xr:uid="{CCE59291-4420-4681-8732-C237BD1C0CE0}">
      <text>
        <r>
          <rPr>
            <sz val="11"/>
            <color theme="1"/>
            <rFont val="Calibri"/>
            <family val="2"/>
            <scheme val="minor"/>
          </rPr>
          <t>Tsai, Michael:
KTAS = 420</t>
        </r>
      </text>
    </comment>
    <comment ref="AT14" authorId="0" shapeId="0" xr:uid="{71A8C47F-7803-41FD-B424-B81BD3D46084}">
      <text>
        <r>
          <rPr>
            <sz val="11"/>
            <color theme="1"/>
            <rFont val="Calibri"/>
            <family val="2"/>
            <scheme val="minor"/>
          </rPr>
          <t>Tsai, Michael:
KTAS = 420</t>
        </r>
      </text>
    </comment>
    <comment ref="AU14" authorId="0" shapeId="0" xr:uid="{AD8682DD-438C-4F25-82A8-F958992BC2FD}">
      <text>
        <r>
          <rPr>
            <sz val="11"/>
            <color theme="1"/>
            <rFont val="Calibri"/>
            <family val="2"/>
            <scheme val="minor"/>
          </rPr>
          <t>Tsai, Michael:
KTAS = 420</t>
        </r>
      </text>
    </comment>
    <comment ref="AV14" authorId="0" shapeId="0" xr:uid="{AB9DD955-A3AE-4325-A6B5-2987570E6934}">
      <text>
        <r>
          <rPr>
            <sz val="11"/>
            <color theme="1"/>
            <rFont val="Calibri"/>
            <family val="2"/>
            <scheme val="minor"/>
          </rPr>
          <t>Tsai, Michael:
KTAS = 420</t>
        </r>
      </text>
    </comment>
    <comment ref="AW14" authorId="0" shapeId="0" xr:uid="{09219EE9-FFF0-4256-BD5C-EFB6FBDCAF31}">
      <text>
        <r>
          <rPr>
            <sz val="11"/>
            <color theme="1"/>
            <rFont val="Calibri"/>
            <family val="2"/>
            <scheme val="minor"/>
          </rPr>
          <t>Tsai, Michael:
KTAS = 420</t>
        </r>
      </text>
    </comment>
    <comment ref="AX14" authorId="0" shapeId="0" xr:uid="{C69F1C08-EB33-4736-BA56-87EDD151318B}">
      <text>
        <r>
          <rPr>
            <sz val="11"/>
            <color theme="1"/>
            <rFont val="Calibri"/>
            <family val="2"/>
            <scheme val="minor"/>
          </rPr>
          <t>Tsai, Michael:
KTAS = 420</t>
        </r>
      </text>
    </comment>
    <comment ref="AY14" authorId="0" shapeId="0" xr:uid="{D24AA7E6-CA6E-4DE5-9822-99EAEA60908E}">
      <text>
        <r>
          <rPr>
            <sz val="11"/>
            <color theme="1"/>
            <rFont val="Calibri"/>
            <family val="2"/>
            <scheme val="minor"/>
          </rPr>
          <t>Tsai, Michael:
KTAS = 420</t>
        </r>
      </text>
    </comment>
    <comment ref="AZ14" authorId="0" shapeId="0" xr:uid="{56047E76-FC64-46FE-A845-4F59583768B2}">
      <text>
        <r>
          <rPr>
            <sz val="11"/>
            <color theme="1"/>
            <rFont val="Calibri"/>
            <family val="2"/>
            <scheme val="minor"/>
          </rPr>
          <t>Tsai, Michael:
KTAS</t>
        </r>
      </text>
    </comment>
    <comment ref="BA14" authorId="0" shapeId="0" xr:uid="{B420AB5F-51E2-4F38-AD4F-13D5F92B7A90}">
      <text>
        <r>
          <rPr>
            <sz val="11"/>
            <color theme="1"/>
            <rFont val="Calibri"/>
            <family val="2"/>
            <scheme val="minor"/>
          </rPr>
          <t>Tsai, Michael:
KTAS</t>
        </r>
      </text>
    </comment>
    <comment ref="BB14" authorId="0" shapeId="0" xr:uid="{27E8A407-95A3-4707-BA97-3BBA075E9CA0}">
      <text>
        <r>
          <rPr>
            <sz val="11"/>
            <color theme="1"/>
            <rFont val="Calibri"/>
            <family val="2"/>
            <scheme val="minor"/>
          </rPr>
          <t>Tsai, Michael:
KTAS</t>
        </r>
      </text>
    </comment>
    <comment ref="BC14" authorId="0" shapeId="0" xr:uid="{629D9567-527A-4649-9190-DB63B404C128}">
      <text>
        <r>
          <rPr>
            <sz val="11"/>
            <color theme="1"/>
            <rFont val="Calibri"/>
            <family val="2"/>
            <scheme val="minor"/>
          </rPr>
          <t>Tsai, Michael:
KTAS</t>
        </r>
      </text>
    </comment>
    <comment ref="BD14" authorId="0" shapeId="0" xr:uid="{943EFACF-279E-43C7-8CBF-3964EA1182FF}">
      <text>
        <r>
          <rPr>
            <sz val="11"/>
            <color theme="1"/>
            <rFont val="Calibri"/>
            <family val="2"/>
            <scheme val="minor"/>
          </rPr>
          <t>Tsai, Michael:
KTAS</t>
        </r>
      </text>
    </comment>
    <comment ref="BE14" authorId="0" shapeId="0" xr:uid="{8CA1850E-E523-4F87-949A-4DB7F3D818E9}">
      <text>
        <r>
          <rPr>
            <sz val="11"/>
            <color theme="1"/>
            <rFont val="Calibri"/>
            <family val="2"/>
            <scheme val="minor"/>
          </rPr>
          <t>Tsai, Michael:
KIAS</t>
        </r>
      </text>
    </comment>
    <comment ref="BF14" authorId="0" shapeId="0" xr:uid="{A689D37F-3018-4DAF-99AE-0FDE239F4AE1}">
      <text>
        <r>
          <rPr>
            <sz val="11"/>
            <color theme="1"/>
            <rFont val="Calibri"/>
            <family val="2"/>
            <scheme val="minor"/>
          </rPr>
          <t>Tsai, Michael:
KIAS</t>
        </r>
      </text>
    </comment>
    <comment ref="BG14" authorId="0" shapeId="0" xr:uid="{D158833D-5F5F-4F2E-9E57-852EE89CAD37}">
      <text>
        <r>
          <rPr>
            <sz val="11"/>
            <color theme="1"/>
            <rFont val="Calibri"/>
            <family val="2"/>
            <scheme val="minor"/>
          </rPr>
          <t>Tsai, Michael:
KIAS</t>
        </r>
      </text>
    </comment>
    <comment ref="BH14" authorId="0" shapeId="0" xr:uid="{2B0354A0-FB0D-4AEB-B996-1A02412A0340}">
      <text>
        <r>
          <rPr>
            <sz val="11"/>
            <color theme="1"/>
            <rFont val="Calibri"/>
            <family val="2"/>
            <scheme val="minor"/>
          </rPr>
          <t>Tsai, Michael:
KIAS</t>
        </r>
      </text>
    </comment>
    <comment ref="BJ14" authorId="0" shapeId="0" xr:uid="{E7A39489-C55D-4998-A343-9075C866D5B9}">
      <text>
        <r>
          <rPr>
            <sz val="11"/>
            <color theme="1"/>
            <rFont val="Calibri"/>
            <family val="2"/>
            <scheme val="minor"/>
          </rPr>
          <t>Tsai, Michael:
KIAS</t>
        </r>
      </text>
    </comment>
    <comment ref="BK14" authorId="0" shapeId="0" xr:uid="{8A618870-E134-43D9-B746-292577948B19}">
      <text>
        <r>
          <rPr>
            <sz val="11"/>
            <color theme="1"/>
            <rFont val="Calibri"/>
            <family val="2"/>
            <scheme val="minor"/>
          </rPr>
          <t>Tsai, Michael:
KIAS</t>
        </r>
      </text>
    </comment>
    <comment ref="BL14" authorId="0" shapeId="0" xr:uid="{E9C2D409-CD9B-4076-8A47-73C6489E913C}">
      <text>
        <r>
          <rPr>
            <sz val="11"/>
            <color theme="1"/>
            <rFont val="Calibri"/>
            <family val="2"/>
            <scheme val="minor"/>
          </rPr>
          <t xml:space="preserve">Tsai, Michael:
KIAS
reference 4 </t>
        </r>
      </text>
    </comment>
    <comment ref="BM14" authorId="0" shapeId="0" xr:uid="{26988682-EBA7-4B1B-B854-45416BDEE4C5}">
      <text>
        <r>
          <rPr>
            <sz val="11"/>
            <color theme="1"/>
            <rFont val="Calibri"/>
            <family val="2"/>
            <scheme val="minor"/>
          </rPr>
          <t xml:space="preserve">Tsai, Michael:
KIAS
reference 4 </t>
        </r>
      </text>
    </comment>
    <comment ref="BN14" authorId="0" shapeId="0" xr:uid="{90C99F3D-BE68-486F-972C-8199610D5904}">
      <text>
        <r>
          <rPr>
            <sz val="11"/>
            <color theme="1"/>
            <rFont val="Calibri"/>
            <family val="2"/>
            <scheme val="minor"/>
          </rPr>
          <t xml:space="preserve">Tsai, Michael:
KIAS
reference 4 </t>
        </r>
      </text>
    </comment>
    <comment ref="BO14" authorId="0" shapeId="0" xr:uid="{D58BC0A5-75EC-4C26-A749-DD1580CFA695}">
      <text>
        <r>
          <rPr>
            <sz val="11"/>
            <color theme="1"/>
            <rFont val="Calibri"/>
            <family val="2"/>
            <scheme val="minor"/>
          </rPr>
          <t xml:space="preserve">Tsai, Michael:
KIAS
reference 4 </t>
        </r>
      </text>
    </comment>
    <comment ref="BP14" authorId="0" shapeId="0" xr:uid="{AD858312-6929-46ED-9B1C-4FC020E31DAC}">
      <text>
        <r>
          <rPr>
            <sz val="11"/>
            <color theme="1"/>
            <rFont val="Calibri"/>
            <family val="2"/>
            <scheme val="minor"/>
          </rPr>
          <t xml:space="preserve">Tsai, Michael:
KIAS
reference 4 </t>
        </r>
      </text>
    </comment>
    <comment ref="BQ14" authorId="0" shapeId="0" xr:uid="{DC6CE459-D3D4-443B-B8EF-9ACE3AA18E48}">
      <text>
        <r>
          <rPr>
            <sz val="11"/>
            <color theme="1"/>
            <rFont val="Calibri"/>
            <family val="2"/>
            <scheme val="minor"/>
          </rPr>
          <t xml:space="preserve">Tsai, Michael:
KIAS
reference 4 </t>
        </r>
      </text>
    </comment>
    <comment ref="BR14" authorId="0" shapeId="0" xr:uid="{4A237A77-9D41-4877-A435-941DE0B1376D}">
      <text>
        <r>
          <rPr>
            <sz val="11"/>
            <color theme="1"/>
            <rFont val="Calibri"/>
            <family val="2"/>
            <scheme val="minor"/>
          </rPr>
          <t xml:space="preserve">Tsai, Michael:
KIAS
reference 4 </t>
        </r>
      </text>
    </comment>
    <comment ref="BS14" authorId="0" shapeId="0" xr:uid="{0FDD985A-1D6C-4F85-B5DC-622B99386C4C}">
      <text>
        <r>
          <rPr>
            <sz val="11"/>
            <color theme="1"/>
            <rFont val="Calibri"/>
            <family val="2"/>
            <scheme val="minor"/>
          </rPr>
          <t>Tsai, Michael:
KTAS: 470 kts</t>
        </r>
      </text>
    </comment>
    <comment ref="BT14" authorId="0" shapeId="0" xr:uid="{373152C9-1918-4CBC-B2B1-5B484B6524AE}">
      <text>
        <r>
          <rPr>
            <sz val="11"/>
            <color theme="1"/>
            <rFont val="Calibri"/>
            <family val="2"/>
            <scheme val="minor"/>
          </rPr>
          <t>Tsai, Michael:
KTAS: 470 kts</t>
        </r>
      </text>
    </comment>
    <comment ref="BU14" authorId="0" shapeId="0" xr:uid="{A61C96B7-4476-4F08-A15D-0CFA5B1F9944}">
      <text>
        <r>
          <rPr>
            <sz val="11"/>
            <color theme="1"/>
            <rFont val="Calibri"/>
            <family val="2"/>
            <scheme val="minor"/>
          </rPr>
          <t>Tsai, Michael:
KTAS: 470 kts</t>
        </r>
      </text>
    </comment>
    <comment ref="BV14" authorId="0" shapeId="0" xr:uid="{64B95752-1705-4F44-813A-EA2032320F93}">
      <text>
        <r>
          <rPr>
            <sz val="11"/>
            <color theme="1"/>
            <rFont val="Calibri"/>
            <family val="2"/>
            <scheme val="minor"/>
          </rPr>
          <t>Tsai, Michael:
KTAS: 470 kts</t>
        </r>
      </text>
    </comment>
    <comment ref="BW14" authorId="0" shapeId="0" xr:uid="{072F7183-18D4-4B9E-91D7-28F903AC179C}">
      <text>
        <r>
          <rPr>
            <sz val="11"/>
            <color theme="1"/>
            <rFont val="Calibri"/>
            <family val="2"/>
            <scheme val="minor"/>
          </rPr>
          <t>Tsai, Michael:
KTAS: 470 kts</t>
        </r>
      </text>
    </comment>
    <comment ref="BX14" authorId="0" shapeId="0" xr:uid="{CC4E7978-5416-4DB9-BB13-98C003DFF291}">
      <text>
        <r>
          <rPr>
            <sz val="11"/>
            <color theme="1"/>
            <rFont val="Calibri"/>
            <family val="2"/>
            <scheme val="minor"/>
          </rPr>
          <t>Tsai, Michael:
KTAS: 470 kts</t>
        </r>
      </text>
    </comment>
    <comment ref="BY14" authorId="0" shapeId="0" xr:uid="{E127B699-17B8-47EF-8FE1-79DBB948AC13}">
      <text>
        <r>
          <rPr>
            <sz val="11"/>
            <color theme="1"/>
            <rFont val="Calibri"/>
            <family val="2"/>
            <scheme val="minor"/>
          </rPr>
          <t>Tsai, Michael:
KTAS: 470 kts</t>
        </r>
      </text>
    </comment>
    <comment ref="BZ14" authorId="0" shapeId="0" xr:uid="{879764F6-2DFE-4AC0-9BA1-A8A2C10EFF9D}">
      <text>
        <r>
          <rPr>
            <sz val="11"/>
            <color theme="1"/>
            <rFont val="Calibri"/>
            <family val="2"/>
            <scheme val="minor"/>
          </rPr>
          <t>Tsai, Michael:
KTAS: 470 kts</t>
        </r>
      </text>
    </comment>
    <comment ref="CA14" authorId="0" shapeId="0" xr:uid="{81FE462A-98C3-4DE5-AD50-F012E5EC985D}">
      <text>
        <r>
          <rPr>
            <sz val="11"/>
            <color theme="1"/>
            <rFont val="Calibri"/>
            <family val="2"/>
            <scheme val="minor"/>
          </rPr>
          <t>Tsai, Michael:
KTAS: 470 kts</t>
        </r>
      </text>
    </comment>
    <comment ref="CB14" authorId="0" shapeId="0" xr:uid="{C0B50CEF-0AEA-409C-8FE2-9C89938460F9}">
      <text>
        <r>
          <rPr>
            <sz val="11"/>
            <color theme="1"/>
            <rFont val="Calibri"/>
            <family val="2"/>
            <scheme val="minor"/>
          </rPr>
          <t>Tsai, Michael:
KTAS: 470 kts</t>
        </r>
      </text>
    </comment>
    <comment ref="CC14" authorId="0" shapeId="0" xr:uid="{04673F6B-EAE9-4BD0-9BEE-FBA67D1BF053}">
      <text>
        <r>
          <rPr>
            <sz val="11"/>
            <color theme="1"/>
            <rFont val="Calibri"/>
            <family val="2"/>
            <scheme val="minor"/>
          </rPr>
          <t>Tsai, Michael:
KTAS: 460 kts</t>
        </r>
      </text>
    </comment>
    <comment ref="CD14" authorId="0" shapeId="0" xr:uid="{3CC04AB8-565F-4131-AA44-4A2A56BF7EC5}">
      <text>
        <r>
          <rPr>
            <sz val="11"/>
            <color theme="1"/>
            <rFont val="Calibri"/>
            <family val="2"/>
            <scheme val="minor"/>
          </rPr>
          <t>Tsai, Michael:
KTAS: 460 kts</t>
        </r>
      </text>
    </comment>
    <comment ref="CE14" authorId="0" shapeId="0" xr:uid="{836929FD-AE97-4C1C-878B-3AC58EAED9E0}">
      <text>
        <r>
          <rPr>
            <sz val="11"/>
            <color theme="1"/>
            <rFont val="Calibri"/>
            <family val="2"/>
            <scheme val="minor"/>
          </rPr>
          <t>Tsai, Michael:
KTAS: 460 kts</t>
        </r>
      </text>
    </comment>
    <comment ref="CF14" authorId="0" shapeId="0" xr:uid="{D0BEAEA5-69F9-47A7-8AE8-322FEA9113D0}">
      <text>
        <r>
          <rPr>
            <sz val="11"/>
            <color theme="1"/>
            <rFont val="Calibri"/>
            <family val="2"/>
            <scheme val="minor"/>
          </rPr>
          <t>Tsai, Michael:
KTAS: 460 kts</t>
        </r>
      </text>
    </comment>
    <comment ref="CG14" authorId="0" shapeId="0" xr:uid="{D7C03BF7-EC73-481B-958E-25C23B90C687}">
      <text>
        <r>
          <rPr>
            <sz val="11"/>
            <color theme="1"/>
            <rFont val="Calibri"/>
            <family val="2"/>
            <scheme val="minor"/>
          </rPr>
          <t>Tsai, Michael:
KTAS: 460 kts</t>
        </r>
      </text>
    </comment>
    <comment ref="CH14" authorId="0" shapeId="0" xr:uid="{53D9CB46-E12A-422B-9636-D9DEBA4FB1A0}">
      <text>
        <r>
          <rPr>
            <sz val="11"/>
            <color theme="1"/>
            <rFont val="Calibri"/>
            <family val="2"/>
            <scheme val="minor"/>
          </rPr>
          <t>Tsai, Michael:
KTAS: 460 kts</t>
        </r>
      </text>
    </comment>
    <comment ref="CI14" authorId="0" shapeId="0" xr:uid="{ECC95E94-53A7-44C5-8B75-00BF1DD5276F}">
      <text>
        <r>
          <rPr>
            <sz val="11"/>
            <color theme="1"/>
            <rFont val="Calibri"/>
            <family val="2"/>
            <scheme val="minor"/>
          </rPr>
          <t>Tsai, Michael:
KTAS: 460 kts</t>
        </r>
      </text>
    </comment>
    <comment ref="CJ14" authorId="0" shapeId="0" xr:uid="{11CA46B6-CF31-4C8E-879E-8C210C7B337B}">
      <text>
        <r>
          <rPr>
            <sz val="11"/>
            <color theme="1"/>
            <rFont val="Calibri"/>
            <family val="2"/>
            <scheme val="minor"/>
          </rPr>
          <t>Tsai, Michael:
KTAS: 460 kts</t>
        </r>
      </text>
    </comment>
    <comment ref="CK14" authorId="0" shapeId="0" xr:uid="{E32F30C1-632D-4A86-982D-E934BED8C892}">
      <text>
        <r>
          <rPr>
            <sz val="11"/>
            <color theme="1"/>
            <rFont val="Calibri"/>
            <family val="2"/>
            <scheme val="minor"/>
          </rPr>
          <t>Tsai, Michael:
KTAS: 460 kts</t>
        </r>
      </text>
    </comment>
    <comment ref="CL14" authorId="0" shapeId="0" xr:uid="{05A2C5BA-1D5E-4D00-80B4-810A1EF8F812}">
      <text>
        <r>
          <rPr>
            <sz val="11"/>
            <color theme="1"/>
            <rFont val="Calibri"/>
            <family val="2"/>
            <scheme val="minor"/>
          </rPr>
          <t>Tsai, Michael:
KTAS: 460 kts</t>
        </r>
      </text>
    </comment>
    <comment ref="CM14" authorId="0" shapeId="0" xr:uid="{A9CDBF11-307D-49EA-98EB-61E8EB9685FA}">
      <text>
        <r>
          <rPr>
            <sz val="11"/>
            <color theme="1"/>
            <rFont val="Calibri"/>
            <family val="2"/>
            <scheme val="minor"/>
          </rPr>
          <t>Tsai, Michael:
KTAS: 480 kts</t>
        </r>
      </text>
    </comment>
    <comment ref="CN14" authorId="0" shapeId="0" xr:uid="{094E2294-A88F-4CD3-B0C4-93C9332A7ACF}">
      <text>
        <r>
          <rPr>
            <sz val="11"/>
            <color theme="1"/>
            <rFont val="Calibri"/>
            <family val="2"/>
            <scheme val="minor"/>
          </rPr>
          <t>Tsai, Michael:
KTAS: 480 kts</t>
        </r>
      </text>
    </comment>
    <comment ref="CO14" authorId="0" shapeId="0" xr:uid="{6CA57DD0-5DEE-4838-8731-7FB6180B2B40}">
      <text>
        <r>
          <rPr>
            <sz val="11"/>
            <color theme="1"/>
            <rFont val="Calibri"/>
            <family val="2"/>
            <scheme val="minor"/>
          </rPr>
          <t>Tsai, Michael:
KTAS: 480 kts</t>
        </r>
      </text>
    </comment>
    <comment ref="CP14" authorId="0" shapeId="0" xr:uid="{99BEFADB-2835-4A63-959A-A81382BBDCFD}">
      <text>
        <r>
          <rPr>
            <sz val="11"/>
            <color theme="1"/>
            <rFont val="Calibri"/>
            <family val="2"/>
            <scheme val="minor"/>
          </rPr>
          <t>Tsai, Michael:
KTAS: 480 kts</t>
        </r>
      </text>
    </comment>
    <comment ref="CQ14" authorId="0" shapeId="0" xr:uid="{D3DF4AA1-C06C-4D52-912F-6047D174F712}">
      <text>
        <r>
          <rPr>
            <sz val="11"/>
            <color theme="1"/>
            <rFont val="Calibri"/>
            <family val="2"/>
            <scheme val="minor"/>
          </rPr>
          <t>Tsai, Michael:
KTAS: 480 kts</t>
        </r>
      </text>
    </comment>
    <comment ref="CR14" authorId="0" shapeId="0" xr:uid="{9D0AFFDF-954C-4CD5-ADDC-35EDF7CA8CE6}">
      <text>
        <r>
          <rPr>
            <sz val="11"/>
            <color theme="1"/>
            <rFont val="Calibri"/>
            <family val="2"/>
            <scheme val="minor"/>
          </rPr>
          <t>Tsai, Michael:
KTAS: 480 kts</t>
        </r>
      </text>
    </comment>
    <comment ref="CS14" authorId="0" shapeId="0" xr:uid="{58C35173-B9D9-4B37-9190-B80702ED9E6B}">
      <text>
        <r>
          <rPr>
            <sz val="11"/>
            <color theme="1"/>
            <rFont val="Calibri"/>
            <family val="2"/>
            <scheme val="minor"/>
          </rPr>
          <t>Tsai, Michael:
KTAS: 480 kts</t>
        </r>
      </text>
    </comment>
    <comment ref="CT14" authorId="0" shapeId="0" xr:uid="{119E531C-590E-48C9-B9DD-7BE168C1C8F7}">
      <text>
        <r>
          <rPr>
            <sz val="11"/>
            <color theme="1"/>
            <rFont val="Calibri"/>
            <family val="2"/>
            <scheme val="minor"/>
          </rPr>
          <t>Tsai, Michael:
KTAS: 480 kts</t>
        </r>
      </text>
    </comment>
    <comment ref="CU14" authorId="0" shapeId="0" xr:uid="{8773168E-CCC3-4F32-9149-3DBF4C77673C}">
      <text>
        <r>
          <rPr>
            <sz val="11"/>
            <color theme="1"/>
            <rFont val="Calibri"/>
            <family val="2"/>
            <scheme val="minor"/>
          </rPr>
          <t>Tsai, Michael:
KTAS: 480 kts</t>
        </r>
      </text>
    </comment>
    <comment ref="CV14" authorId="0" shapeId="0" xr:uid="{F07F4E90-B36A-4F8A-8623-84BA3A70785D}">
      <text>
        <r>
          <rPr>
            <sz val="11"/>
            <color theme="1"/>
            <rFont val="Calibri"/>
            <family val="2"/>
            <scheme val="minor"/>
          </rPr>
          <t>Tsai, Michael:
KTAS: 460 kts</t>
        </r>
      </text>
    </comment>
    <comment ref="CW14" authorId="0" shapeId="0" xr:uid="{0A63CCDF-A927-4726-B321-80168524BBE2}">
      <text>
        <r>
          <rPr>
            <sz val="11"/>
            <color theme="1"/>
            <rFont val="Calibri"/>
            <family val="2"/>
            <scheme val="minor"/>
          </rPr>
          <t xml:space="preserve">Tsai, Michael:
KTAS: </t>
        </r>
      </text>
    </comment>
    <comment ref="CX14" authorId="0" shapeId="0" xr:uid="{15870CBE-A018-418C-A8C1-A3F7CBB29AA3}">
      <text>
        <r>
          <rPr>
            <sz val="11"/>
            <color theme="1"/>
            <rFont val="Calibri"/>
            <family val="2"/>
            <scheme val="minor"/>
          </rPr>
          <t xml:space="preserve">Tsai, Michael:
KTAS: </t>
        </r>
      </text>
    </comment>
    <comment ref="CY14" authorId="0" shapeId="0" xr:uid="{5E2732AB-8FDA-4C39-B264-3F7E2DC80FB2}">
      <text>
        <r>
          <rPr>
            <sz val="11"/>
            <color theme="1"/>
            <rFont val="Calibri"/>
            <family val="2"/>
            <scheme val="minor"/>
          </rPr>
          <t xml:space="preserve">Tsai, Michael:
KTAS: </t>
        </r>
      </text>
    </comment>
    <comment ref="CZ14" authorId="0" shapeId="0" xr:uid="{6DFDE766-64D3-4AFD-82B7-50D9D6B7FB03}">
      <text>
        <r>
          <rPr>
            <sz val="11"/>
            <color theme="1"/>
            <rFont val="Calibri"/>
            <family val="2"/>
            <scheme val="minor"/>
          </rPr>
          <t>Tsai, Michael:
KTAS: 450 kts</t>
        </r>
      </text>
    </comment>
    <comment ref="DA14" authorId="0" shapeId="0" xr:uid="{8D03CE59-406B-4313-AB00-8F37E28087CB}">
      <text>
        <r>
          <rPr>
            <sz val="11"/>
            <color theme="1"/>
            <rFont val="Calibri"/>
            <family val="2"/>
            <scheme val="minor"/>
          </rPr>
          <t>Tsai, Michael:
KTAS: 450 kts</t>
        </r>
      </text>
    </comment>
    <comment ref="DB14" authorId="0" shapeId="0" xr:uid="{B9C96770-84E8-4406-A61B-7802195DEA8D}">
      <text>
        <r>
          <rPr>
            <sz val="11"/>
            <color theme="1"/>
            <rFont val="Calibri"/>
            <family val="2"/>
            <scheme val="minor"/>
          </rPr>
          <t>Tsai, Michael:
KTAS: 450 kts</t>
        </r>
      </text>
    </comment>
    <comment ref="DC14" authorId="0" shapeId="0" xr:uid="{0AB275C8-6585-4AED-B6AD-BFB8932F1BD6}">
      <text>
        <r>
          <rPr>
            <sz val="11"/>
            <color theme="1"/>
            <rFont val="Calibri"/>
            <family val="2"/>
            <scheme val="minor"/>
          </rPr>
          <t>Tsai, Michael:
KTAS: 450 kts</t>
        </r>
      </text>
    </comment>
    <comment ref="DD14" authorId="0" shapeId="0" xr:uid="{99C0BB67-C58F-44E1-8DE3-60D5513B4DC1}">
      <text>
        <r>
          <rPr>
            <sz val="11"/>
            <color theme="1"/>
            <rFont val="Calibri"/>
            <family val="2"/>
            <scheme val="minor"/>
          </rPr>
          <t>Tsai, Michael:
KTAS: 450 kts</t>
        </r>
      </text>
    </comment>
    <comment ref="DE14" authorId="0" shapeId="0" xr:uid="{6091CCF5-1D6D-4F86-8049-964FA122A9F4}">
      <text>
        <r>
          <rPr>
            <sz val="11"/>
            <color theme="1"/>
            <rFont val="Calibri"/>
            <family val="2"/>
            <scheme val="minor"/>
          </rPr>
          <t>Tsai, Michael:
KTAS: 450 kts</t>
        </r>
      </text>
    </comment>
    <comment ref="DF14" authorId="0" shapeId="0" xr:uid="{D653235A-808D-4604-A9F9-85951506D435}">
      <text>
        <r>
          <rPr>
            <sz val="11"/>
            <color theme="1"/>
            <rFont val="Calibri"/>
            <family val="2"/>
            <scheme val="minor"/>
          </rPr>
          <t>Tsai, Michael:
KTAS: 450 kts</t>
        </r>
      </text>
    </comment>
    <comment ref="DG14" authorId="0" shapeId="0" xr:uid="{D9DDA43D-4FAC-461B-B0BC-6575C34D467D}">
      <text>
        <r>
          <rPr>
            <sz val="11"/>
            <color theme="1"/>
            <rFont val="Calibri"/>
            <family val="2"/>
            <scheme val="minor"/>
          </rPr>
          <t>Tsai, Michael:
KTAS: 450 kts</t>
        </r>
      </text>
    </comment>
    <comment ref="DH14" authorId="0" shapeId="0" xr:uid="{CA8B4416-B41C-4476-9344-7887ED402C7D}">
      <text>
        <r>
          <rPr>
            <sz val="11"/>
            <color theme="1"/>
            <rFont val="Calibri"/>
            <family val="2"/>
            <scheme val="minor"/>
          </rPr>
          <t>Tsai, Michael:
KTAS: 450 kts</t>
        </r>
      </text>
    </comment>
    <comment ref="DI14" authorId="0" shapeId="0" xr:uid="{536FB92A-68FF-41D3-A80E-A2C7378FB8CF}">
      <text>
        <r>
          <rPr>
            <sz val="11"/>
            <color theme="1"/>
            <rFont val="Calibri"/>
            <family val="2"/>
            <scheme val="minor"/>
          </rPr>
          <t>Tsai, Michael:
KTAS: 450 kts</t>
        </r>
      </text>
    </comment>
    <comment ref="DJ14" authorId="0" shapeId="0" xr:uid="{59FAC5E7-F5E0-414E-BDAD-DF9279344C85}">
      <text>
        <r>
          <rPr>
            <sz val="11"/>
            <color theme="1"/>
            <rFont val="Calibri"/>
            <family val="2"/>
            <scheme val="minor"/>
          </rPr>
          <t>Tsai, Michael:
KTAS: 450 kts</t>
        </r>
      </text>
    </comment>
    <comment ref="DK14" authorId="0" shapeId="0" xr:uid="{69B73159-6305-4EDC-8178-89889EFD28A9}">
      <text>
        <r>
          <rPr>
            <sz val="11"/>
            <color theme="1"/>
            <rFont val="Calibri"/>
            <family val="2"/>
            <scheme val="minor"/>
          </rPr>
          <t>Tsai, Michael:
KTAS: 450 kts</t>
        </r>
      </text>
    </comment>
    <comment ref="DL14" authorId="0" shapeId="0" xr:uid="{C71FE125-0197-4897-9D94-39AE9494C961}">
      <text>
        <r>
          <rPr>
            <sz val="11"/>
            <color theme="1"/>
            <rFont val="Calibri"/>
            <family val="2"/>
            <scheme val="minor"/>
          </rPr>
          <t>Tsai, Michael:
KTAS: 450 kts</t>
        </r>
      </text>
    </comment>
    <comment ref="DM14" authorId="0" shapeId="0" xr:uid="{DFE5DCDE-DE0F-4915-9FCA-E52D06BBA687}">
      <text>
        <r>
          <rPr>
            <sz val="11"/>
            <color theme="1"/>
            <rFont val="Calibri"/>
            <family val="2"/>
            <scheme val="minor"/>
          </rPr>
          <t>Tsai, Michael:
KTAS: 450 kts</t>
        </r>
      </text>
    </comment>
    <comment ref="DN14" authorId="0" shapeId="0" xr:uid="{0D60F114-C84B-4F42-A3D8-C179521DD5A0}">
      <text>
        <r>
          <rPr>
            <sz val="11"/>
            <color theme="1"/>
            <rFont val="Calibri"/>
            <family val="2"/>
            <scheme val="minor"/>
          </rPr>
          <t>Tsai, Michael:
KTAS: 450 kts</t>
        </r>
      </text>
    </comment>
    <comment ref="DO14" authorId="0" shapeId="0" xr:uid="{990448DB-D3AC-411A-8634-7D2BD64EA435}">
      <text>
        <r>
          <rPr>
            <sz val="11"/>
            <color theme="1"/>
            <rFont val="Calibri"/>
            <family val="2"/>
            <scheme val="minor"/>
          </rPr>
          <t>Tsai, Michael:
KTAS: 450 kts</t>
        </r>
      </text>
    </comment>
    <comment ref="DP14" authorId="0" shapeId="0" xr:uid="{E933196D-BD77-40E9-B767-DFA165AB57DF}">
      <text>
        <r>
          <rPr>
            <sz val="11"/>
            <color theme="1"/>
            <rFont val="Calibri"/>
            <family val="2"/>
            <scheme val="minor"/>
          </rPr>
          <t>Tsai, Michael:
KTAS: 450 kts</t>
        </r>
      </text>
    </comment>
    <comment ref="DQ14" authorId="0" shapeId="0" xr:uid="{A05B6A80-2C46-4CBF-9D0D-AF76029B6F28}">
      <text>
        <r>
          <rPr>
            <sz val="11"/>
            <color theme="1"/>
            <rFont val="Calibri"/>
            <family val="2"/>
            <scheme val="minor"/>
          </rPr>
          <t>Tsai, Michael:
KTAS: 450 kts</t>
        </r>
      </text>
    </comment>
    <comment ref="DR14" authorId="0" shapeId="0" xr:uid="{3C390CAF-D332-4EBC-8156-BB8AEEF526AF}">
      <text>
        <r>
          <rPr>
            <sz val="11"/>
            <color theme="1"/>
            <rFont val="Calibri"/>
            <family val="2"/>
            <scheme val="minor"/>
          </rPr>
          <t>Tsai, Michael:
KTAS: 450 kts</t>
        </r>
      </text>
    </comment>
    <comment ref="DS14" authorId="0" shapeId="0" xr:uid="{E842F39E-1054-4BDE-952C-F440F70BF116}">
      <text>
        <r>
          <rPr>
            <sz val="11"/>
            <color theme="1"/>
            <rFont val="Calibri"/>
            <family val="2"/>
            <scheme val="minor"/>
          </rPr>
          <t>Tsai, Michael:
KTAS: 450 kts</t>
        </r>
      </text>
    </comment>
    <comment ref="DT14" authorId="0" shapeId="0" xr:uid="{A03A71C7-503A-4B08-B676-756F5944307E}">
      <text>
        <r>
          <rPr>
            <sz val="11"/>
            <color theme="1"/>
            <rFont val="Calibri"/>
            <family val="2"/>
            <scheme val="minor"/>
          </rPr>
          <t>Tsai, Michael:
KTAS: 450 kts</t>
        </r>
      </text>
    </comment>
    <comment ref="DU14" authorId="0" shapeId="0" xr:uid="{ADF61098-68DA-4A80-92A1-5F40623E602E}">
      <text>
        <r>
          <rPr>
            <sz val="11"/>
            <color theme="1"/>
            <rFont val="Calibri"/>
            <family val="2"/>
            <scheme val="minor"/>
          </rPr>
          <t>Tsai, Michael:
KTAS: 450 kts</t>
        </r>
      </text>
    </comment>
    <comment ref="DV14" authorId="0" shapeId="0" xr:uid="{DD6632E1-8FB7-4B80-B409-B69C56FFF2AF}">
      <text>
        <r>
          <rPr>
            <sz val="11"/>
            <color theme="1"/>
            <rFont val="Calibri"/>
            <family val="2"/>
            <scheme val="minor"/>
          </rPr>
          <t>Tsai, Michael:
KTAS: 450 kts</t>
        </r>
      </text>
    </comment>
    <comment ref="DW14" authorId="0" shapeId="0" xr:uid="{914272C7-0125-448A-958F-879C6D760536}">
      <text>
        <r>
          <rPr>
            <sz val="11"/>
            <color theme="1"/>
            <rFont val="Calibri"/>
            <family val="2"/>
            <scheme val="minor"/>
          </rPr>
          <t>Tsai, Michael:
KTAS: 450 kts</t>
        </r>
      </text>
    </comment>
    <comment ref="DX14" authorId="0" shapeId="0" xr:uid="{5CE90AEE-E10B-4D73-B2E5-78C9ED22504A}">
      <text>
        <r>
          <rPr>
            <sz val="11"/>
            <color theme="1"/>
            <rFont val="Calibri"/>
            <family val="2"/>
            <scheme val="minor"/>
          </rPr>
          <t>Tsai, Michael:
KTAS: 450 kts</t>
        </r>
      </text>
    </comment>
    <comment ref="DY14" authorId="0" shapeId="0" xr:uid="{0E729620-7405-43D5-85BB-7AE8189D7DB5}">
      <text>
        <r>
          <rPr>
            <sz val="11"/>
            <color theme="1"/>
            <rFont val="Calibri"/>
            <family val="2"/>
            <scheme val="minor"/>
          </rPr>
          <t>Tsai, Michael:
KTAS: 450 kts</t>
        </r>
      </text>
    </comment>
    <comment ref="DZ14" authorId="0" shapeId="0" xr:uid="{8C352D99-0849-48AE-A7F6-19533811A2B7}">
      <text>
        <r>
          <rPr>
            <sz val="11"/>
            <color theme="1"/>
            <rFont val="Calibri"/>
            <family val="2"/>
            <scheme val="minor"/>
          </rPr>
          <t>Tsai, Michael:
KTAS: 450 kts</t>
        </r>
      </text>
    </comment>
    <comment ref="EA14" authorId="0" shapeId="0" xr:uid="{3A09D224-E0F9-4D60-9CFB-7D4D290AA5E5}">
      <text>
        <r>
          <rPr>
            <sz val="11"/>
            <color theme="1"/>
            <rFont val="Calibri"/>
            <family val="2"/>
            <scheme val="minor"/>
          </rPr>
          <t>Tsai, Michael:
KTAS: 450 kts</t>
        </r>
      </text>
    </comment>
    <comment ref="EB14" authorId="0" shapeId="0" xr:uid="{4172713E-C6BE-4D74-AFE1-D0444613BFFE}">
      <text>
        <r>
          <rPr>
            <sz val="11"/>
            <color theme="1"/>
            <rFont val="Calibri"/>
            <family val="2"/>
            <scheme val="minor"/>
          </rPr>
          <t>Tsai, Michael:
KTAS: 450 kts</t>
        </r>
      </text>
    </comment>
    <comment ref="EC14" authorId="0" shapeId="0" xr:uid="{1C68C426-2C43-4AB6-A0FB-F8F0AE5FE8EA}">
      <text>
        <r>
          <rPr>
            <sz val="11"/>
            <color theme="1"/>
            <rFont val="Calibri"/>
            <family val="2"/>
            <scheme val="minor"/>
          </rPr>
          <t>Tsai, Michael:
KTAS: 450 kts</t>
        </r>
      </text>
    </comment>
    <comment ref="ED14" authorId="0" shapeId="0" xr:uid="{CF96B6A0-B020-4EBD-9004-4540E2DE709A}">
      <text>
        <r>
          <rPr>
            <sz val="11"/>
            <color theme="1"/>
            <rFont val="Calibri"/>
            <family val="2"/>
            <scheme val="minor"/>
          </rPr>
          <t xml:space="preserve">Tsai, Michael:
KTAS: 460 </t>
        </r>
      </text>
    </comment>
    <comment ref="EE14" authorId="0" shapeId="0" xr:uid="{71A56BCA-8C5F-41E7-9D7D-CC67C2D2FE8B}">
      <text>
        <r>
          <rPr>
            <sz val="11"/>
            <color theme="1"/>
            <rFont val="Calibri"/>
            <family val="2"/>
            <scheme val="minor"/>
          </rPr>
          <t xml:space="preserve">Tsai, Michael:
KTAS: 460 </t>
        </r>
      </text>
    </comment>
    <comment ref="EF14" authorId="0" shapeId="0" xr:uid="{931E6CA1-131B-42BC-A961-923429201B29}">
      <text>
        <r>
          <rPr>
            <sz val="11"/>
            <color theme="1"/>
            <rFont val="Calibri"/>
            <family val="2"/>
            <scheme val="minor"/>
          </rPr>
          <t xml:space="preserve">Tsai, Michael:
KTAS: 460 </t>
        </r>
      </text>
    </comment>
    <comment ref="EG14" authorId="0" shapeId="0" xr:uid="{F97BE7D0-E24A-4B9F-8195-C62475E26F97}">
      <text>
        <r>
          <rPr>
            <sz val="11"/>
            <color theme="1"/>
            <rFont val="Calibri"/>
            <family val="2"/>
            <scheme val="minor"/>
          </rPr>
          <t xml:space="preserve">Tsai, Michael:
KTAS: 460 </t>
        </r>
      </text>
    </comment>
    <comment ref="EH14" authorId="0" shapeId="0" xr:uid="{CC5A0F7B-F2C7-4557-AB73-B272A66CA618}">
      <text>
        <r>
          <rPr>
            <sz val="11"/>
            <color theme="1"/>
            <rFont val="Calibri"/>
            <family val="2"/>
            <scheme val="minor"/>
          </rPr>
          <t xml:space="preserve">Tsai, Michael:
KTAS: 460 </t>
        </r>
      </text>
    </comment>
    <comment ref="EI14" authorId="0" shapeId="0" xr:uid="{FCDF6025-C96D-4FBE-B297-B17386C4BEA2}">
      <text>
        <r>
          <rPr>
            <sz val="11"/>
            <color theme="1"/>
            <rFont val="Calibri"/>
            <family val="2"/>
            <scheme val="minor"/>
          </rPr>
          <t xml:space="preserve">Tsai, Michael:
KTAS: 460 </t>
        </r>
      </text>
    </comment>
    <comment ref="EJ14" authorId="0" shapeId="0" xr:uid="{7BE0F6C2-1ACE-4C0C-8AF9-9DBE5F626D3F}">
      <text>
        <r>
          <rPr>
            <sz val="11"/>
            <color theme="1"/>
            <rFont val="Calibri"/>
            <family val="2"/>
            <scheme val="minor"/>
          </rPr>
          <t xml:space="preserve">Tsai, Michael:
KTAS: 460 </t>
        </r>
      </text>
    </comment>
    <comment ref="EK14" authorId="0" shapeId="0" xr:uid="{12CF331D-7595-44B6-A699-763C02A7CF71}">
      <text>
        <r>
          <rPr>
            <sz val="11"/>
            <color theme="1"/>
            <rFont val="Calibri"/>
            <family val="2"/>
            <scheme val="minor"/>
          </rPr>
          <t xml:space="preserve">Tsai, Michael:
KTAS: 460 </t>
        </r>
      </text>
    </comment>
    <comment ref="EL14" authorId="0" shapeId="0" xr:uid="{5D6CFA81-4ECB-434C-B85A-BAF7E6A26549}">
      <text>
        <r>
          <rPr>
            <sz val="11"/>
            <color theme="1"/>
            <rFont val="Calibri"/>
            <family val="2"/>
            <scheme val="minor"/>
          </rPr>
          <t xml:space="preserve">Tsai, Michael:
KTAS: 460 </t>
        </r>
      </text>
    </comment>
    <comment ref="EM14" authorId="0" shapeId="0" xr:uid="{E358BE69-4FDB-4E3B-B686-F6A59E6E7E62}">
      <text>
        <r>
          <rPr>
            <sz val="11"/>
            <color theme="1"/>
            <rFont val="Calibri"/>
            <family val="2"/>
            <scheme val="minor"/>
          </rPr>
          <t xml:space="preserve">Tsai, Michael:
KTAS: 460 </t>
        </r>
      </text>
    </comment>
    <comment ref="EN14" authorId="0" shapeId="0" xr:uid="{68E6C19C-5477-4BBC-83B8-25F7E5CA56C6}">
      <text>
        <r>
          <rPr>
            <sz val="11"/>
            <color theme="1"/>
            <rFont val="Calibri"/>
            <family val="2"/>
            <scheme val="minor"/>
          </rPr>
          <t xml:space="preserve">Tsai, Michael:
KTAS: 460 </t>
        </r>
      </text>
    </comment>
    <comment ref="EO14" authorId="0" shapeId="0" xr:uid="{F527E63A-BE5B-49A1-9C49-8728402132D1}">
      <text>
        <r>
          <rPr>
            <sz val="11"/>
            <color theme="1"/>
            <rFont val="Calibri"/>
            <family val="2"/>
            <scheme val="minor"/>
          </rPr>
          <t xml:space="preserve">Tsai, Michael:
KTAS: 460 </t>
        </r>
      </text>
    </comment>
    <comment ref="EP14" authorId="0" shapeId="0" xr:uid="{5E2DE31C-C12B-4172-AA5D-0DD57581DAC6}">
      <text>
        <r>
          <rPr>
            <sz val="11"/>
            <color theme="1"/>
            <rFont val="Calibri"/>
            <family val="2"/>
            <scheme val="minor"/>
          </rPr>
          <t>Tsai, Michael:
KTAS: 450</t>
        </r>
      </text>
    </comment>
    <comment ref="EQ14" authorId="0" shapeId="0" xr:uid="{0AB44175-C382-45ED-9DB3-16D210733BDF}">
      <text>
        <r>
          <rPr>
            <sz val="11"/>
            <color theme="1"/>
            <rFont val="Calibri"/>
            <family val="2"/>
            <scheme val="minor"/>
          </rPr>
          <t>Tsai, Michael:
KTAS: 450</t>
        </r>
      </text>
    </comment>
    <comment ref="ER14" authorId="0" shapeId="0" xr:uid="{35FF9BB0-A4AC-4081-8F9A-4E9A5DCE9529}">
      <text>
        <r>
          <rPr>
            <sz val="11"/>
            <color theme="1"/>
            <rFont val="Calibri"/>
            <family val="2"/>
            <scheme val="minor"/>
          </rPr>
          <t>Tsai, Michael:
KTAS: 450</t>
        </r>
      </text>
    </comment>
    <comment ref="ES14" authorId="0" shapeId="0" xr:uid="{38D1EB79-90FE-48F8-A658-82B245293F20}">
      <text>
        <r>
          <rPr>
            <sz val="11"/>
            <color theme="1"/>
            <rFont val="Calibri"/>
            <family val="2"/>
            <scheme val="minor"/>
          </rPr>
          <t>Tsai, Michael:
KTAS: 450</t>
        </r>
      </text>
    </comment>
    <comment ref="ET14" authorId="0" shapeId="0" xr:uid="{428524BC-ECE9-441A-B4DE-8E3DF84C5EA4}">
      <text>
        <r>
          <rPr>
            <sz val="11"/>
            <color theme="1"/>
            <rFont val="Calibri"/>
            <family val="2"/>
            <scheme val="minor"/>
          </rPr>
          <t>Tsai, Michael:
KTAS: 450</t>
        </r>
      </text>
    </comment>
    <comment ref="EU14" authorId="0" shapeId="0" xr:uid="{FF31BD7D-4532-44CA-A186-F9850E09D36D}">
      <text>
        <r>
          <rPr>
            <sz val="11"/>
            <color theme="1"/>
            <rFont val="Calibri"/>
            <family val="2"/>
            <scheme val="minor"/>
          </rPr>
          <t>Tsai, Michael:
KTAS: 450</t>
        </r>
      </text>
    </comment>
    <comment ref="EZ14" authorId="0" shapeId="0" xr:uid="{DEC55A86-845A-4D18-AB68-20BCF316437B}">
      <text>
        <r>
          <rPr>
            <sz val="11"/>
            <color theme="1"/>
            <rFont val="Calibri"/>
            <family val="2"/>
            <scheme val="minor"/>
          </rPr>
          <t>Tsai, Michael:
KTAS: 424 kts</t>
        </r>
      </text>
    </comment>
    <comment ref="FA14" authorId="0" shapeId="0" xr:uid="{52AAAF0D-B1CF-4A0D-A789-3E9576AD8F05}">
      <text>
        <r>
          <rPr>
            <sz val="11"/>
            <color theme="1"/>
            <rFont val="Calibri"/>
            <family val="2"/>
            <scheme val="minor"/>
          </rPr>
          <t>Tsai, Michael:
KTAS: 424 kts</t>
        </r>
      </text>
    </comment>
    <comment ref="FB14" authorId="0" shapeId="0" xr:uid="{DB944ECE-997E-484A-A183-D005A798EAEC}">
      <text>
        <r>
          <rPr>
            <sz val="11"/>
            <color theme="1"/>
            <rFont val="Calibri"/>
            <family val="2"/>
            <scheme val="minor"/>
          </rPr>
          <t>Tsai, Michael:
KTAS: 424 kts</t>
        </r>
      </text>
    </comment>
    <comment ref="FC14" authorId="0" shapeId="0" xr:uid="{08E61829-AC0B-4106-853C-86C5B040B5F1}">
      <text>
        <r>
          <rPr>
            <sz val="11"/>
            <color theme="1"/>
            <rFont val="Calibri"/>
            <family val="2"/>
            <scheme val="minor"/>
          </rPr>
          <t>Tsai, Michael:
KTAS: 420 kts</t>
        </r>
      </text>
    </comment>
    <comment ref="FD14" authorId="0" shapeId="0" xr:uid="{07FD9D49-9B39-42EA-9D23-251D609BA3F2}">
      <text>
        <r>
          <rPr>
            <sz val="11"/>
            <color theme="1"/>
            <rFont val="Calibri"/>
            <family val="2"/>
            <scheme val="minor"/>
          </rPr>
          <t>Tsai, Michael:
KTAS: 420 kts</t>
        </r>
      </text>
    </comment>
    <comment ref="FE14" authorId="0" shapeId="0" xr:uid="{4DF9D746-CB54-463B-B3CF-A3738F058916}">
      <text>
        <r>
          <rPr>
            <sz val="11"/>
            <color theme="1"/>
            <rFont val="Calibri"/>
            <family val="2"/>
            <scheme val="minor"/>
          </rPr>
          <t>Tsai, Michael:
KTAS: 442 kts</t>
        </r>
      </text>
    </comment>
    <comment ref="FF14" authorId="0" shapeId="0" xr:uid="{230645A1-BD09-4F64-A183-D75D75844D1D}">
      <text>
        <r>
          <rPr>
            <sz val="11"/>
            <color theme="1"/>
            <rFont val="Calibri"/>
            <family val="2"/>
            <scheme val="minor"/>
          </rPr>
          <t>Tsai, Michael:
KTAS: 458 kts</t>
        </r>
      </text>
    </comment>
    <comment ref="FG14" authorId="0" shapeId="0" xr:uid="{02549BC3-3FBC-4A79-AD5E-24C9091995EC}">
      <text>
        <r>
          <rPr>
            <sz val="11"/>
            <color theme="1"/>
            <rFont val="Calibri"/>
            <family val="2"/>
            <scheme val="minor"/>
          </rPr>
          <t>Tsai, Michael:
KTAS: 458 kts</t>
        </r>
      </text>
    </comment>
    <comment ref="FH14" authorId="0" shapeId="0" xr:uid="{CA2AEEDC-D16F-4BF8-B733-2B56AF8FBD6A}">
      <text>
        <r>
          <rPr>
            <sz val="11"/>
            <color theme="1"/>
            <rFont val="Calibri"/>
            <family val="2"/>
            <scheme val="minor"/>
          </rPr>
          <t>Tsai, Michael:
KTAS: 470 kts</t>
        </r>
      </text>
    </comment>
    <comment ref="A16" authorId="0" shapeId="0" xr:uid="{2FF52E6E-933F-4180-A813-4E7036E32E82}">
      <text>
        <r>
          <rPr>
            <sz val="11"/>
            <color theme="1"/>
            <rFont val="Calibri"/>
            <family val="2"/>
            <scheme val="minor"/>
          </rPr>
          <t xml:space="preserve">Tsai, Michael:
OPR: overall pressure Ratio </t>
        </r>
      </text>
    </comment>
    <comment ref="BJ21" authorId="0" shapeId="0" xr:uid="{972A9E68-0A0A-4EA9-B84F-69D68D62D7D2}">
      <text>
        <r>
          <rPr>
            <sz val="11"/>
            <color theme="1"/>
            <rFont val="Calibri"/>
            <family val="2"/>
            <scheme val="minor"/>
          </rPr>
          <t xml:space="preserve">Tsai, Michael:4 auxiliary Fuel tank </t>
        </r>
      </text>
    </comment>
    <comment ref="A22" authorId="0" shapeId="0" xr:uid="{F53C5270-5D08-408E-905B-2836D50792BB}">
      <text>
        <r>
          <rPr>
            <sz val="11"/>
            <color theme="1"/>
            <rFont val="Calibri"/>
            <family val="2"/>
            <scheme val="minor"/>
          </rPr>
          <t xml:space="preserve">Tsai, Michael:
Red: from literature 
Black: Calculated </t>
        </r>
      </text>
    </comment>
    <comment ref="A23" authorId="0" shapeId="0" xr:uid="{FC696E04-5037-4C46-9326-594F82318F07}">
      <text>
        <r>
          <rPr>
            <sz val="11"/>
            <color theme="1"/>
            <rFont val="Calibri"/>
            <family val="2"/>
            <scheme val="minor"/>
          </rPr>
          <t>Tsai, Michael:
(Useable Fuel Weight/ Max takeoff weight)*100</t>
        </r>
      </text>
    </comment>
    <comment ref="O24" authorId="0" shapeId="0" xr:uid="{2761457B-34AF-46CE-AD65-0D90EC28CB53}">
      <text>
        <r>
          <rPr>
            <sz val="11"/>
            <color theme="1"/>
            <rFont val="Calibri"/>
            <family val="2"/>
            <scheme val="minor"/>
          </rPr>
          <t>Tsai, Michael:
Different in Janes used JT3C-6</t>
        </r>
      </text>
    </comment>
    <comment ref="P24" authorId="0" shapeId="0" xr:uid="{83505D66-0C40-4FF4-99FF-EFABB641515B}">
      <text>
        <r>
          <rPr>
            <sz val="11"/>
            <color theme="1"/>
            <rFont val="Calibri"/>
            <family val="2"/>
            <scheme val="minor"/>
          </rPr>
          <t>Tsai, Michael:
Janes: JT4A-3</t>
        </r>
      </text>
    </comment>
    <comment ref="A25" authorId="0" shapeId="0" xr:uid="{37DC9B8C-4D33-4D4E-990B-973627A47A37}">
      <text>
        <r>
          <rPr>
            <sz val="11"/>
            <color theme="1"/>
            <rFont val="Calibri"/>
            <family val="2"/>
            <scheme val="minor"/>
          </rPr>
          <t>Tsai, Michael:
Dry Weight</t>
        </r>
      </text>
    </comment>
    <comment ref="S25" authorId="0" shapeId="0" xr:uid="{83D1AF94-88FD-476F-84DA-5A45F5525D86}">
      <text>
        <r>
          <rPr>
            <sz val="11"/>
            <color theme="1"/>
            <rFont val="Calibri"/>
            <family val="2"/>
            <scheme val="minor"/>
          </rPr>
          <t>Tsai, Michael:
12th stage bleed: 4340 ib
9th stage bleed: 4320 ib</t>
        </r>
      </text>
    </comment>
    <comment ref="T25" authorId="0" shapeId="0" xr:uid="{70EECA4B-81F0-4170-88D3-0D1629A2D7BD}">
      <text>
        <r>
          <rPr>
            <sz val="11"/>
            <color theme="1"/>
            <rFont val="Calibri"/>
            <family val="2"/>
            <scheme val="minor"/>
          </rPr>
          <t>Tsai, Michael:
12th stage bleed: 4340 ib
9th stage bleed: 4320 ib</t>
        </r>
      </text>
    </comment>
    <comment ref="U25" authorId="0" shapeId="0" xr:uid="{AF2ECF98-C4AE-4F31-9A30-CAF3979096B3}">
      <text>
        <r>
          <rPr>
            <sz val="11"/>
            <color theme="1"/>
            <rFont val="Calibri"/>
            <family val="2"/>
            <scheme val="minor"/>
          </rPr>
          <t>Tsai, Michael:
12th stage bleed: 4340 ib
9th stage bleed: 4320 ib</t>
        </r>
      </text>
    </comment>
    <comment ref="V25" authorId="0" shapeId="0" xr:uid="{DED0409D-548D-4096-87B3-06196AABCDD1}">
      <text>
        <r>
          <rPr>
            <sz val="11"/>
            <color theme="1"/>
            <rFont val="Calibri"/>
            <family val="2"/>
            <scheme val="minor"/>
          </rPr>
          <t>Tsai, Michael:
12th stage bleed: 4340 ib
9th stage bleed: 4320 ib</t>
        </r>
      </text>
    </comment>
    <comment ref="BU25" authorId="0" shapeId="0" xr:uid="{56C8B4EB-1CFD-441E-A1CE-F1BB6BBFB5E0}">
      <text>
        <r>
          <rPr>
            <sz val="11"/>
            <color theme="1"/>
            <rFont val="Calibri"/>
            <family val="2"/>
            <scheme val="minor"/>
          </rPr>
          <t>Tsai, Michael:
(3)</t>
        </r>
      </text>
    </comment>
    <comment ref="BV25" authorId="0" shapeId="0" xr:uid="{A3790C4C-6454-4D1B-BA3D-D2D4E82F57DC}">
      <text>
        <r>
          <rPr>
            <sz val="11"/>
            <color theme="1"/>
            <rFont val="Calibri"/>
            <family val="2"/>
            <scheme val="minor"/>
          </rPr>
          <t>Tsai, Michael:
(3)</t>
        </r>
      </text>
    </comment>
    <comment ref="CA25" authorId="0" shapeId="0" xr:uid="{4A84CE61-DB6B-4FB3-88FE-EDE6DF0581BC}">
      <text>
        <r>
          <rPr>
            <sz val="11"/>
            <color theme="1"/>
            <rFont val="Calibri"/>
            <family val="2"/>
            <scheme val="minor"/>
          </rPr>
          <t>Tsai, Michael:
(3)</t>
        </r>
      </text>
    </comment>
    <comment ref="CB25" authorId="0" shapeId="0" xr:uid="{FA5226D7-E8BB-46D8-8FCD-AD62E6C2B3B2}">
      <text>
        <r>
          <rPr>
            <sz val="11"/>
            <color theme="1"/>
            <rFont val="Calibri"/>
            <family val="2"/>
            <scheme val="minor"/>
          </rPr>
          <t>Tsai, Michael:
(3)</t>
        </r>
      </text>
    </comment>
    <comment ref="A32" authorId="0" shapeId="0" xr:uid="{3D7BB3C9-AB73-4E3C-90D7-A52F401CE12B}">
      <text>
        <r>
          <rPr>
            <sz val="11"/>
            <color theme="1"/>
            <rFont val="Calibri"/>
            <family val="2"/>
            <scheme val="minor"/>
          </rPr>
          <t xml:space="preserve">Tsai, Michael:
(Total Engine Weight/ Max takeoff weight)*100
</t>
        </r>
      </text>
    </comment>
    <comment ref="A33" authorId="1" shapeId="0" xr:uid="{3575367A-243E-47D5-9D77-5AE5FD8101C6}">
      <text>
        <r>
          <rPr>
            <sz val="11"/>
            <color theme="1"/>
            <rFont val="Calibri"/>
            <family val="2"/>
            <scheme val="minor"/>
          </rPr>
          <t>Patel, Janki:
if we used wing loading to get wing area, the max takeoff weight was used to calcuate the wing area.  (highlight light blue)
W/S = kg/m^2
so 1/(W/S *(1/W))
orange: calculated using  MTOW/MWL
Red: from other 3rd party source</t>
        </r>
      </text>
    </comment>
    <comment ref="A35" authorId="0" shapeId="0" xr:uid="{EF2479EF-615E-4E9D-9ACC-791B558E1FF8}">
      <text>
        <r>
          <rPr>
            <sz val="11"/>
            <color theme="1"/>
            <rFont val="Calibri"/>
            <family val="2"/>
            <scheme val="minor"/>
          </rPr>
          <t xml:space="preserve">Tsai, Michael:
orange: calculated MTOW/Wing Area </t>
        </r>
      </text>
    </comment>
    <comment ref="A37" authorId="0" shapeId="0" xr:uid="{D4A60411-251A-4132-8525-D6DD21D91D58}">
      <text>
        <r>
          <rPr>
            <sz val="11"/>
            <color theme="1"/>
            <rFont val="Calibri"/>
            <family val="2"/>
            <scheme val="minor"/>
          </rPr>
          <t>Tsai, Michael:
green: value used from comparing same thrust</t>
        </r>
      </text>
    </comment>
    <comment ref="J37" authorId="0" shapeId="0" xr:uid="{D0F35DAD-1584-4C19-98D2-30777404E7AC}">
      <text>
        <r>
          <rPr>
            <sz val="11"/>
            <color theme="1"/>
            <rFont val="Calibri"/>
            <family val="2"/>
            <scheme val="minor"/>
          </rPr>
          <t>Tsai, Michael:
using JT8D-7</t>
        </r>
      </text>
    </comment>
    <comment ref="A38" authorId="0" shapeId="0" xr:uid="{E6FAB638-8B5A-44F9-BEFA-CD0018612CA4}">
      <text>
        <r>
          <rPr>
            <sz val="11"/>
            <color theme="1"/>
            <rFont val="Calibri"/>
            <family val="2"/>
            <scheme val="minor"/>
          </rPr>
          <t>Tsai, Michael:
Takeoff rating
red : cruise rating</t>
        </r>
      </text>
    </comment>
    <comment ref="DO38" authorId="0" shapeId="0" xr:uid="{46D3AE4B-C498-4BA9-97A0-FDFC9D303C4C}">
      <text>
        <r>
          <rPr>
            <sz val="11"/>
            <color theme="1"/>
            <rFont val="Calibri"/>
            <family val="2"/>
            <scheme val="minor"/>
          </rPr>
          <t>Tsai, Michael:
1124 spec</t>
        </r>
      </text>
    </comment>
    <comment ref="A39" authorId="0" shapeId="0" xr:uid="{0BD3DA3B-337D-4FF3-9D2D-61E5A28768B3}">
      <text>
        <r>
          <rPr>
            <sz val="11"/>
            <color theme="1"/>
            <rFont val="Calibri"/>
            <family val="2"/>
            <scheme val="minor"/>
          </rPr>
          <t xml:space="preserve">Tsai, Michael:
orange: field length
</t>
        </r>
      </text>
    </comment>
    <comment ref="BP39" authorId="0" shapeId="0" xr:uid="{CF967891-6E07-4FA4-BBE2-6AE958631AB6}">
      <text>
        <r>
          <rPr>
            <sz val="11"/>
            <color theme="1"/>
            <rFont val="Calibri"/>
            <family val="2"/>
            <scheme val="minor"/>
          </rPr>
          <t xml:space="preserve">Tsai, Michael:
Using 737-9 data </t>
        </r>
      </text>
    </comment>
    <comment ref="DG39" authorId="0" shapeId="0" xr:uid="{F690AACE-AE24-488C-9E3A-17F2BD036587}">
      <text>
        <r>
          <rPr>
            <sz val="11"/>
            <color theme="1"/>
            <rFont val="Calibri"/>
            <family val="2"/>
            <scheme val="minor"/>
          </rPr>
          <t>Tsai, Michael:
used leap</t>
        </r>
      </text>
    </comment>
    <comment ref="A40" authorId="0" shapeId="0" xr:uid="{DFAEFDC1-4C7E-4306-AA71-907DAF843352}">
      <text>
        <r>
          <rPr>
            <sz val="11"/>
            <color theme="1"/>
            <rFont val="Calibri"/>
            <family val="2"/>
            <scheme val="minor"/>
          </rPr>
          <t>Tsai, Michael:
orange: field length</t>
        </r>
      </text>
    </comment>
    <comment ref="BP40" authorId="0" shapeId="0" xr:uid="{4D1B85E6-149A-4794-B999-B203B1B62948}">
      <text>
        <r>
          <rPr>
            <sz val="11"/>
            <color theme="1"/>
            <rFont val="Calibri"/>
            <family val="2"/>
            <scheme val="minor"/>
          </rPr>
          <t xml:space="preserve">Tsai, Michael:
Using 737-9 data </t>
        </r>
      </text>
    </comment>
    <comment ref="A41" authorId="0" shapeId="0" xr:uid="{6431846A-1EC8-4C88-9B58-37C8F46AE29D}">
      <text>
        <r>
          <rPr>
            <sz val="11"/>
            <color theme="1"/>
            <rFont val="Calibri"/>
            <family val="2"/>
            <scheme val="minor"/>
          </rPr>
          <t>Tsai, Michael:
orange: calculated using wingspan^2/Area</t>
        </r>
      </text>
    </comment>
    <comment ref="A43" authorId="0" shapeId="0" xr:uid="{EDC7B988-4B7E-4B20-92AA-F85EF2909641}">
      <text>
        <r>
          <rPr>
            <sz val="11"/>
            <color theme="1"/>
            <rFont val="Calibri"/>
            <family val="2"/>
            <scheme val="minor"/>
          </rPr>
          <t>Tsai, Michael:
Takeoff rating
red : cruise rating</t>
        </r>
      </text>
    </comment>
    <comment ref="BZ43" authorId="0" shapeId="0" xr:uid="{DDBFCD22-B9CF-44B9-86DC-A6289337757E}">
      <text>
        <r>
          <rPr>
            <sz val="11"/>
            <color theme="1"/>
            <rFont val="Calibri"/>
            <family val="2"/>
            <scheme val="minor"/>
          </rPr>
          <t>Tsai, Michael:
used 2040</t>
        </r>
      </text>
    </comment>
    <comment ref="CA44" authorId="1" shapeId="0" xr:uid="{E55214E7-013B-44A3-8137-82562E9910AD}">
      <text>
        <r>
          <rPr>
            <sz val="11"/>
            <color theme="1"/>
            <rFont val="Calibri"/>
            <family val="2"/>
            <scheme val="minor"/>
          </rPr>
          <t xml:space="preserve">Patel, Janki:
latest date for that model since it gives a family range. </t>
        </r>
      </text>
    </comment>
    <comment ref="CB44" authorId="1" shapeId="0" xr:uid="{CB7F8077-0043-4DF5-9028-B1186E90D942}">
      <text>
        <r>
          <rPr>
            <sz val="11"/>
            <color theme="1"/>
            <rFont val="Calibri"/>
            <family val="2"/>
            <scheme val="minor"/>
          </rPr>
          <t xml:space="preserve">Patel, Janki:
latest date for that model since it gives a family range. </t>
        </r>
      </text>
    </comment>
    <comment ref="CG44" authorId="1" shapeId="0" xr:uid="{91F3D698-10A0-4D55-9EDF-9C6CBC1CD48F}">
      <text>
        <r>
          <rPr>
            <sz val="11"/>
            <color theme="1"/>
            <rFont val="Calibri"/>
            <family val="2"/>
            <scheme val="minor"/>
          </rPr>
          <t xml:space="preserve">Patel, Janki:
Seems way too drastic of a difference 
</t>
        </r>
      </text>
    </comment>
    <comment ref="S46" authorId="2" shapeId="0" xr:uid="{1C40B52B-3C8F-4FED-9EE0-9CA0E4645BF8}">
      <text>
        <t>[Threaded comment]
Your version of Excel allows you to read this threaded comment; however, any edits to it will get removed if the file is opened in a newer version of Excel. Learn more: https://go.microsoft.com/fwlink/?linkid=870924
Comment:
    There is no net information for DC8-xxx planes. Different values are given in different sources, they were written as averages.</t>
      </text>
    </comment>
    <comment ref="S48" authorId="3" shapeId="0" xr:uid="{3E15C459-0B9B-4AE6-9FD2-34916F62E216}">
      <text>
        <t>[Threaded comment]
Your version of Excel allows you to read this threaded comment; however, any edits to it will get removed if the file is opened in a newer version of Excel. Learn more: https://go.microsoft.com/fwlink/?linkid=870924
Comment:
    There is no net information for DC8-xxx planes. Different values are given in different sources, they were written as averages.</t>
      </text>
    </comment>
    <comment ref="A49" authorId="0" shapeId="0" xr:uid="{4B2AF483-C312-4EB8-A1F1-CC03F4C3F7A4}">
      <text>
        <r>
          <rPr>
            <sz val="11"/>
            <color theme="1"/>
            <rFont val="Calibri"/>
            <family val="2"/>
            <scheme val="minor"/>
          </rPr>
          <t xml:space="preserve">Tsai, Michael:
Use Bypass Ratio of 4 as cu
t off between turbo jet and fan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<sst xmlns="http://schemas.openxmlformats.org/spreadsheetml/2006/main" count="10388" uniqueCount="2722">
  <si>
    <t>READ_ME</t>
  </si>
  <si>
    <t>Units</t>
  </si>
  <si>
    <t>SubStructure</t>
  </si>
  <si>
    <t>Discipline</t>
  </si>
  <si>
    <t>Parameter</t>
  </si>
  <si>
    <t>SubParameter</t>
  </si>
  <si>
    <t>Airbus</t>
  </si>
  <si>
    <t>Boeing</t>
  </si>
  <si>
    <t>Bombardier</t>
  </si>
  <si>
    <t>Embraer</t>
  </si>
  <si>
    <t>Gulfstream</t>
  </si>
  <si>
    <t>Learjet</t>
  </si>
  <si>
    <t>Le</t>
  </si>
  <si>
    <t>McDonnellDouglas</t>
  </si>
  <si>
    <t>M</t>
  </si>
  <si>
    <t>Other Manufacturers</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</si>
  <si>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</si>
  <si>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</si>
  <si>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</si>
  <si>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</si>
  <si>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</si>
  <si>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</si>
  <si>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</si>
  <si>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</si>
  <si>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</si>
  <si>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</si>
  <si>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</si>
  <si>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</si>
  <si>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</si>
  <si>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</si>
  <si>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</si>
  <si>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</si>
  <si>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</si>
  <si>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</si>
  <si>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</si>
  <si>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</si>
  <si>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</si>
  <si>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</si>
  <si>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</si>
  <si>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</si>
  <si>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</si>
  <si>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</si>
  <si>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</si>
  <si>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</si>
  <si>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</si>
  <si>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</si>
  <si>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</si>
  <si>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</si>
  <si>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</si>
  <si>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</si>
  <si>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</si>
  <si>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</si>
  <si>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</si>
  <si>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</si>
  <si>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</si>
  <si>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</si>
  <si>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</si>
  <si>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</si>
  <si>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</si>
  <si>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</si>
  <si>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</si>
  <si>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</si>
  <si>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</si>
  <si>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</si>
  <si>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</si>
  <si>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</si>
  <si>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</si>
  <si>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</si>
  <si>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</si>
  <si>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</si>
  <si>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</si>
  <si>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</si>
  <si>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</si>
  <si>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</si>
  <si>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</si>
  <si>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</si>
  <si>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</si>
  <si>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</si>
  <si>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</si>
  <si>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</si>
  <si>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</si>
  <si>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</si>
  <si>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</si>
  <si>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</si>
  <si>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</si>
  <si>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</si>
  <si>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</si>
  <si>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</si>
  <si>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</si>
  <si>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</si>
  <si>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</si>
  <si>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</si>
  <si>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</si>
  <si>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</si>
  <si>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</si>
  <si>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</si>
  <si>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</si>
  <si>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</si>
  <si>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</si>
  <si>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</si>
  <si>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</si>
  <si>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</si>
  <si>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</si>
  <si>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</si>
  <si>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</si>
  <si>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</si>
  <si>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</si>
  <si>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</si>
  <si>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</si>
  <si>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</si>
  <si>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</si>
  <si>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</si>
  <si>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</si>
  <si>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</si>
  <si>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</si>
  <si>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</si>
  <si>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</si>
  <si>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</si>
  <si>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</si>
  <si>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</si>
  <si>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</si>
  <si>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</si>
  <si>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</si>
  <si>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</si>
  <si>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</si>
  <si>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</si>
  <si>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</si>
  <si>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</si>
  <si>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</si>
  <si>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</si>
  <si>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</si>
  <si>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</si>
  <si>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</si>
  <si>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</si>
  <si>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</si>
  <si>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</si>
  <si>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</si>
  <si>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</si>
  <si>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</si>
  <si>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</si>
  <si>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</si>
  <si>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</si>
  <si>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</si>
  <si>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</si>
  <si>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</si>
  <si>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</si>
  <si>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</si>
  <si>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</si>
  <si>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</si>
  <si>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</si>
  <si>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</si>
  <si>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</si>
  <si>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</si>
  <si>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</si>
  <si>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</si>
  <si>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</si>
  <si>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</si>
  <si>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</si>
  <si>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</si>
  <si>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</si>
  <si>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</si>
  <si>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</si>
  <si>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</si>
  <si>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</si>
  <si>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</si>
  <si>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</si>
  <si>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</si>
  <si>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</si>
  <si>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</si>
  <si>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</si>
  <si>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</si>
  <si>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</si>
  <si>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</si>
  <si>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</si>
  <si>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</si>
  <si>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</si>
  <si>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</si>
  <si>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</si>
  <si>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</si>
  <si>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</si>
  <si>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</si>
  <si>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</si>
  <si>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</si>
  <si>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</si>
  <si>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</si>
  <si>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</si>
  <si>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</si>
  <si>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</si>
  <si>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</si>
  <si>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</si>
  <si>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</si>
  <si>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</si>
  <si>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</si>
  <si>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</si>
  <si>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</si>
  <si>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</si>
  <si>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</si>
  <si>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</si>
  <si>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</si>
  <si>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</si>
  <si>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</si>
  <si>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</si>
  <si>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</si>
  <si>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</si>
  <si>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</si>
  <si>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</si>
  <si>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</si>
  <si>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</si>
  <si>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</si>
  <si>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</si>
  <si>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</si>
  <si>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</si>
  <si>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</si>
  <si>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</si>
  <si>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</si>
  <si>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</si>
  <si>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</si>
  <si>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</si>
  <si>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</si>
  <si>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</si>
  <si>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</si>
  <si>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</si>
  <si>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</si>
  <si>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</si>
  <si>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</si>
  <si>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</si>
  <si>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</si>
  <si>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</si>
  <si>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</si>
  <si>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</si>
  <si>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</si>
  <si>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</si>
  <si>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</si>
  <si>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</si>
  <si>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</si>
  <si>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</si>
  <si>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</si>
  <si>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</si>
  <si>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</si>
  <si>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</si>
  <si>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</si>
  <si>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</si>
  <si>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</si>
  <si>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</si>
  <si>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</si>
  <si>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</si>
  <si>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</si>
  <si>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</si>
  <si>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</si>
  <si>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</si>
  <si>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</si>
  <si>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</si>
  <si>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</si>
  <si>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</si>
  <si>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</si>
  <si>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</si>
  <si>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</si>
  <si>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</si>
  <si>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</si>
  <si>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</si>
  <si>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</si>
  <si>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</si>
  <si>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</si>
  <si>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</si>
  <si>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</si>
  <si>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</si>
  <si>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</si>
  <si>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</si>
  <si>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</si>
  <si>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</si>
  <si>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</si>
  <si>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</si>
  <si>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</si>
  <si>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</si>
  <si>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</si>
  <si>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</si>
  <si>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</si>
  <si>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</si>
  <si>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</si>
  <si>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</si>
  <si>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</si>
  <si>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</si>
  <si>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</si>
  <si>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</si>
  <si>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</si>
  <si>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</si>
  <si>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</si>
  <si>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</si>
  <si>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</si>
  <si>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</si>
  <si>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</si>
  <si>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</si>
  <si>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</si>
  <si>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</si>
  <si>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</si>
  <si>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</si>
  <si>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</si>
  <si>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</si>
  <si>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</si>
  <si>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</si>
  <si>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</si>
  <si>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</si>
  <si>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</si>
  <si>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</si>
  <si>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</si>
  <si>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</si>
  <si>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</si>
  <si>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</si>
  <si>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</si>
  <si>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</si>
  <si>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</si>
  <si>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</si>
  <si>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</si>
  <si>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</si>
  <si>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</si>
  <si>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</si>
  <si>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</si>
  <si>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</si>
  <si>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</si>
  <si>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</si>
  <si>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</si>
  <si>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</si>
  <si>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</si>
  <si>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</si>
  <si>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</si>
  <si>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</si>
  <si>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</si>
  <si>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</si>
  <si>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</si>
  <si>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</si>
  <si>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</si>
  <si>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</si>
  <si>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</si>
  <si>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</si>
  <si>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</si>
  <si>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</si>
  <si>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</si>
  <si>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</si>
  <si>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</si>
  <si>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</si>
  <si>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</si>
  <si>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</si>
  <si>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</si>
  <si>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</si>
  <si>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</si>
  <si>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</si>
  <si>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</si>
  <si>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</si>
  <si>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</si>
  <si>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</si>
  <si>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</si>
  <si>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</si>
  <si>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</si>
  <si>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</si>
  <si>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</si>
  <si>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</si>
  <si>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</si>
  <si>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</si>
  <si>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</si>
  <si>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</si>
  <si>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</si>
  <si>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</si>
  <si>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</si>
  <si>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</si>
  <si>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</si>
  <si>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</si>
  <si>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</si>
  <si>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</si>
  <si>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</si>
  <si>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</si>
  <si>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</si>
  <si>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</si>
  <si>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</si>
  <si>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</si>
  <si>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</si>
  <si>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</si>
  <si>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</si>
  <si>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</si>
  <si>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</si>
  <si>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</si>
  <si>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</si>
  <si>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</si>
  <si>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</si>
  <si>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</si>
  <si>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</si>
  <si>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</si>
  <si>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</si>
  <si>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</si>
  <si>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</si>
  <si>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</si>
  <si>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</si>
  <si>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</si>
  <si>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</si>
  <si>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</si>
  <si>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</si>
  <si>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</si>
  <si>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</si>
  <si>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</si>
  <si>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</si>
  <si>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</si>
  <si>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</si>
  <si>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</si>
  <si>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</si>
  <si>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</si>
  <si>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</si>
  <si>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</si>
  <si>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</si>
  <si>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</si>
  <si>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</si>
  <si>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</si>
  <si>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</si>
  <si>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</si>
  <si>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</si>
  <si>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</si>
  <si>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</si>
  <si>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</si>
  <si>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</si>
  <si>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</si>
  <si>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</si>
  <si>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</si>
  <si>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t>
  </si>
  <si>
    <t>Manufacturer</t>
  </si>
  <si>
    <t>Israeli Aerospace Industries</t>
  </si>
  <si>
    <t xml:space="preserve">Learjet </t>
  </si>
  <si>
    <t>Bombardier Learjet</t>
  </si>
  <si>
    <t xml:space="preserve">Bombardier Learjet </t>
  </si>
  <si>
    <t>McDonnell Douglas</t>
  </si>
  <si>
    <t>Lockheed Martin</t>
  </si>
  <si>
    <t>General Dynamics</t>
  </si>
  <si>
    <t>Fokker</t>
  </si>
  <si>
    <t>Comac</t>
  </si>
  <si>
    <t>Dassault</t>
  </si>
  <si>
    <t>British Aerospace</t>
  </si>
  <si>
    <t>Hawker Siddely</t>
  </si>
  <si>
    <t>Vickers Armstrongs</t>
  </si>
  <si>
    <t>British Aircraft Corporation</t>
  </si>
  <si>
    <t>CertificationDate</t>
  </si>
  <si>
    <t>year</t>
  </si>
  <si>
    <t>Specs</t>
  </si>
  <si>
    <t>TLAR</t>
  </si>
  <si>
    <t>EIS</t>
  </si>
  <si>
    <t>AlternateDesignation</t>
  </si>
  <si>
    <t>ACJ_319N</t>
  </si>
  <si>
    <t>Beluga XL</t>
  </si>
  <si>
    <t>Neo</t>
  </si>
  <si>
    <t>McDonnell Douglas MD-95</t>
  </si>
  <si>
    <t>737_700_ER</t>
  </si>
  <si>
    <t>B747_200B_Combi</t>
  </si>
  <si>
    <t>B747_200C</t>
  </si>
  <si>
    <t>B747_200F</t>
  </si>
  <si>
    <t>B747_300</t>
  </si>
  <si>
    <t>B747_300SR</t>
  </si>
  <si>
    <t>B747_400</t>
  </si>
  <si>
    <t>B747_400_Combi</t>
  </si>
  <si>
    <t>B747_400F</t>
  </si>
  <si>
    <t>B747_400ER</t>
  </si>
  <si>
    <t>B747_400ERF</t>
  </si>
  <si>
    <t>B747_400D</t>
  </si>
  <si>
    <t>B747_8</t>
  </si>
  <si>
    <t>B747_8F</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</si>
  <si>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</si>
  <si>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</si>
  <si>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</si>
  <si>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</si>
  <si>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</si>
  <si>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</si>
  <si>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</si>
  <si>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</si>
  <si>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</si>
  <si>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</si>
  <si>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</si>
  <si>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</si>
  <si>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</si>
  <si>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</si>
  <si>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</si>
  <si>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</si>
  <si>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</si>
  <si>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</si>
  <si>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</si>
  <si>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</si>
  <si>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</si>
  <si>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</si>
  <si>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</si>
  <si>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</si>
  <si>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</si>
  <si>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</si>
  <si>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</si>
  <si>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</si>
  <si>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</si>
  <si>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</si>
  <si>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</si>
  <si>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</si>
  <si>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Legacy 600</t>
  </si>
  <si>
    <t>VC_9C</t>
  </si>
  <si>
    <t>C_9A / C_9B</t>
  </si>
  <si>
    <t>MD_81</t>
  </si>
  <si>
    <t>MD_82</t>
  </si>
  <si>
    <t>MD_83</t>
  </si>
  <si>
    <t>MD_87</t>
  </si>
  <si>
    <t>KC_10A, KDC_10</t>
  </si>
  <si>
    <t>L-1011-385-1</t>
  </si>
  <si>
    <t>L-1011-385-14</t>
  </si>
  <si>
    <t>L-1011-385-15</t>
  </si>
  <si>
    <t>L-1011-385-3</t>
  </si>
  <si>
    <t xml:space="preserve">  </t>
  </si>
  <si>
    <t>Avro RJ</t>
  </si>
  <si>
    <t>Airco DH.121, de Havilland DH.121</t>
  </si>
  <si>
    <t>BAC-111, BAC 1-11</t>
  </si>
  <si>
    <t>Monikers</t>
  </si>
  <si>
    <t>"Original" generation</t>
  </si>
  <si>
    <t>"Classic" generation</t>
  </si>
  <si>
    <t>"Next Generation"</t>
  </si>
  <si>
    <t>MAX</t>
  </si>
  <si>
    <t>747_SpecialPerformance</t>
  </si>
  <si>
    <t>747_400Domestic</t>
  </si>
  <si>
    <t>747-8I Intercontinental</t>
  </si>
  <si>
    <t>747-8F Freighter</t>
  </si>
  <si>
    <t>Dreamliner</t>
  </si>
  <si>
    <t>Westwind Astra</t>
  </si>
  <si>
    <t>TriStar, Stargazer</t>
  </si>
  <si>
    <t>Coronado</t>
  </si>
  <si>
    <t>Fellowship</t>
  </si>
  <si>
    <t>Xiangfeng, Soaring Phoenix</t>
  </si>
  <si>
    <t>Whisperjet</t>
  </si>
  <si>
    <t>Trident</t>
  </si>
  <si>
    <t>BAC_111_212/AR</t>
  </si>
  <si>
    <t>BAC_111_204/AF</t>
  </si>
  <si>
    <t>BAC_111_410/AQ</t>
  </si>
  <si>
    <t>EngineDesignation</t>
  </si>
  <si>
    <t>Propulsion</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</si>
  <si>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</si>
  <si>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</si>
  <si>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</si>
  <si>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</si>
  <si>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</si>
  <si>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</si>
  <si>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</si>
  <si>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</si>
  <si>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</si>
  <si>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</si>
  <si>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</si>
  <si>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</si>
  <si>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</si>
  <si>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</si>
  <si>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</si>
  <si>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CF6_80C2A1</t>
  </si>
  <si>
    <t>CF6_80C2A3</t>
  </si>
  <si>
    <t>JT9D_7R4H1</t>
  </si>
  <si>
    <t>PW_4158</t>
  </si>
  <si>
    <t>CF6_80C2A5</t>
  </si>
  <si>
    <t>CF6_80A3</t>
  </si>
  <si>
    <t>CF6_80C2A2</t>
  </si>
  <si>
    <t>JT9D_7R4D1</t>
  </si>
  <si>
    <t>JT9D_7R4E1</t>
  </si>
  <si>
    <t>CF6_80C2A8</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</si>
  <si>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</si>
  <si>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</si>
  <si>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</si>
  <si>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</si>
  <si>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</si>
  <si>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</si>
  <si>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</si>
  <si>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</si>
  <si>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</si>
  <si>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</si>
  <si>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</si>
  <si>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</si>
  <si>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</si>
  <si>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</si>
  <si>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</si>
  <si>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</si>
  <si>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</si>
  <si>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CFM56_5A1</t>
  </si>
  <si>
    <t>CFM56_5A3</t>
  </si>
  <si>
    <t>CFM56_5B4</t>
  </si>
  <si>
    <t>CFM56_5B6_P</t>
  </si>
  <si>
    <t>V2500_A1</t>
  </si>
  <si>
    <t>V2527_A5</t>
  </si>
  <si>
    <t>V2527E_A5</t>
  </si>
  <si>
    <t>PW_1127G_JM</t>
  </si>
  <si>
    <t>PW_1124G1_JM</t>
  </si>
  <si>
    <t>LEAP_1A29</t>
  </si>
  <si>
    <t>PW_1129G_JM</t>
  </si>
  <si>
    <t>CFM56_5B1</t>
  </si>
  <si>
    <t>CFM56_5B2</t>
  </si>
  <si>
    <t>V2530_A5</t>
  </si>
  <si>
    <t>CFM56_5B3_P</t>
  </si>
  <si>
    <t>V2533_A5</t>
  </si>
  <si>
    <t>PW_1133G_JM</t>
  </si>
  <si>
    <t>LEAP_1A32</t>
  </si>
  <si>
    <t>LEAP_1A33</t>
  </si>
  <si>
    <t>PW_1130G_JM</t>
  </si>
  <si>
    <t>LEAP_1A30</t>
  </si>
  <si>
    <t>CF6_80E1A2</t>
  </si>
  <si>
    <t>CF6_80E1A4</t>
  </si>
  <si>
    <t>CF6_80E1A3</t>
  </si>
  <si>
    <t>PW_4168A</t>
  </si>
  <si>
    <t>Trent_772B_60</t>
  </si>
  <si>
    <t>PW_4170</t>
  </si>
  <si>
    <t>PW_4164</t>
  </si>
  <si>
    <t>PW_4168</t>
  </si>
  <si>
    <t>Trent_768_60</t>
  </si>
  <si>
    <t>Trent_772_60</t>
  </si>
  <si>
    <t>Trent_7000_72</t>
  </si>
  <si>
    <t>JT3D_1</t>
  </si>
  <si>
    <t>JT4A_11</t>
  </si>
  <si>
    <t>JT3D_3</t>
  </si>
  <si>
    <t>JT3D_3B</t>
  </si>
  <si>
    <t>BR715_A1_30</t>
  </si>
  <si>
    <t>BR715_C1_30</t>
  </si>
  <si>
    <t>JT8D_7</t>
  </si>
  <si>
    <t>JT8D_9</t>
  </si>
  <si>
    <t>JT8D_15</t>
  </si>
  <si>
    <t>JT8D_17</t>
  </si>
  <si>
    <t>CFM56_3B1</t>
  </si>
  <si>
    <t>CFM56_3B2</t>
  </si>
  <si>
    <t>CFM56_7B20</t>
  </si>
  <si>
    <t>CFM56_7B24</t>
  </si>
  <si>
    <t>CFM56_7B26</t>
  </si>
  <si>
    <t>LEAP_1B28</t>
  </si>
  <si>
    <t>JT9D_3A</t>
  </si>
  <si>
    <t>RB211_524B2_19</t>
  </si>
  <si>
    <t>CF6_45A2</t>
  </si>
  <si>
    <t>JT9D_7A</t>
  </si>
  <si>
    <t>JT9D_7AW</t>
  </si>
  <si>
    <t>JT9D_7J</t>
  </si>
  <si>
    <t>CF6_50E2</t>
  </si>
  <si>
    <t>RB211_524D4_19</t>
  </si>
  <si>
    <t>JT9D_7R4G2</t>
  </si>
  <si>
    <t>JT9D_7F</t>
  </si>
  <si>
    <t>JT9D_7FW</t>
  </si>
  <si>
    <t>JT9D_7Q</t>
  </si>
  <si>
    <t>RB211_524C2_19</t>
  </si>
  <si>
    <t>CF6_80C2B1</t>
  </si>
  <si>
    <t>PW_4056</t>
  </si>
  <si>
    <t>RB211_524G2_19</t>
  </si>
  <si>
    <t>CF6_80C2B5_F</t>
  </si>
  <si>
    <t>PW_4062</t>
  </si>
  <si>
    <t>RB211_524H2_T_19</t>
  </si>
  <si>
    <t>GEnx_2B67</t>
  </si>
  <si>
    <t>RB211_535C_37</t>
  </si>
  <si>
    <t>PW_2037</t>
  </si>
  <si>
    <t>PW_2043</t>
  </si>
  <si>
    <t>RB211_535E4B_37</t>
  </si>
  <si>
    <t>JT9D_7R4D</t>
  </si>
  <si>
    <t>CF6_80A2</t>
  </si>
  <si>
    <t>RB211_524H_36</t>
  </si>
  <si>
    <t>CF6_80C2_B6F</t>
  </si>
  <si>
    <t>CF6_80C2_B7F</t>
  </si>
  <si>
    <t>CF6_80C2_B8F</t>
  </si>
  <si>
    <t>GE90_76B</t>
  </si>
  <si>
    <t>PW_4077</t>
  </si>
  <si>
    <t>PW_4084</t>
  </si>
  <si>
    <t>RB_Trent_877</t>
  </si>
  <si>
    <t>RB_Trent_884</t>
  </si>
  <si>
    <t>GE90_94B</t>
  </si>
  <si>
    <t>PW_4098</t>
  </si>
  <si>
    <t>RB_Trent_892</t>
  </si>
  <si>
    <t>GE90_110B1</t>
  </si>
  <si>
    <t>GE90_115B</t>
  </si>
  <si>
    <t>RB211_Trent_1000A</t>
  </si>
  <si>
    <t>RB211_Trent_1000A2</t>
  </si>
  <si>
    <t>RB211_Trent_1000J3</t>
  </si>
  <si>
    <t>CF34_3A1</t>
  </si>
  <si>
    <t>CF34_3B1</t>
  </si>
  <si>
    <t>BR700_710A2_020</t>
  </si>
  <si>
    <t>AS907_1_1A</t>
  </si>
  <si>
    <t>CF34_8C1</t>
  </si>
  <si>
    <t>CF34_8C5</t>
  </si>
  <si>
    <t>EP20_19BB1A</t>
  </si>
  <si>
    <t>ALF_502L</t>
  </si>
  <si>
    <t>CF34_1A</t>
  </si>
  <si>
    <t>CF34_3A</t>
  </si>
  <si>
    <t>CF34_3B</t>
  </si>
  <si>
    <t>PW_1524G</t>
  </si>
  <si>
    <t>PW_1521G_3</t>
  </si>
  <si>
    <t>PW_1919G</t>
  </si>
  <si>
    <t>PW_1921G</t>
  </si>
  <si>
    <t>CF34_8E5</t>
  </si>
  <si>
    <t>CF34_10E7_B</t>
  </si>
  <si>
    <t>CF34_10E5</t>
  </si>
  <si>
    <t>CF34_10E5A1</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</si>
  <si>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</si>
  <si>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</si>
  <si>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</si>
  <si>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</si>
  <si>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</si>
  <si>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</si>
  <si>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</si>
  <si>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</si>
  <si>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</si>
  <si>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</si>
  <si>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</si>
  <si>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</si>
  <si>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</si>
  <si>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</si>
  <si>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</si>
  <si>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CJ_610_8A</t>
  </si>
  <si>
    <t>TFE_731_2_3B</t>
  </si>
  <si>
    <t>TFE_731_2_2B</t>
  </si>
  <si>
    <t>TFE_731_20AR</t>
  </si>
  <si>
    <t>TFE_731_20R</t>
  </si>
  <si>
    <t>TFE_731_40BR</t>
  </si>
  <si>
    <t>JT4A_3</t>
  </si>
  <si>
    <t>JT4A_9</t>
  </si>
  <si>
    <t>RCo12_Mk509</t>
  </si>
  <si>
    <t>JT3D_7</t>
  </si>
  <si>
    <t>CFM56_2C1</t>
  </si>
  <si>
    <t>JT8D_1</t>
  </si>
  <si>
    <t>JT8D_209</t>
  </si>
  <si>
    <t>JT8D_219</t>
  </si>
  <si>
    <t>CF6_6D</t>
  </si>
  <si>
    <t>CF6_50C2_F</t>
  </si>
  <si>
    <t>CF6_80C2D1F</t>
  </si>
  <si>
    <t>JT8D_217A</t>
  </si>
  <si>
    <t>V2525_D5</t>
  </si>
  <si>
    <t>RB211_22B_02</t>
  </si>
  <si>
    <t>RB211_524B_02</t>
  </si>
  <si>
    <t>CJ_805_3</t>
  </si>
  <si>
    <t>CJ_805_23B</t>
  </si>
  <si>
    <t>RB183_Mk555_15</t>
  </si>
  <si>
    <t>RB183_Mk555_15H</t>
  </si>
  <si>
    <t>Tay_620_15</t>
  </si>
  <si>
    <t>CF34_10A</t>
  </si>
  <si>
    <t>LEAP_1C</t>
  </si>
  <si>
    <t>ALF502R_3A</t>
  </si>
  <si>
    <t>LF507_1F</t>
  </si>
  <si>
    <t>RB163_1_Mk505_5</t>
  </si>
  <si>
    <t>RR_Conway_Mk301</t>
  </si>
  <si>
    <t>Spey</t>
  </si>
  <si>
    <t>GE9X_105B1A</t>
  </si>
  <si>
    <t>Trent_970B_84</t>
  </si>
  <si>
    <t>Trent_972B_84</t>
  </si>
  <si>
    <t>GP_7270</t>
  </si>
  <si>
    <t>AlternateEngine</t>
  </si>
  <si>
    <t>AlternateEngines</t>
  </si>
  <si>
    <t>CFM56_5C2/4
CFM56_5C2/F
CFM56_5C2/F4
CFM56_5C2/G
CFM56_5C2/G4
CFM56_5C2/P</t>
  </si>
  <si>
    <t>CFM56_5C3/F4
CFM56_5C3/G
CFM56_5C3/G4
CFM56_5C3/P</t>
  </si>
  <si>
    <t>CF6_50C2R</t>
  </si>
  <si>
    <t>CF6_50C2D</t>
  </si>
  <si>
    <t>CF6_80C2A3CF6_80C2A5F</t>
  </si>
  <si>
    <t>CF6_80C2A5F</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</si>
  <si>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</si>
  <si>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</si>
  <si>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</si>
  <si>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</si>
  <si>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</si>
  <si>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</si>
  <si>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</si>
  <si>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</si>
  <si>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</si>
  <si>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</si>
  <si>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</si>
  <si>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</si>
  <si>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</si>
  <si>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</si>
  <si>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</si>
  <si>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</si>
  <si>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PW_1133GA_JM</t>
  </si>
  <si>
    <t>LEAP_1A35</t>
  </si>
  <si>
    <t>PW_4168_1D , PW_4170</t>
  </si>
  <si>
    <t>PW_4168A_1D</t>
  </si>
  <si>
    <t>PW_4164_1D</t>
  </si>
  <si>
    <t>PW_4168_1D</t>
  </si>
  <si>
    <t>PW_4168A_1D , PW_4170</t>
  </si>
  <si>
    <t>JT3D_1MC6, JT3D_3, JT3D_3B,  JT3D_1MC7</t>
  </si>
  <si>
    <t>JT4A_1, JT4A_9, JT4A_12</t>
  </si>
  <si>
    <t>JT3D_3B, JT3D_1, JT3D_1MC6, JT3D_1MC7</t>
  </si>
  <si>
    <t xml:space="preserve"> JT8D_1, JT8D_1A, JT8D_9</t>
  </si>
  <si>
    <t>JT8D_1, JT8D_1A, JT8D_7</t>
  </si>
  <si>
    <t xml:space="preserve"> JT8D_1A, JT8D_7, JT8D_9</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</si>
  <si>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</si>
  <si>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</si>
  <si>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</si>
  <si>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</si>
  <si>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</si>
  <si>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</si>
  <si>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</si>
  <si>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</si>
  <si>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</si>
  <si>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</si>
  <si>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</si>
  <si>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</si>
  <si>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</si>
  <si>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</si>
  <si>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</si>
  <si>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</si>
  <si>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</si>
  <si>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</si>
  <si>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</si>
  <si>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</si>
  <si>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</si>
  <si>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</si>
  <si>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CF6-50E, CF6_50E1, RB211_524B2_19, RB211_524C2_19, JT9D_3A, JT9D_7R4G2</t>
  </si>
  <si>
    <t>JT9D_7A, JT9D_7J, RB211_524B2, CF6_45A, CF6_45B2, CF6_50E2_F</t>
  </si>
  <si>
    <t>RB211_524G2, PW_4056</t>
  </si>
  <si>
    <t>RB211_524G2, CF6_80C2B1</t>
  </si>
  <si>
    <t xml:space="preserve"> PW_4056, CF6_80C2B1</t>
  </si>
  <si>
    <t xml:space="preserve">RB211_524G2, PW_4056, </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</si>
  <si>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</si>
  <si>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</si>
  <si>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</si>
  <si>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</si>
  <si>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</si>
  <si>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</si>
  <si>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</si>
  <si>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</si>
  <si>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</si>
  <si>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</si>
  <si>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</si>
  <si>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</si>
  <si>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</si>
  <si>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</si>
  <si>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</si>
  <si>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</si>
  <si>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</si>
  <si>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</si>
  <si>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</si>
  <si>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</si>
  <si>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</si>
  <si>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</si>
  <si>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</si>
  <si>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</si>
  <si>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</si>
  <si>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</si>
  <si>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</si>
  <si>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</si>
  <si>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</si>
  <si>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</si>
  <si>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</si>
  <si>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</si>
  <si>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AS907_2_1A</t>
  </si>
  <si>
    <t>CF34_8C5B1</t>
  </si>
  <si>
    <t>CF34_8C5A1</t>
  </si>
  <si>
    <t>CF34_8C5A1 CF34_8C5A2</t>
  </si>
  <si>
    <t>ALF_502L_2</t>
  </si>
  <si>
    <t>CF34_3A           CF34_3A2</t>
  </si>
  <si>
    <t>CF34_3A2</t>
  </si>
  <si>
    <t>PW1524G-3</t>
  </si>
  <si>
    <t>PW_1922G</t>
  </si>
  <si>
    <t>PW_1923G 
PW_1923G-A</t>
  </si>
  <si>
    <t>CF_34_8E5A1</t>
  </si>
  <si>
    <t>CF34-10E5A1
CF34-10E6
CF34-10E6A1
CF34-10E7</t>
  </si>
  <si>
    <t xml:space="preserve">CF34-10E7 </t>
  </si>
  <si>
    <t xml:space="preserve">CF34-10E5A1
CF34-10E6
CF34-10E6A1 
CF34-10E7 </t>
  </si>
  <si>
    <t>CF34-10E5A1
CF34-10E6
CF34-10E6A1 
CF34-10E7</t>
  </si>
  <si>
    <t>AE3007A1/3</t>
  </si>
  <si>
    <t>AE3007A2</t>
  </si>
  <si>
    <t>AE3007A1/1
AE3007A1P</t>
  </si>
  <si>
    <t>AE3007A1/1
AE3007A1P
AE3007A1</t>
  </si>
  <si>
    <t>AE3007A1P</t>
  </si>
  <si>
    <t xml:space="preserve"> CJ_610_4</t>
  </si>
  <si>
    <t xml:space="preserve"> CJ_610_6</t>
  </si>
  <si>
    <t xml:space="preserve"> CJ_610_7</t>
  </si>
  <si>
    <t xml:space="preserve"> CJ_610_8</t>
  </si>
  <si>
    <t xml:space="preserve"> CJ_610_11</t>
  </si>
  <si>
    <t xml:space="preserve"> CJ_610_12</t>
  </si>
  <si>
    <t xml:space="preserve"> CJ_610_8A</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</si>
  <si>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</si>
  <si>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</si>
  <si>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</si>
  <si>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</si>
  <si>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</si>
  <si>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</si>
  <si>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</si>
  <si>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</si>
  <si>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</si>
  <si>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 xml:space="preserve">JT3D_3 / JT3D_3D </t>
  </si>
  <si>
    <t>CFM56_2_C5</t>
  </si>
  <si>
    <t>CFM56_2_C3 / CFM56_2_C5 / CFM56_2_C6</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</si>
  <si>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</si>
  <si>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</si>
  <si>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</si>
  <si>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</si>
  <si>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</si>
  <si>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</si>
  <si>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</si>
  <si>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</si>
  <si>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</si>
  <si>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JT8D_217A / JT8D_217C</t>
  </si>
  <si>
    <t>CF6_6D1 / CF6_6D1A / CF6_6K / CF6_6K2</t>
  </si>
  <si>
    <t>JT9D_20 / JT9D_20J</t>
  </si>
  <si>
    <t>CF6_50A / CF6_50CA / CF6_50C1 / CF6_50C2 / CF6_50C2B / CF6_50C</t>
  </si>
  <si>
    <t>PW_4460 / PW_4462</t>
  </si>
  <si>
    <t>CF6_6K</t>
  </si>
  <si>
    <t>JT8D_217C / JT8D_219</t>
  </si>
  <si>
    <t xml:space="preserve">V2528_D5 </t>
  </si>
  <si>
    <t>RB211_22C_02</t>
  </si>
  <si>
    <t xml:space="preserve">RB211_524B_02
RB211_524B3_02
RB211_524B4_02
</t>
  </si>
  <si>
    <t>RB211_524B_02
RB211_524B3_02
RB211_524B4_02
RB211_524B4_D_02</t>
  </si>
  <si>
    <t>RB211_524B3_02
RB211_524B4_02
RB211_524B4_D_02</t>
  </si>
  <si>
    <t>ALF502 R-3A
ALF502 R-5</t>
  </si>
  <si>
    <t>Spey_506_14</t>
  </si>
  <si>
    <t>Spey_506_14C</t>
  </si>
  <si>
    <t>Spey_511_14</t>
  </si>
  <si>
    <t>Trent_970_84</t>
  </si>
  <si>
    <t>Trent_972_84
Trent_972E_84</t>
  </si>
  <si>
    <t>NumberEngines</t>
  </si>
  <si>
    <t>count</t>
  </si>
  <si>
    <t>NumEngines</t>
  </si>
  <si>
    <t>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</si>
  <si>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</si>
  <si>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</si>
  <si>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</si>
  <si>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</si>
  <si>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</si>
  <si>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</si>
  <si>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</si>
  <si>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</si>
  <si>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</si>
  <si>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</si>
  <si>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</si>
  <si>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</si>
  <si>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</si>
  <si>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</si>
  <si>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</si>
  <si>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</si>
  <si>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</si>
  <si>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</si>
  <si>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</si>
  <si>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</si>
  <si>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</si>
  <si>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</si>
  <si>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</si>
  <si>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</si>
  <si>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</si>
  <si>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</si>
  <si>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</si>
  <si>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Popular, single_body, twinjet, short range aircraft , WITH WINGLETS</t>
  </si>
  <si>
    <t>Convertible to cargo version of B700</t>
  </si>
  <si>
    <t>Popular, single_body, twinjet, short range aircraft  WITH WINGLETS</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</si>
  <si>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</si>
  <si>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</si>
  <si>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</si>
  <si>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</si>
  <si>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</si>
  <si>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</si>
  <si>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</si>
  <si>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</si>
  <si>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</si>
  <si>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</si>
  <si>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</si>
  <si>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</si>
  <si>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</si>
  <si>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</si>
  <si>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similar to the 747-8 with 747-400F nose cargo door.</t>
  </si>
  <si>
    <t>Turbofan-powered regional airliner, single aisle fuselage, increased range (compared to Challenger 600s)</t>
  </si>
  <si>
    <t>Long range, high altitude, high speed business/corporate aircraft.</t>
  </si>
  <si>
    <t>Long range, mid-sized business jet</t>
  </si>
  <si>
    <t>short-haul, rear-mounted twin-engine, t-tail, regional jetliner</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</si>
  <si>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</si>
  <si>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</si>
  <si>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</si>
  <si>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</si>
  <si>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</si>
  <si>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</si>
  <si>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</si>
  <si>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</si>
  <si>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</si>
  <si>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</si>
  <si>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</si>
  <si>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</si>
  <si>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</si>
  <si>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</si>
  <si>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</si>
  <si>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business</t>
  </si>
  <si>
    <t>Learjet55</t>
  </si>
  <si>
    <t>Jearjet60</t>
  </si>
  <si>
    <t>Learjet85</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</si>
  <si>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</si>
  <si>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</si>
  <si>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</si>
  <si>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</si>
  <si>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</si>
  <si>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</si>
  <si>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</si>
  <si>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</si>
  <si>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</si>
  <si>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</si>
  <si>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</si>
  <si>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</si>
  <si>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 xml:space="preserve">currently under AIRBUS. </t>
  </si>
  <si>
    <t xml:space="preserve"> derivative of the 777-300ER with a new composite wing</t>
  </si>
  <si>
    <t>massive passenger aircraft. 800+ seats, 4 engines</t>
  </si>
  <si>
    <t>Keywords</t>
  </si>
  <si>
    <t>KeyWords</t>
  </si>
  <si>
    <t>Four turbofan, long range, double aisle, large category airplane, baseline</t>
  </si>
  <si>
    <t>Two turbofan, long range, double aisle, large category airplane, baseline</t>
  </si>
  <si>
    <t>double_aisle, short_range, baseline</t>
  </si>
  <si>
    <t>baseline,double_aisle</t>
  </si>
  <si>
    <t>double_aisle</t>
  </si>
  <si>
    <t>baseline, double</t>
  </si>
  <si>
    <t>baseline, medium_range, turbofan, double_aisle</t>
  </si>
  <si>
    <t>medium_range, turbofan, double_aisle</t>
  </si>
  <si>
    <t>long_range, turbofan, double_aisle</t>
  </si>
  <si>
    <t>baseline, long_range, turbofan, double_aisle</t>
  </si>
  <si>
    <t>single_aisle,  short_range,  high_capacity, baseline, turbofan</t>
  </si>
  <si>
    <t>single_aisle,  short_range,  high_capacity, turbofan</t>
  </si>
  <si>
    <t>single_aisle, medium_range,  high_capacity, baseline, turbofan</t>
  </si>
  <si>
    <t>single_aisle, medium_range,  high_capacity, turbofan</t>
  </si>
  <si>
    <t>business, single_aisle, baseline, turbofan</t>
  </si>
  <si>
    <t>baseline, medium_range, turbofan</t>
  </si>
  <si>
    <t>medium_range, turbofan, single_aisle</t>
  </si>
  <si>
    <t>baseline, medium_range, turbofan, single_aisle</t>
  </si>
  <si>
    <t>Two turbo-fan, medium to long range, double-aisle, large category aeroplane, baseline</t>
  </si>
  <si>
    <t>medium range, large capacity, baseline</t>
  </si>
  <si>
    <t>double aisle, medium-to-long range, large capacity, baseline</t>
  </si>
  <si>
    <t>double aise, medium-to-long range, large capacity, baseline</t>
  </si>
  <si>
    <t>turbofan,  single_aisle, long_range,  high_capacity</t>
  </si>
  <si>
    <t xml:space="preserve">turbojet,  single_aisle, long_range,  high_capacity, baseline </t>
  </si>
  <si>
    <t xml:space="preserve">turbofan,  single_aisle, long_range,  high_capacity, </t>
  </si>
  <si>
    <t>turbofan, single_aisle, short_range, baseline</t>
  </si>
  <si>
    <t>turbofan, single_aisle, short_range, high_capcity</t>
  </si>
  <si>
    <t>turbofan, single_aisle, medium_range</t>
  </si>
  <si>
    <t>turbofan, single_aisle, short_range</t>
  </si>
  <si>
    <t>turbofan, single_aisle, short_range, high_capacity</t>
  </si>
  <si>
    <t>turbofan, single_aisle, medium_range, high_capacity</t>
  </si>
  <si>
    <t>turbofan, single_aisle, medium_range, baseline</t>
  </si>
  <si>
    <t>turbofan, single_aisle, long_range, baseline</t>
  </si>
  <si>
    <t>turbofan, single_aisle, long_range</t>
  </si>
  <si>
    <t>turbofan, single_aisle, extended_range</t>
  </si>
  <si>
    <t>turbofan, single_aisle, extended_range, business, baseline</t>
  </si>
  <si>
    <t xml:space="preserve"> turbofan, double_aisle, long_range, baseline, upperdeck</t>
  </si>
  <si>
    <t xml:space="preserve"> turbofan, double_aisle, long_range, upperdeck</t>
  </si>
  <si>
    <t xml:space="preserve">  turbofan, double_aisle, short_range, high_capacity, upperdeck</t>
  </si>
  <si>
    <t xml:space="preserve">  turbofan, double_aisle, extended_range, upperdeck</t>
  </si>
  <si>
    <t>turbofan, double_aisle,  upperdeck</t>
  </si>
  <si>
    <t>turbofan, double_aisle, upperdeck</t>
  </si>
  <si>
    <t>turbofan, double_aisle, short_range, low_capacity, upperdeck</t>
  </si>
  <si>
    <t>turbofan, double_aisle, long_range, low_capacity, upperdeck</t>
  </si>
  <si>
    <t>turbofan, double_aisle, extended_range, upperdeck</t>
  </si>
  <si>
    <t>turbofan, double_aisle, short_range, high_capacity, upperdeck</t>
  </si>
  <si>
    <t>turbofan, double_aisle, short_range, baseline</t>
  </si>
  <si>
    <t>turbofan, double_aisle, long_range</t>
  </si>
  <si>
    <t>turbofan, double_aisle, extended_range</t>
  </si>
  <si>
    <t>turbofan, double_aisle, long_range, baseline</t>
  </si>
  <si>
    <t>turbofan, double_aisle, extended_range, baseline</t>
  </si>
  <si>
    <t>turbofan, double_aisle, high_capacity, baseline</t>
  </si>
  <si>
    <t>turbofan, double_aisle, extended_range, high_capacity</t>
  </si>
  <si>
    <t>turbofan, double_aisle, high_capacity</t>
  </si>
  <si>
    <t>turbofan, double_aisle, long_range, high_capacity</t>
  </si>
  <si>
    <t>turbofan, long_range, high_capacity, baseline</t>
  </si>
  <si>
    <t>turbofan_double_aisle, long_range, baseline</t>
  </si>
  <si>
    <t>turbofan_double_aisle, long_range, high_capacity, baseline</t>
  </si>
  <si>
    <t>turbofan, single aisle, extended range</t>
  </si>
  <si>
    <t>long range</t>
  </si>
  <si>
    <t>single aisle</t>
  </si>
  <si>
    <t>long_range</t>
  </si>
  <si>
    <t>long_range, business</t>
  </si>
  <si>
    <t>single_aisle, long_range, business</t>
  </si>
  <si>
    <t>low_wing, business</t>
  </si>
  <si>
    <t>baseline</t>
  </si>
  <si>
    <t>single aise, long range, high capacity, baseline</t>
  </si>
  <si>
    <t xml:space="preserve">single aise, longe range, high capacity, baseline </t>
  </si>
  <si>
    <t xml:space="preserve">single aise, longe range, high capacity </t>
  </si>
  <si>
    <t xml:space="preserve">single aise, long range, high capacity </t>
  </si>
  <si>
    <t xml:space="preserve">single aise, long range, high capacity, baseline </t>
  </si>
  <si>
    <t>single aise, long range, high capacity</t>
  </si>
  <si>
    <t xml:space="preserve">single aise, medium range, high capacity, baseline </t>
  </si>
  <si>
    <t xml:space="preserve">single aise, medium range, high capacity </t>
  </si>
  <si>
    <t xml:space="preserve">single aise, long  range, high capacity </t>
  </si>
  <si>
    <t xml:space="preserve">single aise, long  range, high capacity, baseline </t>
  </si>
  <si>
    <t xml:space="preserve">single aisle, short range, low capacity, baseline  </t>
  </si>
  <si>
    <t xml:space="preserve">single aisle, short range, low capacity  </t>
  </si>
  <si>
    <t xml:space="preserve">single aisle, medium range, high capacity, baseline </t>
  </si>
  <si>
    <t xml:space="preserve">single aisle, medium range, high capacity </t>
  </si>
  <si>
    <t>double aisle, long range, high capacity, baseline</t>
  </si>
  <si>
    <t>double aisle, long range, high capacity</t>
  </si>
  <si>
    <t>double aisle, medium range, high capacity, baseline</t>
  </si>
  <si>
    <t>double aisle, medium range, high capacity</t>
  </si>
  <si>
    <t>single aisle, long range, high capacity</t>
  </si>
  <si>
    <t>single aise, medium range, high capacity</t>
  </si>
  <si>
    <t>baseline, double aisle, long range</t>
  </si>
  <si>
    <t xml:space="preserve">double aisle, extended range, high capacity </t>
  </si>
  <si>
    <t xml:space="preserve"> short range, single body, single aisle, regional jet</t>
  </si>
  <si>
    <t xml:space="preserve"> medium range, single body, single aisle</t>
  </si>
  <si>
    <t>regional jet, short haul, single aisle, short range</t>
  </si>
  <si>
    <t xml:space="preserve">turbofan,  double aisle, long range, high capacity </t>
  </si>
  <si>
    <t>turbofan, double aisle, baseline</t>
  </si>
  <si>
    <t>turbofan, double aisle</t>
  </si>
  <si>
    <t>Family</t>
  </si>
  <si>
    <t>A340</t>
  </si>
  <si>
    <t>A350</t>
  </si>
  <si>
    <t>A300</t>
  </si>
  <si>
    <t>A310</t>
  </si>
  <si>
    <t>A320</t>
  </si>
  <si>
    <t>A320Neo</t>
  </si>
  <si>
    <t>ACJNeo</t>
  </si>
  <si>
    <t>A330</t>
  </si>
  <si>
    <t>B707</t>
  </si>
  <si>
    <t>B717</t>
  </si>
  <si>
    <t>B727</t>
  </si>
  <si>
    <t>B737</t>
  </si>
  <si>
    <t>B747</t>
  </si>
  <si>
    <t>B757</t>
  </si>
  <si>
    <t>B767</t>
  </si>
  <si>
    <t>B777</t>
  </si>
  <si>
    <t>B787</t>
  </si>
  <si>
    <t>CRJ</t>
  </si>
  <si>
    <t>Global</t>
  </si>
  <si>
    <t>Challenger</t>
  </si>
  <si>
    <t>A220</t>
  </si>
  <si>
    <t>E-Jet</t>
  </si>
  <si>
    <t>ERJ</t>
  </si>
  <si>
    <t>DC8</t>
  </si>
  <si>
    <t>DC9</t>
  </si>
  <si>
    <t>DC10</t>
  </si>
  <si>
    <t>MD11</t>
  </si>
  <si>
    <t>MD10</t>
  </si>
  <si>
    <t>BAC_111</t>
  </si>
  <si>
    <t>A380</t>
  </si>
  <si>
    <t>SubFamily</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</si>
  <si>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</si>
  <si>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</si>
  <si>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</si>
  <si>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</si>
  <si>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</si>
  <si>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</si>
  <si>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</si>
  <si>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</si>
  <si>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</si>
  <si>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</si>
  <si>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</si>
  <si>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</si>
  <si>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</si>
  <si>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</si>
  <si>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</si>
  <si>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</si>
  <si>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</si>
  <si>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</si>
  <si>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</si>
  <si>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</si>
  <si>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</si>
  <si>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</si>
  <si>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</si>
  <si>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</si>
  <si>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</si>
  <si>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</si>
  <si>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</si>
  <si>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</si>
  <si>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</si>
  <si>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</si>
  <si>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</si>
  <si>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</si>
  <si>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</si>
  <si>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</si>
  <si>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</si>
  <si>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</si>
  <si>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</si>
  <si>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</si>
  <si>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</si>
  <si>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</si>
  <si>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</si>
  <si>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</si>
  <si>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</si>
  <si>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</si>
  <si>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</si>
  <si>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</si>
  <si>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</si>
  <si>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</si>
  <si>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</si>
  <si>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</si>
  <si>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</si>
  <si>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</si>
  <si>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</si>
  <si>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</si>
  <si>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</si>
  <si>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</si>
  <si>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777-F</t>
  </si>
  <si>
    <t>B787-800</t>
  </si>
  <si>
    <t>B787-900</t>
  </si>
  <si>
    <t>B787-1000</t>
  </si>
  <si>
    <t>CRJ-100</t>
  </si>
  <si>
    <t>CRJ-200</t>
  </si>
  <si>
    <t>Global-5000</t>
  </si>
  <si>
    <t>Challenger-300</t>
  </si>
  <si>
    <t>CRJ-700</t>
  </si>
  <si>
    <t>CRJ-900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</si>
  <si>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</si>
  <si>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</si>
  <si>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</si>
  <si>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</si>
  <si>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</si>
  <si>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</si>
  <si>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</si>
  <si>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</si>
  <si>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</si>
  <si>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</si>
  <si>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</si>
  <si>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</si>
  <si>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</si>
  <si>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</si>
  <si>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</si>
  <si>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</si>
  <si>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</si>
  <si>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</si>
  <si>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</si>
  <si>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</si>
  <si>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</si>
  <si>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</si>
  <si>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</si>
  <si>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</si>
  <si>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</si>
  <si>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</si>
  <si>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</si>
  <si>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</si>
  <si>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</si>
  <si>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MD10-10</t>
  </si>
  <si>
    <t>MD-80</t>
  </si>
  <si>
    <t>BAC_111_200</t>
  </si>
  <si>
    <t>BAC_400</t>
  </si>
  <si>
    <t>A380-800</t>
  </si>
  <si>
    <t>Payload Type  (P, C, M)</t>
  </si>
  <si>
    <t>type</t>
  </si>
  <si>
    <t>PayloadType</t>
  </si>
  <si>
    <t>P</t>
  </si>
  <si>
    <t>C</t>
  </si>
  <si>
    <t>NumberSold</t>
  </si>
  <si>
    <t>NumSold</t>
  </si>
  <si>
    <t xml:space="preserve">	1,196</t>
  </si>
  <si>
    <t>Top_Level_Aircraft_Requirements</t>
  </si>
  <si>
    <t>MaximumPassengers</t>
  </si>
  <si>
    <t>MaxPax</t>
  </si>
  <si>
    <t>TypicalPassengers</t>
  </si>
  <si>
    <t>Pax</t>
  </si>
  <si>
    <t xml:space="preserve"> </t>
  </si>
  <si>
    <t>DesignRange</t>
  </si>
  <si>
    <t>km</t>
  </si>
  <si>
    <t>Performance</t>
  </si>
  <si>
    <t>Range</t>
  </si>
  <si>
    <t>Design Freighter Cargo Weight</t>
  </si>
  <si>
    <t>kg</t>
  </si>
  <si>
    <t>Weight</t>
  </si>
  <si>
    <t>Cargo</t>
  </si>
  <si>
    <t>Weights</t>
  </si>
  <si>
    <t>ARIN</t>
  </si>
  <si>
    <t>MRW</t>
  </si>
  <si>
    <t>MTOW</t>
  </si>
  <si>
    <t>MLW</t>
  </si>
  <si>
    <t>MZFW</t>
  </si>
  <si>
    <t>OEW</t>
  </si>
  <si>
    <t>Fuel</t>
  </si>
  <si>
    <t>Velocities</t>
  </si>
  <si>
    <t>M_MO</t>
  </si>
  <si>
    <t>mach</t>
  </si>
  <si>
    <t>Vels</t>
  </si>
  <si>
    <t>MaxOp</t>
  </si>
  <si>
    <t>M_Cr</t>
  </si>
  <si>
    <t>Crs</t>
  </si>
  <si>
    <t>V_TO</t>
  </si>
  <si>
    <t>kts</t>
  </si>
  <si>
    <t>Tko</t>
  </si>
  <si>
    <t>Flight_Envelope</t>
  </si>
  <si>
    <t>MaximumOperatingAltitude_Cr</t>
  </si>
  <si>
    <t>m</t>
  </si>
  <si>
    <t>Alts</t>
  </si>
  <si>
    <t>TakeoffDistance</t>
  </si>
  <si>
    <t>TOFL</t>
  </si>
  <si>
    <t>Continuous Thrust (PER ENGINE)</t>
  </si>
  <si>
    <t>N</t>
  </si>
  <si>
    <t>Thrust</t>
  </si>
  <si>
    <t>SLS</t>
  </si>
  <si>
    <t>Maximum Thrust (PER ENGINE)</t>
  </si>
  <si>
    <t>Max</t>
  </si>
  <si>
    <t>FuelType</t>
  </si>
  <si>
    <t>Type</t>
  </si>
  <si>
    <t>Jet A</t>
  </si>
  <si>
    <t>JET A, JET A1, JET B, JP4, JP5, JP8</t>
  </si>
  <si>
    <t>JET A, JET A_1, JP5, JP8</t>
  </si>
  <si>
    <t>JET A, JET A_1, JP8</t>
  </si>
  <si>
    <t>JET A, JET A_1, JP8, JETB, JP4, JP5</t>
  </si>
  <si>
    <t>JET A, JET A_1, JP8, JP5</t>
  </si>
  <si>
    <t>JET A, JET A_1, JP8, JET B, JP4, JP5</t>
  </si>
  <si>
    <t>JET A, JET A_1, JP6, JP8</t>
  </si>
  <si>
    <t xml:space="preserve">JP_1, JP_4 and JP_5 </t>
  </si>
  <si>
    <t>JP_1, JP_4 and JP_5</t>
  </si>
  <si>
    <t>JP_1, JP_4 and JP_6</t>
  </si>
  <si>
    <t xml:space="preserve">Jet A </t>
  </si>
  <si>
    <t>Jet A, Jet A1, JP-8</t>
  </si>
  <si>
    <t>Jet A, Jet A1 and JP_8.</t>
  </si>
  <si>
    <t>Jet_A</t>
  </si>
  <si>
    <t>JP_4 and JP_5</t>
  </si>
  <si>
    <t>JP_5</t>
  </si>
  <si>
    <t>Commercial Aircraft Turbine Fuel conforming to PWA Specification 522</t>
  </si>
  <si>
    <t>Commercial Aircraft Turbine Fuel conforming to:</t>
  </si>
  <si>
    <t>`</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</si>
  <si>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</si>
  <si>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</si>
  <si>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</si>
  <si>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</si>
  <si>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Kerosene type fuels JP_4 and JP_5, Jet A, A_1 and B, JP_8</t>
  </si>
  <si>
    <t>Kerosene type fuels JP_4 and JP_5, Jet A, A_1 and B, JP_9</t>
  </si>
  <si>
    <t>Kerosene type fuels JP_4 and JP_5, Jet A, A_1 and B, JP_10</t>
  </si>
  <si>
    <t>Jet A, A_1, and Jet B, JP_4 and JP_5, JP_8</t>
  </si>
  <si>
    <t>Jet A-1</t>
  </si>
  <si>
    <t>Jet-A</t>
  </si>
  <si>
    <t>FuelDensity</t>
  </si>
  <si>
    <t>kg/liter</t>
  </si>
  <si>
    <t>Density</t>
  </si>
  <si>
    <t>FuelCapacityUsable</t>
  </si>
  <si>
    <t>liters</t>
  </si>
  <si>
    <t>CapUsable</t>
  </si>
  <si>
    <t>FuelCapacityUnusable</t>
  </si>
  <si>
    <t>CapUnusable</t>
  </si>
  <si>
    <t>111.0 lb. at 382.2</t>
  </si>
  <si>
    <t>Dimensions</t>
  </si>
  <si>
    <t>Wingspan</t>
  </si>
  <si>
    <t>Aero</t>
  </si>
  <si>
    <t>Span</t>
  </si>
  <si>
    <t>OverallLength</t>
  </si>
  <si>
    <t>Length</t>
  </si>
  <si>
    <t>Height</t>
  </si>
  <si>
    <t>Aerodynamic_Specifications</t>
  </si>
  <si>
    <t>TipChord</t>
  </si>
  <si>
    <t>WingSweep</t>
  </si>
  <si>
    <t>deg</t>
  </si>
  <si>
    <t>Sweep</t>
  </si>
  <si>
    <t>RootChord</t>
  </si>
  <si>
    <t>WingArea</t>
  </si>
  <si>
    <t>m2</t>
  </si>
  <si>
    <t>S</t>
  </si>
  <si>
    <t>WingTipDevice</t>
  </si>
  <si>
    <t>WingtipDevice</t>
  </si>
  <si>
    <t>Mean Aerodynamic Chord</t>
  </si>
  <si>
    <t>MAC</t>
  </si>
  <si>
    <t>Crew</t>
  </si>
  <si>
    <t>FlightCrew</t>
  </si>
  <si>
    <t>NumCrew</t>
  </si>
  <si>
    <t>Attendants</t>
  </si>
  <si>
    <t>NumAttendants</t>
  </si>
  <si>
    <t>Reference_Information</t>
  </si>
  <si>
    <t>Sources</t>
  </si>
  <si>
    <t>References</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</si>
  <si>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</si>
  <si>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</si>
  <si>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</si>
  <si>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</si>
  <si>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</si>
  <si>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</si>
  <si>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</si>
  <si>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</si>
  <si>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</si>
  <si>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</si>
  <si>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</si>
  <si>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</si>
  <si>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</si>
  <si>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</si>
  <si>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</si>
  <si>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</si>
  <si>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</si>
  <si>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</si>
  <si>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</si>
  <si>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</si>
  <si>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</si>
  <si>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</si>
  <si>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</si>
  <si>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</si>
  <si>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</si>
  <si>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</si>
  <si>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</si>
  <si>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</si>
  <si>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</si>
  <si>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</si>
  <si>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</si>
  <si>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</si>
  <si>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</si>
  <si>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747_8 Airplane Characteristics Airport Planning Manual  from December 2012 (D6_58326_3), FAA TCDS No.E00078NE</t>
  </si>
  <si>
    <t>FAA TCDS A2NM,
757 Airport Planning Manual,
757 200/300 Brochure</t>
  </si>
  <si>
    <t>FAA TCDS A2NM,
757 Airport Planning Manual,
757 200F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</si>
  <si>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</si>
  <si>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</si>
  <si>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</si>
  <si>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</si>
  <si>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</si>
  <si>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</si>
  <si>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</si>
  <si>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</si>
  <si>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</si>
  <si>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</si>
  <si>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</si>
  <si>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</si>
  <si>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</si>
  <si>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</si>
  <si>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</si>
  <si>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</si>
  <si>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</si>
  <si>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</si>
  <si>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</si>
  <si>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</si>
  <si>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</si>
  <si>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</si>
  <si>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</si>
  <si>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</si>
  <si>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</si>
  <si>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</si>
  <si>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</si>
  <si>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</si>
  <si>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</si>
  <si>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https://www.globalair.com/aircraft_for_sale/specifications?specid=10</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</si>
  <si>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</si>
  <si>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</si>
  <si>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</si>
  <si>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</si>
  <si>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EASA TCDS No. EASA TC NO IM.A.020</t>
  </si>
  <si>
    <t>FAA TCDS DC8</t>
  </si>
  <si>
    <t xml:space="preserve">FAA TCDS DC8 </t>
  </si>
  <si>
    <t>FAA TCDS DC8 /  Airport Planning DC8</t>
  </si>
  <si>
    <t>FAA TCDS DC9</t>
  </si>
  <si>
    <t>FAA TCDS DC9 / Airport Planning  DC9</t>
  </si>
  <si>
    <t>FAA TCDS DC9 / Airport Planning MD80</t>
  </si>
  <si>
    <t>FAA TCDS DC10 / Airport Planning DC10</t>
  </si>
  <si>
    <t xml:space="preserve">FAA TCDS DC10 / Airport Planning DC10 / EASA TCDS DC__10 and MD__11 </t>
  </si>
  <si>
    <t xml:space="preserve">FAA TCDS DC10 </t>
  </si>
  <si>
    <t xml:space="preserve">FAA TCDS DC10  / EASA TCDS DC__10 and MD__11 / MD11 Airport Planning Manual </t>
  </si>
  <si>
    <t>FAA TCDS DC10  / EASA TCDS DC__10 and MD__11 / MD11 Airport Planning Manual</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</si>
  <si>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</si>
  <si>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</si>
  <si>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</si>
  <si>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</si>
  <si>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</si>
  <si>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</si>
  <si>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</si>
  <si>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</si>
  <si>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There is inconsistencey between airbus brocuhure and EASA</t>
  </si>
  <si>
    <t>***There are no trustable sources that exist. However, there are some specification data for this aircraft available in the Green Book on Wikipedia and other Google websites</t>
  </si>
  <si>
    <t>**The only trustworthy sources for this aircraft are EASA and the user manual. However, some of the data contradicts each other. The information entered in our database is based on EASA data</t>
  </si>
  <si>
    <t>***There are very high-level specifications existing on the BAE system website, including MTOW (Maximum Takeoff Weight), cruise speed, wing span, and the number of passengers. However, there are no TCDS (Type Certification Data Sheets), Airport Planning Manuals, or any documents endorsed by the FAA or EASA</t>
  </si>
  <si>
    <t>ATR</t>
  </si>
  <si>
    <t>Lockheed</t>
  </si>
  <si>
    <t>DHC</t>
  </si>
  <si>
    <t>OtherManufacturers</t>
  </si>
  <si>
    <t>ATR42_300</t>
  </si>
  <si>
    <t>ATR42_320</t>
  </si>
  <si>
    <t>ATR42_300_F</t>
  </si>
  <si>
    <t>ATR42_400</t>
  </si>
  <si>
    <t>ATR42_500</t>
  </si>
  <si>
    <t>ATR42_600</t>
  </si>
  <si>
    <t>ATR72_200</t>
  </si>
  <si>
    <t>ATR72_200_F</t>
  </si>
  <si>
    <t>ATR72_210</t>
  </si>
  <si>
    <t>ATR72_500</t>
  </si>
  <si>
    <t>ATR72_600</t>
  </si>
  <si>
    <t>L_100</t>
  </si>
  <si>
    <t>L_100B</t>
  </si>
  <si>
    <t>L_100_20E</t>
  </si>
  <si>
    <t>L_100_20F</t>
  </si>
  <si>
    <t>L_100_30</t>
  </si>
  <si>
    <t>LM_100J</t>
  </si>
  <si>
    <t>C_130J_30</t>
  </si>
  <si>
    <t>KC_130J</t>
  </si>
  <si>
    <t>HC_130J</t>
  </si>
  <si>
    <t>SC_130J</t>
  </si>
  <si>
    <t>C_130XJ</t>
  </si>
  <si>
    <t>DHC_7_1</t>
  </si>
  <si>
    <t>DHC_7_100</t>
  </si>
  <si>
    <t>DHC_7_101</t>
  </si>
  <si>
    <t>DHC_7_102</t>
  </si>
  <si>
    <t>DHC_7_103</t>
  </si>
  <si>
    <t>DHC_8_102</t>
  </si>
  <si>
    <t>DHC_8_103</t>
  </si>
  <si>
    <t>DHC_8_106</t>
  </si>
  <si>
    <t>DHC_8_201</t>
  </si>
  <si>
    <t>DHC_8_202</t>
  </si>
  <si>
    <t>DHC_8_301</t>
  </si>
  <si>
    <t>DHC_8_311</t>
  </si>
  <si>
    <t>DHC_8_314</t>
  </si>
  <si>
    <t>DHC_8_315</t>
  </si>
  <si>
    <t>DHC_8_401</t>
  </si>
  <si>
    <t>DHC_8_402</t>
  </si>
  <si>
    <t>EMB_120</t>
  </si>
  <si>
    <t>EMB_120_ER</t>
  </si>
  <si>
    <t>EMB_120_FC</t>
  </si>
  <si>
    <t>EMB_120_RT</t>
  </si>
  <si>
    <t>EMB_110_P1</t>
  </si>
  <si>
    <t>EMB_110_P1_41</t>
  </si>
  <si>
    <t>EMB_110_P2</t>
  </si>
  <si>
    <t>D328_100</t>
  </si>
  <si>
    <t>D328_110</t>
  </si>
  <si>
    <t>D328_120</t>
  </si>
  <si>
    <t>D328_130</t>
  </si>
  <si>
    <t>D228_100</t>
  </si>
  <si>
    <t>D228_101</t>
  </si>
  <si>
    <t>D228_200</t>
  </si>
  <si>
    <t>D228_201</t>
  </si>
  <si>
    <t>D228_202</t>
  </si>
  <si>
    <t>D228_212</t>
  </si>
  <si>
    <t>D228_NG</t>
  </si>
  <si>
    <t>SA226_TC</t>
  </si>
  <si>
    <t>SA227_AC</t>
  </si>
  <si>
    <t>SA227_PC</t>
  </si>
  <si>
    <t>SA227_BC</t>
  </si>
  <si>
    <t>Saab_340A</t>
  </si>
  <si>
    <t>Saab_340B</t>
  </si>
  <si>
    <t>US1A</t>
  </si>
  <si>
    <t>Beech_1900</t>
  </si>
  <si>
    <t>Beech_1900D</t>
  </si>
  <si>
    <t>De Havilland Canada</t>
  </si>
  <si>
    <t>Fairchild-Dornier</t>
  </si>
  <si>
    <t>General Atomics</t>
  </si>
  <si>
    <t>Fairchild Aircraft</t>
  </si>
  <si>
    <t>Saab AB</t>
  </si>
  <si>
    <t>Shin Maywa</t>
  </si>
  <si>
    <t>Beechcraft</t>
  </si>
  <si>
    <t>PS1</t>
  </si>
  <si>
    <t>US2</t>
  </si>
  <si>
    <t>ATR42_320_F</t>
  </si>
  <si>
    <t>Model 382</t>
  </si>
  <si>
    <t>Model 382B</t>
  </si>
  <si>
    <t>Model 382E</t>
  </si>
  <si>
    <t>Model 382F</t>
  </si>
  <si>
    <t>Model 382G</t>
  </si>
  <si>
    <t>Model 382J</t>
  </si>
  <si>
    <t>MC_130J</t>
  </si>
  <si>
    <t>US1</t>
  </si>
  <si>
    <t>C-12J</t>
  </si>
  <si>
    <t>UE-1</t>
  </si>
  <si>
    <t>Hercules</t>
  </si>
  <si>
    <t>Hercules II
Super Hercules</t>
  </si>
  <si>
    <t>Super Hercules</t>
  </si>
  <si>
    <t>Dash 7</t>
  </si>
  <si>
    <t>Dash 8, Q100</t>
  </si>
  <si>
    <t>Dash 8, Q200A</t>
  </si>
  <si>
    <t>Dash 8, Q200B</t>
  </si>
  <si>
    <t>Dash 8, Q300</t>
  </si>
  <si>
    <t>Dash 8, Q400</t>
  </si>
  <si>
    <t>Brasilias</t>
  </si>
  <si>
    <t>Bandierantes</t>
  </si>
  <si>
    <t>Metroliner</t>
  </si>
  <si>
    <t>Amphibian</t>
  </si>
  <si>
    <t>PW_120</t>
  </si>
  <si>
    <t>PW_121</t>
  </si>
  <si>
    <t>PW_121A</t>
  </si>
  <si>
    <t>PW_127E</t>
  </si>
  <si>
    <t>PW_127M</t>
  </si>
  <si>
    <t>PW_124B</t>
  </si>
  <si>
    <t>PW_127</t>
  </si>
  <si>
    <t>PW_127F</t>
  </si>
  <si>
    <t>Allison_501_D22A</t>
  </si>
  <si>
    <t>Allison_501_D22</t>
  </si>
  <si>
    <t>AE2100_D3</t>
  </si>
  <si>
    <t>PT6A_50</t>
  </si>
  <si>
    <t>PW_120A</t>
  </si>
  <si>
    <t>PW_123C</t>
  </si>
  <si>
    <t>PW_123D</t>
  </si>
  <si>
    <t>PW_123</t>
  </si>
  <si>
    <t>PW_123B</t>
  </si>
  <si>
    <t>PW_123E</t>
  </si>
  <si>
    <t>PW_150A</t>
  </si>
  <si>
    <t>PW_118</t>
  </si>
  <si>
    <t>PT6A_34</t>
  </si>
  <si>
    <t>PW_119B</t>
  </si>
  <si>
    <t>PW_119C</t>
  </si>
  <si>
    <t>TPE_331_5_252D</t>
  </si>
  <si>
    <t>TPE_331_10</t>
  </si>
  <si>
    <t>TPE_331_3U_303G</t>
  </si>
  <si>
    <t>TPE_331_llU_601G</t>
  </si>
  <si>
    <t>PT6A_45R</t>
  </si>
  <si>
    <t>TPE_331_12UA_701G</t>
  </si>
  <si>
    <t>CT7_5A2</t>
  </si>
  <si>
    <t>CT7_9B</t>
  </si>
  <si>
    <t>GE_T64_IHI_10J</t>
  </si>
  <si>
    <t>PT6A_65B</t>
  </si>
  <si>
    <t>PT6A_67D</t>
  </si>
  <si>
    <t>PW123, PW123B, PW123D, PW123E</t>
  </si>
  <si>
    <t>PW123, PW123B, PW123E</t>
  </si>
  <si>
    <t>PW123B, PW123E</t>
  </si>
  <si>
    <t>PW_115</t>
  </si>
  <si>
    <t>PW_118A, PW_118B</t>
  </si>
  <si>
    <t>TPE_331_5B_252D</t>
  </si>
  <si>
    <t>TPE_331_3UW_303G</t>
  </si>
  <si>
    <t>TPE_331_llU_602G</t>
  </si>
  <si>
    <t>TPE_331_12UAR_701G</t>
  </si>
  <si>
    <t xml:space="preserve"> straight high-wing regional airliner </t>
  </si>
  <si>
    <t>regional airliner</t>
  </si>
  <si>
    <t xml:space="preserve">commerical civilian variant of C-130 </t>
  </si>
  <si>
    <t>commerical civilian variant of C-130</t>
  </si>
  <si>
    <t>Combat Delivery, extended fuselage variant of the C-130J</t>
  </si>
  <si>
    <t>aerial refueling</t>
  </si>
  <si>
    <t>special missions, long range patrol</t>
  </si>
  <si>
    <t>airborne surveillance, coastal surveillance</t>
  </si>
  <si>
    <t>Expandable</t>
  </si>
  <si>
    <t>Canadian STOL regional airliner</t>
  </si>
  <si>
    <t xml:space="preserve">Canadian regional airliner, more powerful than DHS-8-100 series </t>
  </si>
  <si>
    <t>Canadian regional airliner, "strecthed seats" , increased payload</t>
  </si>
  <si>
    <t>Canadian regional airliner, "strecthed seats" , landing gear design changed to a slightly swept back design intended to prevent tail strikes</t>
  </si>
  <si>
    <t xml:space="preserve">Canadian regional airliner, "strecthed seats" </t>
  </si>
  <si>
    <t xml:space="preserve">Canadian regional airliner, more seat capacity than previous versions </t>
  </si>
  <si>
    <t>Can be converted from pax to cargo</t>
  </si>
  <si>
    <t>Full cargo version of EMB_120_ER</t>
  </si>
  <si>
    <t>general  purpose for military and civil use</t>
  </si>
  <si>
    <t>quick change cargo/pax based on EMB 110K1</t>
  </si>
  <si>
    <t>Commuter airliner</t>
  </si>
  <si>
    <t>Twin turboprop  short takeoff and landing utility aircraft</t>
  </si>
  <si>
    <t>NG stands for Next Generation</t>
  </si>
  <si>
    <t>little information given</t>
  </si>
  <si>
    <t>air-sea rescue amphibian</t>
  </si>
  <si>
    <t>little information given/available</t>
  </si>
  <si>
    <t>single aisle, short range, low capacity basline</t>
  </si>
  <si>
    <t>single aisle, short range, low capacity</t>
  </si>
  <si>
    <t xml:space="preserve"> short range, low capacity</t>
  </si>
  <si>
    <t>single aisle, short range, low capacity baseline</t>
  </si>
  <si>
    <t>baseline, medium range</t>
  </si>
  <si>
    <t>medium range</t>
  </si>
  <si>
    <t>medium range, single aisle</t>
  </si>
  <si>
    <t>military</t>
  </si>
  <si>
    <t>short range</t>
  </si>
  <si>
    <t>single aisle, low capacity</t>
  </si>
  <si>
    <t>single aisle, extended range, low capacity</t>
  </si>
  <si>
    <t>extended range</t>
  </si>
  <si>
    <t>short range, low capacity</t>
  </si>
  <si>
    <t>baseline, single aisle, short range, low capacity</t>
  </si>
  <si>
    <t>ATR42</t>
  </si>
  <si>
    <t>ATR72</t>
  </si>
  <si>
    <t>LM-100</t>
  </si>
  <si>
    <t>DHC-7</t>
  </si>
  <si>
    <t>DHC-8</t>
  </si>
  <si>
    <t>EMB-110</t>
  </si>
  <si>
    <t>Dornier 328</t>
  </si>
  <si>
    <t>Dornier 228</t>
  </si>
  <si>
    <t>Dornier 229</t>
  </si>
  <si>
    <t>Beech 1900</t>
  </si>
  <si>
    <t>ATR42-300</t>
  </si>
  <si>
    <t>ATR42-400</t>
  </si>
  <si>
    <t>ATR42-500</t>
  </si>
  <si>
    <t>ATR42-600</t>
  </si>
  <si>
    <t>ATR72-200</t>
  </si>
  <si>
    <t>ATR72-500</t>
  </si>
  <si>
    <t>ATR72-600</t>
  </si>
  <si>
    <t>LM-100B</t>
  </si>
  <si>
    <t>LM-100-20E</t>
  </si>
  <si>
    <t>LM-100-20F</t>
  </si>
  <si>
    <t>LM-100-30</t>
  </si>
  <si>
    <t>LM-100J</t>
  </si>
  <si>
    <t>DHC-7-100</t>
  </si>
  <si>
    <t>DHC-8-100</t>
  </si>
  <si>
    <t>DHC-8-200</t>
  </si>
  <si>
    <t>DHC-8-300</t>
  </si>
  <si>
    <t>DHC-8-400</t>
  </si>
  <si>
    <t>EMB_120-ER</t>
  </si>
  <si>
    <t>EMB_120-RT</t>
  </si>
  <si>
    <t>Dornier 328-100</t>
  </si>
  <si>
    <t>Dornier 228-100</t>
  </si>
  <si>
    <t>Dornier 228-200</t>
  </si>
  <si>
    <t>Max Payload</t>
  </si>
  <si>
    <t>MaxPayload</t>
  </si>
  <si>
    <t>Cruise Altitude</t>
  </si>
  <si>
    <t>Power</t>
  </si>
  <si>
    <t>Takeoff</t>
  </si>
  <si>
    <t>kW</t>
  </si>
  <si>
    <t>Max Continuous</t>
  </si>
  <si>
    <t>Cont</t>
  </si>
  <si>
    <t>Max Climb</t>
  </si>
  <si>
    <t>Clb</t>
  </si>
  <si>
    <t>Max Cruise</t>
  </si>
  <si>
    <t>Propeller</t>
  </si>
  <si>
    <t>PropDesignation</t>
  </si>
  <si>
    <t>Hamilton Standard 14 SF-5</t>
  </si>
  <si>
    <t>Hamilton Standard  568F</t>
  </si>
  <si>
    <t>Hamilton Standard 14 SF-11</t>
  </si>
  <si>
    <t>Hamilton Standard  247F-1</t>
  </si>
  <si>
    <t>Hamilton Standard hydromatic propellers Hub 54H60</t>
  </si>
  <si>
    <t>Hamilton Standard hydromatic propellers Hub 54H61</t>
  </si>
  <si>
    <t>Hamilton Standard hydromatic propellers Hub 54H62</t>
  </si>
  <si>
    <t>Hamilton Standard hydromatic propellers Hub 54H63</t>
  </si>
  <si>
    <t>Dowty Aerospace R391/6-132-F/3</t>
  </si>
  <si>
    <t>Dowty Aerospace R391</t>
  </si>
  <si>
    <t>Hamilton Standard 24 PF-305</t>
  </si>
  <si>
    <t>Hamilton Sundstrand Model 14SF-7, 14SF-15 or 14SF-23</t>
  </si>
  <si>
    <t>Hamilton Sundstrand Model 14SF-23</t>
  </si>
  <si>
    <t>Hamilton Sundstrand Model 14SF-15, 14SF-23</t>
  </si>
  <si>
    <t>Dowty Aerospace Propellers Model R408/6-123-F/17</t>
  </si>
  <si>
    <t>Hamilton Sundstrand 14RF-9</t>
  </si>
  <si>
    <t>Hartzell HD‐E6C‐3A</t>
  </si>
  <si>
    <t>Hartzell HD‐E6C‐3B / E13890</t>
  </si>
  <si>
    <t>HD‐E6C‐3B / E13890</t>
  </si>
  <si>
    <t>Hartzell HC-B4TN-5ML/LT10574 FNS</t>
  </si>
  <si>
    <t>Hartzell HC-B4TN-5ML/LT10574</t>
  </si>
  <si>
    <t>Hartzell HC-B3TN-5( )/T10282HB</t>
  </si>
  <si>
    <t>Dowty Rotol R.321/4-82-F/8</t>
  </si>
  <si>
    <t>McCauley 4HFR34C752-()/()-106LA-0</t>
  </si>
  <si>
    <t>McCauley 4HFR34C652()/()-Ll06LA-0</t>
  </si>
  <si>
    <t>Dowty Aerospace R.354/4-123- F/13</t>
  </si>
  <si>
    <t>Hartzell HC_E4A_3A hubs with Hartzell E10950K blades</t>
  </si>
  <si>
    <t>Blades</t>
  </si>
  <si>
    <t>Diameter</t>
  </si>
  <si>
    <t xml:space="preserve">ATR Family Brochure
EASA.A.084 TCDS </t>
  </si>
  <si>
    <t>ATR Family Brochure
ATR Freighter Brochure</t>
  </si>
  <si>
    <t>ATR Family Brochure</t>
  </si>
  <si>
    <t>FAA TCDS NO. A1SO
The international directory of civil aircraft, 2003/2000</t>
  </si>
  <si>
    <t>FAA TCDS NO. A1SO
The international directory of civil aircraft, 2003/2001</t>
  </si>
  <si>
    <t>FAA TCDS NO. A1SO
The international directory of civil aircraft, 2003/2002</t>
  </si>
  <si>
    <t>FAA TCDS NO. A1SO
The international directory of civil aircraft, 2003/2003</t>
  </si>
  <si>
    <t>FAA TCDS NO. A1SO
The international directory of civil aircraft, 2003/2004</t>
  </si>
  <si>
    <t>FAA TCDS NO. A1SO
LM-100J Brochure</t>
  </si>
  <si>
    <t xml:space="preserve">TCDS No. A20EA Websites: dash7.at baesystems.com/en/heritage/de-havilland-canada-dhc-7-dash-7  </t>
  </si>
  <si>
    <t>TCDS No. EASA.IM.A.191.    Airport Planning Manual PSM 1-81-13</t>
  </si>
  <si>
    <t>TCDS No. EASA.IM.A.191.    Airport Planning Manual PSM 1-82-13</t>
  </si>
  <si>
    <t>TCDS No. EASA.IM.A.191.    Airport Planning Manual PSM 1-83-13</t>
  </si>
  <si>
    <t>TCDS No. EASA.IM.A.191.    Airport Planning Manual PSM 1-84-13</t>
  </si>
  <si>
    <t>TCDS EASA.IM.A.188,
FAA TCDS  A31SO</t>
  </si>
  <si>
    <t>TCDS EASA.IM.A.180,
Embraer 120 Airport Planning Manual,
FAA TCDS A31SO</t>
  </si>
  <si>
    <t>EMB 110 Brochure, Brochure Emb-110</t>
  </si>
  <si>
    <t>TCDS EASA.A.096
TCDS EASA.IM.E.041
Hartzell_Application_Manual</t>
  </si>
  <si>
    <t>TCDS EASA.A.096
TCDS EASA.IM.E.041</t>
  </si>
  <si>
    <t>EASA.A.359
Hartzell_Application_Manual
Regourd_aviation_Do228</t>
  </si>
  <si>
    <t>EASA.A.359</t>
  </si>
  <si>
    <t>EASA.A.359
Regourd_aviation_Do228</t>
  </si>
  <si>
    <t>Do_228NG_brochure
TPE331 Infographic</t>
  </si>
  <si>
    <t>FAA No. A8SW</t>
  </si>
  <si>
    <t>EASA.A.068, SAAB 340 Regional Aircraft
Product Catalog</t>
  </si>
  <si>
    <t xml:space="preserve">Amphibious Aircrafts Sample Book pg 59-61
GE_T64_Infographic
</t>
  </si>
  <si>
    <t>TCDS NO. A24CE</t>
  </si>
  <si>
    <t>TCDS NO. A24CE
Raytheon Performance Figures</t>
  </si>
  <si>
    <t>Subparameter</t>
  </si>
  <si>
    <t>Engine_Designation</t>
  </si>
  <si>
    <t>IGNORECOLUMN</t>
  </si>
  <si>
    <t>CFM International</t>
  </si>
  <si>
    <t>Rolls Royce</t>
  </si>
  <si>
    <t>General Electric</t>
  </si>
  <si>
    <t xml:space="preserve">Pratt &amp; Whitney </t>
  </si>
  <si>
    <t>Pratt &amp; Whitney</t>
  </si>
  <si>
    <t>International Aero Engines AG (IAE)</t>
  </si>
  <si>
    <t xml:space="preserve">General Electric </t>
  </si>
  <si>
    <t>BMW/Rolls-Royce</t>
  </si>
  <si>
    <t>Rolls-Royce</t>
  </si>
  <si>
    <t xml:space="preserve">Rolls Royce </t>
  </si>
  <si>
    <t>AlliedSignal Engines</t>
  </si>
  <si>
    <t>Honeywell International Inc</t>
  </si>
  <si>
    <t>Avco Lycoming</t>
  </si>
  <si>
    <t>Lycoming
AlliedSignal
Honeywell Aerospace</t>
  </si>
  <si>
    <t>Engine Alliance</t>
  </si>
  <si>
    <t>Certification_Date</t>
  </si>
  <si>
    <t>Alternate Designation</t>
  </si>
  <si>
    <t>PW_4000_94</t>
  </si>
  <si>
    <t>PW_1100G</t>
  </si>
  <si>
    <t>CFM56_5</t>
  </si>
  <si>
    <t>PW_4000_100</t>
  </si>
  <si>
    <t>JT10D</t>
  </si>
  <si>
    <t>PW_4000_112</t>
  </si>
  <si>
    <t>RB_Trent_877_17</t>
  </si>
  <si>
    <t>RB_Trent_884_17</t>
  </si>
  <si>
    <t>RB_Trent_892_17</t>
  </si>
  <si>
    <t>PW_1500G</t>
  </si>
  <si>
    <t>TFE_731_20AR_1B</t>
  </si>
  <si>
    <t>TFE_731_20R_1B</t>
  </si>
  <si>
    <t>TFE_731_40BR_1B</t>
  </si>
  <si>
    <t>turbofan, dual spool, high bypass</t>
  </si>
  <si>
    <t>triple spool high bypass turbofan</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</si>
  <si>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</si>
  <si>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</si>
  <si>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</si>
  <si>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</si>
  <si>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</si>
  <si>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dual spool turbofan</t>
  </si>
  <si>
    <t>Dual rotor, axial flow, high bypass ratio turbofan engine</t>
  </si>
  <si>
    <t>dual spool geared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</si>
  <si>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</si>
  <si>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</si>
  <si>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</si>
  <si>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</si>
  <si>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</si>
  <si>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</si>
  <si>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t>
  </si>
  <si>
    <t xml:space="preserve">dual, axial 13-stage compressor/ four-stage turbine </t>
  </si>
  <si>
    <t xml:space="preserve">dual, axial 13-stage compresor/ four-stage turbine </t>
  </si>
  <si>
    <t>turbofan, dual axial 15 stage compressor</t>
  </si>
  <si>
    <t>triple spool medium bypass turbofan</t>
  </si>
  <si>
    <t>high bypass turbofan: coaxial front fan driven by multi-stage low pressure turbine</t>
  </si>
  <si>
    <t xml:space="preserve">turbofan, dual axial 15 stage compressor </t>
  </si>
  <si>
    <t>double spool, axial flow, high bypass ratio turbofan</t>
  </si>
  <si>
    <t>triple spool meduum bypas turbofan</t>
  </si>
  <si>
    <t>double spool, axial flow high bypass turbofan</t>
  </si>
  <si>
    <t>turbofan, dual axial 16 compressor</t>
  </si>
  <si>
    <t>twin spool turbofan</t>
  </si>
  <si>
    <t>dual spool turbofan. -112 refers to a 112" fan diameter</t>
  </si>
  <si>
    <t>triple shaft high bypass ratio turbofan</t>
  </si>
  <si>
    <t>dual spool, axial flow, high bypass ratio turbofan</t>
  </si>
  <si>
    <t>Dual spool, axial flow, high bypass ratio turbofan</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</si>
  <si>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</si>
  <si>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turbofan, two_spool</t>
  </si>
  <si>
    <t>doesn't exist</t>
  </si>
  <si>
    <t>doesn't exist anywhere</t>
  </si>
  <si>
    <t xml:space="preserve">turbojet </t>
  </si>
  <si>
    <t>one of the first turbofans ever, dual spool</t>
  </si>
  <si>
    <t>dual axial, 15 stage compressor</t>
  </si>
  <si>
    <t>turborfan, dual spool, high bypass</t>
  </si>
  <si>
    <t>dual, axial 13-stage compressor, four-stage turbine</t>
  </si>
  <si>
    <t>dual, axial 14-stage compressor / four-stage turbine</t>
  </si>
  <si>
    <t>dual, axial 14-stage compressor, four-stage turbine</t>
  </si>
  <si>
    <t>high bypass turbofan: coaxial  front fan driven by multi-stage low pressure turbine</t>
  </si>
  <si>
    <t>dual rotor, axial flow high bypass turbofan</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</si>
  <si>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</si>
  <si>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</si>
  <si>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triple spool, high bypass.</t>
  </si>
  <si>
    <t>dual spool high bypass</t>
  </si>
  <si>
    <t>Number_Sold</t>
  </si>
  <si>
    <t>Max. Takeoff</t>
  </si>
  <si>
    <t>Thrust_Max</t>
  </si>
  <si>
    <t>Max. Cont. Thrust_SLS</t>
  </si>
  <si>
    <t>Thrust_SLS</t>
  </si>
  <si>
    <t>Thrust_Cr</t>
  </si>
  <si>
    <t>Thrust_Crs</t>
  </si>
  <si>
    <t>FPR</t>
  </si>
  <si>
    <t>ratio</t>
  </si>
  <si>
    <t>Bypass_Ratio</t>
  </si>
  <si>
    <t>BPR</t>
  </si>
  <si>
    <t>OPR_SL</t>
  </si>
  <si>
    <t>OPR_SLS</t>
  </si>
  <si>
    <t>OPR_Cruise</t>
  </si>
  <si>
    <t>OPR_Crs</t>
  </si>
  <si>
    <t>Conditions</t>
  </si>
  <si>
    <t>Mach_Crs</t>
  </si>
  <si>
    <t>Altitude_Cr</t>
  </si>
  <si>
    <t>Alt_Crs</t>
  </si>
  <si>
    <t>Dry_Weight</t>
  </si>
  <si>
    <t>DryWeight</t>
  </si>
  <si>
    <t>Fan Diameter</t>
  </si>
  <si>
    <t>DiamFan</t>
  </si>
  <si>
    <t>56.5in</t>
  </si>
  <si>
    <t>Width</t>
  </si>
  <si>
    <t>Fuel Consumption</t>
  </si>
  <si>
    <t>lb_lbf_hr</t>
  </si>
  <si>
    <t>TSFC_SLS</t>
  </si>
  <si>
    <t>Cruise</t>
  </si>
  <si>
    <t>TSFC_Crs</t>
  </si>
  <si>
    <t>Architecture</t>
  </si>
  <si>
    <t>Fan_Stages</t>
  </si>
  <si>
    <t>FanStages</t>
  </si>
  <si>
    <t>Gear_Stages</t>
  </si>
  <si>
    <t>GearStages</t>
  </si>
  <si>
    <t>Gear Ratio</t>
  </si>
  <si>
    <t>GearRatio</t>
  </si>
  <si>
    <t>LPC_Stages (Also Called "Boosters")</t>
  </si>
  <si>
    <t>LPCStages</t>
  </si>
  <si>
    <t>IPC_Stages</t>
  </si>
  <si>
    <t>IPCStages</t>
  </si>
  <si>
    <t>HPC_Stages</t>
  </si>
  <si>
    <t>HPCStages</t>
  </si>
  <si>
    <t>RC_Stages</t>
  </si>
  <si>
    <t>RCStages</t>
  </si>
  <si>
    <t>HPT_Stages</t>
  </si>
  <si>
    <t>HPTStages</t>
  </si>
  <si>
    <t>IPT_Stages</t>
  </si>
  <si>
    <t>IPTStages</t>
  </si>
  <si>
    <t>LPT_Stages</t>
  </si>
  <si>
    <t>LPTStages</t>
  </si>
  <si>
    <t>RPM</t>
  </si>
  <si>
    <t>100% HP</t>
  </si>
  <si>
    <t>rpm</t>
  </si>
  <si>
    <t>HP100</t>
  </si>
  <si>
    <t>100% IP</t>
  </si>
  <si>
    <t>IP100</t>
  </si>
  <si>
    <t>N/A</t>
  </si>
  <si>
    <t>100% LP (Fan)</t>
  </si>
  <si>
    <t>LP100</t>
  </si>
  <si>
    <t>Max Cont % HP</t>
  </si>
  <si>
    <t>percent</t>
  </si>
  <si>
    <t>HPContPer</t>
  </si>
  <si>
    <t>Max Cont % IP</t>
  </si>
  <si>
    <t>IPContPer</t>
  </si>
  <si>
    <t>Max Cont % LP</t>
  </si>
  <si>
    <t>LPContPer</t>
  </si>
  <si>
    <t>Airflow</t>
  </si>
  <si>
    <t>Airflow_SLS</t>
  </si>
  <si>
    <t>kg_s</t>
  </si>
  <si>
    <t>Airflow_Cr</t>
  </si>
  <si>
    <t>Airflow_Crs</t>
  </si>
  <si>
    <t>Temperatures</t>
  </si>
  <si>
    <t>TGT</t>
  </si>
  <si>
    <t>Celsius</t>
  </si>
  <si>
    <t>TurbExitTemp</t>
  </si>
  <si>
    <t>TET</t>
  </si>
  <si>
    <t>kelvin</t>
  </si>
  <si>
    <t>TurbEntryTemp</t>
  </si>
  <si>
    <t>EASA TCDS E.003, Roux</t>
  </si>
  <si>
    <t>Roux
EASA E060
RR Trent Infographic
RR Trent Product Sheet
GTEngines Aviation Weekly 2008</t>
  </si>
  <si>
    <t>EASA E111
Trent XWB Infographic
RR Website</t>
  </si>
  <si>
    <t>Roux, FAA TCDS E23EA</t>
  </si>
  <si>
    <t>Roux / JT9D E3NE TCDS</t>
  </si>
  <si>
    <t>Roux, EASA TCDS IM.E.240</t>
  </si>
  <si>
    <t>Roux
EASA E050
PW Factsheet</t>
  </si>
  <si>
    <t>EASA TCDS E.003, 
Roux</t>
  </si>
  <si>
    <t>EASA TCDS E.003, 
Roux, 
https://www.jet-engine.net/civtfspec.htm</t>
  </si>
  <si>
    <t>Roux
EASA E020
PW Fact Sheet</t>
  </si>
  <si>
    <t>Roux
EASA E020
PW Fact Sheet
GTEngines Weekly 2008</t>
  </si>
  <si>
    <t>EASA TCDS E.067,
Roux</t>
  </si>
  <si>
    <t>EASA-TCDS E069
https://links.prattwhitney.com/i-a-e/products.html
Manufacturer Catalogue
https://booksite.elsevier.com/9780340741528/appendices/data-b/table-1/default.htm</t>
  </si>
  <si>
    <t>LEAP Overview Brochure, EASA.E.110</t>
  </si>
  <si>
    <t>EASA E093
1100G Fact Sheet</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</si>
  <si>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</si>
  <si>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</si>
  <si>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</si>
  <si>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</si>
  <si>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</si>
  <si>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</si>
  <si>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</si>
  <si>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</si>
  <si>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EASA-TCDS E.023
ROUX</t>
  </si>
  <si>
    <t xml:space="preserve">Roux / JT8D TCDS </t>
  </si>
  <si>
    <t>Roux / JT8D TCDS</t>
  </si>
  <si>
    <t>https://web.archive.org/web/20080927015655/http://www.cfm56.com/products/cfm56-3/9674</t>
  </si>
  <si>
    <t xml:space="preserve">https://web.archive.org/web/20080927015655/http://www.cfm56.com/products/cfm56-3/9674 </t>
  </si>
  <si>
    <t>EASA TCDS E.004,
Roux</t>
  </si>
  <si>
    <t>LEAP Overview Brochure, 
TCDS E00088EN</t>
  </si>
  <si>
    <t>Roux / JT9D TCDS</t>
  </si>
  <si>
    <t>Roux
EASA E062
UK CAA TCDS 1043</t>
  </si>
  <si>
    <t>Roux /  CF6 E23EA_Rev_21 TCDS</t>
  </si>
  <si>
    <t>Roux
EASA E062
UK CAA TCDS 1046</t>
  </si>
  <si>
    <t>Roux
EASA E062
UK CAA TCDS 1048</t>
  </si>
  <si>
    <t>EASA E.102, Genx Infographic</t>
  </si>
  <si>
    <t>Roux
EASA E061
UK TCDS 1049</t>
  </si>
  <si>
    <t>FAA TCDS E17NE
Roux</t>
  </si>
  <si>
    <t>FAA TCDS E17NE
Roux
PW2000 fact sheet</t>
  </si>
  <si>
    <t>Roux
EASA E062
UK CAA 1048</t>
  </si>
  <si>
    <t>Roux
EASA E002</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</si>
  <si>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</si>
  <si>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</si>
  <si>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</si>
  <si>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</si>
  <si>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</si>
  <si>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</si>
  <si>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</si>
  <si>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</si>
  <si>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</si>
  <si>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</si>
  <si>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</si>
  <si>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</si>
  <si>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</si>
  <si>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</si>
  <si>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</si>
  <si>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</si>
  <si>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</si>
  <si>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</si>
  <si>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</si>
  <si>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 xml:space="preserve">EASA TCDS E011
</t>
  </si>
  <si>
    <t>Roux  / JT4A TCDS</t>
  </si>
  <si>
    <t>Janes via wikipedia
Roux</t>
  </si>
  <si>
    <t>DC-8 TCDS NO. 4A25, Roux, 
https://web.archive.org/web/20100530091327/http://www.cfm56.com/products/cfm56-2/cfm56-2-technology</t>
  </si>
  <si>
    <t>Roux / JT8D-200 TCDS</t>
  </si>
  <si>
    <t>Roux / JT8D-200  TCDS</t>
  </si>
  <si>
    <t>Roux /  DC10 TCDS</t>
  </si>
  <si>
    <t>Roux
EASA E062
UK CAA 1039</t>
  </si>
  <si>
    <t>Roux
EASA E062
UK CAA 1043</t>
  </si>
  <si>
    <t>GE catalog</t>
  </si>
  <si>
    <t xml:space="preserve">LEAP Overview Brochure, EASA.E.110
Theer are 3 different type of these engines. Which one is selected is unknown for COMAC 919. LEAP1C28 data entered. </t>
  </si>
  <si>
    <t>FAA E6NE
Roux</t>
  </si>
  <si>
    <t>FAA E6NE
https://www.jet-engine.net/civtfspec.htm</t>
  </si>
  <si>
    <t xml:space="preserve">Almost no information about this at all. </t>
  </si>
  <si>
    <t>FAA TCDS No.E00095EN</t>
  </si>
  <si>
    <t>EASA TCDS E012
Roux
Trent 900 Brochure</t>
  </si>
  <si>
    <t>EASA TCDS E026
Roux
GP7000 Brochure</t>
  </si>
  <si>
    <t>Individual Alignment</t>
  </si>
  <si>
    <t>Total Alignment</t>
  </si>
  <si>
    <t>From Jet Aircraft Sheet</t>
  </si>
  <si>
    <t>z</t>
  </si>
  <si>
    <t>triple spool (including free turbine) and a reduction gearbox</t>
  </si>
  <si>
    <t>similar to the D22 except it has cooled turbine blades. single shaft, geared prop. Commercial variant of the T-56s. Orignially produced by allison.</t>
  </si>
  <si>
    <t>single shaft, geared prop. Commercial variant of the T-56s. Orignially produced by allison.</t>
  </si>
  <si>
    <t>double spool including free turbine. All axial HPC</t>
  </si>
  <si>
    <t>double spool including free turbine. Axial and radial HPCs on the same shaft</t>
  </si>
  <si>
    <t>triple spool including free turbine. Can be converted to P121. No longer in production</t>
  </si>
  <si>
    <t>triple spool including free turbine. Can be converted to P123 or D. In production</t>
  </si>
  <si>
    <t>triple spool including free turbine. Can be converted to P123 or C. In production</t>
  </si>
  <si>
    <t>triple spool including free turbine. Can be converted to P123 B,C,D,E. In production</t>
  </si>
  <si>
    <t>triple spool including free turbine. Can be converted into a 123. In production.</t>
  </si>
  <si>
    <t>triple spool including free turbine. Can be converted to P123. In production</t>
  </si>
  <si>
    <t>triple spool including free turbine. In production</t>
  </si>
  <si>
    <t>triple spool including free turbine. Can be converted to a PW 118A</t>
  </si>
  <si>
    <t>triple spool including free turbine. Can be converted to P110C. In production</t>
  </si>
  <si>
    <t>triple spool including free turbine. Can be converted into a 119 C. In production.</t>
  </si>
  <si>
    <t>double spool including free turbine. No longer in production. Axial and radial compressor connected on the same shaft.</t>
  </si>
  <si>
    <t>business class turboprop</t>
  </si>
  <si>
    <t>Equivalent TO</t>
  </si>
  <si>
    <t>Power_SLS_Eq</t>
  </si>
  <si>
    <t>Power_SLS</t>
  </si>
  <si>
    <t>Equivalent Cont</t>
  </si>
  <si>
    <t>Power_Cont_Eq</t>
  </si>
  <si>
    <t>Max. Cont</t>
  </si>
  <si>
    <t>Power_Cont</t>
  </si>
  <si>
    <t>Jet Thrusts</t>
  </si>
  <si>
    <t>JetThrust_Tko</t>
  </si>
  <si>
    <t>Continuous</t>
  </si>
  <si>
    <t>JetThrust_Cont</t>
  </si>
  <si>
    <t>lb_hp_hr</t>
  </si>
  <si>
    <t>BSFC_SLS</t>
  </si>
  <si>
    <t>BSFC_Crs</t>
  </si>
  <si>
    <t>IPC_Ax_Stages</t>
  </si>
  <si>
    <t>IPC_AxStages</t>
  </si>
  <si>
    <t>IPC_R_Stages</t>
  </si>
  <si>
    <t>IPC_RStages</t>
  </si>
  <si>
    <t>HPC_Ax_Stages</t>
  </si>
  <si>
    <t>HPC_AxStages</t>
  </si>
  <si>
    <t>HPC_R_Stages</t>
  </si>
  <si>
    <t>HPC_RStages</t>
  </si>
  <si>
    <t>FT_Stages</t>
  </si>
  <si>
    <t>FTStages</t>
  </si>
  <si>
    <t>Output Shaft Max TO</t>
  </si>
  <si>
    <t>OutMaxTO</t>
  </si>
  <si>
    <t>HP Shaft Max TO</t>
  </si>
  <si>
    <t>HPMaxTO</t>
  </si>
  <si>
    <t>IP Shaft Max TO</t>
  </si>
  <si>
    <t>IPMaxTO</t>
  </si>
  <si>
    <t>Output Shaft Max Cont</t>
  </si>
  <si>
    <t>OutCont</t>
  </si>
  <si>
    <t>HP Shaft Max Cont</t>
  </si>
  <si>
    <t>HPCont</t>
  </si>
  <si>
    <t>IP Shaft Max Cont</t>
  </si>
  <si>
    <t>IPCont</t>
  </si>
  <si>
    <t>Output Torque</t>
  </si>
  <si>
    <t>Max Takeoff</t>
  </si>
  <si>
    <t>Nm</t>
  </si>
  <si>
    <t>Torque_Tko</t>
  </si>
  <si>
    <t>Torque_Cont</t>
  </si>
  <si>
    <t>ITT</t>
  </si>
  <si>
    <t>InterTurbTemp</t>
  </si>
  <si>
    <t>.</t>
  </si>
  <si>
    <t>Kelvin</t>
  </si>
  <si>
    <t>EASA TCDS E041
Roux</t>
  </si>
  <si>
    <t>FAA TCDS E282
Roux</t>
  </si>
  <si>
    <t>Roux</t>
  </si>
  <si>
    <t>FAA E20NE
Roux</t>
  </si>
  <si>
    <t>Roux
FAA E00062EN</t>
  </si>
  <si>
    <t>Roux
FAA E4EA</t>
  </si>
  <si>
    <t>Aircraft</t>
  </si>
  <si>
    <t>SkyhawkF172</t>
  </si>
  <si>
    <t>Cessna172F</t>
  </si>
  <si>
    <t>Cessna172P</t>
  </si>
  <si>
    <t>Cessna172S</t>
  </si>
  <si>
    <t>Cessna172R</t>
  </si>
  <si>
    <t>CessnaT41C</t>
  </si>
  <si>
    <t>Cessna350</t>
  </si>
  <si>
    <t>CessnaT303</t>
  </si>
  <si>
    <t>Cessna172M</t>
  </si>
  <si>
    <t>CessnaF150</t>
  </si>
  <si>
    <t>Cessna150L</t>
  </si>
  <si>
    <t>CessnaT207A</t>
  </si>
  <si>
    <t>Cessna208G</t>
  </si>
  <si>
    <t>Cessna205</t>
  </si>
  <si>
    <t>Cessna310K</t>
  </si>
  <si>
    <t>Cessna310R</t>
  </si>
  <si>
    <t>Cessna_Super337</t>
  </si>
  <si>
    <t>Cessna_Skymaster337</t>
  </si>
  <si>
    <t>Cessna210L_CenturionI</t>
  </si>
  <si>
    <t>Cessna210L_CenturionII</t>
  </si>
  <si>
    <t>CessnaU206G</t>
  </si>
  <si>
    <t>CessnaT206H</t>
  </si>
  <si>
    <t>Cessna182T</t>
  </si>
  <si>
    <t>Cessna162</t>
  </si>
  <si>
    <t>Cessna425</t>
  </si>
  <si>
    <t>Ciruss_RobinR2160</t>
  </si>
  <si>
    <t>CirrusSR20</t>
  </si>
  <si>
    <t>CirrusSR22</t>
  </si>
  <si>
    <t>CirrusSR22T</t>
  </si>
  <si>
    <t>DiamondDA20</t>
  </si>
  <si>
    <t>DiamondDA50RG</t>
  </si>
  <si>
    <t>DiamondDA40NG</t>
  </si>
  <si>
    <t>DiamondDA40XLT</t>
  </si>
  <si>
    <t>IkarusC42</t>
  </si>
  <si>
    <t>MerlinHV100</t>
  </si>
  <si>
    <t>PilatusPC12NGX</t>
  </si>
  <si>
    <t>PiperM350</t>
  </si>
  <si>
    <t>PA28R200</t>
  </si>
  <si>
    <t>Quest_Kodiak100</t>
  </si>
  <si>
    <t>LegacyRG</t>
  </si>
  <si>
    <t>PA28_161</t>
  </si>
  <si>
    <t>PA28_140</t>
  </si>
  <si>
    <t>PA28_181</t>
  </si>
  <si>
    <t>PA32_300_K1A5</t>
  </si>
  <si>
    <t>PA32_300_K1G5</t>
  </si>
  <si>
    <t>PA32_T300</t>
  </si>
  <si>
    <t>PA32T300T</t>
  </si>
  <si>
    <t>PA23_250</t>
  </si>
  <si>
    <t>PA34_200</t>
  </si>
  <si>
    <t>PA34_200T</t>
  </si>
  <si>
    <t>PA46500TP_Meridian</t>
  </si>
  <si>
    <t>PA42_720</t>
  </si>
  <si>
    <t>PA44_180</t>
  </si>
  <si>
    <t>PA44_180T</t>
  </si>
  <si>
    <t>DiamondDA62</t>
  </si>
  <si>
    <t>DHC6_TwinOtter400</t>
  </si>
  <si>
    <t>Daher_TBM700A</t>
  </si>
  <si>
    <t>Avanti_P180</t>
  </si>
  <si>
    <t>Beechcraft_BaronG58</t>
  </si>
  <si>
    <t>Beechcraft_B60Duke</t>
  </si>
  <si>
    <t>Beechcraft_Skipper77</t>
  </si>
  <si>
    <t>Beechcraft_KingAir360</t>
  </si>
  <si>
    <t>Beechcraft_KingAir360ER</t>
  </si>
  <si>
    <t>Beechcraft_KingAir260</t>
  </si>
  <si>
    <t>Beechcraft_KingAir250</t>
  </si>
  <si>
    <t>Beechcraft_Kind350ER</t>
  </si>
  <si>
    <t>Beechcraft2000</t>
  </si>
  <si>
    <t>Beechcraft_BonanzaG36</t>
  </si>
  <si>
    <t>Dornier328TP</t>
  </si>
  <si>
    <t>Bombardier_Q200_201</t>
  </si>
  <si>
    <t>Bombardier_Q300_311</t>
  </si>
  <si>
    <t>Bombardier_Q400_402</t>
  </si>
  <si>
    <t>Bombardier_Q100_103</t>
  </si>
  <si>
    <t>Bombardier_Q100_102</t>
  </si>
  <si>
    <t>SAAB_340A</t>
  </si>
  <si>
    <t>EMB_120RT_Brasilia_118</t>
  </si>
  <si>
    <t>EMB_120ER_Brasilia_118</t>
  </si>
  <si>
    <t>EMB_120RT_Brasilia_118A</t>
  </si>
  <si>
    <t>EMB_120ER_Brasilia_118A</t>
  </si>
  <si>
    <t>Boeing_777_200_PW4077</t>
  </si>
  <si>
    <t>Boeing_777_200ER_PW4090</t>
  </si>
  <si>
    <t>Boeing_777_200LR_110B1</t>
  </si>
  <si>
    <t>A340_500_WV001_Trent553</t>
  </si>
  <si>
    <t>A340_600_WV001_Trent556</t>
  </si>
  <si>
    <t>A340_300_5C2</t>
  </si>
  <si>
    <t>A340_300_5C3</t>
  </si>
  <si>
    <t>A340_300_5C4</t>
  </si>
  <si>
    <t>A340_200_5C4</t>
  </si>
  <si>
    <t>A340_200_5C3</t>
  </si>
  <si>
    <t>A340_200_5C2</t>
  </si>
  <si>
    <t>Boeing_747_400_80C2B1F</t>
  </si>
  <si>
    <t>Boeing_747_400_PW4056</t>
  </si>
  <si>
    <t>Boeing_747_400_524G2</t>
  </si>
  <si>
    <t>A330_300_WV020_80E1A</t>
  </si>
  <si>
    <t>Boeing_767_300_PW4052</t>
  </si>
  <si>
    <t>Boeing_767_300ER_PW4062</t>
  </si>
  <si>
    <t>Boeing_767_300ER_80C2B7F1</t>
  </si>
  <si>
    <t>Boeing_767_400ER_PW4062</t>
  </si>
  <si>
    <t>Boeing_767_400ER_80C2B8F</t>
  </si>
  <si>
    <t>A350_900_WV010_XWB84</t>
  </si>
  <si>
    <t>A350_1000_WV002_XWB97</t>
  </si>
  <si>
    <t>DC10_Series10_6D</t>
  </si>
  <si>
    <t>DC10_Series10_6D1</t>
  </si>
  <si>
    <t>DC10_Series30_50C</t>
  </si>
  <si>
    <t>DC10_Series30_50C1</t>
  </si>
  <si>
    <t>DC10_Series_40_20</t>
  </si>
  <si>
    <t>DC10_Series40_59A</t>
  </si>
  <si>
    <t>A380_800_WV000_Trent900</t>
  </si>
  <si>
    <t>Boeing_747_400ER_PW4062</t>
  </si>
  <si>
    <t>Boeing_747_400ER_524H8_T</t>
  </si>
  <si>
    <t>Boeing_747_400ER_80C2B5F</t>
  </si>
  <si>
    <t>DC_8_10_JT3C</t>
  </si>
  <si>
    <t>DC_8_20_JT4A</t>
  </si>
  <si>
    <t>DC_8_30_JT4A</t>
  </si>
  <si>
    <t>DC_8_43_RCo12</t>
  </si>
  <si>
    <t>DC_8_55_JT3D_3B</t>
  </si>
  <si>
    <t>DC_8_61_JT3D_3B</t>
  </si>
  <si>
    <t>DC_8_62_JT3D_3B</t>
  </si>
  <si>
    <t>DC_8_63_JT3D_3B</t>
  </si>
  <si>
    <t>DC_8_71_CFM56_2_C1</t>
  </si>
  <si>
    <t>DC_8_72_CFM56_2_C1</t>
  </si>
  <si>
    <t>DC_8_73_CFM56_2_C1</t>
  </si>
  <si>
    <t>Boeing_720_JT3C_7</t>
  </si>
  <si>
    <t>Boeing_720B_JT3D_1</t>
  </si>
  <si>
    <t>Boeing_707_120B_JT3D_1</t>
  </si>
  <si>
    <t>Boeing_707_320_JT4A_11</t>
  </si>
  <si>
    <t>Boeing_707_420_Rco_12</t>
  </si>
  <si>
    <t>Boeing_707_320B_JT3D_3B</t>
  </si>
  <si>
    <t>Boeing_707_320C_JT3D_7</t>
  </si>
  <si>
    <t>Boeing_717_200_BR715_A1_30</t>
  </si>
  <si>
    <t>Boeing_717_200_BR715_C1_30</t>
  </si>
  <si>
    <t>Boeing_727_100_JT8D_7</t>
  </si>
  <si>
    <t>Boeing_727_100_JT8D_9</t>
  </si>
  <si>
    <t>Boeing_727_100C_JT8D_7</t>
  </si>
  <si>
    <t>Boeing_727_100C_JT8D_9</t>
  </si>
  <si>
    <t>Boeing_727_200_JT8D_9</t>
  </si>
  <si>
    <t>Boeing_ADV727_200_JT8D_15</t>
  </si>
  <si>
    <t>Boeing_ADV727_200_JT8D_17</t>
  </si>
  <si>
    <t>Boeing_ADV727_200_JT8D_17R</t>
  </si>
  <si>
    <t>Boeing_737_100_JT8D_7</t>
  </si>
  <si>
    <t>Boeing_737_200_JT8D_9A_1</t>
  </si>
  <si>
    <t>Boeing_737_200_JT8D_9A_2</t>
  </si>
  <si>
    <t>Boeing_737_200_ADV_JT8D_15A_1</t>
  </si>
  <si>
    <t>Boeing_737_200_ADV_JT8D_15A_2</t>
  </si>
  <si>
    <t>Boeing_737_200_ADV_JT8D_17A_1</t>
  </si>
  <si>
    <t>Boeing_737_200_ADV_JT8D_17A_2</t>
  </si>
  <si>
    <t>Boeing_737_200C_ADV_JT8D_17A_1</t>
  </si>
  <si>
    <t>Boeing_737_200C_ADV_JT8D_17A_2</t>
  </si>
  <si>
    <t>Boeing_737_300_CFM56_3B1</t>
  </si>
  <si>
    <t>Boeing_737_300_CFM56_3B2</t>
  </si>
  <si>
    <t>Boeing_737_400_CFM56_3B2</t>
  </si>
  <si>
    <t>Boeing_737_400_CFM56_3C1</t>
  </si>
  <si>
    <t>Boeing_737_500_CFM56_3B1</t>
  </si>
  <si>
    <t>Boeing_737_600_CFM56_7_7B18</t>
  </si>
  <si>
    <t>Boeing_737_700_CFM56_7_7B20</t>
  </si>
  <si>
    <t>Boeing_737_800_CFM56_7_7B24</t>
  </si>
  <si>
    <t>Boeing_737_900_CFM56_7_7B26</t>
  </si>
  <si>
    <t>Boeing_737_900ER_CFM56_7_7B26</t>
  </si>
  <si>
    <t>Boeing_737_BBJ</t>
  </si>
  <si>
    <t>Boeing_737_BBJ2</t>
  </si>
  <si>
    <t>Boeing_MAX_737_7</t>
  </si>
  <si>
    <t>Boeing_MAX_737_8</t>
  </si>
  <si>
    <t>Boeing_MAX_737_8_200</t>
  </si>
  <si>
    <t>Boeing_MAX_737_9</t>
  </si>
  <si>
    <t>Boeing_MAX_737_10</t>
  </si>
  <si>
    <t>BBJ_MAX_8</t>
  </si>
  <si>
    <t>BBJ_MAX_9</t>
  </si>
  <si>
    <t>Boeing_757_200_PW2037</t>
  </si>
  <si>
    <t>Boeing_757_200_PW2040</t>
  </si>
  <si>
    <t>Boeing_757_200_RB211_535C</t>
  </si>
  <si>
    <t>Boeing_757_200_RB211_535E4</t>
  </si>
  <si>
    <t>Boeing_757_200PF_PW2037</t>
  </si>
  <si>
    <t>Boeing_757_200PF_PW2040</t>
  </si>
  <si>
    <t>Boeing_757_300_PW2040</t>
  </si>
  <si>
    <t>Boeing_757_300_PW2043</t>
  </si>
  <si>
    <t>Boeing_757_300_RB211_535E4</t>
  </si>
  <si>
    <t>Boeing_757_300_RB211_535E4B</t>
  </si>
  <si>
    <t>Boeing_767_200_JT9D_7R4D</t>
  </si>
  <si>
    <t>Boeing_767_200_CF6_80A</t>
  </si>
  <si>
    <t>Boeing_767_200_JT9D_7R4E</t>
  </si>
  <si>
    <t>Boeing_767_200_CF6_80A2</t>
  </si>
  <si>
    <t>Boeing_767_200_PW4052</t>
  </si>
  <si>
    <t>Boeing_767_200_CF6_80C2_B2</t>
  </si>
  <si>
    <t>Boeing_767_200ER_CF6_80C2_B4</t>
  </si>
  <si>
    <t>Boeing_767_200ER_PW4056</t>
  </si>
  <si>
    <t>Boeing_767_200ER_RB211_524G</t>
  </si>
  <si>
    <t>Boeing_767_200ER_RB211_524H</t>
  </si>
  <si>
    <t>A310_200_WV000_CF6_80A3</t>
  </si>
  <si>
    <t>A310_200_WV007_JT9D_7R4D1</t>
  </si>
  <si>
    <t>A310_200_WV008_CF6_80A3</t>
  </si>
  <si>
    <t>A310_200_WV104_CF6_80A3</t>
  </si>
  <si>
    <t>A310_200_WV104_JT9D_7R4E1</t>
  </si>
  <si>
    <t>A310_300_WV000_CF6_80C2A2</t>
  </si>
  <si>
    <t>A310_300_WV003_JT9D_7R4E1</t>
  </si>
  <si>
    <t>A310_300_WV012_PW_4156A</t>
  </si>
  <si>
    <t>A310_300_WV008_CF6_80C2A2</t>
  </si>
  <si>
    <t>A318_111_WV000_CFM56_5B8_P</t>
  </si>
  <si>
    <t>A318_121_WV000_PW6122A</t>
  </si>
  <si>
    <t>A318_112_WV005_CFM_56_5B9_P</t>
  </si>
  <si>
    <t>A318_122_WV005_PW6124A</t>
  </si>
  <si>
    <t>A319_111_WV000_CFM56_5B5</t>
  </si>
  <si>
    <t>A319_114_WV002_CFM56_5A5</t>
  </si>
  <si>
    <t>A319_115_WV002_CFM56_5B7</t>
  </si>
  <si>
    <t>A319_131_WV007_V2522_A5</t>
  </si>
  <si>
    <t>A319_133_WV007_V2527M_A5</t>
  </si>
  <si>
    <t>A319_151NEO_WV050_LEAP_1A24</t>
  </si>
  <si>
    <t>A319_153NEO_WV054_LEAP_1A26</t>
  </si>
  <si>
    <t>A319_171NEO_WV051_PW_1124G1_JM</t>
  </si>
  <si>
    <t>A320_211_WV000_CFM56_5A1</t>
  </si>
  <si>
    <t>A320_212_WV008_CFM56_5A3</t>
  </si>
  <si>
    <t>A320_214_WV015_CFM56_5B4</t>
  </si>
  <si>
    <t>A320_231_WV000_V2500_A1</t>
  </si>
  <si>
    <t>A320_232_WV015_V2527_A5</t>
  </si>
  <si>
    <t>A320_252NEO_WV050_LEAP_1A24</t>
  </si>
  <si>
    <t>A320_251NEO_WV055_LEAP_1A26</t>
  </si>
  <si>
    <t>A320_271NEO_WV054_PW1127G_JM</t>
  </si>
  <si>
    <t>A320_272NEO_WV051_PW1124G1_JM</t>
  </si>
  <si>
    <t>A320_253NEO_WV055_LEAP_1A29</t>
  </si>
  <si>
    <t>A320_273NEO_WV055_PW1129G_JM</t>
  </si>
  <si>
    <t>A321_111_WV000_CFM56_5B1</t>
  </si>
  <si>
    <t>A321_131_WV000_V2530_A5</t>
  </si>
  <si>
    <t>A321_213_WV000_CFM56_5B2</t>
  </si>
  <si>
    <t>A321_211_WV011_CFM56_5B3_P</t>
  </si>
  <si>
    <t>A321_231_WV011_V2533_A5</t>
  </si>
  <si>
    <t>A321_252NEO_WV050_LEAP_1A30</t>
  </si>
  <si>
    <t>A321_251NEO_WV052_LEAP_1A32</t>
  </si>
  <si>
    <t>A321_271NEO_WV053_PW1133G_JM</t>
  </si>
  <si>
    <t>A321_253NEO_WV071_LEAP_1A33</t>
  </si>
  <si>
    <t>A321_253NEO_XLR_WV099_LEAP_1A35</t>
  </si>
  <si>
    <t>A321_272NEO_XLR_WV100_PW1130G_JM</t>
  </si>
  <si>
    <t>ERJ_170_100_CF34_8E5</t>
  </si>
  <si>
    <t>ERJ_170_100LR_CF34_8E5</t>
  </si>
  <si>
    <t>ERJ_170_100AR_CF34_8E5A1</t>
  </si>
  <si>
    <t>ERJ_170_200_CF34_8E5</t>
  </si>
  <si>
    <t>ERJ_170_200LR_CF34_8E5</t>
  </si>
  <si>
    <t>ERJ_170_200AR_CF34_8E5A1</t>
  </si>
  <si>
    <t>ERJ_190_100_CF34_10E5</t>
  </si>
  <si>
    <t>ERJ_190_100LR_CF34_10E5</t>
  </si>
  <si>
    <t>ERJ_190_100AR_CF34_10E5A1</t>
  </si>
  <si>
    <t>ERJ_190_200_CF34_10E5</t>
  </si>
  <si>
    <t>ERJ_190_200LR_CF34_10E5</t>
  </si>
  <si>
    <t>ERJ_190_200AR_CF34_10E5A1</t>
  </si>
  <si>
    <t>ERJ_135_ER_</t>
  </si>
  <si>
    <t>ERJ_135_LR</t>
  </si>
  <si>
    <t>ERJ_140_LR</t>
  </si>
  <si>
    <t>ERJ_145_ER_AE_3007A1_1</t>
  </si>
  <si>
    <t>ERJ_145_LR_AE_3007A1</t>
  </si>
  <si>
    <t>ERJ_145XR_LR</t>
  </si>
  <si>
    <t>ERJ_175_E2</t>
  </si>
  <si>
    <t>ERJ_190_E2_1</t>
  </si>
  <si>
    <t>ERJ_190_E2_2</t>
  </si>
  <si>
    <t>ERJ_195_E2</t>
  </si>
  <si>
    <t>CRJ_100ER</t>
  </si>
  <si>
    <t>CRJ_100LR</t>
  </si>
  <si>
    <t>CRJ_200ER</t>
  </si>
  <si>
    <t>CRJ_200LR</t>
  </si>
  <si>
    <t>CRJ_700_CL6002C10</t>
  </si>
  <si>
    <t>CRJ_900_CL6002D24</t>
  </si>
  <si>
    <t>CRJ_900_CL6002D15</t>
  </si>
  <si>
    <t>CRJ_1000_CL6002E24</t>
  </si>
  <si>
    <t>see notes</t>
  </si>
  <si>
    <t xml:space="preserve">see notes </t>
  </si>
  <si>
    <t>See Notes</t>
  </si>
  <si>
    <t>Reference_Update_Years</t>
  </si>
  <si>
    <t>1994, 2006</t>
  </si>
  <si>
    <t>2004, 2012</t>
  </si>
  <si>
    <t>2007, 2012</t>
  </si>
  <si>
    <t>2008, 2022</t>
  </si>
  <si>
    <t>1983, 1984</t>
  </si>
  <si>
    <t>1973, 2003</t>
  </si>
  <si>
    <t>2022, 1967</t>
  </si>
  <si>
    <t>1973, 2022</t>
  </si>
  <si>
    <t>1980, 2012</t>
  </si>
  <si>
    <t>2012, 2008</t>
  </si>
  <si>
    <t>2022, 1963</t>
  </si>
  <si>
    <t>1984, 2022</t>
  </si>
  <si>
    <t>1976, 2012</t>
  </si>
  <si>
    <t>1971, 2012</t>
  </si>
  <si>
    <t>1972, 2012</t>
  </si>
  <si>
    <t>2000, 2012</t>
  </si>
  <si>
    <t>2001, 2005</t>
  </si>
  <si>
    <t>2006, 2010</t>
  </si>
  <si>
    <t>2022, 2009</t>
  </si>
  <si>
    <t>1998, 2012, 2022</t>
  </si>
  <si>
    <t>2022, 2003</t>
  </si>
  <si>
    <t>2022, 2013</t>
  </si>
  <si>
    <t>2022, 2016</t>
  </si>
  <si>
    <t>2006, 2022, 2019</t>
  </si>
  <si>
    <t>1987, 2017</t>
  </si>
  <si>
    <t>2009, 1998, 2022</t>
  </si>
  <si>
    <t>2022, 2008</t>
  </si>
  <si>
    <t>1976, 2006</t>
  </si>
  <si>
    <t>2006, 1984</t>
  </si>
  <si>
    <t>2020, 2012</t>
  </si>
  <si>
    <t>2006, 2022, 1975</t>
  </si>
  <si>
    <t>2012, 1972</t>
  </si>
  <si>
    <t>2012, 1980, 2022</t>
  </si>
  <si>
    <t>2018, 2022, 2005</t>
  </si>
  <si>
    <t>1998, 1987, 2022</t>
  </si>
  <si>
    <t>1995, 2022, 2005</t>
  </si>
  <si>
    <t>2007, 2022, 1980</t>
  </si>
  <si>
    <t>2017, 2022</t>
  </si>
  <si>
    <t>2014, 1998, 2018</t>
  </si>
  <si>
    <t>1998, 2022, 2010</t>
  </si>
  <si>
    <t>2005, 2006</t>
  </si>
  <si>
    <t>2007, 1983</t>
  </si>
  <si>
    <t>1987, 2020, 2007</t>
  </si>
  <si>
    <t>2022, 2021</t>
  </si>
  <si>
    <t>2019, 2022, 2015</t>
  </si>
  <si>
    <t>2014, 1998</t>
  </si>
  <si>
    <t>1996, 1998, 2008</t>
  </si>
  <si>
    <t>2022, 1982</t>
  </si>
  <si>
    <t>2018, 2021</t>
  </si>
  <si>
    <t>2022, 2000</t>
  </si>
  <si>
    <t>1994, 2022</t>
  </si>
  <si>
    <t>2014, 2022</t>
  </si>
  <si>
    <t>2018, 2022, 1999</t>
  </si>
  <si>
    <t>2001, 2020</t>
  </si>
  <si>
    <t>2019, 2018, 2021</t>
  </si>
  <si>
    <t>2018, 2015, 2022</t>
  </si>
  <si>
    <t>2018, 2020</t>
  </si>
  <si>
    <t>2020, 2018</t>
  </si>
  <si>
    <t>2014, 2018</t>
  </si>
  <si>
    <t>2018, 2011</t>
  </si>
  <si>
    <t>2015, 2022, 2018</t>
  </si>
  <si>
    <t>2010, 2020</t>
  </si>
  <si>
    <t>2022, 2020, 1998</t>
  </si>
  <si>
    <t>2022, 2021,1998</t>
  </si>
  <si>
    <t>2015, 2019, 2022, 2012</t>
  </si>
  <si>
    <t>2005, 2021, 2007</t>
  </si>
  <si>
    <t>2019, 2021</t>
  </si>
  <si>
    <t>2022, 2002, 2010</t>
  </si>
  <si>
    <t>2012, 2002</t>
  </si>
  <si>
    <t>2019, 2002</t>
  </si>
  <si>
    <t>2022, 1999, 2013</t>
  </si>
  <si>
    <t>2005, 2015, 2022</t>
  </si>
  <si>
    <t>2005, 2015, 2021</t>
  </si>
  <si>
    <t>2022, 2005</t>
  </si>
  <si>
    <t>2005, 2015</t>
  </si>
  <si>
    <t>2022, 2021, 2016</t>
  </si>
  <si>
    <t>2005, 1995, 2001, 2022</t>
  </si>
  <si>
    <t>2015, 2003, 2010</t>
  </si>
  <si>
    <t>2019, 2003, 2010</t>
  </si>
  <si>
    <t>2022, 2003, 2010</t>
  </si>
  <si>
    <t>2002, 1999</t>
  </si>
  <si>
    <t>Entry_To_Service</t>
  </si>
  <si>
    <t>Class</t>
  </si>
  <si>
    <t>Piston&lt;19</t>
  </si>
  <si>
    <t>TP&lt;19</t>
  </si>
  <si>
    <t>TP&gt;19</t>
  </si>
  <si>
    <t>250-500 TJ</t>
  </si>
  <si>
    <t>100-250 TJ</t>
  </si>
  <si>
    <t>20-100 TJ</t>
  </si>
  <si>
    <t>Passengers_2_Class</t>
  </si>
  <si>
    <t>Passengers_1_Class</t>
  </si>
  <si>
    <t>Range_km</t>
  </si>
  <si>
    <t>TO_Speed_mph</t>
  </si>
  <si>
    <t>TO_Speed_kph</t>
  </si>
  <si>
    <t>TO_Speed_m_s</t>
  </si>
  <si>
    <t>Cruise_Speed_Mach</t>
  </si>
  <si>
    <t>Cruise_Speed_kph</t>
  </si>
  <si>
    <t>Cruise_Speed_m_s</t>
  </si>
  <si>
    <t>TO_Cruise_Speed_Ratio</t>
  </si>
  <si>
    <t>Fan_Pressure_Ratio</t>
  </si>
  <si>
    <t>Design_Payload_kg</t>
  </si>
  <si>
    <t>OEW_kg</t>
  </si>
  <si>
    <t>Max_landing_weight_kg</t>
  </si>
  <si>
    <t>MTOW_kg</t>
  </si>
  <si>
    <t>Fuel_Capacity_L</t>
  </si>
  <si>
    <t>Usable_Fuel_Weight_kg</t>
  </si>
  <si>
    <t>Percent_Fuel</t>
  </si>
  <si>
    <t>Engine</t>
  </si>
  <si>
    <t>Continental O-300 D</t>
  </si>
  <si>
    <t>Continental O-300 C</t>
  </si>
  <si>
    <t>O-320-D2J</t>
  </si>
  <si>
    <t>IO-360-L2A</t>
  </si>
  <si>
    <t xml:space="preserve">IO-550-N </t>
  </si>
  <si>
    <t>TSIO-520-AE</t>
  </si>
  <si>
    <t>O-320-E2D</t>
  </si>
  <si>
    <t>O-200-A</t>
  </si>
  <si>
    <t>TSIO-520-M</t>
  </si>
  <si>
    <t>PT6A-114A</t>
  </si>
  <si>
    <t>IO-470-S</t>
  </si>
  <si>
    <t>IO-470-V</t>
  </si>
  <si>
    <t>IO-520M</t>
  </si>
  <si>
    <t>IO-360-C</t>
  </si>
  <si>
    <t>IO-520-L</t>
  </si>
  <si>
    <t>IO-520-F</t>
  </si>
  <si>
    <t>TIO-540-AJ1A</t>
  </si>
  <si>
    <t>TIO-540-AB1A5</t>
  </si>
  <si>
    <t>O-200-D</t>
  </si>
  <si>
    <t>PT6A-112</t>
  </si>
  <si>
    <t>O-320-D2A</t>
  </si>
  <si>
    <t>IO-360-ES</t>
  </si>
  <si>
    <t>IO-550-N</t>
  </si>
  <si>
    <t>TSIO-550-K</t>
  </si>
  <si>
    <t>IO-240-B32B</t>
  </si>
  <si>
    <t>CD-300</t>
  </si>
  <si>
    <t>AE300</t>
  </si>
  <si>
    <t>Lycoming IO-360- M1A</t>
  </si>
  <si>
    <t>ROTAX 912 ULS</t>
  </si>
  <si>
    <t>ROTAX 582</t>
  </si>
  <si>
    <t xml:space="preserve">PT6E-67XP </t>
  </si>
  <si>
    <t>TIO-540-AE2A</t>
  </si>
  <si>
    <t>IO-360-C1C</t>
  </si>
  <si>
    <t>PT6A-34</t>
  </si>
  <si>
    <t>O-320-E3D</t>
  </si>
  <si>
    <t>IO-360-B4A</t>
  </si>
  <si>
    <t>IO-540-K1A5</t>
  </si>
  <si>
    <t>IO-540-K1G5</t>
  </si>
  <si>
    <t>IO-540-K1G5D</t>
  </si>
  <si>
    <t>TIO-540-S1AD</t>
  </si>
  <si>
    <t>TIO-540-C1A</t>
  </si>
  <si>
    <t>IO-360-C1E6</t>
  </si>
  <si>
    <t>TSIO-360EB</t>
  </si>
  <si>
    <t>PT6A-42A</t>
  </si>
  <si>
    <t>PT6A-61</t>
  </si>
  <si>
    <t>0-360-A1H6</t>
  </si>
  <si>
    <t>TO-360-E1A6D</t>
  </si>
  <si>
    <t>AE330</t>
  </si>
  <si>
    <t>PT6A-64</t>
  </si>
  <si>
    <t>PT6A-66B</t>
  </si>
  <si>
    <t>IO-550-C</t>
  </si>
  <si>
    <t>TIO-541-E1C4</t>
  </si>
  <si>
    <t>O-235-L2C</t>
  </si>
  <si>
    <t>PT6A-60A</t>
  </si>
  <si>
    <t>PT6A-52</t>
  </si>
  <si>
    <t>PT6A-67A</t>
  </si>
  <si>
    <t>Continental IO-550B</t>
  </si>
  <si>
    <t>PW119B</t>
  </si>
  <si>
    <t>PW123C</t>
  </si>
  <si>
    <t>PW123</t>
  </si>
  <si>
    <t>PW150A</t>
  </si>
  <si>
    <t>PW121</t>
  </si>
  <si>
    <t>PW120A</t>
  </si>
  <si>
    <t>GE CT7-5A2</t>
  </si>
  <si>
    <t>PW118</t>
  </si>
  <si>
    <t>PW118A</t>
  </si>
  <si>
    <t>PW127M</t>
  </si>
  <si>
    <t>PW120</t>
  </si>
  <si>
    <t>PW121A</t>
  </si>
  <si>
    <t>PW127F</t>
  </si>
  <si>
    <t>PW124B</t>
  </si>
  <si>
    <t>PW127</t>
  </si>
  <si>
    <t>PW4077</t>
  </si>
  <si>
    <t>PW4090</t>
  </si>
  <si>
    <t>GE90-110B1</t>
  </si>
  <si>
    <t>RR RB211- Trent 553</t>
  </si>
  <si>
    <t>RR RB211-Trent 556</t>
  </si>
  <si>
    <t>CFM56-5C2</t>
  </si>
  <si>
    <t>CFM56-5C3</t>
  </si>
  <si>
    <t>CFM56-5C4</t>
  </si>
  <si>
    <t>GE CF6-80C2B1F</t>
  </si>
  <si>
    <t>PW4056</t>
  </si>
  <si>
    <t>RB211-524G2</t>
  </si>
  <si>
    <t>CF6-80E1A</t>
  </si>
  <si>
    <t>PW4052</t>
  </si>
  <si>
    <t>PW4062</t>
  </si>
  <si>
    <t xml:space="preserve">CF6-80C2B7F1 </t>
  </si>
  <si>
    <t>CF6-80C2B8F</t>
  </si>
  <si>
    <t>Trent XWB 84</t>
  </si>
  <si>
    <t>Trent XWB 97</t>
  </si>
  <si>
    <t>CF6-6D</t>
  </si>
  <si>
    <t>CF6-6D1</t>
  </si>
  <si>
    <t>CF6-50C</t>
  </si>
  <si>
    <t>CF6-50C1</t>
  </si>
  <si>
    <t>JT9D-20</t>
  </si>
  <si>
    <t>JT9D-59A</t>
  </si>
  <si>
    <t>RR Trent 970</t>
  </si>
  <si>
    <t>RB211-524H8-T</t>
  </si>
  <si>
    <t>CF6-80C2B5F</t>
  </si>
  <si>
    <t>JT3C_7</t>
  </si>
  <si>
    <t>R.co._12</t>
  </si>
  <si>
    <t>CFM56_2_C1</t>
  </si>
  <si>
    <t>JT8D_17R</t>
  </si>
  <si>
    <t>JT8D_15A</t>
  </si>
  <si>
    <t>JT8D_17A</t>
  </si>
  <si>
    <t>CFM56_3_B1</t>
  </si>
  <si>
    <t>CFM56_3_B2</t>
  </si>
  <si>
    <t>CFM56_3C1</t>
  </si>
  <si>
    <t>CFM56_7_7B18</t>
  </si>
  <si>
    <t>CFM56_7_7B20</t>
  </si>
  <si>
    <t>CFM56_7_7B24</t>
  </si>
  <si>
    <t>CFM56_7_7B26</t>
  </si>
  <si>
    <t>LEAP_1B27</t>
  </si>
  <si>
    <t>LEAP_1B28B1</t>
  </si>
  <si>
    <t>LEAP_1B28BBJ1</t>
  </si>
  <si>
    <t>PW2037</t>
  </si>
  <si>
    <t>PW2040</t>
  </si>
  <si>
    <t>RB211_535C</t>
  </si>
  <si>
    <t>PW2043</t>
  </si>
  <si>
    <t>RB211_535E4B</t>
  </si>
  <si>
    <t>CF6_80A</t>
  </si>
  <si>
    <t>JT9D_7R4E</t>
  </si>
  <si>
    <t>CF6_80C2_B2</t>
  </si>
  <si>
    <t>CF6_80C2_B4</t>
  </si>
  <si>
    <t>RB211_524G</t>
  </si>
  <si>
    <t>RB211_524H</t>
  </si>
  <si>
    <t>PW 4156A</t>
  </si>
  <si>
    <t xml:space="preserve"> CFM56_5B8/P</t>
  </si>
  <si>
    <t>PW6122A</t>
  </si>
  <si>
    <t>CFM_56_5B9/P</t>
  </si>
  <si>
    <t>PW6124A</t>
  </si>
  <si>
    <t>LEAP 1A24</t>
  </si>
  <si>
    <t>LEAP 1A26</t>
  </si>
  <si>
    <t>PW 1124G1_JM</t>
  </si>
  <si>
    <t>PW1127G_JM</t>
  </si>
  <si>
    <t>PW1124G1_JM</t>
  </si>
  <si>
    <t>PW1129G_JM</t>
  </si>
  <si>
    <t>CFM56_5B3/P</t>
  </si>
  <si>
    <t>LEAP 1A30</t>
  </si>
  <si>
    <t>LEAP 1A32</t>
  </si>
  <si>
    <t>PW1133G_JM</t>
  </si>
  <si>
    <t>LEAP 1A33</t>
  </si>
  <si>
    <t>LEAP 1A35</t>
  </si>
  <si>
    <t>PW1130G_JM</t>
  </si>
  <si>
    <t>CF34_8E5A1</t>
  </si>
  <si>
    <t>AE_3007A1/3</t>
  </si>
  <si>
    <t>AE_3007_A3</t>
  </si>
  <si>
    <t>AE_3007A1/1</t>
  </si>
  <si>
    <t>AE_3007A1</t>
  </si>
  <si>
    <t>AE 3007A1E</t>
  </si>
  <si>
    <t>PW1715G</t>
  </si>
  <si>
    <t>PW1900G</t>
  </si>
  <si>
    <t>GE CF34-3A1</t>
  </si>
  <si>
    <t>GE CF34-3B1</t>
  </si>
  <si>
    <t>GE CF34-8C5</t>
  </si>
  <si>
    <t>GE CF34-8C5A1</t>
  </si>
  <si>
    <t>Engine_Weight_kg</t>
  </si>
  <si>
    <t>Num_Engines</t>
  </si>
  <si>
    <t>Total_Thrust_TO_kN</t>
  </si>
  <si>
    <t>Total_Thrust_Cruise_kN</t>
  </si>
  <si>
    <t>Takeoff_power_MW</t>
  </si>
  <si>
    <t>Cruise_power_MW</t>
  </si>
  <si>
    <t>Total_Engine_Weight_kg</t>
  </si>
  <si>
    <t>Engine_Weight_Fraction</t>
  </si>
  <si>
    <t>Wing_Area_ft2</t>
  </si>
  <si>
    <t>Power_Loading_HP_lb</t>
  </si>
  <si>
    <t>Max_Mach</t>
  </si>
  <si>
    <t>TSFC_Cruise_lb_lb_hr</t>
  </si>
  <si>
    <t>TO_Ground_Run_ft</t>
  </si>
  <si>
    <t>Landing_Roll_ft</t>
  </si>
  <si>
    <t>Wing_AR</t>
  </si>
  <si>
    <t>Thrust_Loading_kN_kg</t>
  </si>
  <si>
    <t>TSFC_TO_lb_lb_hr</t>
  </si>
  <si>
    <t>Engine_year</t>
  </si>
  <si>
    <t>Service_Ceiling_ft</t>
  </si>
  <si>
    <t>Cruise_Altitude_ft</t>
  </si>
  <si>
    <t>31000-35000</t>
  </si>
  <si>
    <t>35000-39000</t>
  </si>
  <si>
    <t>Max_Altitude_ft</t>
  </si>
  <si>
    <t>Altitude_Used_ft</t>
  </si>
  <si>
    <t>Alpha</t>
  </si>
  <si>
    <t>Adjusted_Cruise_Thrust_kN</t>
  </si>
  <si>
    <t>Adjusted_Cruise_Power_MW</t>
  </si>
  <si>
    <t>L_Over_D</t>
  </si>
  <si>
    <t>so notes on first column is not cut off</t>
  </si>
  <si>
    <t>MD_90_30_V2525_D5</t>
  </si>
  <si>
    <t>MD_90_30ER_V2528_D5</t>
  </si>
  <si>
    <t>MD_81_JT8D_209</t>
  </si>
  <si>
    <t>MD_82_JT8D_217</t>
  </si>
  <si>
    <t>MD_88_JT8D_217A</t>
  </si>
  <si>
    <t>MD_83_JT8D_219</t>
  </si>
  <si>
    <t>MD_87_JT8D_217C</t>
  </si>
  <si>
    <t>MD_87_JT8D_217C_auxfuel</t>
  </si>
  <si>
    <t>DC_9_15_JT8D_1</t>
  </si>
  <si>
    <t>DC_9_21_JT8D_11</t>
  </si>
  <si>
    <t>DC_9_32_JT8D_7</t>
  </si>
  <si>
    <t>DC_9_41_JT8D_15</t>
  </si>
  <si>
    <t>DC_9_51_JT8D_17</t>
  </si>
  <si>
    <t>Boeing_737_200_JT8D_9A</t>
  </si>
  <si>
    <t>Boeing_737_200_ADV_JT8D_15A</t>
  </si>
  <si>
    <t>Boeing_737_200_ADV_JT8D_17A</t>
  </si>
  <si>
    <t>Boeing_737_200C_ADV_JT8D_17A</t>
  </si>
  <si>
    <t>ERJ_190_E2</t>
  </si>
  <si>
    <t>Latest data update (year)</t>
  </si>
  <si>
    <t>Entry to Service (year)</t>
  </si>
  <si>
    <t>20 - 100 TJ</t>
  </si>
  <si>
    <t>Passenger 3 class</t>
  </si>
  <si>
    <t>Passengers 2 class</t>
  </si>
  <si>
    <t>Passengers 1 class</t>
  </si>
  <si>
    <t>Range (km)</t>
  </si>
  <si>
    <t>Takeoff Speed (mph)</t>
  </si>
  <si>
    <t>Takeoff Speed (kph)</t>
  </si>
  <si>
    <t>Takeoff Speed (m/s)</t>
  </si>
  <si>
    <t>Cruise speed (mach)</t>
  </si>
  <si>
    <t>Cruise speed (kph)</t>
  </si>
  <si>
    <t>Cruise speed (m/s)</t>
  </si>
  <si>
    <t>Takoff / Cruise Speed Ratio</t>
  </si>
  <si>
    <t>Fan Efficiency</t>
  </si>
  <si>
    <t>Max Landing Weight (kg)</t>
  </si>
  <si>
    <t>Max Takeoff Weight (kg)</t>
  </si>
  <si>
    <t>Fuel Capacity (L)</t>
  </si>
  <si>
    <t>Useable Fuel Weight (kg)</t>
  </si>
  <si>
    <t>% Fuel</t>
  </si>
  <si>
    <t>Engine/Turbine</t>
  </si>
  <si>
    <t>V2528_D5</t>
  </si>
  <si>
    <t>JT8D_217</t>
  </si>
  <si>
    <t>JT8D_217C</t>
  </si>
  <si>
    <t>JT8D_11</t>
  </si>
  <si>
    <t>Engine Thrust at Sea Level (kN)</t>
  </si>
  <si>
    <t>Engine Weight (kg)</t>
  </si>
  <si>
    <t># of Engines</t>
  </si>
  <si>
    <t>Total Takeoff Thrust (kN)</t>
  </si>
  <si>
    <t>Total Cruise Thrust (kN)(Sea Level*.2)</t>
  </si>
  <si>
    <t>Takeoff Power (MW)  (T*V)</t>
  </si>
  <si>
    <t>Cruise Power (MW) (T*V)</t>
  </si>
  <si>
    <t>Total Engine Weight</t>
  </si>
  <si>
    <t>Engine Weight Fraction (%)</t>
  </si>
  <si>
    <t>wing_area_ft2</t>
  </si>
  <si>
    <t>power_loading_lb/lb st</t>
  </si>
  <si>
    <t>max_wing_loading_lb/ft2</t>
  </si>
  <si>
    <t>max_mach_number</t>
  </si>
  <si>
    <t>bypass_ratio</t>
  </si>
  <si>
    <t>specific_fuel_consumption_lb/h/lb</t>
  </si>
  <si>
    <t>takeoff_ground_run_ft</t>
  </si>
  <si>
    <t>Landing_roll_ft</t>
  </si>
  <si>
    <t>wing_aspect_ratio</t>
  </si>
  <si>
    <t xml:space="preserve">Fan Pressure ratio </t>
  </si>
  <si>
    <t>thrust Loading (kg/kN)</t>
  </si>
  <si>
    <t>Payload (kg)</t>
  </si>
  <si>
    <t>Operating Empty Weight (kg)</t>
  </si>
  <si>
    <t>altitude(feet)</t>
  </si>
  <si>
    <t>Entry to Service New</t>
  </si>
  <si>
    <t>specific_fuel_consumption_lb/h/lb_cruise</t>
  </si>
  <si>
    <t>thrust loading (T/W)</t>
  </si>
  <si>
    <t>specific_fuel_consumption_lb/h/lb_takeoff</t>
  </si>
  <si>
    <t>Engine_Year</t>
  </si>
  <si>
    <t>Service Ceiling (ft)</t>
  </si>
  <si>
    <t>Typical Cruise Alt (ft)</t>
  </si>
  <si>
    <t>Max operation Altitude (ft)</t>
  </si>
  <si>
    <t>Altitude Used (ft)</t>
  </si>
  <si>
    <t>Adjusted Cruise Thrust (kN)</t>
  </si>
  <si>
    <t>Adjusted Cruise Power (MW)</t>
  </si>
  <si>
    <t xml:space="preserve">L/D </t>
  </si>
  <si>
    <t>Dfan</t>
  </si>
  <si>
    <t>Trot</t>
  </si>
  <si>
    <t>Trot/Tsl</t>
  </si>
  <si>
    <t>Temperature at cruise (R)</t>
  </si>
  <si>
    <t>rho_alt/rho_sl</t>
  </si>
  <si>
    <t>Variable</t>
  </si>
  <si>
    <t>Units (we want)</t>
  </si>
  <si>
    <t>Value</t>
  </si>
  <si>
    <t>Optional or required</t>
  </si>
  <si>
    <t>Initial Velocity at start of climb altitude</t>
  </si>
  <si>
    <t>m/s</t>
  </si>
  <si>
    <t>Required</t>
  </si>
  <si>
    <t xml:space="preserve">Final Velocity at end of climb altutde </t>
  </si>
  <si>
    <t xml:space="preserve">Initial Altitude at start of climb </t>
  </si>
  <si>
    <t>Final Altitude at end of climb (m)</t>
  </si>
  <si>
    <t xml:space="preserve">Required </t>
  </si>
  <si>
    <t xml:space="preserve">Max Rate of Climb </t>
  </si>
  <si>
    <t>Optional (have default)</t>
  </si>
  <si>
    <t>CLIMB</t>
  </si>
  <si>
    <t xml:space="preserve">Thrust available at sea level </t>
  </si>
  <si>
    <t>Power of the Electric motor (W)</t>
  </si>
  <si>
    <t>W</t>
  </si>
  <si>
    <t xml:space="preserve">Mass at start of cruise </t>
  </si>
  <si>
    <t>this would be the MTOW * fuel fractions... unless we have regression for this</t>
  </si>
  <si>
    <t>Optional (have regression)</t>
  </si>
  <si>
    <t xml:space="preserve">TSFC </t>
  </si>
  <si>
    <t>kg/Ns</t>
  </si>
  <si>
    <t>eta_p = propulsive efficiency (propeller if turboprop)</t>
  </si>
  <si>
    <t>NA</t>
  </si>
  <si>
    <t>eta_gt = gas turbine efficiency (thermal)</t>
  </si>
  <si>
    <t>eta_em = electric motor efficiency</t>
  </si>
  <si>
    <t>eta_eg= electric generator efficiency</t>
  </si>
  <si>
    <t>Aircraft Configuration</t>
  </si>
  <si>
    <t>String</t>
  </si>
  <si>
    <t xml:space="preserve">power split ratio </t>
  </si>
  <si>
    <t xml:space="preserve">Range </t>
  </si>
  <si>
    <t>Required IF final mass not given</t>
  </si>
  <si>
    <t>Final Mass (end of cruise)</t>
  </si>
  <si>
    <t>Required IF Range not given</t>
  </si>
  <si>
    <t xml:space="preserve">Cruise Velocity </t>
  </si>
  <si>
    <t xml:space="preserve">Year </t>
  </si>
  <si>
    <t xml:space="preserve">2021 ? </t>
  </si>
  <si>
    <t xml:space="preserve">Specifc Energy of Fuel </t>
  </si>
  <si>
    <t>J/kg</t>
  </si>
  <si>
    <t>L/D</t>
  </si>
  <si>
    <t>ncases</t>
  </si>
  <si>
    <t xml:space="preserve">eta_prop = propeller efficiency </t>
  </si>
  <si>
    <t>80-90</t>
  </si>
  <si>
    <t>Optional (need to get default from professor)</t>
  </si>
  <si>
    <t>Airport Planning Manual_A319 / Airbus A319_A320 Corporate Jet Webpage / TCDS A320 Family / ACJneo Brochure / General Aviation Manufacturer's Association Annual Report,https://www.bjtonline.com/aircraft/airbus-acj319</t>
  </si>
  <si>
    <t>shortened-body derivative of the 777-9X, retaining the same
wingspan and Folding wing tip</t>
  </si>
  <si>
    <t>Folding</t>
  </si>
  <si>
    <t>Fence</t>
  </si>
  <si>
    <t xml:space="preserve">higher gross weight, longer fuselage, and increased wingspan than 747-400. Has next gen advanced alloys, Raked wingtips, improved aerodynamic efficiency. </t>
  </si>
  <si>
    <t xml:space="preserve">mid-long haul, double aisle-body, Raked wingtips, twin-engine jetliner. 80 percent composite by volume. </t>
  </si>
  <si>
    <t>Raked</t>
  </si>
  <si>
    <t>Blended</t>
  </si>
  <si>
    <t>Canted</t>
  </si>
  <si>
    <t>externally similar to 747-300 with wing extensions and Canteds. Additional fuel tank in horizontal stabilizer and forward section of the cargo bay</t>
  </si>
  <si>
    <t>a 747_400 with strengthened wings and without 6 ft wing tip extension and Canted. Wing tip equivalent in planform to 747_300</t>
  </si>
  <si>
    <t>twin, aft mounted, turbofan aeroplane with a low swept_wing (with Canteds) and T_tail</t>
  </si>
  <si>
    <t>No Wingtip Device</t>
  </si>
  <si>
    <t>Scimitar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</si>
</sst>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
  </numFmts>
  <fonts count="63">
    <font>
      <sz val="11"/>
      <color theme="1"/>
      <name val="Calibri"/>
      <family val="2"/>
      <scheme val="minor"/>
    </font>
    <font>
      <u/>
      <sz val="11"/>
      <color theme="10"/>
      <name val="Calibri"/>
      <family val="2"/>
      <scheme val="minor"/>
    </font>
    <font>
      <sz val="11"/>
      <color theme="1"/>
      <name val="Times New Roman"/>
      <family val="1"/>
    </font>
    <font>
      <sz val="10"/>
      <color rgb="FF000000"/>
      <name val="Times New Roman"/>
      <family val="1"/>
    </font>
    <font>
      <sz val="10"/>
      <color theme="1"/>
      <name val="Times New Roman"/>
      <family val="1"/>
    </font>
    <font>
      <b/>
      <sz val="10"/>
      <color rgb="FF000000"/>
      <name val="Times New Roman"/>
      <family val="1"/>
    </font>
    <font>
      <sz val="10"/>
      <color theme="1"/>
      <name val="Calibri"/>
      <family val="2"/>
      <scheme val="minor"/>
    </font>
    <font>
      <sz val="10"/>
      <color rgb="FFA5A5A5"/>
      <name val="Times New Roman"/>
      <family val="1"/>
    </font>
    <font>
      <sz val="10"/>
      <color rgb="FF7030A0"/>
      <name val="Times New Roman"/>
      <family val="1"/>
    </font>
    <font>
      <sz val="10"/>
      <color rgb="FFED7D31"/>
      <name val="Times New Roman"/>
      <family val="1"/>
    </font>
    <font>
      <sz val="10"/>
      <color rgb="FF806000"/>
      <name val="Times New Roman"/>
      <family val="1"/>
    </font>
    <font>
      <sz val="10"/>
      <color rgb="FF70AD47"/>
      <name val="Times New Roman"/>
      <family val="1"/>
    </font>
    <font>
      <sz val="10"/>
      <color rgb="FF0070C0"/>
      <name val="Times New Roman"/>
      <family val="1"/>
    </font>
    <font>
      <sz val="10"/>
      <color rgb="FFFF0000"/>
      <name val="Times New Roman"/>
      <family val="1"/>
    </font>
    <font>
      <sz val="10"/>
      <color rgb="FF5B9BD5"/>
      <name val="Times New Roman"/>
      <family val="1"/>
    </font>
    <font>
      <sz val="10"/>
      <color rgb="FF444444"/>
      <name val="Calibri"/>
      <family val="2"/>
    </font>
    <font>
      <u/>
      <sz val="10"/>
      <color theme="10"/>
      <name val="Calibri"/>
      <family val="2"/>
      <scheme val="minor"/>
    </font>
    <font>
      <sz val="10"/>
      <color rgb="FFFF0000"/>
      <name val="Calibri"/>
      <family val="2"/>
      <scheme val="minor"/>
    </font>
    <font>
      <sz val="11"/>
      <color rgb="FF444444"/>
      <name val="Calibri"/>
      <family val="2"/>
      <charset val="1"/>
    </font>
    <font>
      <sz val="10"/>
      <color rgb="FF444444"/>
      <name val="Times New Roman"/>
      <family val="1"/>
    </font>
    <font>
      <sz val="10"/>
      <color rgb="FF00B050"/>
      <name val="Times New Roman"/>
      <family val="1"/>
    </font>
    <font>
      <sz val="10"/>
      <color rgb="FF833C0C"/>
      <name val="Times New Roman"/>
      <family val="1"/>
    </font>
    <font>
      <sz val="10"/>
      <color rgb="FF305496"/>
      <name val="Times New Roman"/>
      <family val="1"/>
    </font>
    <font>
      <sz val="11"/>
      <color rgb="FF444444"/>
      <name val="Calibri"/>
      <family val="2"/>
    </font>
    <font>
      <sz val="10"/>
      <color rgb="FF000000"/>
      <name val="Calibri"/>
      <family val="2"/>
    </font>
    <font>
      <sz val="9"/>
      <color indexed="81"/>
      <name val="Tahoma"/>
      <family val="2"/>
    </font>
    <font>
      <b/>
      <sz val="9"/>
      <color indexed="81"/>
      <name val="Tahoma"/>
      <family val="2"/>
    </font>
    <font>
      <b/>
      <sz val="10"/>
      <color theme="1"/>
      <name val="Book Antiqua"/>
      <family val="1"/>
    </font>
    <font>
      <sz val="10"/>
      <color theme="1"/>
      <name val="Book Antiqua"/>
      <family val="1"/>
    </font>
    <font>
      <b/>
      <sz val="10"/>
      <color rgb="FFA5A5A5"/>
      <name val="Book Antiqua"/>
      <family val="1"/>
    </font>
    <font>
      <sz val="10"/>
      <color rgb="FFA5A5A5"/>
      <name val="Book Antiqua"/>
      <family val="1"/>
    </font>
    <font>
      <b/>
      <sz val="10"/>
      <color rgb="FF806000"/>
      <name val="Book Antiqua"/>
      <family val="1"/>
    </font>
    <font>
      <sz val="10"/>
      <color rgb="FF806000"/>
      <name val="Book Antiqua"/>
      <family val="1"/>
    </font>
    <font>
      <b/>
      <sz val="10"/>
      <color rgb="FF0070C0"/>
      <name val="Book Antiqua"/>
      <family val="1"/>
    </font>
    <font>
      <sz val="10"/>
      <color rgb="FF0070C0"/>
      <name val="Book Antiqua"/>
      <family val="1"/>
    </font>
    <font>
      <b/>
      <sz val="10"/>
      <color rgb="FF000000"/>
      <name val="Book Antiqua"/>
      <family val="1"/>
    </font>
    <font>
      <sz val="10"/>
      <color rgb="FF000000"/>
      <name val="Book Antiqua"/>
      <family val="1"/>
    </font>
    <font>
      <b/>
      <sz val="10"/>
      <color rgb="FFFF0000"/>
      <name val="Book Antiqua"/>
      <family val="1"/>
    </font>
    <font>
      <sz val="10"/>
      <color rgb="FFFF0000"/>
      <name val="Book Antiqua"/>
      <family val="1"/>
    </font>
    <font>
      <sz val="11"/>
      <name val="Calibri"/>
      <family val="2"/>
    </font>
    <font>
      <sz val="11"/>
      <color rgb="FF000000"/>
      <name val="Calibri"/>
      <family val="2"/>
      <charset val="1"/>
    </font>
    <font>
      <sz val="10"/>
      <color rgb="FF000000"/>
      <name val="Calibri"/>
      <family val="2"/>
      <scheme val="minor"/>
    </font>
    <font>
      <sz val="11"/>
      <color rgb="FF000000"/>
      <name val="Calibri"/>
      <family val="2"/>
      <scheme val="minor"/>
    </font>
    <font>
      <sz val="11"/>
      <color rgb="FF000000"/>
      <name val="Calibri"/>
      <family val="2"/>
    </font>
    <font>
      <sz val="10"/>
      <color theme="1"/>
      <name val="Arial"/>
      <family val="2"/>
    </font>
    <font>
      <b/>
      <sz val="11"/>
      <color theme="1"/>
      <name val="Calibri"/>
      <family val="2"/>
      <scheme val="minor"/>
    </font>
    <font>
      <sz val="11"/>
      <color theme="0"/>
      <name val="Calibri"/>
      <family val="2"/>
      <scheme val="minor"/>
    </font>
    <font>
      <sz val="8"/>
      <color theme="1"/>
      <name val="Calibri"/>
      <family val="2"/>
      <scheme val="minor"/>
    </font>
    <font>
      <b/>
      <sz val="12"/>
      <color theme="1"/>
      <name val="Calibri"/>
      <family val="2"/>
      <scheme val="minor"/>
    </font>
    <font>
      <sz val="11"/>
      <color theme="1"/>
      <name val="Calibri"/>
      <family val="2"/>
      <scheme val="minor"/>
    </font>
    <font>
      <sz val="8"/>
      <name val="Calibri"/>
      <family val="2"/>
      <scheme val="minor"/>
    </font>
    <font>
      <sz val="9"/>
      <color theme="1"/>
      <name val="TimesNewRoman"/>
      <charset val="1"/>
    </font>
    <font>
      <b/>
      <sz val="10"/>
      <color rgb="FF000000"/>
      <name val="Tahoma"/>
      <family val="2"/>
    </font>
    <font>
      <sz val="10"/>
      <color rgb="FF000000"/>
      <name val="Tahoma"/>
      <family val="2"/>
    </font>
    <font>
      <sz val="11"/>
      <name val="Calibri"/>
      <family val="2"/>
      <scheme val="minor"/>
    </font>
    <font>
      <sz val="8"/>
      <color rgb="FF000000"/>
      <name val="Calibri"/>
      <family val="2"/>
      <scheme val="minor"/>
    </font>
    <font>
      <b/>
      <sz val="12"/>
      <name val="Calibri"/>
      <family val="2"/>
      <scheme val="minor"/>
    </font>
    <font>
      <b/>
      <sz val="9"/>
      <color rgb="FF000000"/>
      <name val="Tahoma"/>
      <family val="2"/>
    </font>
    <font>
      <sz val="9"/>
      <color rgb="FF000000"/>
      <name val="Tahoma"/>
      <family val="2"/>
    </font>
    <font>
      <sz val="11"/>
      <color rgb="FFFF0000"/>
      <name val="Calibri"/>
      <family val="2"/>
      <scheme val="minor"/>
    </font>
    <font>
      <sz val="8"/>
      <color rgb="FFFF0000"/>
      <name val="Calibri"/>
      <family val="2"/>
      <scheme val="minor"/>
    </font>
    <font>
      <sz val="9"/>
      <color indexed="81"/>
      <name val="Tahoma"/>
      <charset val="1"/>
    </font>
    <font>
      <b/>
      <sz val="9"/>
      <color indexed="81"/>
      <name val="Tahoma"/>
      <charset val="1"/>
    </font>
  </fonts>
  <fills count="58">
    <fill>
      <patternFill patternType="none"/>
    </fill>
    <fill>
      <patternFill patternType="gray125"/>
    </fill>
    <fill>
      <patternFill patternType="solid">
        <fgColor rgb="FF1F4E78"/>
        <bgColor indexed="64"/>
      </patternFill>
    </fill>
    <fill>
      <patternFill patternType="solid">
        <fgColor rgb="FFF8CBAD"/>
        <bgColor indexed="64"/>
      </patternFill>
    </fill>
    <fill>
      <patternFill patternType="solid">
        <fgColor rgb="FFFFFF00"/>
        <bgColor indexed="64"/>
      </patternFill>
    </fill>
    <fill>
      <patternFill patternType="solid">
        <fgColor rgb="FFFFF2CC"/>
        <bgColor indexed="64"/>
      </patternFill>
    </fill>
    <fill>
      <patternFill patternType="solid">
        <fgColor rgb="FFC65911"/>
        <bgColor indexed="64"/>
      </patternFill>
    </fill>
    <fill>
      <patternFill patternType="solid">
        <fgColor rgb="FFE2EFDA"/>
        <bgColor indexed="64"/>
      </patternFill>
    </fill>
    <fill>
      <patternFill patternType="solid">
        <fgColor rgb="FFDDEBF7"/>
        <bgColor indexed="64"/>
      </patternFill>
    </fill>
    <fill>
      <patternFill patternType="solid">
        <fgColor rgb="FF9BC2E6"/>
        <bgColor indexed="64"/>
      </patternFill>
    </fill>
    <fill>
      <patternFill patternType="solid">
        <fgColor rgb="FF0070C0"/>
        <bgColor indexed="64"/>
      </patternFill>
    </fill>
    <fill>
      <patternFill patternType="solid">
        <fgColor rgb="FF7030A0"/>
        <bgColor indexed="64"/>
      </patternFill>
    </fill>
    <fill>
      <patternFill patternType="solid">
        <fgColor rgb="FF00B0F0"/>
        <bgColor indexed="64"/>
      </patternFill>
    </fill>
    <fill>
      <patternFill patternType="solid">
        <fgColor rgb="FFE7E6E6"/>
        <bgColor indexed="64"/>
      </patternFill>
    </fill>
    <fill>
      <patternFill patternType="solid">
        <fgColor rgb="FFFCE4D6"/>
        <bgColor indexed="64"/>
      </patternFill>
    </fill>
    <fill>
      <patternFill patternType="solid">
        <fgColor rgb="FFC6E0B4"/>
        <bgColor indexed="64"/>
      </patternFill>
    </fill>
    <fill>
      <patternFill patternType="solid">
        <fgColor rgb="FF548235"/>
        <bgColor indexed="64"/>
      </patternFill>
    </fill>
    <fill>
      <patternFill patternType="solid">
        <fgColor rgb="FFBFBFBF"/>
        <bgColor indexed="64"/>
      </patternFill>
    </fill>
    <fill>
      <patternFill patternType="solid">
        <fgColor rgb="FFBDD7EE"/>
        <bgColor indexed="64"/>
      </patternFill>
    </fill>
    <fill>
      <patternFill patternType="solid">
        <fgColor rgb="FFFF6B6B"/>
        <bgColor indexed="64"/>
      </patternFill>
    </fill>
    <fill>
      <patternFill patternType="solid">
        <fgColor rgb="FFFF0000"/>
        <bgColor indexed="64"/>
      </patternFill>
    </fill>
    <fill>
      <patternFill patternType="solid">
        <fgColor rgb="FF00B050"/>
        <bgColor indexed="64"/>
      </patternFill>
    </fill>
    <fill>
      <patternFill patternType="solid">
        <fgColor rgb="FFFFD966"/>
        <bgColor indexed="64"/>
      </patternFill>
    </fill>
    <fill>
      <patternFill patternType="solid">
        <fgColor rgb="FFD9E1F2"/>
        <bgColor indexed="64"/>
      </patternFill>
    </fill>
    <fill>
      <patternFill patternType="solid">
        <fgColor rgb="FFFFFFFF"/>
        <bgColor indexed="64"/>
      </patternFill>
    </fill>
    <fill>
      <patternFill patternType="solid">
        <fgColor rgb="FFFFC000"/>
        <bgColor indexed="64"/>
      </patternFill>
    </fill>
    <fill>
      <patternFill patternType="solid">
        <fgColor rgb="FF00206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4" tint="-0.249977111117893"/>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5" tint="-0.249977111117893"/>
        <bgColor indexed="64"/>
      </patternFill>
    </fill>
    <fill>
      <patternFill patternType="solid">
        <fgColor rgb="FFE8D1FF"/>
        <bgColor indexed="64"/>
      </patternFill>
    </fill>
    <fill>
      <patternFill patternType="solid">
        <fgColor rgb="FF7111FF"/>
        <bgColor indexed="64"/>
      </patternFill>
    </fill>
    <fill>
      <patternFill patternType="solid">
        <fgColor rgb="FFFF00FF"/>
        <bgColor indexed="64"/>
      </patternFill>
    </fill>
    <fill>
      <patternFill patternType="solid">
        <fgColor rgb="FFFFCCFF"/>
        <bgColor indexed="64"/>
      </patternFill>
    </fill>
    <fill>
      <patternFill patternType="solid">
        <fgColor rgb="FFFF9900"/>
        <bgColor indexed="64"/>
      </patternFill>
    </fill>
    <fill>
      <patternFill patternType="solid">
        <fgColor rgb="FFFFCC99"/>
        <bgColor indexed="64"/>
      </patternFill>
    </fill>
    <fill>
      <patternFill patternType="solid">
        <fgColor rgb="FF000000"/>
        <bgColor indexed="64"/>
      </patternFill>
    </fill>
    <fill>
      <patternFill patternType="solid">
        <fgColor theme="1" tint="4.9989318521683403E-2"/>
        <bgColor indexed="64"/>
      </patternFill>
    </fill>
    <fill>
      <patternFill patternType="solid">
        <fgColor theme="1"/>
        <bgColor indexed="64"/>
      </patternFill>
    </fill>
    <fill>
      <patternFill patternType="solid">
        <fgColor theme="8" tint="0.79998168889431442"/>
        <bgColor indexed="64"/>
      </patternFill>
    </fill>
    <fill>
      <patternFill patternType="solid">
        <fgColor theme="0"/>
        <bgColor indexed="64"/>
      </patternFill>
    </fill>
    <fill>
      <patternFill patternType="solid">
        <fgColor theme="9" tint="-0.499984740745262"/>
        <bgColor indexed="64"/>
      </patternFill>
    </fill>
    <fill>
      <patternFill patternType="solid">
        <fgColor rgb="FFCCECFF"/>
        <bgColor indexed="64"/>
      </patternFill>
    </fill>
    <fill>
      <patternFill patternType="solid">
        <fgColor rgb="FF15A6FF"/>
        <bgColor indexed="64"/>
      </patternFill>
    </fill>
    <fill>
      <patternFill patternType="solid">
        <fgColor theme="2" tint="-0.749992370372631"/>
        <bgColor indexed="64"/>
      </patternFill>
    </fill>
    <fill>
      <patternFill patternType="solid">
        <fgColor theme="2" tint="-9.9978637043366805E-2"/>
        <bgColor indexed="64"/>
      </patternFill>
    </fill>
    <fill>
      <patternFill patternType="solid">
        <fgColor rgb="FF00FFCC"/>
        <bgColor indexed="64"/>
      </patternFill>
    </fill>
    <fill>
      <patternFill patternType="solid">
        <fgColor rgb="FFC1FFF3"/>
        <bgColor indexed="64"/>
      </patternFill>
    </fill>
    <fill>
      <patternFill patternType="solid">
        <fgColor rgb="FFEF6257"/>
        <bgColor indexed="64"/>
      </patternFill>
    </fill>
    <fill>
      <patternFill patternType="solid">
        <fgColor rgb="FF92D050"/>
        <bgColor indexed="64"/>
      </patternFill>
    </fill>
    <fill>
      <patternFill patternType="solid">
        <fgColor rgb="FFD4EFBB"/>
        <bgColor indexed="64"/>
      </patternFill>
    </fill>
    <fill>
      <patternFill patternType="solid">
        <fgColor rgb="FFD4EFBB"/>
        <bgColor rgb="FF000000"/>
      </patternFill>
    </fill>
  </fills>
  <borders count="9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auto="1"/>
      </left>
      <right style="thin">
        <color auto="1"/>
      </right>
      <top style="thin">
        <color auto="1"/>
      </top>
      <bottom style="thin">
        <color auto="1"/>
      </bottom>
      <diagonal/>
    </border>
    <border>
      <left style="thin">
        <color theme="2"/>
      </left>
      <right/>
      <top style="thin">
        <color theme="2"/>
      </top>
      <bottom style="thin">
        <color theme="2"/>
      </bottom>
      <diagonal/>
    </border>
    <border>
      <left style="thin">
        <color theme="2"/>
      </left>
      <right/>
      <top style="thin">
        <color theme="2"/>
      </top>
      <bottom/>
      <diagonal/>
    </border>
    <border>
      <left style="thin">
        <color theme="2"/>
      </left>
      <right/>
      <top/>
      <bottom style="thin">
        <color theme="2"/>
      </bottom>
      <diagonal/>
    </border>
    <border>
      <left style="thin">
        <color auto="1"/>
      </left>
      <right/>
      <top/>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top style="thin">
        <color auto="1"/>
      </top>
      <bottom/>
      <diagonal/>
    </border>
    <border>
      <left/>
      <right style="thin">
        <color theme="1"/>
      </right>
      <top/>
      <bottom style="thin">
        <color theme="1"/>
      </bottom>
      <diagonal/>
    </border>
    <border>
      <left/>
      <right style="thin">
        <color theme="1"/>
      </right>
      <top style="thin">
        <color theme="1"/>
      </top>
      <bottom style="thin">
        <color theme="1"/>
      </bottom>
      <diagonal/>
    </border>
    <border>
      <left/>
      <right style="thin">
        <color theme="1"/>
      </right>
      <top style="thin">
        <color theme="1"/>
      </top>
      <bottom/>
      <diagonal/>
    </border>
    <border>
      <left style="thin">
        <color theme="1"/>
      </left>
      <right/>
      <top/>
      <bottom style="thin">
        <color theme="1"/>
      </bottom>
      <diagonal/>
    </border>
    <border>
      <left style="thin">
        <color theme="1"/>
      </left>
      <right/>
      <top style="thin">
        <color theme="1"/>
      </top>
      <bottom style="thin">
        <color theme="1"/>
      </bottom>
      <diagonal/>
    </border>
    <border>
      <left style="thin">
        <color theme="1"/>
      </left>
      <right/>
      <top style="thin">
        <color theme="1"/>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right/>
      <top/>
      <bottom style="thick">
        <color auto="1"/>
      </bottom>
      <diagonal/>
    </border>
    <border>
      <left/>
      <right style="thin">
        <color theme="5" tint="-0.24994659260841701"/>
      </right>
      <top/>
      <bottom/>
      <diagonal/>
    </border>
    <border>
      <left/>
      <right/>
      <top style="thin">
        <color theme="1"/>
      </top>
      <bottom style="thin">
        <color theme="1"/>
      </bottom>
      <diagonal/>
    </border>
    <border>
      <left/>
      <right/>
      <top style="thin">
        <color theme="1"/>
      </top>
      <bottom/>
      <diagonal/>
    </border>
    <border>
      <left/>
      <right style="thin">
        <color rgb="FF7111FF"/>
      </right>
      <top/>
      <bottom/>
      <diagonal/>
    </border>
    <border>
      <left/>
      <right style="thin">
        <color rgb="FF7111FF"/>
      </right>
      <top/>
      <bottom style="thin">
        <color rgb="FF7111FF"/>
      </bottom>
      <diagonal/>
    </border>
    <border>
      <left/>
      <right style="thin">
        <color rgb="FF7111FF"/>
      </right>
      <top style="thin">
        <color rgb="FF7111FF"/>
      </top>
      <bottom style="thin">
        <color rgb="FF7111FF"/>
      </bottom>
      <diagonal/>
    </border>
    <border>
      <left/>
      <right style="thin">
        <color rgb="FF7111FF"/>
      </right>
      <top style="thin">
        <color rgb="FF7111FF"/>
      </top>
      <bottom/>
      <diagonal/>
    </border>
    <border>
      <left/>
      <right style="thin">
        <color rgb="FFFF00FF"/>
      </right>
      <top/>
      <bottom/>
      <diagonal/>
    </border>
    <border>
      <left/>
      <right style="thin">
        <color rgb="FFFF00FF"/>
      </right>
      <top/>
      <bottom style="thin">
        <color rgb="FFFF00FF"/>
      </bottom>
      <diagonal/>
    </border>
    <border>
      <left/>
      <right style="thin">
        <color rgb="FFFF00FF"/>
      </right>
      <top style="thin">
        <color rgb="FFFF00FF"/>
      </top>
      <bottom style="thin">
        <color rgb="FFFF00FF"/>
      </bottom>
      <diagonal/>
    </border>
    <border>
      <left/>
      <right style="thin">
        <color rgb="FFFF00FF"/>
      </right>
      <top style="thin">
        <color rgb="FFFF00FF"/>
      </top>
      <bottom/>
      <diagonal/>
    </border>
    <border>
      <left/>
      <right style="thin">
        <color rgb="FFFF9900"/>
      </right>
      <top style="thin">
        <color rgb="FFFF9900"/>
      </top>
      <bottom style="thin">
        <color rgb="FFFF9900"/>
      </bottom>
      <diagonal/>
    </border>
    <border>
      <left/>
      <right style="thin">
        <color rgb="FFFF9900"/>
      </right>
      <top style="thin">
        <color rgb="FFFF9900"/>
      </top>
      <bottom/>
      <diagonal/>
    </border>
    <border>
      <left/>
      <right/>
      <top/>
      <bottom style="thin">
        <color theme="4" tint="-0.24994659260841701"/>
      </bottom>
      <diagonal/>
    </border>
    <border>
      <left/>
      <right/>
      <top style="thin">
        <color theme="4" tint="-0.24994659260841701"/>
      </top>
      <bottom style="thin">
        <color theme="4" tint="-0.24994659260841701"/>
      </bottom>
      <diagonal/>
    </border>
    <border>
      <left/>
      <right/>
      <top style="thin">
        <color theme="4" tint="-0.24994659260841701"/>
      </top>
      <bottom/>
      <diagonal/>
    </border>
    <border>
      <left/>
      <right/>
      <top/>
      <bottom style="thin">
        <color theme="9" tint="-0.24994659260841701"/>
      </bottom>
      <diagonal/>
    </border>
    <border>
      <left/>
      <right/>
      <top style="thin">
        <color theme="9" tint="-0.24994659260841701"/>
      </top>
      <bottom style="thin">
        <color theme="9" tint="-0.24994659260841701"/>
      </bottom>
      <diagonal/>
    </border>
    <border>
      <left/>
      <right/>
      <top style="thin">
        <color theme="9" tint="-0.24994659260841701"/>
      </top>
      <bottom/>
      <diagonal/>
    </border>
    <border>
      <left/>
      <right/>
      <top/>
      <bottom style="thin">
        <color theme="5" tint="-0.24994659260841701"/>
      </bottom>
      <diagonal/>
    </border>
    <border>
      <left/>
      <right/>
      <top style="thin">
        <color theme="5" tint="-0.24994659260841701"/>
      </top>
      <bottom style="thin">
        <color theme="5" tint="-0.24994659260841701"/>
      </bottom>
      <diagonal/>
    </border>
    <border>
      <left/>
      <right/>
      <top style="thin">
        <color theme="5" tint="-0.24994659260841701"/>
      </top>
      <bottom/>
      <diagonal/>
    </border>
    <border>
      <left/>
      <right/>
      <top/>
      <bottom style="thin">
        <color theme="7" tint="-0.24994659260841701"/>
      </bottom>
      <diagonal/>
    </border>
    <border>
      <left/>
      <right/>
      <top style="thin">
        <color theme="7" tint="-0.24994659260841701"/>
      </top>
      <bottom style="thin">
        <color theme="7" tint="-0.24994659260841701"/>
      </bottom>
      <diagonal/>
    </border>
    <border>
      <left/>
      <right/>
      <top style="thin">
        <color theme="7" tint="-0.24994659260841701"/>
      </top>
      <bottom/>
      <diagonal/>
    </border>
    <border>
      <left style="thin">
        <color theme="2" tint="-0.24994659260841701"/>
      </left>
      <right/>
      <top/>
      <bottom/>
      <diagonal/>
    </border>
    <border>
      <left style="thick">
        <color theme="1"/>
      </left>
      <right/>
      <top/>
      <bottom style="thin">
        <color theme="4" tint="-0.24994659260841701"/>
      </bottom>
      <diagonal/>
    </border>
    <border>
      <left style="thin">
        <color auto="1"/>
      </left>
      <right/>
      <top style="thin">
        <color theme="2" tint="-0.249977111117893"/>
      </top>
      <bottom style="thin">
        <color theme="2" tint="-0.249977111117893"/>
      </bottom>
      <diagonal/>
    </border>
    <border>
      <left style="thin">
        <color auto="1"/>
      </left>
      <right/>
      <top/>
      <bottom style="thin">
        <color theme="2" tint="-0.249977111117893"/>
      </bottom>
      <diagonal/>
    </border>
    <border>
      <left/>
      <right style="thin">
        <color auto="1"/>
      </right>
      <top/>
      <bottom style="thick">
        <color auto="1"/>
      </bottom>
      <diagonal/>
    </border>
    <border>
      <left style="thin">
        <color auto="1"/>
      </left>
      <right/>
      <top/>
      <bottom style="thick">
        <color auto="1"/>
      </bottom>
      <diagonal/>
    </border>
    <border>
      <left style="thin">
        <color auto="1"/>
      </left>
      <right style="thin">
        <color auto="1"/>
      </right>
      <top/>
      <bottom style="thick">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theme="2" tint="-0.249977111117893"/>
      </bottom>
      <diagonal/>
    </border>
    <border>
      <left style="thin">
        <color theme="1"/>
      </left>
      <right style="thin">
        <color theme="1"/>
      </right>
      <top style="thin">
        <color theme="1"/>
      </top>
      <bottom style="thin">
        <color theme="1"/>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bottom style="thin">
        <color theme="1"/>
      </bottom>
      <diagonal/>
    </border>
    <border>
      <left style="thin">
        <color theme="1"/>
      </left>
      <right/>
      <top/>
      <bottom/>
      <diagonal/>
    </border>
    <border>
      <left/>
      <right/>
      <top style="thin">
        <color rgb="FF000000"/>
      </top>
      <bottom style="thin">
        <color rgb="FF000000"/>
      </bottom>
      <diagonal/>
    </border>
    <border>
      <left style="thin">
        <color auto="1"/>
      </left>
      <right style="thin">
        <color auto="1"/>
      </right>
      <top/>
      <bottom/>
      <diagonal/>
    </border>
    <border>
      <left style="thin">
        <color auto="1"/>
      </left>
      <right style="thin">
        <color auto="1"/>
      </right>
      <top style="thin">
        <color rgb="FF000000"/>
      </top>
      <bottom style="thin">
        <color rgb="FF000000"/>
      </bottom>
      <diagonal/>
    </border>
    <border>
      <left/>
      <right style="thick">
        <color auto="1"/>
      </right>
      <top/>
      <bottom/>
      <diagonal/>
    </border>
    <border>
      <left style="thin">
        <color auto="1"/>
      </left>
      <right style="thin">
        <color indexed="64"/>
      </right>
      <top style="thin">
        <color rgb="FF000000"/>
      </top>
      <bottom style="thin">
        <color auto="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indexed="64"/>
      </right>
      <top style="thin">
        <color rgb="FF000000"/>
      </top>
      <bottom style="thin">
        <color auto="1"/>
      </bottom>
      <diagonal/>
    </border>
    <border>
      <left/>
      <right/>
      <top style="thin">
        <color rgb="FFFF00FF"/>
      </top>
      <bottom style="thin">
        <color rgb="FFFF00FF"/>
      </bottom>
      <diagonal/>
    </border>
    <border>
      <left/>
      <right style="thin">
        <color theme="1"/>
      </right>
      <top/>
      <bottom/>
      <diagonal/>
    </border>
    <border>
      <left/>
      <right/>
      <top style="thin">
        <color rgb="FFFF9900"/>
      </top>
      <bottom style="thin">
        <color rgb="FFFF9900"/>
      </bottom>
      <diagonal/>
    </border>
    <border>
      <left/>
      <right/>
      <top/>
      <bottom style="thin">
        <color rgb="FFFF9900"/>
      </bottom>
      <diagonal/>
    </border>
    <border>
      <left/>
      <right/>
      <top style="thin">
        <color rgb="FFFF9900"/>
      </top>
      <bottom/>
      <diagonal/>
    </border>
    <border>
      <left/>
      <right style="thin">
        <color auto="1"/>
      </right>
      <top style="thin">
        <color rgb="FF000000"/>
      </top>
      <bottom style="thin">
        <color rgb="FF000000"/>
      </bottom>
      <diagonal/>
    </border>
    <border>
      <left style="thin">
        <color theme="0" tint="-4.9989318521683403E-2"/>
      </left>
      <right/>
      <top style="thin">
        <color theme="0" tint="-4.9989318521683403E-2"/>
      </top>
      <bottom style="thin">
        <color theme="0" tint="-4.9989318521683403E-2"/>
      </bottom>
      <diagonal/>
    </border>
    <border>
      <left style="thin">
        <color theme="0" tint="-4.9989318521683403E-2"/>
      </left>
      <right/>
      <top style="thin">
        <color theme="0" tint="-4.9989318521683403E-2"/>
      </top>
      <bottom/>
      <diagonal/>
    </border>
    <border>
      <left style="thin">
        <color theme="0" tint="-4.9989318521683403E-2"/>
      </left>
      <right/>
      <top/>
      <bottom style="thin">
        <color theme="0" tint="-4.9989318521683403E-2"/>
      </bottom>
      <diagonal/>
    </border>
    <border>
      <left style="thin">
        <color theme="2"/>
      </left>
      <right style="thin">
        <color theme="2"/>
      </right>
      <top style="thin">
        <color theme="2"/>
      </top>
      <bottom style="thin">
        <color theme="2"/>
      </bottom>
      <diagonal/>
    </border>
    <border>
      <left style="thin">
        <color theme="2"/>
      </left>
      <right style="thin">
        <color theme="2"/>
      </right>
      <top style="thin">
        <color theme="2"/>
      </top>
      <bottom/>
      <diagonal/>
    </border>
    <border>
      <left style="thin">
        <color theme="2"/>
      </left>
      <right style="thin">
        <color theme="2"/>
      </right>
      <top/>
      <bottom style="thin">
        <color theme="2"/>
      </bottom>
      <diagonal/>
    </border>
    <border>
      <left style="thin">
        <color theme="2"/>
      </left>
      <right/>
      <top style="thin">
        <color theme="2"/>
      </top>
      <bottom style="thin">
        <color theme="0" tint="-4.9989318521683403E-2"/>
      </bottom>
      <diagonal/>
    </border>
    <border>
      <left style="thin">
        <color theme="2"/>
      </left>
      <right/>
      <top/>
      <bottom style="thin">
        <color theme="0" tint="-4.9989318521683403E-2"/>
      </bottom>
      <diagonal/>
    </border>
    <border>
      <left style="thin">
        <color theme="2"/>
      </left>
      <right/>
      <top style="thin">
        <color theme="0" tint="-4.9989318521683403E-2"/>
      </top>
      <bottom style="thin">
        <color theme="0" tint="-4.9989318521683403E-2"/>
      </bottom>
      <diagonal/>
    </border>
    <border>
      <left style="thin">
        <color theme="2"/>
      </left>
      <right/>
      <top style="thin">
        <color theme="0" tint="-4.9989318521683403E-2"/>
      </top>
      <bottom style="thin">
        <color theme="2"/>
      </bottom>
      <diagonal/>
    </border>
    <border>
      <left style="thin">
        <color theme="0" tint="-4.9989318521683403E-2"/>
      </left>
      <right/>
      <top style="thin">
        <color theme="0" tint="-4.9989318521683403E-2"/>
      </top>
      <bottom style="thin">
        <color theme="2"/>
      </bottom>
      <diagonal/>
    </border>
    <border>
      <left style="thin">
        <color theme="0" tint="-4.9989318521683403E-2"/>
      </left>
      <right/>
      <top style="thin">
        <color theme="2"/>
      </top>
      <bottom style="thin">
        <color theme="2"/>
      </bottom>
      <diagonal/>
    </border>
    <border>
      <left style="thin">
        <color theme="0" tint="-4.9989318521683403E-2"/>
      </left>
      <right/>
      <top/>
      <bottom style="thin">
        <color theme="2"/>
      </bottom>
      <diagonal/>
    </border>
  </borders>
  <cellStyleXfs count="3">
    <xf numFmtId="0" fontId="0" fillId="0" borderId="0"/>
    <xf numFmtId="0" fontId="1" fillId="0" borderId="0" applyNumberFormat="0" applyFill="0" applyBorder="0" applyAlignment="0" applyProtection="0"/>
    <xf numFmtId="43" fontId="49" fillId="0" borderId="0" applyFont="0" applyFill="0" applyBorder="0" applyAlignment="0" applyProtection="0"/>
  </cellStyleXfs>
  <cellXfs count="866">
    <xf numFmtId="0" fontId="0" fillId="0" borderId="0" xfId="0"/>
    <xf numFmtId="0" fontId="3" fillId="0" borderId="2" xfId="0" applyFont="1" applyBorder="1" applyAlignment="1">
      <alignment wrapText="1" readingOrder="1"/>
    </xf>
    <xf numFmtId="164" fontId="3" fillId="0" borderId="1" xfId="0" applyNumberFormat="1" applyFont="1" applyBorder="1" applyAlignment="1">
      <alignment wrapText="1" readingOrder="1"/>
    </xf>
    <xf numFmtId="0" fontId="3" fillId="0" borderId="0" xfId="0" applyFont="1" applyAlignment="1">
      <alignment wrapText="1" readingOrder="1"/>
    </xf>
    <xf numFmtId="164" fontId="5" fillId="0" borderId="1" xfId="0" applyNumberFormat="1" applyFont="1" applyBorder="1" applyAlignment="1">
      <alignment wrapText="1" readingOrder="1"/>
    </xf>
    <xf numFmtId="164" fontId="4" fillId="0" borderId="1" xfId="0" applyNumberFormat="1" applyFont="1" applyBorder="1" applyAlignment="1">
      <alignment wrapText="1"/>
    </xf>
    <xf numFmtId="164" fontId="4" fillId="0" borderId="0" xfId="0" applyNumberFormat="1" applyFont="1" applyAlignment="1">
      <alignment wrapText="1"/>
    </xf>
    <xf numFmtId="164" fontId="4" fillId="5" borderId="1" xfId="0" applyNumberFormat="1" applyFont="1" applyFill="1" applyBorder="1" applyAlignment="1">
      <alignment wrapText="1"/>
    </xf>
    <xf numFmtId="164" fontId="8" fillId="0" borderId="1" xfId="0" applyNumberFormat="1" applyFont="1" applyBorder="1" applyAlignment="1">
      <alignment wrapText="1"/>
    </xf>
    <xf numFmtId="164" fontId="3" fillId="0" borderId="1" xfId="0" applyNumberFormat="1" applyFont="1" applyBorder="1" applyAlignment="1">
      <alignment wrapText="1"/>
    </xf>
    <xf numFmtId="164" fontId="4" fillId="2" borderId="1" xfId="0" applyNumberFormat="1" applyFont="1" applyFill="1" applyBorder="1" applyAlignment="1">
      <alignment wrapText="1"/>
    </xf>
    <xf numFmtId="164" fontId="9" fillId="0" borderId="1" xfId="0" applyNumberFormat="1" applyFont="1" applyBorder="1" applyAlignment="1">
      <alignment wrapText="1"/>
    </xf>
    <xf numFmtId="164" fontId="10" fillId="0" borderId="1" xfId="0" applyNumberFormat="1" applyFont="1" applyBorder="1" applyAlignment="1">
      <alignment wrapText="1"/>
    </xf>
    <xf numFmtId="164" fontId="11" fillId="0" borderId="1" xfId="0" applyNumberFormat="1" applyFont="1" applyBorder="1" applyAlignment="1">
      <alignment wrapText="1"/>
    </xf>
    <xf numFmtId="164" fontId="12" fillId="0" borderId="1" xfId="0" applyNumberFormat="1" applyFont="1" applyBorder="1" applyAlignment="1">
      <alignment wrapText="1"/>
    </xf>
    <xf numFmtId="164" fontId="4" fillId="0" borderId="1" xfId="0" applyNumberFormat="1" applyFont="1" applyBorder="1"/>
    <xf numFmtId="164" fontId="13" fillId="0" borderId="1" xfId="0" applyNumberFormat="1" applyFont="1" applyBorder="1" applyAlignment="1">
      <alignment wrapText="1"/>
    </xf>
    <xf numFmtId="164" fontId="10" fillId="2" borderId="1" xfId="0" applyNumberFormat="1" applyFont="1" applyFill="1" applyBorder="1" applyAlignment="1">
      <alignment wrapText="1"/>
    </xf>
    <xf numFmtId="3" fontId="3" fillId="0" borderId="0" xfId="0" applyNumberFormat="1" applyFont="1" applyAlignment="1">
      <alignment wrapText="1" readingOrder="1"/>
    </xf>
    <xf numFmtId="0" fontId="13" fillId="0" borderId="0" xfId="0" applyFont="1" applyAlignment="1">
      <alignment wrapText="1" readingOrder="1"/>
    </xf>
    <xf numFmtId="4" fontId="3" fillId="0" borderId="0" xfId="0" applyNumberFormat="1" applyFont="1" applyAlignment="1">
      <alignment wrapText="1" readingOrder="1"/>
    </xf>
    <xf numFmtId="0" fontId="3" fillId="4" borderId="0" xfId="0" applyFont="1" applyFill="1" applyAlignment="1">
      <alignment wrapText="1" readingOrder="1"/>
    </xf>
    <xf numFmtId="0" fontId="5" fillId="0" borderId="2" xfId="0" applyFont="1" applyBorder="1" applyAlignment="1">
      <alignment wrapText="1" readingOrder="1"/>
    </xf>
    <xf numFmtId="0" fontId="4" fillId="0" borderId="0" xfId="0" applyFont="1" applyAlignment="1">
      <alignment wrapText="1"/>
    </xf>
    <xf numFmtId="0" fontId="4" fillId="4" borderId="0" xfId="0" applyFont="1" applyFill="1" applyAlignment="1">
      <alignment wrapText="1"/>
    </xf>
    <xf numFmtId="0" fontId="15" fillId="4" borderId="0" xfId="0" applyFont="1" applyFill="1" applyAlignment="1">
      <alignment wrapText="1"/>
    </xf>
    <xf numFmtId="0" fontId="15" fillId="0" borderId="0" xfId="0" applyFont="1" applyAlignment="1">
      <alignment wrapText="1"/>
    </xf>
    <xf numFmtId="0" fontId="4" fillId="8" borderId="0" xfId="0" applyFont="1" applyFill="1" applyAlignment="1">
      <alignment wrapText="1"/>
    </xf>
    <xf numFmtId="0" fontId="3" fillId="8" borderId="0" xfId="0" applyFont="1" applyFill="1" applyAlignment="1">
      <alignment wrapText="1"/>
    </xf>
    <xf numFmtId="0" fontId="4" fillId="7" borderId="0" xfId="0" applyFont="1" applyFill="1" applyAlignment="1">
      <alignment wrapText="1"/>
    </xf>
    <xf numFmtId="0" fontId="3" fillId="7" borderId="0" xfId="0" applyFont="1" applyFill="1" applyAlignment="1">
      <alignment wrapText="1"/>
    </xf>
    <xf numFmtId="0" fontId="3" fillId="11" borderId="0" xfId="0" applyFont="1" applyFill="1" applyAlignment="1">
      <alignment wrapText="1"/>
    </xf>
    <xf numFmtId="0" fontId="4" fillId="10" borderId="0" xfId="0" applyFont="1" applyFill="1" applyAlignment="1">
      <alignment wrapText="1"/>
    </xf>
    <xf numFmtId="0" fontId="13" fillId="0" borderId="0" xfId="0" applyFont="1" applyAlignment="1">
      <alignment wrapText="1"/>
    </xf>
    <xf numFmtId="0" fontId="4" fillId="9" borderId="0" xfId="0" applyFont="1" applyFill="1" applyAlignment="1">
      <alignment wrapText="1"/>
    </xf>
    <xf numFmtId="0" fontId="12" fillId="0" borderId="0" xfId="0" applyFont="1" applyAlignment="1">
      <alignment wrapText="1"/>
    </xf>
    <xf numFmtId="0" fontId="12" fillId="9" borderId="0" xfId="0" applyFont="1" applyFill="1" applyAlignment="1">
      <alignment wrapText="1"/>
    </xf>
    <xf numFmtId="0" fontId="3" fillId="0" borderId="0" xfId="0" applyFont="1" applyAlignment="1">
      <alignment wrapText="1"/>
    </xf>
    <xf numFmtId="0" fontId="3" fillId="9" borderId="0" xfId="0" applyFont="1" applyFill="1" applyAlignment="1">
      <alignment wrapText="1"/>
    </xf>
    <xf numFmtId="3" fontId="6" fillId="0" borderId="0" xfId="0" applyNumberFormat="1" applyFont="1"/>
    <xf numFmtId="3" fontId="4" fillId="0" borderId="0" xfId="0" applyNumberFormat="1" applyFont="1" applyAlignment="1">
      <alignment wrapText="1"/>
    </xf>
    <xf numFmtId="0" fontId="16" fillId="0" borderId="2" xfId="1" applyFont="1" applyBorder="1" applyAlignment="1">
      <alignment wrapText="1" readingOrder="1"/>
    </xf>
    <xf numFmtId="3" fontId="13" fillId="0" borderId="0" xfId="0" applyNumberFormat="1" applyFont="1" applyAlignment="1">
      <alignment wrapText="1"/>
    </xf>
    <xf numFmtId="3" fontId="3" fillId="0" borderId="0" xfId="0" applyNumberFormat="1" applyFont="1" applyAlignment="1">
      <alignment wrapText="1"/>
    </xf>
    <xf numFmtId="3" fontId="17" fillId="0" borderId="0" xfId="0" applyNumberFormat="1" applyFont="1"/>
    <xf numFmtId="0" fontId="18" fillId="0" borderId="0" xfId="0" applyFont="1" applyAlignment="1">
      <alignment wrapText="1"/>
    </xf>
    <xf numFmtId="0" fontId="5" fillId="0" borderId="0" xfId="0" applyFont="1" applyAlignment="1">
      <alignment wrapText="1" readingOrder="1"/>
    </xf>
    <xf numFmtId="0" fontId="12" fillId="0" borderId="0" xfId="0" applyFont="1" applyAlignment="1">
      <alignment wrapText="1" readingOrder="1"/>
    </xf>
    <xf numFmtId="0" fontId="20" fillId="0" borderId="0" xfId="0" applyFont="1" applyAlignment="1">
      <alignment wrapText="1"/>
    </xf>
    <xf numFmtId="0" fontId="20" fillId="10" borderId="0" xfId="0" applyFont="1" applyFill="1" applyAlignment="1">
      <alignment wrapText="1"/>
    </xf>
    <xf numFmtId="0" fontId="4" fillId="14" borderId="0" xfId="0" applyFont="1" applyFill="1" applyAlignment="1">
      <alignment wrapText="1"/>
    </xf>
    <xf numFmtId="0" fontId="19" fillId="0" borderId="0" xfId="0" applyFont="1" applyAlignment="1">
      <alignment wrapText="1"/>
    </xf>
    <xf numFmtId="164" fontId="3" fillId="0" borderId="0" xfId="0" applyNumberFormat="1" applyFont="1" applyAlignment="1">
      <alignment wrapText="1" readingOrder="1"/>
    </xf>
    <xf numFmtId="0" fontId="23" fillId="0" borderId="0" xfId="0" applyFont="1" applyAlignment="1">
      <alignment wrapText="1"/>
    </xf>
    <xf numFmtId="0" fontId="16" fillId="0" borderId="0" xfId="1" applyFont="1" applyAlignment="1">
      <alignment wrapText="1" readingOrder="1"/>
    </xf>
    <xf numFmtId="0" fontId="23" fillId="0" borderId="0" xfId="0" applyFont="1"/>
    <xf numFmtId="0" fontId="15" fillId="0" borderId="0" xfId="0" applyFont="1"/>
    <xf numFmtId="0" fontId="24" fillId="0" borderId="0" xfId="0" applyFont="1" applyAlignment="1">
      <alignment wrapText="1"/>
    </xf>
    <xf numFmtId="0" fontId="4" fillId="21" borderId="0" xfId="0" applyFont="1" applyFill="1" applyAlignment="1">
      <alignment wrapText="1"/>
    </xf>
    <xf numFmtId="0" fontId="3" fillId="10" borderId="0" xfId="0" applyFont="1" applyFill="1" applyAlignment="1">
      <alignment wrapText="1"/>
    </xf>
    <xf numFmtId="0" fontId="4" fillId="3" borderId="0" xfId="0" applyFont="1" applyFill="1" applyAlignment="1">
      <alignment wrapText="1"/>
    </xf>
    <xf numFmtId="0" fontId="4" fillId="20" borderId="0" xfId="0" applyFont="1" applyFill="1" applyAlignment="1">
      <alignment wrapText="1"/>
    </xf>
    <xf numFmtId="0" fontId="4" fillId="0" borderId="0" xfId="0" applyFont="1"/>
    <xf numFmtId="3" fontId="4" fillId="3" borderId="0" xfId="0" applyNumberFormat="1" applyFont="1" applyFill="1" applyAlignment="1">
      <alignment wrapText="1"/>
    </xf>
    <xf numFmtId="164" fontId="4" fillId="3" borderId="0" xfId="0" applyNumberFormat="1" applyFont="1" applyFill="1" applyAlignment="1">
      <alignment wrapText="1"/>
    </xf>
    <xf numFmtId="164" fontId="5" fillId="0" borderId="1" xfId="0" applyNumberFormat="1" applyFont="1" applyBorder="1" applyAlignment="1">
      <alignment vertical="top" wrapText="1" readingOrder="1"/>
    </xf>
    <xf numFmtId="164" fontId="4" fillId="0" borderId="1" xfId="0" applyNumberFormat="1" applyFont="1" applyBorder="1" applyAlignment="1">
      <alignment vertical="top" wrapText="1"/>
    </xf>
    <xf numFmtId="164" fontId="4" fillId="6" borderId="1" xfId="0" applyNumberFormat="1" applyFont="1" applyFill="1" applyBorder="1" applyAlignment="1">
      <alignment vertical="top" wrapText="1"/>
    </xf>
    <xf numFmtId="164" fontId="3" fillId="6" borderId="1" xfId="0" applyNumberFormat="1" applyFont="1" applyFill="1" applyBorder="1" applyAlignment="1">
      <alignment vertical="top" wrapText="1"/>
    </xf>
    <xf numFmtId="164" fontId="4" fillId="12" borderId="1" xfId="0" applyNumberFormat="1" applyFont="1" applyFill="1" applyBorder="1" applyAlignment="1">
      <alignment vertical="top" wrapText="1"/>
    </xf>
    <xf numFmtId="164" fontId="4" fillId="3" borderId="1" xfId="0" applyNumberFormat="1" applyFont="1" applyFill="1" applyBorder="1" applyAlignment="1">
      <alignment vertical="top" wrapText="1"/>
    </xf>
    <xf numFmtId="164" fontId="4" fillId="0" borderId="0" xfId="0" applyNumberFormat="1" applyFont="1" applyAlignment="1">
      <alignment vertical="top" wrapText="1"/>
    </xf>
    <xf numFmtId="164" fontId="3" fillId="0" borderId="1" xfId="0" applyNumberFormat="1" applyFont="1" applyBorder="1" applyAlignment="1">
      <alignment vertical="top" wrapText="1" readingOrder="1"/>
    </xf>
    <xf numFmtId="164" fontId="6" fillId="0" borderId="1" xfId="0" applyNumberFormat="1" applyFont="1" applyBorder="1" applyAlignment="1">
      <alignment vertical="top" wrapText="1"/>
    </xf>
    <xf numFmtId="164" fontId="4" fillId="15" borderId="1" xfId="0" applyNumberFormat="1" applyFont="1" applyFill="1" applyBorder="1" applyAlignment="1">
      <alignment vertical="top" wrapText="1"/>
    </xf>
    <xf numFmtId="164" fontId="7" fillId="0" borderId="1" xfId="0" applyNumberFormat="1" applyFont="1" applyBorder="1" applyAlignment="1">
      <alignment vertical="top" wrapText="1"/>
    </xf>
    <xf numFmtId="164" fontId="3" fillId="0" borderId="1" xfId="0" applyNumberFormat="1" applyFont="1" applyBorder="1" applyAlignment="1">
      <alignment vertical="top" wrapText="1"/>
    </xf>
    <xf numFmtId="164" fontId="13" fillId="0" borderId="1" xfId="0" applyNumberFormat="1" applyFont="1" applyBorder="1" applyAlignment="1">
      <alignment vertical="top" wrapText="1"/>
    </xf>
    <xf numFmtId="164" fontId="8" fillId="0" borderId="1" xfId="0" applyNumberFormat="1" applyFont="1" applyBorder="1" applyAlignment="1">
      <alignment vertical="top" wrapText="1"/>
    </xf>
    <xf numFmtId="164" fontId="4" fillId="2" borderId="1" xfId="0" applyNumberFormat="1" applyFont="1" applyFill="1" applyBorder="1" applyAlignment="1">
      <alignment vertical="top" wrapText="1"/>
    </xf>
    <xf numFmtId="164" fontId="4" fillId="13" borderId="1" xfId="0" applyNumberFormat="1" applyFont="1" applyFill="1" applyBorder="1" applyAlignment="1">
      <alignment vertical="top" wrapText="1"/>
    </xf>
    <xf numFmtId="164" fontId="9" fillId="0" borderId="1" xfId="0" applyNumberFormat="1" applyFont="1" applyBorder="1" applyAlignment="1">
      <alignment vertical="top" wrapText="1"/>
    </xf>
    <xf numFmtId="164" fontId="21" fillId="2" borderId="1" xfId="0" applyNumberFormat="1" applyFont="1" applyFill="1" applyBorder="1" applyAlignment="1">
      <alignment vertical="top" wrapText="1"/>
    </xf>
    <xf numFmtId="164" fontId="10" fillId="0" borderId="1" xfId="0" applyNumberFormat="1" applyFont="1" applyBorder="1" applyAlignment="1">
      <alignment vertical="top" wrapText="1"/>
    </xf>
    <xf numFmtId="164" fontId="9" fillId="2" borderId="1" xfId="0" applyNumberFormat="1" applyFont="1" applyFill="1" applyBorder="1" applyAlignment="1">
      <alignment vertical="top" wrapText="1"/>
    </xf>
    <xf numFmtId="164" fontId="10" fillId="2" borderId="1" xfId="0" applyNumberFormat="1" applyFont="1" applyFill="1" applyBorder="1" applyAlignment="1">
      <alignment vertical="top" wrapText="1"/>
    </xf>
    <xf numFmtId="164" fontId="21" fillId="0" borderId="1" xfId="0" applyNumberFormat="1" applyFont="1" applyBorder="1" applyAlignment="1">
      <alignment vertical="top" wrapText="1"/>
    </xf>
    <xf numFmtId="164" fontId="11" fillId="0" borderId="1" xfId="0" applyNumberFormat="1" applyFont="1" applyBorder="1" applyAlignment="1">
      <alignment vertical="top" wrapText="1"/>
    </xf>
    <xf numFmtId="164" fontId="14" fillId="0" borderId="1" xfId="0" applyNumberFormat="1" applyFont="1" applyBorder="1" applyAlignment="1">
      <alignment vertical="top" wrapText="1"/>
    </xf>
    <xf numFmtId="164" fontId="12" fillId="0" borderId="1" xfId="0" applyNumberFormat="1" applyFont="1" applyBorder="1" applyAlignment="1">
      <alignment vertical="top" wrapText="1"/>
    </xf>
    <xf numFmtId="164" fontId="3" fillId="22" borderId="1" xfId="0" applyNumberFormat="1" applyFont="1" applyFill="1" applyBorder="1" applyAlignment="1">
      <alignment vertical="top" wrapText="1" readingOrder="1"/>
    </xf>
    <xf numFmtId="164" fontId="3" fillId="17" borderId="1" xfId="0" applyNumberFormat="1" applyFont="1" applyFill="1" applyBorder="1" applyAlignment="1">
      <alignment vertical="top" wrapText="1" readingOrder="1"/>
    </xf>
    <xf numFmtId="164" fontId="4" fillId="17" borderId="1" xfId="0" applyNumberFormat="1" applyFont="1" applyFill="1" applyBorder="1" applyAlignment="1">
      <alignment vertical="top" wrapText="1"/>
    </xf>
    <xf numFmtId="164" fontId="3" fillId="16" borderId="1" xfId="0" applyNumberFormat="1" applyFont="1" applyFill="1" applyBorder="1" applyAlignment="1">
      <alignment vertical="top" wrapText="1" readingOrder="1"/>
    </xf>
    <xf numFmtId="164" fontId="4" fillId="16" borderId="1" xfId="0" applyNumberFormat="1" applyFont="1" applyFill="1" applyBorder="1" applyAlignment="1">
      <alignment vertical="top" wrapText="1"/>
    </xf>
    <xf numFmtId="164" fontId="4" fillId="0" borderId="1" xfId="0" applyNumberFormat="1" applyFont="1" applyBorder="1" applyAlignment="1">
      <alignment vertical="top"/>
    </xf>
    <xf numFmtId="164" fontId="13" fillId="4" borderId="1" xfId="0" applyNumberFormat="1" applyFont="1" applyFill="1" applyBorder="1" applyAlignment="1">
      <alignment vertical="top" wrapText="1"/>
    </xf>
    <xf numFmtId="164" fontId="4" fillId="20" borderId="1" xfId="0" applyNumberFormat="1" applyFont="1" applyFill="1" applyBorder="1" applyAlignment="1">
      <alignment vertical="top" wrapText="1"/>
    </xf>
    <xf numFmtId="0" fontId="4" fillId="0" borderId="1" xfId="0" applyFont="1" applyBorder="1" applyAlignment="1">
      <alignment vertical="top" wrapText="1"/>
    </xf>
    <xf numFmtId="0" fontId="4" fillId="0" borderId="1" xfId="0" applyFont="1" applyBorder="1" applyAlignment="1">
      <alignment vertical="top"/>
    </xf>
    <xf numFmtId="0" fontId="2" fillId="0" borderId="1" xfId="0" applyFont="1" applyBorder="1" applyAlignment="1">
      <alignment vertical="top"/>
    </xf>
    <xf numFmtId="164" fontId="3" fillId="0" borderId="0" xfId="0" applyNumberFormat="1" applyFont="1" applyAlignment="1">
      <alignment vertical="top" wrapText="1" readingOrder="1"/>
    </xf>
    <xf numFmtId="164" fontId="4" fillId="8" borderId="1" xfId="0" applyNumberFormat="1" applyFont="1" applyFill="1" applyBorder="1" applyAlignment="1">
      <alignment vertical="top" wrapText="1"/>
    </xf>
    <xf numFmtId="164" fontId="6" fillId="0" borderId="0" xfId="0" applyNumberFormat="1" applyFont="1" applyAlignment="1">
      <alignment vertical="top" wrapText="1"/>
    </xf>
    <xf numFmtId="164" fontId="22" fillId="2" borderId="1" xfId="0" applyNumberFormat="1" applyFont="1" applyFill="1" applyBorder="1" applyAlignment="1">
      <alignment vertical="top" wrapText="1"/>
    </xf>
    <xf numFmtId="164" fontId="4" fillId="2" borderId="1" xfId="0" applyNumberFormat="1" applyFont="1" applyFill="1" applyBorder="1" applyAlignment="1">
      <alignment vertical="top"/>
    </xf>
    <xf numFmtId="164" fontId="6" fillId="2" borderId="1" xfId="0" applyNumberFormat="1" applyFont="1" applyFill="1" applyBorder="1" applyAlignment="1">
      <alignment vertical="top"/>
    </xf>
    <xf numFmtId="164" fontId="3" fillId="2" borderId="1" xfId="0" applyNumberFormat="1" applyFont="1" applyFill="1" applyBorder="1" applyAlignment="1">
      <alignment vertical="top" wrapText="1"/>
    </xf>
    <xf numFmtId="164" fontId="4" fillId="23" borderId="1" xfId="0" applyNumberFormat="1" applyFont="1" applyFill="1" applyBorder="1" applyAlignment="1">
      <alignment vertical="top" wrapText="1"/>
    </xf>
    <xf numFmtId="164" fontId="3" fillId="24" borderId="1" xfId="0" applyNumberFormat="1" applyFont="1" applyFill="1" applyBorder="1" applyAlignment="1">
      <alignment vertical="top" wrapText="1"/>
    </xf>
    <xf numFmtId="164" fontId="4" fillId="18" borderId="1" xfId="0" applyNumberFormat="1" applyFont="1" applyFill="1" applyBorder="1" applyAlignment="1">
      <alignment vertical="top" wrapText="1"/>
    </xf>
    <xf numFmtId="164" fontId="6" fillId="18" borderId="1" xfId="0" applyNumberFormat="1" applyFont="1" applyFill="1" applyBorder="1" applyAlignment="1">
      <alignment vertical="top" wrapText="1"/>
    </xf>
    <xf numFmtId="164" fontId="4" fillId="24" borderId="1" xfId="0" applyNumberFormat="1" applyFont="1" applyFill="1" applyBorder="1" applyAlignment="1">
      <alignment vertical="top" wrapText="1"/>
    </xf>
    <xf numFmtId="164" fontId="27" fillId="0" borderId="1" xfId="0" applyNumberFormat="1" applyFont="1" applyBorder="1" applyAlignment="1">
      <alignment vertical="top" wrapText="1"/>
    </xf>
    <xf numFmtId="164" fontId="28" fillId="0" borderId="1" xfId="0" applyNumberFormat="1" applyFont="1" applyBorder="1" applyAlignment="1">
      <alignment vertical="top" wrapText="1"/>
    </xf>
    <xf numFmtId="164" fontId="29" fillId="0" borderId="1" xfId="0" applyNumberFormat="1" applyFont="1" applyBorder="1" applyAlignment="1">
      <alignment vertical="top" wrapText="1"/>
    </xf>
    <xf numFmtId="164" fontId="30" fillId="0" borderId="1" xfId="0" applyNumberFormat="1" applyFont="1" applyBorder="1" applyAlignment="1">
      <alignment vertical="top" wrapText="1"/>
    </xf>
    <xf numFmtId="164" fontId="31" fillId="0" borderId="1" xfId="0" applyNumberFormat="1" applyFont="1" applyBorder="1" applyAlignment="1">
      <alignment vertical="top" wrapText="1"/>
    </xf>
    <xf numFmtId="164" fontId="32" fillId="0" borderId="1" xfId="0" applyNumberFormat="1" applyFont="1" applyBorder="1" applyAlignment="1">
      <alignment vertical="top" wrapText="1"/>
    </xf>
    <xf numFmtId="164" fontId="33" fillId="0" borderId="1" xfId="0" applyNumberFormat="1" applyFont="1" applyBorder="1" applyAlignment="1">
      <alignment vertical="top" wrapText="1"/>
    </xf>
    <xf numFmtId="164" fontId="34" fillId="0" borderId="1" xfId="0" applyNumberFormat="1" applyFont="1" applyBorder="1" applyAlignment="1">
      <alignment vertical="top" wrapText="1"/>
    </xf>
    <xf numFmtId="164" fontId="35" fillId="0" borderId="1" xfId="0" applyNumberFormat="1" applyFont="1" applyBorder="1" applyAlignment="1">
      <alignment vertical="top" wrapText="1"/>
    </xf>
    <xf numFmtId="164" fontId="36" fillId="0" borderId="1" xfId="0" applyNumberFormat="1" applyFont="1" applyBorder="1" applyAlignment="1">
      <alignment vertical="top" wrapText="1"/>
    </xf>
    <xf numFmtId="164" fontId="35" fillId="2" borderId="1" xfId="0" applyNumberFormat="1" applyFont="1" applyFill="1" applyBorder="1" applyAlignment="1">
      <alignment vertical="top" wrapText="1"/>
    </xf>
    <xf numFmtId="164" fontId="36" fillId="2" borderId="1" xfId="0" applyNumberFormat="1" applyFont="1" applyFill="1" applyBorder="1" applyAlignment="1">
      <alignment vertical="top" wrapText="1"/>
    </xf>
    <xf numFmtId="164" fontId="27" fillId="17" borderId="1" xfId="0" applyNumberFormat="1" applyFont="1" applyFill="1" applyBorder="1" applyAlignment="1">
      <alignment vertical="top" wrapText="1"/>
    </xf>
    <xf numFmtId="164" fontId="28" fillId="17" borderId="1" xfId="0" applyNumberFormat="1" applyFont="1" applyFill="1" applyBorder="1" applyAlignment="1">
      <alignment vertical="top" wrapText="1"/>
    </xf>
    <xf numFmtId="164" fontId="27" fillId="2" borderId="1" xfId="0" applyNumberFormat="1" applyFont="1" applyFill="1" applyBorder="1" applyAlignment="1">
      <alignment vertical="top" wrapText="1"/>
    </xf>
    <xf numFmtId="164" fontId="28" fillId="2" borderId="1" xfId="0" applyNumberFormat="1" applyFont="1" applyFill="1" applyBorder="1" applyAlignment="1">
      <alignment vertical="top" wrapText="1"/>
    </xf>
    <xf numFmtId="164" fontId="27" fillId="16" borderId="1" xfId="0" applyNumberFormat="1" applyFont="1" applyFill="1" applyBorder="1" applyAlignment="1">
      <alignment vertical="top" wrapText="1"/>
    </xf>
    <xf numFmtId="164" fontId="28" fillId="16" borderId="1" xfId="0" applyNumberFormat="1" applyFont="1" applyFill="1" applyBorder="1" applyAlignment="1">
      <alignment vertical="top" wrapText="1"/>
    </xf>
    <xf numFmtId="164" fontId="37" fillId="4" borderId="1" xfId="0" applyNumberFormat="1" applyFont="1" applyFill="1" applyBorder="1" applyAlignment="1">
      <alignment vertical="top" wrapText="1"/>
    </xf>
    <xf numFmtId="164" fontId="38" fillId="4" borderId="1" xfId="0" applyNumberFormat="1" applyFont="1" applyFill="1" applyBorder="1" applyAlignment="1">
      <alignment vertical="top" wrapText="1"/>
    </xf>
    <xf numFmtId="164" fontId="27" fillId="20" borderId="1" xfId="0" applyNumberFormat="1" applyFont="1" applyFill="1" applyBorder="1" applyAlignment="1">
      <alignment vertical="top" wrapText="1"/>
    </xf>
    <xf numFmtId="164" fontId="28" fillId="20" borderId="1" xfId="0" applyNumberFormat="1" applyFont="1" applyFill="1" applyBorder="1" applyAlignment="1">
      <alignment vertical="top" wrapText="1"/>
    </xf>
    <xf numFmtId="164" fontId="28" fillId="0" borderId="0" xfId="0" applyNumberFormat="1" applyFont="1" applyAlignment="1">
      <alignment vertical="top" wrapText="1"/>
    </xf>
    <xf numFmtId="164" fontId="27" fillId="11" borderId="1" xfId="0" applyNumberFormat="1" applyFont="1" applyFill="1" applyBorder="1" applyAlignment="1">
      <alignment vertical="top" wrapText="1"/>
    </xf>
    <xf numFmtId="164" fontId="28" fillId="11" borderId="1" xfId="0" applyNumberFormat="1" applyFont="1" applyFill="1" applyBorder="1" applyAlignment="1">
      <alignment vertical="top" wrapText="1"/>
    </xf>
    <xf numFmtId="0" fontId="4" fillId="25" borderId="0" xfId="0" applyFont="1" applyFill="1" applyAlignment="1">
      <alignment wrapText="1"/>
    </xf>
    <xf numFmtId="164" fontId="4" fillId="18" borderId="1" xfId="0" applyNumberFormat="1" applyFont="1" applyFill="1" applyBorder="1" applyAlignment="1">
      <alignment vertical="top"/>
    </xf>
    <xf numFmtId="0" fontId="3" fillId="3" borderId="0" xfId="0" applyFont="1" applyFill="1" applyAlignment="1">
      <alignment wrapText="1" readingOrder="1"/>
    </xf>
    <xf numFmtId="4" fontId="4" fillId="0" borderId="0" xfId="0" applyNumberFormat="1" applyFont="1" applyAlignment="1">
      <alignment wrapText="1"/>
    </xf>
    <xf numFmtId="0" fontId="3" fillId="10" borderId="0" xfId="0" applyFont="1" applyFill="1" applyAlignment="1">
      <alignment wrapText="1" readingOrder="1"/>
    </xf>
    <xf numFmtId="0" fontId="3" fillId="0" borderId="1" xfId="0" applyFont="1" applyBorder="1" applyAlignment="1">
      <alignment vertical="top" wrapText="1"/>
    </xf>
    <xf numFmtId="164" fontId="6" fillId="0" borderId="1" xfId="0" applyNumberFormat="1" applyFont="1" applyBorder="1" applyAlignment="1">
      <alignment vertical="top"/>
    </xf>
    <xf numFmtId="164" fontId="6" fillId="2" borderId="1" xfId="0" applyNumberFormat="1" applyFont="1" applyFill="1" applyBorder="1" applyAlignment="1">
      <alignment vertical="top" wrapText="1"/>
    </xf>
    <xf numFmtId="164" fontId="4" fillId="19" borderId="1" xfId="0" applyNumberFormat="1" applyFont="1" applyFill="1" applyBorder="1" applyAlignment="1">
      <alignment vertical="top" wrapText="1"/>
    </xf>
    <xf numFmtId="164" fontId="3" fillId="3" borderId="1" xfId="0" applyNumberFormat="1" applyFont="1" applyFill="1" applyBorder="1" applyAlignment="1">
      <alignment vertical="top" wrapText="1"/>
    </xf>
    <xf numFmtId="164" fontId="11" fillId="2" borderId="1" xfId="0" applyNumberFormat="1" applyFont="1" applyFill="1" applyBorder="1" applyAlignment="1">
      <alignment wrapText="1"/>
    </xf>
    <xf numFmtId="0" fontId="39" fillId="0" borderId="0" xfId="0" applyFont="1"/>
    <xf numFmtId="0" fontId="39" fillId="0" borderId="1" xfId="0" applyFont="1" applyBorder="1"/>
    <xf numFmtId="164" fontId="3" fillId="0" borderId="2" xfId="0" applyNumberFormat="1" applyFont="1" applyBorder="1" applyAlignment="1">
      <alignment vertical="top" wrapText="1" readingOrder="1"/>
    </xf>
    <xf numFmtId="164" fontId="4" fillId="15" borderId="3" xfId="0" applyNumberFormat="1" applyFont="1" applyFill="1" applyBorder="1" applyAlignment="1">
      <alignment vertical="top" wrapText="1"/>
    </xf>
    <xf numFmtId="164" fontId="4" fillId="0" borderId="4" xfId="0" applyNumberFormat="1" applyFont="1" applyBorder="1" applyAlignment="1">
      <alignment vertical="top" wrapText="1"/>
    </xf>
    <xf numFmtId="164" fontId="27" fillId="0" borderId="4" xfId="0" applyNumberFormat="1" applyFont="1" applyBorder="1" applyAlignment="1">
      <alignment vertical="top" wrapText="1"/>
    </xf>
    <xf numFmtId="164" fontId="28" fillId="0" borderId="4" xfId="0" applyNumberFormat="1" applyFont="1" applyBorder="1" applyAlignment="1">
      <alignment vertical="top" wrapText="1"/>
    </xf>
    <xf numFmtId="164" fontId="4" fillId="0" borderId="4" xfId="0" applyNumberFormat="1" applyFont="1" applyBorder="1" applyAlignment="1">
      <alignment wrapText="1"/>
    </xf>
    <xf numFmtId="164" fontId="6" fillId="0" borderId="4" xfId="0" applyNumberFormat="1" applyFont="1" applyBorder="1" applyAlignment="1">
      <alignment vertical="top" wrapText="1"/>
    </xf>
    <xf numFmtId="164" fontId="4" fillId="0" borderId="5" xfId="0" applyNumberFormat="1" applyFont="1" applyBorder="1" applyAlignment="1">
      <alignment vertical="top" wrapText="1"/>
    </xf>
    <xf numFmtId="164" fontId="27" fillId="0" borderId="5" xfId="0" applyNumberFormat="1" applyFont="1" applyBorder="1" applyAlignment="1">
      <alignment vertical="top" wrapText="1"/>
    </xf>
    <xf numFmtId="164" fontId="28" fillId="0" borderId="5" xfId="0" applyNumberFormat="1" applyFont="1" applyBorder="1" applyAlignment="1">
      <alignment vertical="top" wrapText="1"/>
    </xf>
    <xf numFmtId="164" fontId="4" fillId="0" borderId="5" xfId="0" applyNumberFormat="1" applyFont="1" applyBorder="1" applyAlignment="1">
      <alignment wrapText="1"/>
    </xf>
    <xf numFmtId="164" fontId="4" fillId="0" borderId="1" xfId="0" applyNumberFormat="1" applyFont="1" applyBorder="1" applyAlignment="1">
      <alignment horizontal="right" wrapText="1"/>
    </xf>
    <xf numFmtId="0" fontId="40" fillId="0" borderId="1" xfId="0" applyFont="1" applyBorder="1"/>
    <xf numFmtId="164" fontId="41" fillId="0" borderId="1" xfId="0" applyNumberFormat="1" applyFont="1" applyBorder="1" applyAlignment="1">
      <alignment vertical="top" wrapText="1"/>
    </xf>
    <xf numFmtId="164" fontId="41" fillId="0" borderId="1" xfId="0" applyNumberFormat="1" applyFont="1" applyBorder="1" applyAlignment="1">
      <alignment vertical="top"/>
    </xf>
    <xf numFmtId="0" fontId="42" fillId="0" borderId="0" xfId="0" applyFont="1"/>
    <xf numFmtId="164" fontId="3" fillId="0" borderId="0" xfId="0" applyNumberFormat="1" applyFont="1" applyAlignment="1">
      <alignment vertical="top" wrapText="1"/>
    </xf>
    <xf numFmtId="0" fontId="43" fillId="0" borderId="0" xfId="0" applyFont="1"/>
    <xf numFmtId="0" fontId="5" fillId="0" borderId="1" xfId="0" applyFont="1" applyBorder="1" applyAlignment="1">
      <alignment wrapText="1" readingOrder="1"/>
    </xf>
    <xf numFmtId="0" fontId="4" fillId="0" borderId="1" xfId="0" applyFont="1" applyBorder="1" applyAlignment="1">
      <alignment wrapText="1"/>
    </xf>
    <xf numFmtId="0" fontId="4" fillId="4" borderId="1" xfId="0" applyFont="1" applyFill="1" applyBorder="1" applyAlignment="1">
      <alignment wrapText="1"/>
    </xf>
    <xf numFmtId="0" fontId="15" fillId="4" borderId="1" xfId="0" applyFont="1" applyFill="1" applyBorder="1" applyAlignment="1">
      <alignment wrapText="1"/>
    </xf>
    <xf numFmtId="0" fontId="15" fillId="0" borderId="1" xfId="0" applyFont="1" applyBorder="1" applyAlignment="1">
      <alignment wrapText="1"/>
    </xf>
    <xf numFmtId="0" fontId="19" fillId="0" borderId="1" xfId="0" applyFont="1" applyBorder="1" applyAlignment="1">
      <alignment wrapText="1"/>
    </xf>
    <xf numFmtId="0" fontId="23" fillId="0" borderId="1" xfId="0" applyFont="1" applyBorder="1" applyAlignment="1">
      <alignment wrapText="1"/>
    </xf>
    <xf numFmtId="0" fontId="18" fillId="0" borderId="1" xfId="0" applyFont="1" applyBorder="1" applyAlignment="1">
      <alignment wrapText="1"/>
    </xf>
    <xf numFmtId="0" fontId="3" fillId="0" borderId="1" xfId="0" applyFont="1" applyBorder="1" applyAlignment="1">
      <alignment wrapText="1" readingOrder="1"/>
    </xf>
    <xf numFmtId="0" fontId="4" fillId="7" borderId="1" xfId="0" applyFont="1" applyFill="1" applyBorder="1" applyAlignment="1">
      <alignment wrapText="1"/>
    </xf>
    <xf numFmtId="0" fontId="4" fillId="8" borderId="1" xfId="0" applyFont="1" applyFill="1" applyBorder="1" applyAlignment="1">
      <alignment wrapText="1"/>
    </xf>
    <xf numFmtId="0" fontId="4" fillId="14" borderId="1" xfId="0" applyFont="1" applyFill="1" applyBorder="1" applyAlignment="1">
      <alignment wrapText="1"/>
    </xf>
    <xf numFmtId="0" fontId="4" fillId="0" borderId="1" xfId="0" applyFont="1" applyBorder="1"/>
    <xf numFmtId="0" fontId="3" fillId="8" borderId="1" xfId="0" applyFont="1" applyFill="1" applyBorder="1" applyAlignment="1">
      <alignment wrapText="1"/>
    </xf>
    <xf numFmtId="0" fontId="3" fillId="7" borderId="1" xfId="0" applyFont="1" applyFill="1" applyBorder="1" applyAlignment="1">
      <alignment wrapText="1"/>
    </xf>
    <xf numFmtId="0" fontId="3" fillId="11" borderId="1" xfId="0" applyFont="1" applyFill="1" applyBorder="1" applyAlignment="1">
      <alignment wrapText="1"/>
    </xf>
    <xf numFmtId="0" fontId="4" fillId="10" borderId="1" xfId="0" applyFont="1" applyFill="1" applyBorder="1" applyAlignment="1">
      <alignment wrapText="1"/>
    </xf>
    <xf numFmtId="0" fontId="3" fillId="4" borderId="1" xfId="0" applyFont="1" applyFill="1" applyBorder="1" applyAlignment="1">
      <alignment wrapText="1" readingOrder="1"/>
    </xf>
    <xf numFmtId="0" fontId="13" fillId="0" borderId="1" xfId="0" applyFont="1" applyBorder="1" applyAlignment="1">
      <alignment wrapText="1" readingOrder="1"/>
    </xf>
    <xf numFmtId="0" fontId="13" fillId="0" borderId="1" xfId="0" applyFont="1" applyBorder="1" applyAlignment="1">
      <alignment wrapText="1"/>
    </xf>
    <xf numFmtId="3" fontId="4" fillId="0" borderId="1" xfId="0" applyNumberFormat="1" applyFont="1" applyBorder="1" applyAlignment="1">
      <alignment wrapText="1"/>
    </xf>
    <xf numFmtId="0" fontId="12" fillId="0" borderId="1" xfId="0" applyFont="1" applyBorder="1" applyAlignment="1">
      <alignment wrapText="1" readingOrder="1"/>
    </xf>
    <xf numFmtId="0" fontId="4" fillId="9" borderId="1" xfId="0" applyFont="1" applyFill="1" applyBorder="1" applyAlignment="1">
      <alignment wrapText="1"/>
    </xf>
    <xf numFmtId="0" fontId="20" fillId="0" borderId="1" xfId="0" applyFont="1" applyBorder="1" applyAlignment="1">
      <alignment wrapText="1"/>
    </xf>
    <xf numFmtId="0" fontId="20" fillId="10" borderId="1" xfId="0" applyFont="1" applyFill="1" applyBorder="1" applyAlignment="1">
      <alignment wrapText="1"/>
    </xf>
    <xf numFmtId="0" fontId="3" fillId="3" borderId="1" xfId="0" applyFont="1" applyFill="1" applyBorder="1" applyAlignment="1">
      <alignment wrapText="1" readingOrder="1"/>
    </xf>
    <xf numFmtId="0" fontId="3" fillId="10" borderId="1" xfId="0" applyFont="1" applyFill="1" applyBorder="1" applyAlignment="1">
      <alignment wrapText="1" readingOrder="1"/>
    </xf>
    <xf numFmtId="0" fontId="4" fillId="3" borderId="1" xfId="0" applyFont="1" applyFill="1" applyBorder="1" applyAlignment="1">
      <alignment wrapText="1"/>
    </xf>
    <xf numFmtId="0" fontId="12" fillId="0" borderId="1" xfId="0" applyFont="1" applyBorder="1" applyAlignment="1">
      <alignment wrapText="1"/>
    </xf>
    <xf numFmtId="0" fontId="12" fillId="9" borderId="1" xfId="0" applyFont="1" applyFill="1" applyBorder="1" applyAlignment="1">
      <alignment wrapText="1"/>
    </xf>
    <xf numFmtId="0" fontId="3" fillId="0" borderId="1" xfId="0" applyFont="1" applyBorder="1" applyAlignment="1">
      <alignment wrapText="1"/>
    </xf>
    <xf numFmtId="0" fontId="3" fillId="9" borderId="1" xfId="0" applyFont="1" applyFill="1" applyBorder="1" applyAlignment="1">
      <alignment wrapText="1"/>
    </xf>
    <xf numFmtId="0" fontId="4" fillId="21" borderId="1" xfId="0" applyFont="1" applyFill="1" applyBorder="1" applyAlignment="1">
      <alignment wrapText="1"/>
    </xf>
    <xf numFmtId="3" fontId="6" fillId="0" borderId="1" xfId="0" applyNumberFormat="1" applyFont="1" applyBorder="1"/>
    <xf numFmtId="3" fontId="3" fillId="0" borderId="1" xfId="0" applyNumberFormat="1" applyFont="1" applyBorder="1" applyAlignment="1">
      <alignment wrapText="1" readingOrder="1"/>
    </xf>
    <xf numFmtId="0" fontId="16" fillId="0" borderId="1" xfId="1" applyFont="1" applyBorder="1" applyAlignment="1">
      <alignment wrapText="1" readingOrder="1"/>
    </xf>
    <xf numFmtId="3" fontId="13" fillId="0" borderId="1" xfId="0" applyNumberFormat="1" applyFont="1" applyBorder="1" applyAlignment="1">
      <alignment wrapText="1"/>
    </xf>
    <xf numFmtId="3" fontId="3" fillId="0" borderId="1" xfId="0" applyNumberFormat="1" applyFont="1" applyBorder="1" applyAlignment="1">
      <alignment wrapText="1"/>
    </xf>
    <xf numFmtId="4" fontId="3" fillId="0" borderId="1" xfId="0" applyNumberFormat="1" applyFont="1" applyBorder="1" applyAlignment="1">
      <alignment wrapText="1" readingOrder="1"/>
    </xf>
    <xf numFmtId="3" fontId="17" fillId="0" borderId="1" xfId="0" applyNumberFormat="1" applyFont="1" applyBorder="1"/>
    <xf numFmtId="4" fontId="4" fillId="0" borderId="1" xfId="0" applyNumberFormat="1" applyFont="1" applyBorder="1" applyAlignment="1">
      <alignment wrapText="1"/>
    </xf>
    <xf numFmtId="0" fontId="23" fillId="0" borderId="1" xfId="0" applyFont="1" applyBorder="1"/>
    <xf numFmtId="0" fontId="15" fillId="0" borderId="1" xfId="0" applyFont="1" applyBorder="1"/>
    <xf numFmtId="0" fontId="4" fillId="20" borderId="1" xfId="0" applyFont="1" applyFill="1" applyBorder="1" applyAlignment="1">
      <alignment wrapText="1"/>
    </xf>
    <xf numFmtId="0" fontId="3" fillId="10" borderId="1" xfId="0" applyFont="1" applyFill="1" applyBorder="1" applyAlignment="1">
      <alignment wrapText="1"/>
    </xf>
    <xf numFmtId="164" fontId="4" fillId="3" borderId="1" xfId="0" applyNumberFormat="1" applyFont="1" applyFill="1" applyBorder="1" applyAlignment="1">
      <alignment wrapText="1"/>
    </xf>
    <xf numFmtId="0" fontId="4" fillId="25" borderId="1" xfId="0" applyFont="1" applyFill="1" applyBorder="1" applyAlignment="1">
      <alignment wrapText="1"/>
    </xf>
    <xf numFmtId="3" fontId="4" fillId="3" borderId="1" xfId="0" applyNumberFormat="1" applyFont="1" applyFill="1" applyBorder="1" applyAlignment="1">
      <alignment wrapText="1"/>
    </xf>
    <xf numFmtId="0" fontId="0" fillId="0" borderId="1" xfId="0" applyBorder="1"/>
    <xf numFmtId="0" fontId="0" fillId="10" borderId="1" xfId="0" applyFill="1" applyBorder="1"/>
    <xf numFmtId="0" fontId="0" fillId="4" borderId="1" xfId="0" applyFill="1" applyBorder="1"/>
    <xf numFmtId="164" fontId="4" fillId="2" borderId="4" xfId="0" applyNumberFormat="1" applyFont="1" applyFill="1" applyBorder="1" applyAlignment="1">
      <alignment vertical="top" wrapText="1"/>
    </xf>
    <xf numFmtId="164" fontId="4" fillId="4" borderId="4" xfId="0" applyNumberFormat="1" applyFont="1" applyFill="1" applyBorder="1" applyAlignment="1">
      <alignment vertical="top" wrapText="1"/>
    </xf>
    <xf numFmtId="164" fontId="36" fillId="2" borderId="1" xfId="0" applyNumberFormat="1" applyFont="1" applyFill="1" applyBorder="1" applyAlignment="1">
      <alignment vertical="top"/>
    </xf>
    <xf numFmtId="164" fontId="4" fillId="26" borderId="1" xfId="0" applyNumberFormat="1" applyFont="1" applyFill="1" applyBorder="1" applyAlignment="1">
      <alignment vertical="top" wrapText="1"/>
    </xf>
    <xf numFmtId="164" fontId="28" fillId="26" borderId="1" xfId="0" applyNumberFormat="1" applyFont="1" applyFill="1" applyBorder="1" applyAlignment="1">
      <alignment vertical="top" wrapText="1"/>
    </xf>
    <xf numFmtId="0" fontId="18" fillId="0" borderId="0" xfId="0" quotePrefix="1" applyFont="1"/>
    <xf numFmtId="0" fontId="0" fillId="0" borderId="0" xfId="0" applyAlignment="1">
      <alignment wrapText="1"/>
    </xf>
    <xf numFmtId="0" fontId="0" fillId="19" borderId="0" xfId="0" applyFill="1" applyAlignment="1">
      <alignment wrapText="1"/>
    </xf>
    <xf numFmtId="0" fontId="0" fillId="4" borderId="0" xfId="0" applyFill="1" applyAlignment="1">
      <alignment wrapText="1"/>
    </xf>
    <xf numFmtId="0" fontId="44" fillId="0" borderId="0" xfId="0" applyFont="1" applyAlignment="1">
      <alignment wrapText="1" readingOrder="1"/>
    </xf>
    <xf numFmtId="11" fontId="0" fillId="0" borderId="0" xfId="0" applyNumberFormat="1" applyAlignment="1">
      <alignment wrapText="1"/>
    </xf>
    <xf numFmtId="0" fontId="0" fillId="13" borderId="0" xfId="0" applyFill="1" applyAlignment="1">
      <alignment wrapText="1"/>
    </xf>
    <xf numFmtId="11" fontId="44" fillId="0" borderId="0" xfId="0" applyNumberFormat="1" applyFont="1" applyAlignment="1">
      <alignment wrapText="1" readingOrder="1"/>
    </xf>
    <xf numFmtId="0" fontId="0" fillId="7" borderId="0" xfId="0" applyFill="1" applyAlignment="1">
      <alignment wrapText="1"/>
    </xf>
    <xf numFmtId="0" fontId="2" fillId="0" borderId="1" xfId="0" applyFont="1" applyBorder="1" applyAlignment="1">
      <alignment wrapText="1"/>
    </xf>
    <xf numFmtId="0" fontId="18" fillId="0" borderId="0" xfId="0" applyFont="1"/>
    <xf numFmtId="164" fontId="4" fillId="0" borderId="1" xfId="0" applyNumberFormat="1" applyFont="1" applyBorder="1" applyAlignment="1">
      <alignment horizontal="right" vertical="top" wrapText="1"/>
    </xf>
    <xf numFmtId="164" fontId="5" fillId="0" borderId="1" xfId="0" applyNumberFormat="1" applyFont="1" applyBorder="1" applyAlignment="1">
      <alignment horizontal="right" vertical="top" wrapText="1" readingOrder="1"/>
    </xf>
    <xf numFmtId="164" fontId="4" fillId="6" borderId="1" xfId="0" applyNumberFormat="1" applyFont="1" applyFill="1" applyBorder="1" applyAlignment="1">
      <alignment horizontal="right" vertical="top" wrapText="1"/>
    </xf>
    <xf numFmtId="164" fontId="3" fillId="6" borderId="1" xfId="0" applyNumberFormat="1" applyFont="1" applyFill="1" applyBorder="1" applyAlignment="1">
      <alignment horizontal="right" vertical="top" wrapText="1"/>
    </xf>
    <xf numFmtId="164" fontId="27" fillId="11" borderId="1" xfId="0" applyNumberFormat="1" applyFont="1" applyFill="1" applyBorder="1" applyAlignment="1">
      <alignment horizontal="right" vertical="top" wrapText="1"/>
    </xf>
    <xf numFmtId="164" fontId="28" fillId="11" borderId="1" xfId="0" applyNumberFormat="1" applyFont="1" applyFill="1" applyBorder="1" applyAlignment="1">
      <alignment horizontal="right" vertical="top" wrapText="1"/>
    </xf>
    <xf numFmtId="164" fontId="4" fillId="3" borderId="1" xfId="0" applyNumberFormat="1" applyFont="1" applyFill="1" applyBorder="1" applyAlignment="1">
      <alignment horizontal="right" vertical="top" wrapText="1"/>
    </xf>
    <xf numFmtId="164" fontId="4" fillId="12" borderId="1" xfId="0" applyNumberFormat="1" applyFont="1" applyFill="1" applyBorder="1" applyAlignment="1">
      <alignment horizontal="right" vertical="top" wrapText="1"/>
    </xf>
    <xf numFmtId="0" fontId="4" fillId="0" borderId="1" xfId="0" applyFont="1" applyBorder="1" applyAlignment="1">
      <alignment horizontal="right" vertical="top" wrapText="1"/>
    </xf>
    <xf numFmtId="0" fontId="4" fillId="4" borderId="1" xfId="0" applyFont="1" applyFill="1" applyBorder="1" applyAlignment="1">
      <alignment horizontal="right" vertical="top" wrapText="1"/>
    </xf>
    <xf numFmtId="0" fontId="15" fillId="4" borderId="1" xfId="0" applyFont="1" applyFill="1" applyBorder="1" applyAlignment="1">
      <alignment horizontal="right" vertical="top" wrapText="1"/>
    </xf>
    <xf numFmtId="0" fontId="15" fillId="0" borderId="1" xfId="0" applyFont="1" applyBorder="1" applyAlignment="1">
      <alignment horizontal="right" vertical="top" wrapText="1"/>
    </xf>
    <xf numFmtId="0" fontId="19" fillId="0" borderId="1" xfId="0" applyFont="1" applyBorder="1" applyAlignment="1">
      <alignment horizontal="right" vertical="top" wrapText="1"/>
    </xf>
    <xf numFmtId="0" fontId="23" fillId="0" borderId="1" xfId="0" applyFont="1" applyBorder="1" applyAlignment="1">
      <alignment horizontal="right" vertical="top" wrapText="1"/>
    </xf>
    <xf numFmtId="0" fontId="18" fillId="0" borderId="1" xfId="0" applyFont="1" applyBorder="1" applyAlignment="1">
      <alignment horizontal="right" vertical="top" wrapText="1"/>
    </xf>
    <xf numFmtId="164" fontId="3" fillId="0" borderId="1" xfId="0" applyNumberFormat="1" applyFont="1" applyBorder="1" applyAlignment="1">
      <alignment horizontal="right" vertical="top" wrapText="1" readingOrder="1"/>
    </xf>
    <xf numFmtId="164" fontId="27" fillId="0" borderId="1" xfId="0" applyNumberFormat="1" applyFont="1" applyBorder="1" applyAlignment="1">
      <alignment horizontal="right" vertical="top" wrapText="1"/>
    </xf>
    <xf numFmtId="164" fontId="28" fillId="0" borderId="1" xfId="0" applyNumberFormat="1" applyFont="1" applyBorder="1" applyAlignment="1">
      <alignment horizontal="right" vertical="top" wrapText="1"/>
    </xf>
    <xf numFmtId="164" fontId="6" fillId="0" borderId="1" xfId="0" applyNumberFormat="1" applyFont="1" applyBorder="1" applyAlignment="1">
      <alignment horizontal="right" vertical="top" wrapText="1"/>
    </xf>
    <xf numFmtId="0" fontId="4" fillId="7" borderId="1" xfId="0" applyFont="1" applyFill="1" applyBorder="1" applyAlignment="1">
      <alignment horizontal="right" vertical="top" wrapText="1"/>
    </xf>
    <xf numFmtId="0" fontId="4" fillId="8" borderId="1" xfId="0" applyFont="1" applyFill="1" applyBorder="1" applyAlignment="1">
      <alignment horizontal="right" vertical="top" wrapText="1"/>
    </xf>
    <xf numFmtId="0" fontId="4" fillId="14" borderId="1" xfId="0" applyFont="1" applyFill="1" applyBorder="1" applyAlignment="1">
      <alignment horizontal="right" vertical="top" wrapText="1"/>
    </xf>
    <xf numFmtId="164" fontId="4" fillId="0" borderId="4" xfId="0" applyNumberFormat="1" applyFont="1" applyBorder="1" applyAlignment="1">
      <alignment horizontal="right" vertical="top" wrapText="1"/>
    </xf>
    <xf numFmtId="164" fontId="27" fillId="0" borderId="4" xfId="0" applyNumberFormat="1" applyFont="1" applyBorder="1" applyAlignment="1">
      <alignment horizontal="right" vertical="top" wrapText="1"/>
    </xf>
    <xf numFmtId="164" fontId="28" fillId="0" borderId="4" xfId="0" applyNumberFormat="1" applyFont="1" applyBorder="1" applyAlignment="1">
      <alignment horizontal="right" vertical="top" wrapText="1"/>
    </xf>
    <xf numFmtId="164" fontId="6" fillId="0" borderId="4" xfId="0" applyNumberFormat="1" applyFont="1" applyBorder="1" applyAlignment="1">
      <alignment horizontal="right" vertical="top" wrapText="1"/>
    </xf>
    <xf numFmtId="0" fontId="3" fillId="0" borderId="1" xfId="0" applyFont="1" applyBorder="1" applyAlignment="1">
      <alignment horizontal="right" vertical="top" wrapText="1" readingOrder="1"/>
    </xf>
    <xf numFmtId="0" fontId="4" fillId="0" borderId="1" xfId="0" applyFont="1" applyBorder="1" applyAlignment="1">
      <alignment horizontal="right" vertical="top"/>
    </xf>
    <xf numFmtId="164" fontId="3" fillId="0" borderId="2" xfId="0" applyNumberFormat="1" applyFont="1" applyBorder="1" applyAlignment="1">
      <alignment horizontal="right" vertical="top" wrapText="1" readingOrder="1"/>
    </xf>
    <xf numFmtId="0" fontId="39" fillId="0" borderId="1" xfId="0" applyFont="1" applyBorder="1" applyAlignment="1">
      <alignment horizontal="right" vertical="top"/>
    </xf>
    <xf numFmtId="164" fontId="4" fillId="15" borderId="3" xfId="0" applyNumberFormat="1" applyFont="1" applyFill="1" applyBorder="1" applyAlignment="1">
      <alignment horizontal="right" vertical="top" wrapText="1"/>
    </xf>
    <xf numFmtId="164" fontId="4" fillId="15" borderId="1" xfId="0" applyNumberFormat="1" applyFont="1" applyFill="1" applyBorder="1" applyAlignment="1">
      <alignment horizontal="right" vertical="top" wrapText="1"/>
    </xf>
    <xf numFmtId="164" fontId="4" fillId="0" borderId="5" xfId="0" applyNumberFormat="1" applyFont="1" applyBorder="1" applyAlignment="1">
      <alignment horizontal="right" vertical="top" wrapText="1"/>
    </xf>
    <xf numFmtId="164" fontId="27" fillId="0" borderId="5" xfId="0" applyNumberFormat="1" applyFont="1" applyBorder="1" applyAlignment="1">
      <alignment horizontal="right" vertical="top" wrapText="1"/>
    </xf>
    <xf numFmtId="164" fontId="28" fillId="0" borderId="5" xfId="0" applyNumberFormat="1" applyFont="1" applyBorder="1" applyAlignment="1">
      <alignment horizontal="right" vertical="top" wrapText="1"/>
    </xf>
    <xf numFmtId="0" fontId="3" fillId="8" borderId="1" xfId="0" applyFont="1" applyFill="1" applyBorder="1" applyAlignment="1">
      <alignment horizontal="right" vertical="top" wrapText="1"/>
    </xf>
    <xf numFmtId="0" fontId="3" fillId="7" borderId="1" xfId="0" applyFont="1" applyFill="1" applyBorder="1" applyAlignment="1">
      <alignment horizontal="right" vertical="top" wrapText="1"/>
    </xf>
    <xf numFmtId="0" fontId="3" fillId="11" borderId="1" xfId="0" applyFont="1" applyFill="1" applyBorder="1" applyAlignment="1">
      <alignment horizontal="right" vertical="top" wrapText="1"/>
    </xf>
    <xf numFmtId="164" fontId="4" fillId="0" borderId="0" xfId="0" applyNumberFormat="1" applyFont="1" applyAlignment="1">
      <alignment horizontal="right" vertical="top" wrapText="1"/>
    </xf>
    <xf numFmtId="0" fontId="4" fillId="10" borderId="1" xfId="0" applyFont="1" applyFill="1" applyBorder="1" applyAlignment="1">
      <alignment horizontal="right" vertical="top" wrapText="1"/>
    </xf>
    <xf numFmtId="164" fontId="7" fillId="0" borderId="1" xfId="0" applyNumberFormat="1" applyFont="1" applyBorder="1" applyAlignment="1">
      <alignment horizontal="right" vertical="top" wrapText="1"/>
    </xf>
    <xf numFmtId="164" fontId="3" fillId="0" borderId="1" xfId="0" applyNumberFormat="1" applyFont="1" applyBorder="1" applyAlignment="1">
      <alignment horizontal="right" vertical="top" wrapText="1"/>
    </xf>
    <xf numFmtId="164" fontId="29" fillId="0" borderId="1" xfId="0" applyNumberFormat="1" applyFont="1" applyBorder="1" applyAlignment="1">
      <alignment horizontal="right" vertical="top" wrapText="1"/>
    </xf>
    <xf numFmtId="164" fontId="30" fillId="0" borderId="1" xfId="0" applyNumberFormat="1" applyFont="1" applyBorder="1" applyAlignment="1">
      <alignment horizontal="right" vertical="top" wrapText="1"/>
    </xf>
    <xf numFmtId="0" fontId="3" fillId="4" borderId="1" xfId="0" applyFont="1" applyFill="1" applyBorder="1" applyAlignment="1">
      <alignment horizontal="right" vertical="top" wrapText="1" readingOrder="1"/>
    </xf>
    <xf numFmtId="164" fontId="4" fillId="0" borderId="1" xfId="0" applyNumberFormat="1" applyFont="1" applyBorder="1" applyAlignment="1">
      <alignment horizontal="right" vertical="top"/>
    </xf>
    <xf numFmtId="164" fontId="13" fillId="0" borderId="1" xfId="0" applyNumberFormat="1" applyFont="1" applyBorder="1" applyAlignment="1">
      <alignment horizontal="right" vertical="top" wrapText="1"/>
    </xf>
    <xf numFmtId="0" fontId="13" fillId="0" borderId="1" xfId="0" applyFont="1" applyBorder="1" applyAlignment="1">
      <alignment horizontal="right" vertical="top" wrapText="1" readingOrder="1"/>
    </xf>
    <xf numFmtId="0" fontId="13" fillId="0" borderId="1" xfId="0" applyFont="1" applyBorder="1" applyAlignment="1">
      <alignment horizontal="right" vertical="top" wrapText="1"/>
    </xf>
    <xf numFmtId="3" fontId="4" fillId="0" borderId="1" xfId="0" applyNumberFormat="1" applyFont="1" applyBorder="1" applyAlignment="1">
      <alignment horizontal="right" vertical="top" wrapText="1"/>
    </xf>
    <xf numFmtId="164" fontId="8" fillId="0" borderId="1" xfId="0" applyNumberFormat="1" applyFont="1" applyBorder="1" applyAlignment="1">
      <alignment horizontal="right" vertical="top" wrapText="1"/>
    </xf>
    <xf numFmtId="164" fontId="4" fillId="13" borderId="1" xfId="0" applyNumberFormat="1" applyFont="1" applyFill="1" applyBorder="1" applyAlignment="1">
      <alignment horizontal="right" vertical="top" wrapText="1"/>
    </xf>
    <xf numFmtId="0" fontId="12" fillId="0" borderId="1" xfId="0" applyFont="1" applyBorder="1" applyAlignment="1">
      <alignment horizontal="right" vertical="top" wrapText="1" readingOrder="1"/>
    </xf>
    <xf numFmtId="0" fontId="4" fillId="9" borderId="1" xfId="0" applyFont="1" applyFill="1" applyBorder="1" applyAlignment="1">
      <alignment horizontal="right" vertical="top" wrapText="1"/>
    </xf>
    <xf numFmtId="0" fontId="20" fillId="0" borderId="1" xfId="0" applyFont="1" applyBorder="1" applyAlignment="1">
      <alignment horizontal="right" vertical="top" wrapText="1"/>
    </xf>
    <xf numFmtId="0" fontId="20" fillId="10" borderId="1" xfId="0" applyFont="1" applyFill="1" applyBorder="1" applyAlignment="1">
      <alignment horizontal="right" vertical="top" wrapText="1"/>
    </xf>
    <xf numFmtId="0" fontId="3" fillId="3" borderId="1" xfId="0" applyFont="1" applyFill="1" applyBorder="1" applyAlignment="1">
      <alignment horizontal="right" vertical="top" wrapText="1" readingOrder="1"/>
    </xf>
    <xf numFmtId="0" fontId="3" fillId="10" borderId="1" xfId="0" applyFont="1" applyFill="1" applyBorder="1" applyAlignment="1">
      <alignment horizontal="right" vertical="top" wrapText="1" readingOrder="1"/>
    </xf>
    <xf numFmtId="0" fontId="4" fillId="3" borderId="1" xfId="0" applyFont="1" applyFill="1" applyBorder="1" applyAlignment="1">
      <alignment horizontal="right" vertical="top" wrapText="1"/>
    </xf>
    <xf numFmtId="164" fontId="9" fillId="0" borderId="1" xfId="0" applyNumberFormat="1" applyFont="1" applyBorder="1" applyAlignment="1">
      <alignment horizontal="right" vertical="top" wrapText="1"/>
    </xf>
    <xf numFmtId="164" fontId="21" fillId="2" borderId="1" xfId="0" applyNumberFormat="1" applyFont="1" applyFill="1" applyBorder="1" applyAlignment="1">
      <alignment horizontal="right" vertical="top" wrapText="1"/>
    </xf>
    <xf numFmtId="164" fontId="10" fillId="0" borderId="1" xfId="0" applyNumberFormat="1" applyFont="1" applyBorder="1" applyAlignment="1">
      <alignment horizontal="right" vertical="top" wrapText="1"/>
    </xf>
    <xf numFmtId="164" fontId="9" fillId="2" borderId="1" xfId="0" applyNumberFormat="1" applyFont="1" applyFill="1" applyBorder="1" applyAlignment="1">
      <alignment horizontal="right" vertical="top" wrapText="1"/>
    </xf>
    <xf numFmtId="164" fontId="10" fillId="2" borderId="1" xfId="0" applyNumberFormat="1" applyFont="1" applyFill="1" applyBorder="1" applyAlignment="1">
      <alignment horizontal="right" vertical="top" wrapText="1"/>
    </xf>
    <xf numFmtId="164" fontId="31" fillId="0" borderId="1" xfId="0" applyNumberFormat="1" applyFont="1" applyBorder="1" applyAlignment="1">
      <alignment horizontal="right" vertical="top" wrapText="1"/>
    </xf>
    <xf numFmtId="164" fontId="32" fillId="0" borderId="1" xfId="0" applyNumberFormat="1" applyFont="1" applyBorder="1" applyAlignment="1">
      <alignment horizontal="right" vertical="top" wrapText="1"/>
    </xf>
    <xf numFmtId="164" fontId="21" fillId="0" borderId="1" xfId="0" applyNumberFormat="1" applyFont="1" applyBorder="1" applyAlignment="1">
      <alignment horizontal="right" vertical="top" wrapText="1"/>
    </xf>
    <xf numFmtId="164" fontId="11" fillId="0" borderId="1" xfId="0" applyNumberFormat="1" applyFont="1" applyBorder="1" applyAlignment="1">
      <alignment horizontal="right" vertical="top" wrapText="1"/>
    </xf>
    <xf numFmtId="164" fontId="14" fillId="0" borderId="1" xfId="0" applyNumberFormat="1" applyFont="1" applyBorder="1" applyAlignment="1">
      <alignment horizontal="right" vertical="top" wrapText="1"/>
    </xf>
    <xf numFmtId="164" fontId="12" fillId="0" borderId="1" xfId="0" applyNumberFormat="1" applyFont="1" applyBorder="1" applyAlignment="1">
      <alignment horizontal="right" vertical="top" wrapText="1"/>
    </xf>
    <xf numFmtId="164" fontId="33" fillId="0" borderId="1" xfId="0" applyNumberFormat="1" applyFont="1" applyBorder="1" applyAlignment="1">
      <alignment horizontal="right" vertical="top" wrapText="1"/>
    </xf>
    <xf numFmtId="164" fontId="34" fillId="0" borderId="1" xfId="0" applyNumberFormat="1" applyFont="1" applyBorder="1" applyAlignment="1">
      <alignment horizontal="right" vertical="top" wrapText="1"/>
    </xf>
    <xf numFmtId="164" fontId="3" fillId="24" borderId="1" xfId="0" applyNumberFormat="1" applyFont="1" applyFill="1" applyBorder="1" applyAlignment="1">
      <alignment horizontal="right" vertical="top" wrapText="1"/>
    </xf>
    <xf numFmtId="0" fontId="12" fillId="0" borderId="1" xfId="0" applyFont="1" applyBorder="1" applyAlignment="1">
      <alignment horizontal="right" vertical="top" wrapText="1"/>
    </xf>
    <xf numFmtId="0" fontId="12" fillId="9" borderId="1" xfId="0" applyFont="1" applyFill="1" applyBorder="1" applyAlignment="1">
      <alignment horizontal="right" vertical="top" wrapText="1"/>
    </xf>
    <xf numFmtId="0" fontId="3" fillId="0" borderId="1" xfId="0" applyFont="1" applyBorder="1" applyAlignment="1">
      <alignment horizontal="right" vertical="top" wrapText="1"/>
    </xf>
    <xf numFmtId="0" fontId="3" fillId="9" borderId="1" xfId="0" applyFont="1" applyFill="1" applyBorder="1" applyAlignment="1">
      <alignment horizontal="right" vertical="top" wrapText="1"/>
    </xf>
    <xf numFmtId="164" fontId="35" fillId="0" borderId="1" xfId="0" applyNumberFormat="1" applyFont="1" applyBorder="1" applyAlignment="1">
      <alignment horizontal="right" vertical="top" wrapText="1"/>
    </xf>
    <xf numFmtId="164" fontId="36" fillId="0" borderId="1" xfId="0" applyNumberFormat="1" applyFont="1" applyBorder="1" applyAlignment="1">
      <alignment horizontal="right" vertical="top" wrapText="1"/>
    </xf>
    <xf numFmtId="164" fontId="11" fillId="2" borderId="1" xfId="0" applyNumberFormat="1" applyFont="1" applyFill="1" applyBorder="1" applyAlignment="1">
      <alignment horizontal="right" vertical="top" wrapText="1"/>
    </xf>
    <xf numFmtId="164" fontId="3" fillId="2" borderId="1" xfId="0" applyNumberFormat="1" applyFont="1" applyFill="1" applyBorder="1" applyAlignment="1">
      <alignment horizontal="right" vertical="top" wrapText="1"/>
    </xf>
    <xf numFmtId="164" fontId="35" fillId="2" borderId="1" xfId="0" applyNumberFormat="1" applyFont="1" applyFill="1" applyBorder="1" applyAlignment="1">
      <alignment horizontal="right" vertical="top" wrapText="1"/>
    </xf>
    <xf numFmtId="164" fontId="36" fillId="2" borderId="1" xfId="0" applyNumberFormat="1" applyFont="1" applyFill="1" applyBorder="1" applyAlignment="1">
      <alignment horizontal="right" vertical="top" wrapText="1"/>
    </xf>
    <xf numFmtId="164" fontId="4" fillId="2" borderId="1" xfId="0" applyNumberFormat="1" applyFont="1" applyFill="1" applyBorder="1" applyAlignment="1">
      <alignment horizontal="right" vertical="top" wrapText="1"/>
    </xf>
    <xf numFmtId="164" fontId="3" fillId="22" borderId="1" xfId="0" applyNumberFormat="1" applyFont="1" applyFill="1" applyBorder="1" applyAlignment="1">
      <alignment horizontal="right" vertical="top" wrapText="1" readingOrder="1"/>
    </xf>
    <xf numFmtId="164" fontId="3" fillId="17" borderId="1" xfId="0" applyNumberFormat="1" applyFont="1" applyFill="1" applyBorder="1" applyAlignment="1">
      <alignment horizontal="right" vertical="top" wrapText="1" readingOrder="1"/>
    </xf>
    <xf numFmtId="164" fontId="27" fillId="17" borderId="1" xfId="0" applyNumberFormat="1" applyFont="1" applyFill="1" applyBorder="1" applyAlignment="1">
      <alignment horizontal="right" vertical="top" wrapText="1"/>
    </xf>
    <xf numFmtId="164" fontId="28" fillId="17" borderId="1" xfId="0" applyNumberFormat="1" applyFont="1" applyFill="1" applyBorder="1" applyAlignment="1">
      <alignment horizontal="right" vertical="top" wrapText="1"/>
    </xf>
    <xf numFmtId="164" fontId="4" fillId="17" borderId="1" xfId="0" applyNumberFormat="1" applyFont="1" applyFill="1" applyBorder="1" applyAlignment="1">
      <alignment horizontal="right" vertical="top" wrapText="1"/>
    </xf>
    <xf numFmtId="164" fontId="3" fillId="16" borderId="1" xfId="0" applyNumberFormat="1" applyFont="1" applyFill="1" applyBorder="1" applyAlignment="1">
      <alignment horizontal="right" vertical="top" wrapText="1" readingOrder="1"/>
    </xf>
    <xf numFmtId="164" fontId="4" fillId="16" borderId="1" xfId="0" applyNumberFormat="1" applyFont="1" applyFill="1" applyBorder="1" applyAlignment="1">
      <alignment horizontal="right" vertical="top" wrapText="1"/>
    </xf>
    <xf numFmtId="164" fontId="27" fillId="16" borderId="1" xfId="0" applyNumberFormat="1" applyFont="1" applyFill="1" applyBorder="1" applyAlignment="1">
      <alignment horizontal="right" vertical="top" wrapText="1"/>
    </xf>
    <xf numFmtId="164" fontId="28" fillId="16" borderId="1" xfId="0" applyNumberFormat="1" applyFont="1" applyFill="1" applyBorder="1" applyAlignment="1">
      <alignment horizontal="right" vertical="top" wrapText="1"/>
    </xf>
    <xf numFmtId="3" fontId="6" fillId="0" borderId="1" xfId="0" applyNumberFormat="1" applyFont="1" applyBorder="1" applyAlignment="1">
      <alignment horizontal="right" vertical="top"/>
    </xf>
    <xf numFmtId="3" fontId="3" fillId="0" borderId="1" xfId="0" applyNumberFormat="1" applyFont="1" applyBorder="1" applyAlignment="1">
      <alignment horizontal="right" vertical="top" wrapText="1" readingOrder="1"/>
    </xf>
    <xf numFmtId="164" fontId="13" fillId="4" borderId="1" xfId="0" applyNumberFormat="1" applyFont="1" applyFill="1" applyBorder="1" applyAlignment="1">
      <alignment horizontal="right" vertical="top" wrapText="1"/>
    </xf>
    <xf numFmtId="164" fontId="37" fillId="4" borderId="1" xfId="0" applyNumberFormat="1" applyFont="1" applyFill="1" applyBorder="1" applyAlignment="1">
      <alignment horizontal="right" vertical="top" wrapText="1"/>
    </xf>
    <xf numFmtId="164" fontId="38" fillId="4" borderId="1" xfId="0" applyNumberFormat="1" applyFont="1" applyFill="1" applyBorder="1" applyAlignment="1">
      <alignment horizontal="right" vertical="top" wrapText="1"/>
    </xf>
    <xf numFmtId="3" fontId="3" fillId="0" borderId="1" xfId="0" applyNumberFormat="1" applyFont="1" applyBorder="1" applyAlignment="1">
      <alignment horizontal="right" vertical="top" wrapText="1"/>
    </xf>
    <xf numFmtId="4" fontId="3" fillId="0" borderId="1" xfId="0" applyNumberFormat="1" applyFont="1" applyBorder="1" applyAlignment="1">
      <alignment horizontal="right" vertical="top" wrapText="1" readingOrder="1"/>
    </xf>
    <xf numFmtId="3" fontId="13" fillId="0" borderId="1" xfId="0" applyNumberFormat="1" applyFont="1" applyBorder="1" applyAlignment="1">
      <alignment horizontal="right" vertical="top" wrapText="1"/>
    </xf>
    <xf numFmtId="3" fontId="17" fillId="0" borderId="1" xfId="0" applyNumberFormat="1" applyFont="1" applyBorder="1" applyAlignment="1">
      <alignment horizontal="right" vertical="top"/>
    </xf>
    <xf numFmtId="4" fontId="4" fillId="0" borderId="1" xfId="0" applyNumberFormat="1" applyFont="1" applyBorder="1" applyAlignment="1">
      <alignment horizontal="right" vertical="top" wrapText="1"/>
    </xf>
    <xf numFmtId="164" fontId="4" fillId="20" borderId="1" xfId="0" applyNumberFormat="1" applyFont="1" applyFill="1" applyBorder="1" applyAlignment="1">
      <alignment horizontal="right" vertical="top" wrapText="1"/>
    </xf>
    <xf numFmtId="164" fontId="27" fillId="20" borderId="1" xfId="0" applyNumberFormat="1" applyFont="1" applyFill="1" applyBorder="1" applyAlignment="1">
      <alignment horizontal="right" vertical="top" wrapText="1"/>
    </xf>
    <xf numFmtId="164" fontId="28" fillId="20" borderId="1" xfId="0" applyNumberFormat="1" applyFont="1" applyFill="1" applyBorder="1" applyAlignment="1">
      <alignment horizontal="right" vertical="top" wrapText="1"/>
    </xf>
    <xf numFmtId="0" fontId="15" fillId="0" borderId="1" xfId="0" applyFont="1" applyBorder="1" applyAlignment="1">
      <alignment horizontal="right" vertical="top"/>
    </xf>
    <xf numFmtId="0" fontId="23" fillId="0" borderId="1" xfId="0" applyFont="1" applyBorder="1" applyAlignment="1">
      <alignment horizontal="right" vertical="top"/>
    </xf>
    <xf numFmtId="0" fontId="2" fillId="0" borderId="1" xfId="0" applyFont="1" applyBorder="1" applyAlignment="1">
      <alignment horizontal="right" vertical="top"/>
    </xf>
    <xf numFmtId="164" fontId="4" fillId="5" borderId="1" xfId="0" applyNumberFormat="1" applyFont="1" applyFill="1" applyBorder="1" applyAlignment="1">
      <alignment horizontal="right" vertical="top" wrapText="1"/>
    </xf>
    <xf numFmtId="164" fontId="4" fillId="23" borderId="1" xfId="0" applyNumberFormat="1" applyFont="1" applyFill="1" applyBorder="1" applyAlignment="1">
      <alignment horizontal="right" vertical="top" wrapText="1"/>
    </xf>
    <xf numFmtId="164" fontId="27" fillId="2" borderId="1" xfId="0" applyNumberFormat="1" applyFont="1" applyFill="1" applyBorder="1" applyAlignment="1">
      <alignment horizontal="right" vertical="top" wrapText="1"/>
    </xf>
    <xf numFmtId="164" fontId="28" fillId="2" borderId="1" xfId="0" applyNumberFormat="1" applyFont="1" applyFill="1" applyBorder="1" applyAlignment="1">
      <alignment horizontal="right" vertical="top" wrapText="1"/>
    </xf>
    <xf numFmtId="164" fontId="4" fillId="18" borderId="1" xfId="0" applyNumberFormat="1" applyFont="1" applyFill="1" applyBorder="1" applyAlignment="1">
      <alignment horizontal="right" vertical="top" wrapText="1"/>
    </xf>
    <xf numFmtId="164" fontId="4" fillId="8" borderId="1" xfId="0" applyNumberFormat="1" applyFont="1" applyFill="1" applyBorder="1" applyAlignment="1">
      <alignment horizontal="right" vertical="top" wrapText="1"/>
    </xf>
    <xf numFmtId="164" fontId="4" fillId="24" borderId="1" xfId="0" applyNumberFormat="1" applyFont="1" applyFill="1" applyBorder="1" applyAlignment="1">
      <alignment horizontal="right" vertical="top" wrapText="1"/>
    </xf>
    <xf numFmtId="0" fontId="4" fillId="20" borderId="1" xfId="0" applyFont="1" applyFill="1" applyBorder="1" applyAlignment="1">
      <alignment horizontal="right" vertical="top" wrapText="1"/>
    </xf>
    <xf numFmtId="0" fontId="3" fillId="10" borderId="1" xfId="0" applyFont="1" applyFill="1" applyBorder="1" applyAlignment="1">
      <alignment horizontal="right" vertical="top" wrapText="1"/>
    </xf>
    <xf numFmtId="164" fontId="4" fillId="18" borderId="1" xfId="0" applyNumberFormat="1" applyFont="1" applyFill="1" applyBorder="1" applyAlignment="1">
      <alignment horizontal="right" vertical="top"/>
    </xf>
    <xf numFmtId="164" fontId="6" fillId="18" borderId="1" xfId="0" applyNumberFormat="1" applyFont="1" applyFill="1" applyBorder="1" applyAlignment="1">
      <alignment horizontal="right" vertical="top" wrapText="1"/>
    </xf>
    <xf numFmtId="164" fontId="22" fillId="2" borderId="1" xfId="0" applyNumberFormat="1" applyFont="1" applyFill="1" applyBorder="1" applyAlignment="1">
      <alignment horizontal="right" vertical="top" wrapText="1"/>
    </xf>
    <xf numFmtId="164" fontId="4" fillId="2" borderId="1" xfId="0" applyNumberFormat="1" applyFont="1" applyFill="1" applyBorder="1" applyAlignment="1">
      <alignment horizontal="right" vertical="top"/>
    </xf>
    <xf numFmtId="164" fontId="6" fillId="2" borderId="1" xfId="0" applyNumberFormat="1" applyFont="1" applyFill="1" applyBorder="1" applyAlignment="1">
      <alignment horizontal="right" vertical="top"/>
    </xf>
    <xf numFmtId="0" fontId="4" fillId="25" borderId="1" xfId="0" applyFont="1" applyFill="1" applyBorder="1" applyAlignment="1">
      <alignment horizontal="right" vertical="top" wrapText="1"/>
    </xf>
    <xf numFmtId="164" fontId="6" fillId="0" borderId="1" xfId="0" applyNumberFormat="1" applyFont="1" applyBorder="1" applyAlignment="1">
      <alignment horizontal="right" vertical="top"/>
    </xf>
    <xf numFmtId="164" fontId="6" fillId="2" borderId="1" xfId="0" applyNumberFormat="1" applyFont="1" applyFill="1" applyBorder="1" applyAlignment="1">
      <alignment horizontal="right" vertical="top" wrapText="1"/>
    </xf>
    <xf numFmtId="164" fontId="4" fillId="19" borderId="1" xfId="0" applyNumberFormat="1" applyFont="1" applyFill="1" applyBorder="1" applyAlignment="1">
      <alignment horizontal="right" vertical="top" wrapText="1"/>
    </xf>
    <xf numFmtId="3" fontId="4" fillId="3" borderId="1" xfId="0" applyNumberFormat="1" applyFont="1" applyFill="1" applyBorder="1" applyAlignment="1">
      <alignment horizontal="right" vertical="top" wrapText="1"/>
    </xf>
    <xf numFmtId="164" fontId="3" fillId="3" borderId="1" xfId="0" applyNumberFormat="1" applyFont="1" applyFill="1" applyBorder="1" applyAlignment="1">
      <alignment horizontal="right" vertical="top" wrapText="1"/>
    </xf>
    <xf numFmtId="0" fontId="0" fillId="0" borderId="1" xfId="0" applyBorder="1" applyAlignment="1">
      <alignment horizontal="right" vertical="top"/>
    </xf>
    <xf numFmtId="164" fontId="36" fillId="2" borderId="1" xfId="0" applyNumberFormat="1" applyFont="1" applyFill="1" applyBorder="1" applyAlignment="1">
      <alignment horizontal="right" vertical="top"/>
    </xf>
    <xf numFmtId="0" fontId="40" fillId="0" borderId="1" xfId="0" applyFont="1" applyBorder="1" applyAlignment="1">
      <alignment horizontal="right" vertical="top"/>
    </xf>
    <xf numFmtId="164" fontId="41" fillId="0" borderId="1" xfId="0" applyNumberFormat="1" applyFont="1" applyBorder="1" applyAlignment="1">
      <alignment horizontal="right" vertical="top" wrapText="1"/>
    </xf>
    <xf numFmtId="164" fontId="41" fillId="0" borderId="1" xfId="0" applyNumberFormat="1" applyFont="1" applyBorder="1" applyAlignment="1">
      <alignment horizontal="right" vertical="top"/>
    </xf>
    <xf numFmtId="164" fontId="4" fillId="2" borderId="4" xfId="0" applyNumberFormat="1" applyFont="1" applyFill="1" applyBorder="1" applyAlignment="1">
      <alignment horizontal="right" vertical="top" wrapText="1"/>
    </xf>
    <xf numFmtId="164" fontId="4" fillId="4" borderId="4" xfId="0" applyNumberFormat="1" applyFont="1" applyFill="1" applyBorder="1" applyAlignment="1">
      <alignment horizontal="right" vertical="top" wrapText="1"/>
    </xf>
    <xf numFmtId="0" fontId="0" fillId="10" borderId="1" xfId="0" applyFill="1" applyBorder="1" applyAlignment="1">
      <alignment horizontal="right" vertical="top"/>
    </xf>
    <xf numFmtId="0" fontId="0" fillId="4" borderId="1" xfId="0" applyFill="1" applyBorder="1" applyAlignment="1">
      <alignment horizontal="right" vertical="top"/>
    </xf>
    <xf numFmtId="164" fontId="4" fillId="26" borderId="1" xfId="0" applyNumberFormat="1" applyFont="1" applyFill="1" applyBorder="1" applyAlignment="1">
      <alignment horizontal="right" vertical="top" wrapText="1"/>
    </xf>
    <xf numFmtId="164" fontId="28" fillId="26" borderId="1" xfId="0" applyNumberFormat="1" applyFont="1" applyFill="1" applyBorder="1" applyAlignment="1">
      <alignment horizontal="right" vertical="top" wrapText="1"/>
    </xf>
    <xf numFmtId="0" fontId="0" fillId="0" borderId="0" xfId="0" applyAlignment="1">
      <alignment horizontal="right" vertical="top"/>
    </xf>
    <xf numFmtId="164" fontId="28" fillId="0" borderId="0" xfId="0" applyNumberFormat="1" applyFont="1" applyAlignment="1">
      <alignment horizontal="right" vertical="top" wrapText="1"/>
    </xf>
    <xf numFmtId="0" fontId="18" fillId="0" borderId="0" xfId="0" quotePrefix="1" applyFont="1" applyAlignment="1">
      <alignment horizontal="right" vertical="top"/>
    </xf>
    <xf numFmtId="0" fontId="0" fillId="0" borderId="0" xfId="0" applyAlignment="1">
      <alignment horizontal="right" vertical="top" wrapText="1"/>
    </xf>
    <xf numFmtId="0" fontId="47" fillId="0" borderId="0" xfId="0" applyFont="1" applyAlignment="1">
      <alignment horizontal="right" vertical="top" wrapText="1"/>
    </xf>
    <xf numFmtId="0" fontId="0" fillId="29" borderId="56" xfId="0" applyFill="1" applyBorder="1" applyAlignment="1">
      <alignment horizontal="right" vertical="top" wrapText="1"/>
    </xf>
    <xf numFmtId="0" fontId="0" fillId="29" borderId="58" xfId="0" applyFill="1" applyBorder="1" applyAlignment="1">
      <alignment horizontal="right" vertical="top" wrapText="1"/>
    </xf>
    <xf numFmtId="0" fontId="0" fillId="30" borderId="57" xfId="0" applyFill="1" applyBorder="1" applyAlignment="1">
      <alignment horizontal="right" vertical="top" wrapText="1"/>
    </xf>
    <xf numFmtId="0" fontId="0" fillId="31" borderId="56" xfId="0" applyFill="1" applyBorder="1" applyAlignment="1">
      <alignment horizontal="right" vertical="top" wrapText="1"/>
    </xf>
    <xf numFmtId="0" fontId="0" fillId="31" borderId="57" xfId="0" applyFill="1" applyBorder="1" applyAlignment="1">
      <alignment horizontal="right" vertical="top" wrapText="1"/>
    </xf>
    <xf numFmtId="0" fontId="0" fillId="27" borderId="56" xfId="0" applyFill="1" applyBorder="1" applyAlignment="1">
      <alignment horizontal="right" vertical="top" wrapText="1"/>
    </xf>
    <xf numFmtId="0" fontId="0" fillId="27" borderId="57" xfId="0" applyFill="1" applyBorder="1" applyAlignment="1">
      <alignment horizontal="right" vertical="top" wrapText="1"/>
    </xf>
    <xf numFmtId="0" fontId="0" fillId="36" borderId="56" xfId="0" applyFill="1" applyBorder="1" applyAlignment="1">
      <alignment horizontal="right" vertical="top" wrapText="1"/>
    </xf>
    <xf numFmtId="0" fontId="0" fillId="36" borderId="57" xfId="0" applyFill="1" applyBorder="1" applyAlignment="1">
      <alignment horizontal="right" vertical="top" wrapText="1"/>
    </xf>
    <xf numFmtId="0" fontId="0" fillId="39" borderId="56" xfId="0" applyFill="1" applyBorder="1" applyAlignment="1">
      <alignment horizontal="right" vertical="top" wrapText="1"/>
    </xf>
    <xf numFmtId="0" fontId="0" fillId="39" borderId="26" xfId="0" applyFill="1" applyBorder="1" applyAlignment="1">
      <alignment horizontal="right" vertical="top" wrapText="1"/>
    </xf>
    <xf numFmtId="0" fontId="0" fillId="39" borderId="57" xfId="0" applyFill="1" applyBorder="1" applyAlignment="1">
      <alignment horizontal="right" vertical="top" wrapText="1"/>
    </xf>
    <xf numFmtId="0" fontId="0" fillId="41" borderId="57" xfId="0" applyFill="1" applyBorder="1" applyAlignment="1">
      <alignment horizontal="right" vertical="top" wrapText="1"/>
    </xf>
    <xf numFmtId="0" fontId="0" fillId="43" borderId="10" xfId="0" applyFill="1" applyBorder="1" applyAlignment="1">
      <alignment wrapText="1"/>
    </xf>
    <xf numFmtId="0" fontId="0" fillId="43" borderId="0" xfId="0" applyFill="1" applyAlignment="1">
      <alignment wrapText="1"/>
    </xf>
    <xf numFmtId="0" fontId="0" fillId="35" borderId="27" xfId="0" applyFill="1" applyBorder="1" applyAlignment="1">
      <alignment wrapText="1"/>
    </xf>
    <xf numFmtId="0" fontId="0" fillId="37" borderId="30" xfId="0" applyFill="1" applyBorder="1" applyAlignment="1">
      <alignment wrapText="1"/>
    </xf>
    <xf numFmtId="0" fontId="0" fillId="38" borderId="34" xfId="0" applyFill="1" applyBorder="1" applyAlignment="1">
      <alignment horizontal="right" vertical="top" wrapText="1"/>
    </xf>
    <xf numFmtId="0" fontId="0" fillId="28" borderId="9" xfId="0" applyFill="1" applyBorder="1" applyAlignment="1">
      <alignment horizontal="right" vertical="top" wrapText="1"/>
    </xf>
    <xf numFmtId="0" fontId="0" fillId="29" borderId="11" xfId="0" applyFill="1" applyBorder="1" applyAlignment="1">
      <alignment horizontal="right" vertical="top" wrapText="1"/>
    </xf>
    <xf numFmtId="0" fontId="0" fillId="29" borderId="59" xfId="0" applyFill="1" applyBorder="1" applyAlignment="1">
      <alignment horizontal="right" vertical="top" wrapText="1"/>
    </xf>
    <xf numFmtId="0" fontId="0" fillId="30" borderId="11" xfId="0" applyFill="1" applyBorder="1" applyAlignment="1">
      <alignment horizontal="right" vertical="top" wrapText="1"/>
    </xf>
    <xf numFmtId="0" fontId="0" fillId="30" borderId="12" xfId="0" applyFill="1" applyBorder="1" applyAlignment="1">
      <alignment horizontal="right" vertical="top" wrapText="1"/>
    </xf>
    <xf numFmtId="0" fontId="0" fillId="34" borderId="49" xfId="0" applyFill="1" applyBorder="1" applyAlignment="1">
      <alignment horizontal="right" vertical="top" wrapText="1"/>
    </xf>
    <xf numFmtId="0" fontId="0" fillId="31" borderId="11" xfId="0" applyFill="1" applyBorder="1" applyAlignment="1">
      <alignment horizontal="right" vertical="top" wrapText="1"/>
    </xf>
    <xf numFmtId="0" fontId="0" fillId="31" borderId="12" xfId="0" applyFill="1" applyBorder="1" applyAlignment="1">
      <alignment horizontal="right" vertical="top" wrapText="1"/>
    </xf>
    <xf numFmtId="0" fontId="0" fillId="35" borderId="46" xfId="0" applyFill="1" applyBorder="1" applyAlignment="1">
      <alignment horizontal="right" vertical="top" wrapText="1"/>
    </xf>
    <xf numFmtId="0" fontId="0" fillId="27" borderId="11" xfId="0" applyFill="1" applyBorder="1" applyAlignment="1">
      <alignment horizontal="right" vertical="top" wrapText="1"/>
    </xf>
    <xf numFmtId="0" fontId="0" fillId="27" borderId="12" xfId="0" applyFill="1" applyBorder="1" applyAlignment="1">
      <alignment horizontal="right" vertical="top" wrapText="1"/>
    </xf>
    <xf numFmtId="0" fontId="0" fillId="37" borderId="31" xfId="0" applyFill="1" applyBorder="1" applyAlignment="1">
      <alignment horizontal="right" vertical="top" wrapText="1"/>
    </xf>
    <xf numFmtId="0" fontId="0" fillId="36" borderId="11" xfId="0" applyFill="1" applyBorder="1" applyAlignment="1">
      <alignment horizontal="right" vertical="top" wrapText="1"/>
    </xf>
    <xf numFmtId="0" fontId="0" fillId="36" borderId="12" xfId="0" applyFill="1" applyBorder="1" applyAlignment="1">
      <alignment horizontal="right" vertical="top" wrapText="1"/>
    </xf>
    <xf numFmtId="0" fontId="0" fillId="39" borderId="17" xfId="0" applyFill="1" applyBorder="1" applyAlignment="1">
      <alignment horizontal="right" vertical="top" wrapText="1"/>
    </xf>
    <xf numFmtId="0" fontId="0" fillId="39" borderId="20" xfId="0" applyFill="1" applyBorder="1" applyAlignment="1">
      <alignment horizontal="right" vertical="top" wrapText="1"/>
    </xf>
    <xf numFmtId="0" fontId="0" fillId="40" borderId="38" xfId="0" applyFill="1" applyBorder="1" applyAlignment="1">
      <alignment horizontal="right" vertical="top" wrapText="1"/>
    </xf>
    <xf numFmtId="0" fontId="0" fillId="41" borderId="11" xfId="0" applyFill="1" applyBorder="1" applyAlignment="1">
      <alignment horizontal="right" vertical="top" wrapText="1"/>
    </xf>
    <xf numFmtId="0" fontId="0" fillId="41" borderId="12" xfId="0" applyFill="1" applyBorder="1" applyAlignment="1">
      <alignment horizontal="right" vertical="top" wrapText="1"/>
    </xf>
    <xf numFmtId="0" fontId="0" fillId="28" borderId="7" xfId="0" applyFill="1" applyBorder="1" applyAlignment="1">
      <alignment horizontal="right" vertical="top" wrapText="1"/>
    </xf>
    <xf numFmtId="0" fontId="0" fillId="29" borderId="13" xfId="0" applyFill="1" applyBorder="1" applyAlignment="1">
      <alignment horizontal="right" vertical="top" wrapText="1"/>
    </xf>
    <xf numFmtId="0" fontId="0" fillId="29" borderId="6" xfId="0" applyFill="1" applyBorder="1" applyAlignment="1">
      <alignment horizontal="right" vertical="top" wrapText="1"/>
    </xf>
    <xf numFmtId="0" fontId="0" fillId="30" borderId="13" xfId="0" applyFill="1" applyBorder="1" applyAlignment="1">
      <alignment horizontal="right" vertical="top" wrapText="1"/>
    </xf>
    <xf numFmtId="0" fontId="0" fillId="30" borderId="14" xfId="0" applyFill="1" applyBorder="1" applyAlignment="1">
      <alignment horizontal="right" vertical="top" wrapText="1"/>
    </xf>
    <xf numFmtId="0" fontId="0" fillId="34" borderId="50" xfId="0" applyFill="1" applyBorder="1" applyAlignment="1">
      <alignment horizontal="right" vertical="top" wrapText="1"/>
    </xf>
    <xf numFmtId="0" fontId="0" fillId="31" borderId="13" xfId="0" applyFill="1" applyBorder="1" applyAlignment="1">
      <alignment horizontal="right" vertical="top" wrapText="1"/>
    </xf>
    <xf numFmtId="0" fontId="0" fillId="31" borderId="14" xfId="0" applyFill="1" applyBorder="1" applyAlignment="1">
      <alignment horizontal="right" vertical="top" wrapText="1"/>
    </xf>
    <xf numFmtId="0" fontId="0" fillId="35" borderId="47" xfId="0" applyFill="1" applyBorder="1" applyAlignment="1">
      <alignment horizontal="right" vertical="top" wrapText="1"/>
    </xf>
    <xf numFmtId="0" fontId="0" fillId="27" borderId="13" xfId="0" applyFill="1" applyBorder="1" applyAlignment="1">
      <alignment horizontal="right" vertical="top" wrapText="1"/>
    </xf>
    <xf numFmtId="0" fontId="0" fillId="27" borderId="14" xfId="0" applyFill="1" applyBorder="1" applyAlignment="1">
      <alignment horizontal="right" vertical="top" wrapText="1"/>
    </xf>
    <xf numFmtId="0" fontId="0" fillId="37" borderId="32" xfId="0" applyFill="1" applyBorder="1" applyAlignment="1">
      <alignment horizontal="right" vertical="top" wrapText="1"/>
    </xf>
    <xf numFmtId="0" fontId="0" fillId="36" borderId="13" xfId="0" applyFill="1" applyBorder="1" applyAlignment="1">
      <alignment horizontal="right" vertical="top" wrapText="1"/>
    </xf>
    <xf numFmtId="0" fontId="0" fillId="36" borderId="14" xfId="0" applyFill="1" applyBorder="1" applyAlignment="1">
      <alignment horizontal="right" vertical="top" wrapText="1"/>
    </xf>
    <xf numFmtId="0" fontId="0" fillId="39" borderId="18" xfId="0" applyFill="1" applyBorder="1" applyAlignment="1">
      <alignment horizontal="right" vertical="top" wrapText="1"/>
    </xf>
    <xf numFmtId="0" fontId="0" fillId="39" borderId="28" xfId="0" applyFill="1" applyBorder="1" applyAlignment="1">
      <alignment horizontal="right" vertical="top" wrapText="1"/>
    </xf>
    <xf numFmtId="0" fontId="0" fillId="39" borderId="21" xfId="0" applyFill="1" applyBorder="1" applyAlignment="1">
      <alignment horizontal="right" vertical="top" wrapText="1"/>
    </xf>
    <xf numFmtId="0" fontId="0" fillId="41" borderId="13" xfId="0" applyFill="1" applyBorder="1" applyAlignment="1">
      <alignment horizontal="right" vertical="top" wrapText="1"/>
    </xf>
    <xf numFmtId="0" fontId="0" fillId="41" borderId="14" xfId="0" applyFill="1" applyBorder="1" applyAlignment="1">
      <alignment horizontal="right" vertical="top" wrapText="1"/>
    </xf>
    <xf numFmtId="0" fontId="0" fillId="29" borderId="15" xfId="0" applyFill="1" applyBorder="1" applyAlignment="1">
      <alignment horizontal="right" vertical="top" wrapText="1"/>
    </xf>
    <xf numFmtId="0" fontId="0" fillId="29" borderId="60" xfId="0" applyFill="1" applyBorder="1" applyAlignment="1">
      <alignment horizontal="right" vertical="top" wrapText="1"/>
    </xf>
    <xf numFmtId="0" fontId="0" fillId="30" borderId="15" xfId="0" applyFill="1" applyBorder="1" applyAlignment="1">
      <alignment horizontal="right" vertical="top" wrapText="1"/>
    </xf>
    <xf numFmtId="0" fontId="0" fillId="30" borderId="16" xfId="0" applyFill="1" applyBorder="1" applyAlignment="1">
      <alignment horizontal="right" vertical="top" wrapText="1"/>
    </xf>
    <xf numFmtId="0" fontId="0" fillId="34" borderId="51" xfId="0" applyFill="1" applyBorder="1" applyAlignment="1">
      <alignment horizontal="right" vertical="top" wrapText="1"/>
    </xf>
    <xf numFmtId="0" fontId="0" fillId="31" borderId="15" xfId="0" applyFill="1" applyBorder="1" applyAlignment="1">
      <alignment horizontal="right" vertical="top" wrapText="1"/>
    </xf>
    <xf numFmtId="0" fontId="0" fillId="31" borderId="16" xfId="0" applyFill="1" applyBorder="1" applyAlignment="1">
      <alignment horizontal="right" vertical="top" wrapText="1"/>
    </xf>
    <xf numFmtId="0" fontId="0" fillId="35" borderId="48" xfId="0" applyFill="1" applyBorder="1" applyAlignment="1">
      <alignment horizontal="right" vertical="top" wrapText="1"/>
    </xf>
    <xf numFmtId="0" fontId="0" fillId="27" borderId="15" xfId="0" applyFill="1" applyBorder="1" applyAlignment="1">
      <alignment horizontal="right" vertical="top" wrapText="1"/>
    </xf>
    <xf numFmtId="0" fontId="0" fillId="27" borderId="16" xfId="0" applyFill="1" applyBorder="1" applyAlignment="1">
      <alignment horizontal="right" vertical="top" wrapText="1"/>
    </xf>
    <xf numFmtId="0" fontId="0" fillId="36" borderId="15" xfId="0" applyFill="1" applyBorder="1" applyAlignment="1">
      <alignment horizontal="right" vertical="top" wrapText="1"/>
    </xf>
    <xf numFmtId="0" fontId="0" fillId="36" borderId="16" xfId="0" applyFill="1" applyBorder="1" applyAlignment="1">
      <alignment horizontal="right" vertical="top" wrapText="1"/>
    </xf>
    <xf numFmtId="0" fontId="0" fillId="41" borderId="15" xfId="0" applyFill="1" applyBorder="1" applyAlignment="1">
      <alignment horizontal="right" vertical="top" wrapText="1"/>
    </xf>
    <xf numFmtId="0" fontId="0" fillId="41" borderId="16" xfId="0" applyFill="1" applyBorder="1" applyAlignment="1">
      <alignment horizontal="right" vertical="top" wrapText="1"/>
    </xf>
    <xf numFmtId="0" fontId="45" fillId="28" borderId="7" xfId="0" applyFont="1" applyFill="1" applyBorder="1" applyAlignment="1">
      <alignment horizontal="right" vertical="top" wrapText="1"/>
    </xf>
    <xf numFmtId="0" fontId="0" fillId="42" borderId="52" xfId="0" applyFill="1" applyBorder="1" applyAlignment="1">
      <alignment horizontal="right" vertical="top" wrapText="1"/>
    </xf>
    <xf numFmtId="0" fontId="0" fillId="42" borderId="0" xfId="0" applyFill="1" applyAlignment="1">
      <alignment horizontal="right" vertical="top" wrapText="1"/>
    </xf>
    <xf numFmtId="0" fontId="0" fillId="43" borderId="10" xfId="0" applyFill="1" applyBorder="1" applyAlignment="1">
      <alignment horizontal="right" vertical="top" wrapText="1"/>
    </xf>
    <xf numFmtId="0" fontId="0" fillId="43" borderId="0" xfId="0" applyFill="1" applyAlignment="1">
      <alignment horizontal="right" vertical="top" wrapText="1"/>
    </xf>
    <xf numFmtId="0" fontId="0" fillId="35" borderId="0" xfId="0" applyFill="1" applyAlignment="1">
      <alignment horizontal="right" vertical="top" wrapText="1"/>
    </xf>
    <xf numFmtId="0" fontId="0" fillId="43" borderId="54" xfId="0" applyFill="1" applyBorder="1" applyAlignment="1">
      <alignment horizontal="right" vertical="top" wrapText="1"/>
    </xf>
    <xf numFmtId="0" fontId="0" fillId="38" borderId="35" xfId="0" applyFill="1" applyBorder="1" applyAlignment="1">
      <alignment horizontal="right" vertical="top" wrapText="1"/>
    </xf>
    <xf numFmtId="0" fontId="0" fillId="43" borderId="55" xfId="0" applyFill="1" applyBorder="1" applyAlignment="1">
      <alignment horizontal="right" vertical="top" wrapText="1"/>
    </xf>
    <xf numFmtId="0" fontId="0" fillId="39" borderId="11" xfId="0" applyFill="1" applyBorder="1" applyAlignment="1">
      <alignment horizontal="right" vertical="top" wrapText="1"/>
    </xf>
    <xf numFmtId="0" fontId="0" fillId="39" borderId="23" xfId="0" applyFill="1" applyBorder="1" applyAlignment="1">
      <alignment horizontal="right" vertical="top" wrapText="1"/>
    </xf>
    <xf numFmtId="0" fontId="0" fillId="39" borderId="12" xfId="0" applyFill="1" applyBorder="1" applyAlignment="1">
      <alignment horizontal="right" vertical="top" wrapText="1"/>
    </xf>
    <xf numFmtId="0" fontId="0" fillId="38" borderId="36" xfId="0" applyFill="1" applyBorder="1" applyAlignment="1">
      <alignment horizontal="right" vertical="top" wrapText="1"/>
    </xf>
    <xf numFmtId="0" fontId="0" fillId="39" borderId="13" xfId="0" applyFill="1" applyBorder="1" applyAlignment="1">
      <alignment horizontal="right" vertical="top" wrapText="1"/>
    </xf>
    <xf numFmtId="0" fontId="0" fillId="39" borderId="24" xfId="0" applyFill="1" applyBorder="1" applyAlignment="1">
      <alignment horizontal="right" vertical="top" wrapText="1"/>
    </xf>
    <xf numFmtId="0" fontId="0" fillId="39" borderId="14" xfId="0" applyFill="1" applyBorder="1" applyAlignment="1">
      <alignment horizontal="right" vertical="top" wrapText="1"/>
    </xf>
    <xf numFmtId="0" fontId="0" fillId="38" borderId="37" xfId="0" applyFill="1" applyBorder="1" applyAlignment="1">
      <alignment horizontal="right" vertical="top" wrapText="1"/>
    </xf>
    <xf numFmtId="0" fontId="0" fillId="39" borderId="15" xfId="0" applyFill="1" applyBorder="1" applyAlignment="1">
      <alignment horizontal="right" vertical="top" wrapText="1"/>
    </xf>
    <xf numFmtId="0" fontId="0" fillId="39" borderId="25" xfId="0" applyFill="1" applyBorder="1" applyAlignment="1">
      <alignment horizontal="right" vertical="top" wrapText="1"/>
    </xf>
    <xf numFmtId="0" fontId="0" fillId="39" borderId="16" xfId="0" applyFill="1" applyBorder="1" applyAlignment="1">
      <alignment horizontal="right" vertical="top" wrapText="1"/>
    </xf>
    <xf numFmtId="0" fontId="0" fillId="43" borderId="52" xfId="0" applyFill="1" applyBorder="1" applyAlignment="1">
      <alignment horizontal="right" vertical="top" wrapText="1"/>
    </xf>
    <xf numFmtId="0" fontId="0" fillId="28" borderId="8" xfId="0" applyFill="1" applyBorder="1" applyAlignment="1">
      <alignment horizontal="right" vertical="top" wrapText="1"/>
    </xf>
    <xf numFmtId="0" fontId="0" fillId="37" borderId="33" xfId="0" applyFill="1" applyBorder="1" applyAlignment="1">
      <alignment horizontal="right" vertical="top" wrapText="1"/>
    </xf>
    <xf numFmtId="0" fontId="0" fillId="40" borderId="39" xfId="0" applyFill="1" applyBorder="1" applyAlignment="1">
      <alignment horizontal="right" vertical="top" wrapText="1"/>
    </xf>
    <xf numFmtId="0" fontId="47" fillId="29" borderId="15" xfId="0" applyFont="1" applyFill="1" applyBorder="1" applyAlignment="1">
      <alignment horizontal="right" vertical="top" wrapText="1"/>
    </xf>
    <xf numFmtId="0" fontId="47" fillId="29" borderId="6" xfId="0" applyFont="1" applyFill="1" applyBorder="1" applyAlignment="1">
      <alignment horizontal="right" vertical="top" wrapText="1"/>
    </xf>
    <xf numFmtId="0" fontId="47" fillId="30" borderId="16" xfId="0" applyFont="1" applyFill="1" applyBorder="1" applyAlignment="1">
      <alignment horizontal="right" vertical="top" wrapText="1"/>
    </xf>
    <xf numFmtId="0" fontId="47" fillId="34" borderId="51" xfId="0" applyFont="1" applyFill="1" applyBorder="1" applyAlignment="1">
      <alignment horizontal="right" vertical="top" wrapText="1"/>
    </xf>
    <xf numFmtId="0" fontId="47" fillId="31" borderId="15" xfId="0" applyFont="1" applyFill="1" applyBorder="1" applyAlignment="1">
      <alignment horizontal="right" vertical="top" wrapText="1"/>
    </xf>
    <xf numFmtId="0" fontId="47" fillId="31" borderId="16" xfId="0" applyFont="1" applyFill="1" applyBorder="1" applyAlignment="1">
      <alignment horizontal="right" vertical="top" wrapText="1"/>
    </xf>
    <xf numFmtId="0" fontId="47" fillId="35" borderId="48" xfId="0" applyFont="1" applyFill="1" applyBorder="1" applyAlignment="1">
      <alignment horizontal="right" vertical="top" wrapText="1"/>
    </xf>
    <xf numFmtId="0" fontId="47" fillId="27" borderId="15" xfId="0" applyFont="1" applyFill="1" applyBorder="1" applyAlignment="1">
      <alignment horizontal="right" vertical="top" wrapText="1"/>
    </xf>
    <xf numFmtId="0" fontId="47" fillId="27" borderId="16" xfId="0" applyFont="1" applyFill="1" applyBorder="1" applyAlignment="1">
      <alignment horizontal="right" vertical="top" wrapText="1"/>
    </xf>
    <xf numFmtId="0" fontId="47" fillId="37" borderId="32" xfId="0" applyFont="1" applyFill="1" applyBorder="1" applyAlignment="1">
      <alignment horizontal="right" vertical="top" wrapText="1"/>
    </xf>
    <xf numFmtId="0" fontId="47" fillId="36" borderId="15" xfId="0" applyFont="1" applyFill="1" applyBorder="1" applyAlignment="1">
      <alignment horizontal="right" vertical="top" wrapText="1"/>
    </xf>
    <xf numFmtId="0" fontId="47" fillId="36" borderId="16" xfId="0" applyFont="1" applyFill="1" applyBorder="1" applyAlignment="1">
      <alignment horizontal="right" vertical="top" wrapText="1"/>
    </xf>
    <xf numFmtId="0" fontId="47" fillId="38" borderId="34" xfId="0" applyFont="1" applyFill="1" applyBorder="1" applyAlignment="1">
      <alignment horizontal="right" vertical="top" wrapText="1"/>
    </xf>
    <xf numFmtId="0" fontId="47" fillId="41" borderId="15" xfId="0" applyFont="1" applyFill="1" applyBorder="1" applyAlignment="1">
      <alignment horizontal="right" vertical="top" wrapText="1"/>
    </xf>
    <xf numFmtId="0" fontId="47" fillId="41" borderId="16" xfId="0" applyFont="1" applyFill="1" applyBorder="1" applyAlignment="1">
      <alignment horizontal="right" vertical="top" wrapText="1"/>
    </xf>
    <xf numFmtId="0" fontId="0" fillId="0" borderId="0" xfId="0" applyAlignment="1">
      <alignment horizontal="center" vertical="top" wrapText="1"/>
    </xf>
    <xf numFmtId="0" fontId="46" fillId="32" borderId="26" xfId="0" applyFont="1" applyFill="1" applyBorder="1" applyAlignment="1">
      <alignment horizontal="center" vertical="top" wrapText="1"/>
    </xf>
    <xf numFmtId="0" fontId="0" fillId="32" borderId="53" xfId="0" applyFill="1" applyBorder="1" applyAlignment="1">
      <alignment horizontal="center" vertical="top" wrapText="1"/>
    </xf>
    <xf numFmtId="0" fontId="0" fillId="32" borderId="40" xfId="0" applyFill="1" applyBorder="1" applyAlignment="1">
      <alignment horizontal="center" vertical="top" wrapText="1"/>
    </xf>
    <xf numFmtId="0" fontId="0" fillId="32" borderId="41" xfId="0" applyFill="1" applyBorder="1" applyAlignment="1">
      <alignment horizontal="center" vertical="top" wrapText="1"/>
    </xf>
    <xf numFmtId="0" fontId="47" fillId="32" borderId="42" xfId="0" applyFont="1" applyFill="1" applyBorder="1" applyAlignment="1">
      <alignment horizontal="center" vertical="top" wrapText="1"/>
    </xf>
    <xf numFmtId="0" fontId="0" fillId="32" borderId="42" xfId="0" applyFill="1" applyBorder="1" applyAlignment="1">
      <alignment horizontal="center" vertical="top" wrapText="1"/>
    </xf>
    <xf numFmtId="0" fontId="46" fillId="33" borderId="26" xfId="0" applyFont="1" applyFill="1" applyBorder="1" applyAlignment="1">
      <alignment horizontal="center" vertical="top" wrapText="1"/>
    </xf>
    <xf numFmtId="0" fontId="0" fillId="33" borderId="43" xfId="0" applyFill="1" applyBorder="1" applyAlignment="1">
      <alignment horizontal="center" vertical="top" wrapText="1"/>
    </xf>
    <xf numFmtId="0" fontId="0" fillId="33" borderId="44" xfId="0" applyFill="1" applyBorder="1" applyAlignment="1">
      <alignment horizontal="center" vertical="top" wrapText="1"/>
    </xf>
    <xf numFmtId="0" fontId="47" fillId="33" borderId="45" xfId="0" applyFont="1" applyFill="1" applyBorder="1" applyAlignment="1">
      <alignment horizontal="center" vertical="top" wrapText="1"/>
    </xf>
    <xf numFmtId="0" fontId="0" fillId="33" borderId="45" xfId="0" applyFill="1" applyBorder="1" applyAlignment="1">
      <alignment horizontal="center" vertical="top" wrapText="1"/>
    </xf>
    <xf numFmtId="0" fontId="46" fillId="34" borderId="26" xfId="0" applyFont="1" applyFill="1" applyBorder="1" applyAlignment="1">
      <alignment horizontal="center" vertical="top" wrapText="1"/>
    </xf>
    <xf numFmtId="0" fontId="46" fillId="35" borderId="26" xfId="0" applyFont="1" applyFill="1" applyBorder="1" applyAlignment="1">
      <alignment horizontal="center" vertical="top" wrapText="1"/>
    </xf>
    <xf numFmtId="0" fontId="46" fillId="37" borderId="26" xfId="0" applyFont="1" applyFill="1" applyBorder="1" applyAlignment="1">
      <alignment horizontal="center" vertical="top" wrapText="1"/>
    </xf>
    <xf numFmtId="0" fontId="46" fillId="38" borderId="26" xfId="0" applyFont="1" applyFill="1" applyBorder="1" applyAlignment="1">
      <alignment horizontal="center" vertical="top" wrapText="1"/>
    </xf>
    <xf numFmtId="0" fontId="46" fillId="40" borderId="26" xfId="0" applyFont="1" applyFill="1" applyBorder="1" applyAlignment="1">
      <alignment horizontal="center" vertical="top" wrapText="1"/>
    </xf>
    <xf numFmtId="0" fontId="0" fillId="43" borderId="0" xfId="0" applyFill="1" applyAlignment="1">
      <alignment horizontal="center" vertical="top" wrapText="1"/>
    </xf>
    <xf numFmtId="0" fontId="0" fillId="33" borderId="0" xfId="0" applyFill="1" applyAlignment="1">
      <alignment horizontal="center" vertical="top" wrapText="1"/>
    </xf>
    <xf numFmtId="0" fontId="48" fillId="28" borderId="0" xfId="0" applyFont="1" applyFill="1" applyAlignment="1">
      <alignment horizontal="right" vertical="top" wrapText="1"/>
    </xf>
    <xf numFmtId="0" fontId="48" fillId="28" borderId="7" xfId="0" applyFont="1" applyFill="1" applyBorder="1" applyAlignment="1">
      <alignment horizontal="right" vertical="top" wrapText="1"/>
    </xf>
    <xf numFmtId="0" fontId="0" fillId="43" borderId="13" xfId="0" applyFill="1" applyBorder="1" applyAlignment="1">
      <alignment horizontal="right" vertical="top" wrapText="1"/>
    </xf>
    <xf numFmtId="0" fontId="0" fillId="43" borderId="6" xfId="0" applyFill="1" applyBorder="1" applyAlignment="1">
      <alignment horizontal="right" vertical="top" wrapText="1"/>
    </xf>
    <xf numFmtId="0" fontId="0" fillId="43" borderId="14" xfId="0" applyFill="1" applyBorder="1" applyAlignment="1">
      <alignment horizontal="right" vertical="top" wrapText="1"/>
    </xf>
    <xf numFmtId="0" fontId="0" fillId="43" borderId="24" xfId="0" applyFill="1" applyBorder="1" applyAlignment="1">
      <alignment horizontal="right" vertical="top" wrapText="1"/>
    </xf>
    <xf numFmtId="0" fontId="0" fillId="43" borderId="61" xfId="0" applyFill="1" applyBorder="1" applyAlignment="1">
      <alignment horizontal="right" vertical="top" wrapText="1"/>
    </xf>
    <xf numFmtId="0" fontId="47" fillId="0" borderId="0" xfId="0" quotePrefix="1" applyFont="1" applyAlignment="1">
      <alignment horizontal="right" vertical="top" wrapText="1"/>
    </xf>
    <xf numFmtId="0" fontId="0" fillId="0" borderId="62" xfId="0" applyBorder="1" applyAlignment="1">
      <alignment horizontal="right" vertical="top" wrapText="1"/>
    </xf>
    <xf numFmtId="0" fontId="0" fillId="45" borderId="62" xfId="0" applyFill="1" applyBorder="1" applyAlignment="1">
      <alignment horizontal="right" vertical="top" wrapText="1"/>
    </xf>
    <xf numFmtId="0" fontId="0" fillId="44" borderId="62" xfId="0" applyFill="1" applyBorder="1" applyAlignment="1">
      <alignment horizontal="center" vertical="top" wrapText="1"/>
    </xf>
    <xf numFmtId="0" fontId="0" fillId="44" borderId="62" xfId="0" applyFill="1" applyBorder="1" applyAlignment="1">
      <alignment wrapText="1"/>
    </xf>
    <xf numFmtId="0" fontId="47" fillId="0" borderId="62" xfId="0" applyFont="1" applyBorder="1" applyAlignment="1">
      <alignment horizontal="right" vertical="top" wrapText="1"/>
    </xf>
    <xf numFmtId="0" fontId="47" fillId="45" borderId="62" xfId="0" applyFont="1" applyFill="1" applyBorder="1" applyAlignment="1">
      <alignment horizontal="right" vertical="top" wrapText="1"/>
    </xf>
    <xf numFmtId="0" fontId="0" fillId="44" borderId="62" xfId="0" applyFill="1" applyBorder="1" applyAlignment="1">
      <alignment horizontal="right" vertical="top" wrapText="1"/>
    </xf>
    <xf numFmtId="0" fontId="0" fillId="46" borderId="0" xfId="0" applyFill="1" applyAlignment="1">
      <alignment horizontal="right" vertical="top" wrapText="1"/>
    </xf>
    <xf numFmtId="0" fontId="47" fillId="46" borderId="0" xfId="0" applyFont="1" applyFill="1" applyAlignment="1">
      <alignment horizontal="right" vertical="top" wrapText="1"/>
    </xf>
    <xf numFmtId="0" fontId="0" fillId="46" borderId="0" xfId="0" applyFill="1" applyAlignment="1">
      <alignment horizontal="center" vertical="top" wrapText="1"/>
    </xf>
    <xf numFmtId="0" fontId="0" fillId="0" borderId="63" xfId="0" applyBorder="1" applyAlignment="1">
      <alignment horizontal="right" vertical="top" wrapText="1"/>
    </xf>
    <xf numFmtId="0" fontId="48" fillId="28" borderId="63" xfId="0" applyFont="1" applyFill="1" applyBorder="1" applyAlignment="1">
      <alignment horizontal="right" vertical="top" wrapText="1"/>
    </xf>
    <xf numFmtId="0" fontId="0" fillId="28" borderId="63" xfId="0" applyFill="1" applyBorder="1" applyAlignment="1">
      <alignment horizontal="right" vertical="top" wrapText="1"/>
    </xf>
    <xf numFmtId="0" fontId="45" fillId="28" borderId="63" xfId="0" applyFont="1" applyFill="1" applyBorder="1" applyAlignment="1">
      <alignment horizontal="right" vertical="top" wrapText="1"/>
    </xf>
    <xf numFmtId="0" fontId="48" fillId="0" borderId="63" xfId="0" applyFont="1" applyBorder="1" applyAlignment="1">
      <alignment horizontal="right" vertical="top" wrapText="1"/>
    </xf>
    <xf numFmtId="0" fontId="0" fillId="46" borderId="63" xfId="0" applyFill="1" applyBorder="1" applyAlignment="1">
      <alignment horizontal="right" vertical="top" wrapText="1"/>
    </xf>
    <xf numFmtId="0" fontId="0" fillId="42" borderId="62" xfId="0" applyFill="1" applyBorder="1" applyAlignment="1">
      <alignment horizontal="right" vertical="top" wrapText="1"/>
    </xf>
    <xf numFmtId="0" fontId="47" fillId="42" borderId="0" xfId="0" quotePrefix="1" applyFont="1" applyFill="1" applyAlignment="1">
      <alignment horizontal="right" vertical="top" wrapText="1"/>
    </xf>
    <xf numFmtId="0" fontId="47" fillId="42" borderId="0" xfId="0" applyFont="1" applyFill="1" applyAlignment="1">
      <alignment horizontal="right" vertical="top" wrapText="1"/>
    </xf>
    <xf numFmtId="0" fontId="47" fillId="32" borderId="0" xfId="0" applyFont="1" applyFill="1" applyAlignment="1">
      <alignment horizontal="center" vertical="top" wrapText="1"/>
    </xf>
    <xf numFmtId="0" fontId="47" fillId="33" borderId="0" xfId="0" applyFont="1" applyFill="1" applyAlignment="1">
      <alignment horizontal="center" vertical="top" wrapText="1"/>
    </xf>
    <xf numFmtId="0" fontId="47" fillId="35" borderId="0" xfId="0" applyFont="1" applyFill="1" applyAlignment="1">
      <alignment horizontal="right" vertical="top" wrapText="1"/>
    </xf>
    <xf numFmtId="0" fontId="0" fillId="44" borderId="13" xfId="0" applyFill="1" applyBorder="1" applyAlignment="1">
      <alignment horizontal="right" vertical="top" wrapText="1"/>
    </xf>
    <xf numFmtId="0" fontId="0" fillId="44" borderId="14" xfId="0" applyFill="1" applyBorder="1" applyAlignment="1">
      <alignment horizontal="right" vertical="top" wrapText="1"/>
    </xf>
    <xf numFmtId="0" fontId="0" fillId="44" borderId="0" xfId="0" applyFill="1" applyAlignment="1">
      <alignment horizontal="right" vertical="top" wrapText="1"/>
    </xf>
    <xf numFmtId="0" fontId="0" fillId="44" borderId="24" xfId="0" applyFill="1" applyBorder="1" applyAlignment="1">
      <alignment horizontal="right" vertical="top" wrapText="1"/>
    </xf>
    <xf numFmtId="0" fontId="0" fillId="44" borderId="6" xfId="0" applyFill="1" applyBorder="1" applyAlignment="1">
      <alignment horizontal="right" vertical="top" wrapText="1"/>
    </xf>
    <xf numFmtId="0" fontId="0" fillId="36" borderId="26" xfId="0" applyFill="1" applyBorder="1" applyAlignment="1">
      <alignment horizontal="right" vertical="top" wrapText="1"/>
    </xf>
    <xf numFmtId="0" fontId="0" fillId="36" borderId="24" xfId="0" applyFill="1" applyBorder="1" applyAlignment="1">
      <alignment horizontal="right" vertical="top" wrapText="1"/>
    </xf>
    <xf numFmtId="0" fontId="47" fillId="36" borderId="25" xfId="0" applyFont="1" applyFill="1" applyBorder="1" applyAlignment="1">
      <alignment horizontal="right" vertical="top" wrapText="1"/>
    </xf>
    <xf numFmtId="0" fontId="0" fillId="36" borderId="23" xfId="0" applyFill="1" applyBorder="1" applyAlignment="1">
      <alignment horizontal="right" vertical="top" wrapText="1"/>
    </xf>
    <xf numFmtId="0" fontId="0" fillId="36" borderId="25" xfId="0" applyFill="1" applyBorder="1" applyAlignment="1">
      <alignment horizontal="right" vertical="top" wrapText="1"/>
    </xf>
    <xf numFmtId="0" fontId="0" fillId="29" borderId="1" xfId="0" applyFill="1" applyBorder="1" applyAlignment="1">
      <alignment horizontal="right" vertical="top" wrapText="1"/>
    </xf>
    <xf numFmtId="0" fontId="0" fillId="30" borderId="1" xfId="0" applyFill="1" applyBorder="1" applyAlignment="1">
      <alignment horizontal="right" vertical="top" wrapText="1"/>
    </xf>
    <xf numFmtId="0" fontId="0" fillId="31" borderId="1" xfId="0" applyFill="1" applyBorder="1" applyAlignment="1">
      <alignment horizontal="right" vertical="top" wrapText="1"/>
    </xf>
    <xf numFmtId="0" fontId="0" fillId="27" borderId="1" xfId="0" applyFill="1" applyBorder="1" applyAlignment="1">
      <alignment horizontal="right" vertical="top" wrapText="1"/>
    </xf>
    <xf numFmtId="0" fontId="0" fillId="36" borderId="1" xfId="0" applyFill="1" applyBorder="1" applyAlignment="1">
      <alignment horizontal="right" vertical="top" wrapText="1"/>
    </xf>
    <xf numFmtId="0" fontId="0" fillId="39" borderId="1" xfId="0" applyFill="1" applyBorder="1" applyAlignment="1">
      <alignment horizontal="right" vertical="top" wrapText="1"/>
    </xf>
    <xf numFmtId="0" fontId="0" fillId="41" borderId="1" xfId="0" applyFill="1" applyBorder="1" applyAlignment="1">
      <alignment horizontal="right" vertical="top" wrapText="1"/>
    </xf>
    <xf numFmtId="0" fontId="0" fillId="39" borderId="19" xfId="0" applyFill="1" applyBorder="1" applyAlignment="1">
      <alignment horizontal="right" vertical="top" wrapText="1"/>
    </xf>
    <xf numFmtId="0" fontId="0" fillId="39" borderId="29" xfId="0" applyFill="1" applyBorder="1" applyAlignment="1">
      <alignment horizontal="right" vertical="top" wrapText="1"/>
    </xf>
    <xf numFmtId="0" fontId="0" fillId="39" borderId="22" xfId="0" applyFill="1" applyBorder="1" applyAlignment="1">
      <alignment horizontal="right" vertical="top" wrapText="1"/>
    </xf>
    <xf numFmtId="0" fontId="0" fillId="39" borderId="64" xfId="0" applyFill="1" applyBorder="1" applyAlignment="1">
      <alignment horizontal="right" vertical="top" wrapText="1"/>
    </xf>
    <xf numFmtId="0" fontId="0" fillId="40" borderId="0" xfId="0" applyFill="1" applyAlignment="1">
      <alignment horizontal="right" vertical="top" wrapText="1"/>
    </xf>
    <xf numFmtId="0" fontId="0" fillId="41" borderId="3" xfId="0" applyFill="1" applyBorder="1" applyAlignment="1">
      <alignment horizontal="right" vertical="top" wrapText="1"/>
    </xf>
    <xf numFmtId="0" fontId="0" fillId="38" borderId="0" xfId="0" applyFill="1" applyAlignment="1">
      <alignment horizontal="right" vertical="top" wrapText="1"/>
    </xf>
    <xf numFmtId="0" fontId="0" fillId="36" borderId="2" xfId="0" applyFill="1" applyBorder="1" applyAlignment="1">
      <alignment horizontal="right" vertical="top" wrapText="1"/>
    </xf>
    <xf numFmtId="0" fontId="0" fillId="39" borderId="3" xfId="0" applyFill="1" applyBorder="1" applyAlignment="1">
      <alignment horizontal="right" vertical="top" wrapText="1"/>
    </xf>
    <xf numFmtId="0" fontId="0" fillId="37" borderId="0" xfId="0" applyFill="1" applyAlignment="1">
      <alignment horizontal="right" vertical="top" wrapText="1"/>
    </xf>
    <xf numFmtId="0" fontId="0" fillId="27" borderId="2" xfId="0" applyFill="1" applyBorder="1" applyAlignment="1">
      <alignment horizontal="right" vertical="top" wrapText="1"/>
    </xf>
    <xf numFmtId="0" fontId="0" fillId="36" borderId="3" xfId="0" applyFill="1" applyBorder="1" applyAlignment="1">
      <alignment horizontal="right" vertical="top" wrapText="1"/>
    </xf>
    <xf numFmtId="0" fontId="0" fillId="31" borderId="2" xfId="0" applyFill="1" applyBorder="1" applyAlignment="1">
      <alignment horizontal="right" vertical="top" wrapText="1"/>
    </xf>
    <xf numFmtId="0" fontId="0" fillId="27" borderId="3" xfId="0" applyFill="1" applyBorder="1" applyAlignment="1">
      <alignment horizontal="right" vertical="top" wrapText="1"/>
    </xf>
    <xf numFmtId="0" fontId="0" fillId="34" borderId="0" xfId="0" applyFill="1" applyAlignment="1">
      <alignment horizontal="right" vertical="top" wrapText="1"/>
    </xf>
    <xf numFmtId="0" fontId="0" fillId="30" borderId="2" xfId="0" applyFill="1" applyBorder="1" applyAlignment="1">
      <alignment horizontal="right" vertical="top" wrapText="1"/>
    </xf>
    <xf numFmtId="0" fontId="0" fillId="31" borderId="3" xfId="0" applyFill="1" applyBorder="1" applyAlignment="1">
      <alignment horizontal="right" vertical="top" wrapText="1"/>
    </xf>
    <xf numFmtId="0" fontId="0" fillId="29" borderId="2" xfId="0" applyFill="1" applyBorder="1" applyAlignment="1">
      <alignment horizontal="right" vertical="top" wrapText="1"/>
    </xf>
    <xf numFmtId="0" fontId="0" fillId="30" borderId="3" xfId="0" applyFill="1" applyBorder="1" applyAlignment="1">
      <alignment horizontal="right" vertical="top" wrapText="1"/>
    </xf>
    <xf numFmtId="0" fontId="0" fillId="29" borderId="3" xfId="0" applyFill="1" applyBorder="1" applyAlignment="1">
      <alignment horizontal="right" vertical="top" wrapText="1"/>
    </xf>
    <xf numFmtId="0" fontId="0" fillId="32" borderId="65" xfId="0" applyFill="1" applyBorder="1" applyAlignment="1">
      <alignment horizontal="center" vertical="top" wrapText="1"/>
    </xf>
    <xf numFmtId="0" fontId="0" fillId="41" borderId="2" xfId="0" applyFill="1" applyBorder="1" applyAlignment="1">
      <alignment horizontal="right" vertical="top" wrapText="1"/>
    </xf>
    <xf numFmtId="3" fontId="0" fillId="30" borderId="14" xfId="0" applyNumberFormat="1" applyFill="1" applyBorder="1" applyAlignment="1">
      <alignment horizontal="right" vertical="top" wrapText="1"/>
    </xf>
    <xf numFmtId="3" fontId="0" fillId="30" borderId="16" xfId="0" applyNumberFormat="1" applyFill="1" applyBorder="1" applyAlignment="1">
      <alignment horizontal="right" vertical="top" wrapText="1"/>
    </xf>
    <xf numFmtId="3" fontId="0" fillId="30" borderId="12" xfId="0" applyNumberFormat="1" applyFill="1" applyBorder="1" applyAlignment="1">
      <alignment horizontal="right" vertical="top" wrapText="1"/>
    </xf>
    <xf numFmtId="0" fontId="0" fillId="30" borderId="23" xfId="0" applyFill="1" applyBorder="1" applyAlignment="1">
      <alignment horizontal="right" vertical="top" wrapText="1"/>
    </xf>
    <xf numFmtId="0" fontId="1" fillId="46" borderId="0" xfId="1" applyFill="1" applyAlignment="1">
      <alignment horizontal="right" vertical="top" wrapText="1"/>
    </xf>
    <xf numFmtId="0" fontId="1" fillId="39" borderId="14" xfId="1" applyFill="1" applyBorder="1" applyAlignment="1">
      <alignment horizontal="right" vertical="top" wrapText="1"/>
    </xf>
    <xf numFmtId="0" fontId="0" fillId="30" borderId="24" xfId="0" applyFill="1" applyBorder="1" applyAlignment="1">
      <alignment horizontal="right" vertical="top" wrapText="1"/>
    </xf>
    <xf numFmtId="0" fontId="0" fillId="30" borderId="10" xfId="0" applyFill="1" applyBorder="1" applyAlignment="1">
      <alignment horizontal="right" vertical="top" wrapText="1"/>
    </xf>
    <xf numFmtId="0" fontId="0" fillId="41" borderId="23" xfId="0" applyFill="1" applyBorder="1" applyAlignment="1">
      <alignment horizontal="right" vertical="top" wrapText="1"/>
    </xf>
    <xf numFmtId="0" fontId="0" fillId="41" borderId="26" xfId="0" applyFill="1" applyBorder="1" applyAlignment="1">
      <alignment horizontal="right" vertical="top" wrapText="1"/>
    </xf>
    <xf numFmtId="0" fontId="0" fillId="41" borderId="24" xfId="0" applyFill="1" applyBorder="1" applyAlignment="1">
      <alignment horizontal="right" vertical="top" wrapText="1"/>
    </xf>
    <xf numFmtId="0" fontId="0" fillId="41" borderId="25" xfId="0" applyFill="1" applyBorder="1" applyAlignment="1">
      <alignment horizontal="right" vertical="top" wrapText="1"/>
    </xf>
    <xf numFmtId="0" fontId="47" fillId="41" borderId="25" xfId="0" applyFont="1" applyFill="1" applyBorder="1" applyAlignment="1">
      <alignment horizontal="right" vertical="top" wrapText="1"/>
    </xf>
    <xf numFmtId="3" fontId="0" fillId="27" borderId="15" xfId="0" applyNumberFormat="1" applyFill="1" applyBorder="1" applyAlignment="1">
      <alignment horizontal="right" vertical="top" wrapText="1"/>
    </xf>
    <xf numFmtId="3" fontId="0" fillId="27" borderId="12" xfId="0" applyNumberFormat="1" applyFill="1" applyBorder="1" applyAlignment="1">
      <alignment horizontal="right" vertical="top" wrapText="1"/>
    </xf>
    <xf numFmtId="0" fontId="0" fillId="47" borderId="57" xfId="0" applyFill="1" applyBorder="1" applyAlignment="1">
      <alignment horizontal="right" vertical="top" wrapText="1"/>
    </xf>
    <xf numFmtId="0" fontId="0" fillId="47" borderId="1" xfId="0" applyFill="1" applyBorder="1" applyAlignment="1">
      <alignment horizontal="right" vertical="top" wrapText="1"/>
    </xf>
    <xf numFmtId="0" fontId="0" fillId="47" borderId="12" xfId="0" applyFill="1" applyBorder="1" applyAlignment="1">
      <alignment horizontal="right" vertical="top" wrapText="1"/>
    </xf>
    <xf numFmtId="0" fontId="0" fillId="47" borderId="14" xfId="0" applyFill="1" applyBorder="1" applyAlignment="1">
      <alignment horizontal="right" vertical="top" wrapText="1"/>
    </xf>
    <xf numFmtId="0" fontId="0" fillId="47" borderId="16" xfId="0" applyFill="1" applyBorder="1" applyAlignment="1">
      <alignment horizontal="right" vertical="top" wrapText="1"/>
    </xf>
    <xf numFmtId="0" fontId="47" fillId="47" borderId="16" xfId="0" applyFont="1" applyFill="1" applyBorder="1" applyAlignment="1">
      <alignment horizontal="right" vertical="top" wrapText="1"/>
    </xf>
    <xf numFmtId="0" fontId="0" fillId="44" borderId="0" xfId="0" applyFill="1" applyAlignment="1">
      <alignment wrapText="1"/>
    </xf>
    <xf numFmtId="3" fontId="0" fillId="27" borderId="16" xfId="0" applyNumberFormat="1" applyFill="1" applyBorder="1" applyAlignment="1">
      <alignment horizontal="right" vertical="top" wrapText="1"/>
    </xf>
    <xf numFmtId="3" fontId="0" fillId="27" borderId="14" xfId="0" applyNumberFormat="1" applyFill="1" applyBorder="1" applyAlignment="1">
      <alignment horizontal="right" vertical="top" wrapText="1"/>
    </xf>
    <xf numFmtId="0" fontId="0" fillId="47" borderId="3" xfId="0" applyFill="1" applyBorder="1" applyAlignment="1">
      <alignment horizontal="right" vertical="top" wrapText="1"/>
    </xf>
    <xf numFmtId="0" fontId="47" fillId="30" borderId="1" xfId="0" applyFont="1" applyFill="1" applyBorder="1" applyAlignment="1">
      <alignment horizontal="right" vertical="top" wrapText="1"/>
    </xf>
    <xf numFmtId="0" fontId="47" fillId="30" borderId="25" xfId="0" applyFont="1" applyFill="1" applyBorder="1" applyAlignment="1">
      <alignment horizontal="right" vertical="top" wrapText="1"/>
    </xf>
    <xf numFmtId="0" fontId="0" fillId="41" borderId="0" xfId="0" applyFill="1" applyAlignment="1">
      <alignment horizontal="right" vertical="top" wrapText="1"/>
    </xf>
    <xf numFmtId="0" fontId="0" fillId="41" borderId="66" xfId="0" applyFill="1" applyBorder="1" applyAlignment="1">
      <alignment horizontal="right" vertical="top" wrapText="1"/>
    </xf>
    <xf numFmtId="0" fontId="0" fillId="43" borderId="60" xfId="0" applyFill="1" applyBorder="1" applyAlignment="1">
      <alignment horizontal="right" vertical="top" wrapText="1"/>
    </xf>
    <xf numFmtId="0" fontId="0" fillId="41" borderId="58" xfId="0" applyFill="1" applyBorder="1" applyAlignment="1">
      <alignment horizontal="right" vertical="top" wrapText="1"/>
    </xf>
    <xf numFmtId="0" fontId="0" fillId="43" borderId="67" xfId="0" applyFill="1" applyBorder="1" applyAlignment="1">
      <alignment wrapText="1"/>
    </xf>
    <xf numFmtId="0" fontId="0" fillId="41" borderId="59" xfId="0" applyFill="1" applyBorder="1" applyAlignment="1">
      <alignment horizontal="right" vertical="top" wrapText="1"/>
    </xf>
    <xf numFmtId="0" fontId="0" fillId="41" borderId="6" xfId="0" applyFill="1" applyBorder="1" applyAlignment="1">
      <alignment horizontal="right" vertical="top" wrapText="1"/>
    </xf>
    <xf numFmtId="0" fontId="0" fillId="41" borderId="60" xfId="0" applyFill="1" applyBorder="1" applyAlignment="1">
      <alignment horizontal="right" vertical="top" wrapText="1"/>
    </xf>
    <xf numFmtId="0" fontId="0" fillId="41" borderId="68" xfId="0" applyFill="1" applyBorder="1" applyAlignment="1">
      <alignment horizontal="right" vertical="top" wrapText="1"/>
    </xf>
    <xf numFmtId="0" fontId="47" fillId="41" borderId="60" xfId="0" applyFont="1" applyFill="1" applyBorder="1" applyAlignment="1">
      <alignment horizontal="right" vertical="top" wrapText="1"/>
    </xf>
    <xf numFmtId="0" fontId="0" fillId="43" borderId="67" xfId="0" applyFill="1" applyBorder="1" applyAlignment="1">
      <alignment horizontal="right" vertical="top" wrapText="1"/>
    </xf>
    <xf numFmtId="0" fontId="0" fillId="41" borderId="67" xfId="0" applyFill="1" applyBorder="1" applyAlignment="1">
      <alignment horizontal="right" vertical="top" wrapText="1"/>
    </xf>
    <xf numFmtId="0" fontId="0" fillId="31" borderId="24" xfId="0" applyFill="1" applyBorder="1" applyAlignment="1">
      <alignment horizontal="right" vertical="top" wrapText="1"/>
    </xf>
    <xf numFmtId="0" fontId="0" fillId="31" borderId="25" xfId="0" applyFill="1" applyBorder="1" applyAlignment="1">
      <alignment horizontal="right" vertical="top" wrapText="1"/>
    </xf>
    <xf numFmtId="0" fontId="0" fillId="31" borderId="23" xfId="0" applyFill="1" applyBorder="1" applyAlignment="1">
      <alignment horizontal="right" vertical="top" wrapText="1"/>
    </xf>
    <xf numFmtId="0" fontId="47" fillId="43" borderId="0" xfId="0" quotePrefix="1" applyFont="1" applyFill="1" applyAlignment="1">
      <alignment horizontal="right" vertical="top" wrapText="1"/>
    </xf>
    <xf numFmtId="0" fontId="47" fillId="44" borderId="0" xfId="0" quotePrefix="1" applyFont="1" applyFill="1" applyAlignment="1">
      <alignment horizontal="right" vertical="top" wrapText="1"/>
    </xf>
    <xf numFmtId="0" fontId="47" fillId="44" borderId="0" xfId="0" applyFont="1" applyFill="1" applyAlignment="1">
      <alignment horizontal="right" vertical="top" wrapText="1"/>
    </xf>
    <xf numFmtId="0" fontId="47" fillId="0" borderId="69" xfId="0" applyFont="1" applyBorder="1" applyAlignment="1">
      <alignment horizontal="right" vertical="top" wrapText="1"/>
    </xf>
    <xf numFmtId="0" fontId="47" fillId="43" borderId="69" xfId="0" quotePrefix="1" applyFont="1" applyFill="1" applyBorder="1" applyAlignment="1">
      <alignment horizontal="right" vertical="top" wrapText="1"/>
    </xf>
    <xf numFmtId="0" fontId="47" fillId="44" borderId="69" xfId="0" quotePrefix="1" applyFont="1" applyFill="1" applyBorder="1" applyAlignment="1">
      <alignment horizontal="right" vertical="top" wrapText="1"/>
    </xf>
    <xf numFmtId="0" fontId="47" fillId="44" borderId="69" xfId="0" applyFont="1" applyFill="1" applyBorder="1" applyAlignment="1">
      <alignment horizontal="right" vertical="top" wrapText="1"/>
    </xf>
    <xf numFmtId="0" fontId="47" fillId="0" borderId="69" xfId="0" quotePrefix="1" applyFont="1" applyBorder="1" applyAlignment="1">
      <alignment horizontal="right" vertical="top" wrapText="1"/>
    </xf>
    <xf numFmtId="0" fontId="42" fillId="39" borderId="14" xfId="1" applyFont="1" applyFill="1" applyBorder="1" applyAlignment="1">
      <alignment horizontal="right" vertical="top" wrapText="1"/>
    </xf>
    <xf numFmtId="0" fontId="0" fillId="47" borderId="10" xfId="0" applyFill="1" applyBorder="1" applyAlignment="1">
      <alignment horizontal="right" vertical="top" wrapText="1"/>
    </xf>
    <xf numFmtId="0" fontId="0" fillId="47" borderId="2" xfId="0" applyFill="1" applyBorder="1" applyAlignment="1">
      <alignment horizontal="right" vertical="top" wrapText="1"/>
    </xf>
    <xf numFmtId="0" fontId="0" fillId="30" borderId="5" xfId="0" applyFill="1" applyBorder="1" applyAlignment="1">
      <alignment horizontal="right" vertical="top" wrapText="1"/>
    </xf>
    <xf numFmtId="0" fontId="47" fillId="41" borderId="6" xfId="0" applyFont="1" applyFill="1" applyBorder="1" applyAlignment="1">
      <alignment horizontal="right" vertical="top" wrapText="1"/>
    </xf>
    <xf numFmtId="0" fontId="47" fillId="41" borderId="13" xfId="0" applyFont="1" applyFill="1" applyBorder="1" applyAlignment="1">
      <alignment horizontal="right" vertical="top" wrapText="1"/>
    </xf>
    <xf numFmtId="0" fontId="47" fillId="41" borderId="14" xfId="0" applyFont="1" applyFill="1" applyBorder="1" applyAlignment="1">
      <alignment horizontal="right" vertical="top" wrapText="1"/>
    </xf>
    <xf numFmtId="0" fontId="0" fillId="49" borderId="0" xfId="0" applyFill="1" applyAlignment="1">
      <alignment horizontal="right" vertical="top" wrapText="1"/>
    </xf>
    <xf numFmtId="0" fontId="46" fillId="49" borderId="0" xfId="0" applyFont="1" applyFill="1" applyAlignment="1">
      <alignment horizontal="center" vertical="top" wrapText="1"/>
    </xf>
    <xf numFmtId="0" fontId="0" fillId="43" borderId="6" xfId="0" applyFill="1" applyBorder="1" applyAlignment="1">
      <alignment wrapText="1"/>
    </xf>
    <xf numFmtId="0" fontId="0" fillId="48" borderId="6" xfId="0" applyFill="1" applyBorder="1" applyAlignment="1">
      <alignment horizontal="right" vertical="top" wrapText="1"/>
    </xf>
    <xf numFmtId="0" fontId="47" fillId="48" borderId="6" xfId="0" applyFont="1" applyFill="1" applyBorder="1" applyAlignment="1">
      <alignment horizontal="right" vertical="top" wrapText="1"/>
    </xf>
    <xf numFmtId="0" fontId="0" fillId="48" borderId="14" xfId="0" applyFill="1" applyBorder="1" applyAlignment="1">
      <alignment horizontal="right" vertical="top" wrapText="1"/>
    </xf>
    <xf numFmtId="0" fontId="0" fillId="43" borderId="14" xfId="0" applyFill="1" applyBorder="1" applyAlignment="1">
      <alignment wrapText="1"/>
    </xf>
    <xf numFmtId="0" fontId="0" fillId="30" borderId="4" xfId="0" applyFill="1" applyBorder="1" applyAlignment="1">
      <alignment horizontal="right" vertical="top" wrapText="1"/>
    </xf>
    <xf numFmtId="0" fontId="0" fillId="30" borderId="25" xfId="0" applyFill="1" applyBorder="1" applyAlignment="1">
      <alignment horizontal="right" vertical="top" wrapText="1"/>
    </xf>
    <xf numFmtId="0" fontId="42" fillId="30" borderId="1" xfId="0" applyFont="1" applyFill="1" applyBorder="1" applyAlignment="1">
      <alignment horizontal="right" vertical="top" wrapText="1"/>
    </xf>
    <xf numFmtId="0" fontId="0" fillId="34" borderId="1" xfId="0" applyFill="1" applyBorder="1" applyAlignment="1">
      <alignment horizontal="right" vertical="top" wrapText="1"/>
    </xf>
    <xf numFmtId="0" fontId="0" fillId="35" borderId="1" xfId="0" applyFill="1" applyBorder="1" applyAlignment="1">
      <alignment horizontal="right" vertical="top" wrapText="1"/>
    </xf>
    <xf numFmtId="3" fontId="0" fillId="27" borderId="1" xfId="0" applyNumberFormat="1" applyFill="1" applyBorder="1" applyAlignment="1">
      <alignment horizontal="right" vertical="top" wrapText="1"/>
    </xf>
    <xf numFmtId="0" fontId="0" fillId="37" borderId="1" xfId="0" applyFill="1" applyBorder="1" applyAlignment="1">
      <alignment horizontal="right" vertical="top" wrapText="1"/>
    </xf>
    <xf numFmtId="0" fontId="0" fillId="38" borderId="1" xfId="0" applyFill="1" applyBorder="1" applyAlignment="1">
      <alignment horizontal="right" vertical="top" wrapText="1"/>
    </xf>
    <xf numFmtId="0" fontId="0" fillId="49" borderId="1" xfId="0" applyFill="1" applyBorder="1" applyAlignment="1">
      <alignment horizontal="right" vertical="top" wrapText="1"/>
    </xf>
    <xf numFmtId="0" fontId="0" fillId="48" borderId="1" xfId="0" applyFill="1" applyBorder="1" applyAlignment="1">
      <alignment horizontal="right" vertical="top" wrapText="1"/>
    </xf>
    <xf numFmtId="3" fontId="0" fillId="48" borderId="6" xfId="0" applyNumberFormat="1" applyFill="1" applyBorder="1" applyAlignment="1">
      <alignment horizontal="right" vertical="top" wrapText="1"/>
    </xf>
    <xf numFmtId="3" fontId="0" fillId="31" borderId="12" xfId="0" applyNumberFormat="1" applyFill="1" applyBorder="1" applyAlignment="1">
      <alignment horizontal="right" vertical="top" wrapText="1"/>
    </xf>
    <xf numFmtId="3" fontId="0" fillId="31" borderId="14" xfId="0" applyNumberFormat="1" applyFill="1" applyBorder="1" applyAlignment="1">
      <alignment horizontal="right" vertical="top" wrapText="1"/>
    </xf>
    <xf numFmtId="0" fontId="0" fillId="30" borderId="70" xfId="0" applyFill="1" applyBorder="1" applyAlignment="1">
      <alignment horizontal="right" vertical="top" wrapText="1"/>
    </xf>
    <xf numFmtId="0" fontId="0" fillId="29" borderId="62" xfId="0" applyFill="1" applyBorder="1" applyAlignment="1">
      <alignment horizontal="right" vertical="top" wrapText="1"/>
    </xf>
    <xf numFmtId="0" fontId="47" fillId="0" borderId="62" xfId="0" quotePrefix="1" applyFont="1" applyBorder="1" applyAlignment="1">
      <alignment horizontal="right" vertical="top" wrapText="1"/>
    </xf>
    <xf numFmtId="0" fontId="0" fillId="44" borderId="62" xfId="0" quotePrefix="1" applyFill="1" applyBorder="1" applyAlignment="1">
      <alignment wrapText="1"/>
    </xf>
    <xf numFmtId="0" fontId="47" fillId="44" borderId="62" xfId="0" applyFont="1" applyFill="1" applyBorder="1" applyAlignment="1">
      <alignment horizontal="right" vertical="top" wrapText="1"/>
    </xf>
    <xf numFmtId="0" fontId="0" fillId="44" borderId="21" xfId="0" applyFill="1" applyBorder="1" applyAlignment="1">
      <alignment horizontal="right" vertical="top" wrapText="1"/>
    </xf>
    <xf numFmtId="0" fontId="0" fillId="0" borderId="21" xfId="0" applyBorder="1" applyAlignment="1">
      <alignment horizontal="right" vertical="top" wrapText="1"/>
    </xf>
    <xf numFmtId="0" fontId="0" fillId="44" borderId="21" xfId="0" applyFill="1" applyBorder="1" applyAlignment="1">
      <alignment wrapText="1"/>
    </xf>
    <xf numFmtId="0" fontId="47" fillId="0" borderId="21" xfId="0" applyFont="1" applyBorder="1" applyAlignment="1">
      <alignment horizontal="right" vertical="top" wrapText="1"/>
    </xf>
    <xf numFmtId="0" fontId="0" fillId="42" borderId="21" xfId="0" applyFill="1" applyBorder="1" applyAlignment="1">
      <alignment horizontal="right" vertical="top" wrapText="1"/>
    </xf>
    <xf numFmtId="0" fontId="51" fillId="0" borderId="0" xfId="0" applyFont="1"/>
    <xf numFmtId="0" fontId="0" fillId="30" borderId="6" xfId="0" applyFill="1" applyBorder="1" applyAlignment="1">
      <alignment horizontal="right" vertical="top" wrapText="1"/>
    </xf>
    <xf numFmtId="0" fontId="47" fillId="30" borderId="6" xfId="0" applyFont="1" applyFill="1" applyBorder="1" applyAlignment="1">
      <alignment horizontal="right" vertical="top" wrapText="1"/>
    </xf>
    <xf numFmtId="0" fontId="0" fillId="42" borderId="6" xfId="0" applyFill="1" applyBorder="1" applyAlignment="1">
      <alignment horizontal="right" vertical="top" wrapText="1"/>
    </xf>
    <xf numFmtId="0" fontId="0" fillId="45" borderId="0" xfId="0" applyFill="1" applyAlignment="1">
      <alignment horizontal="right" vertical="top" wrapText="1"/>
    </xf>
    <xf numFmtId="0" fontId="0" fillId="46" borderId="62" xfId="0" applyFill="1" applyBorder="1" applyAlignment="1">
      <alignment horizontal="right" vertical="top" wrapText="1"/>
    </xf>
    <xf numFmtId="0" fontId="1" fillId="0" borderId="62" xfId="1" applyBorder="1" applyAlignment="1">
      <alignment horizontal="right" vertical="top" wrapText="1"/>
    </xf>
    <xf numFmtId="0" fontId="0" fillId="45" borderId="71" xfId="0" applyFill="1" applyBorder="1" applyAlignment="1">
      <alignment horizontal="right" vertical="top" wrapText="1"/>
    </xf>
    <xf numFmtId="0" fontId="0" fillId="42" borderId="72" xfId="0" applyFill="1" applyBorder="1" applyAlignment="1">
      <alignment horizontal="right" vertical="top" wrapText="1"/>
    </xf>
    <xf numFmtId="0" fontId="0" fillId="45" borderId="6" xfId="0" applyFill="1" applyBorder="1"/>
    <xf numFmtId="0" fontId="0" fillId="44" borderId="6" xfId="0" applyFill="1" applyBorder="1" applyAlignment="1">
      <alignment wrapText="1"/>
    </xf>
    <xf numFmtId="0" fontId="0" fillId="0" borderId="6" xfId="0" applyBorder="1" applyAlignment="1">
      <alignment horizontal="right" vertical="top" wrapText="1"/>
    </xf>
    <xf numFmtId="0" fontId="47" fillId="0" borderId="6" xfId="0" applyFont="1" applyBorder="1" applyAlignment="1">
      <alignment horizontal="right" vertical="top" wrapText="1"/>
    </xf>
    <xf numFmtId="0" fontId="0" fillId="0" borderId="60" xfId="0" applyBorder="1" applyAlignment="1">
      <alignment horizontal="right" vertical="top" wrapText="1"/>
    </xf>
    <xf numFmtId="0" fontId="0" fillId="45" borderId="6" xfId="0" applyFill="1" applyBorder="1" applyAlignment="1">
      <alignment horizontal="right" vertical="top" wrapText="1"/>
    </xf>
    <xf numFmtId="0" fontId="47" fillId="45" borderId="6" xfId="0" applyFont="1" applyFill="1" applyBorder="1" applyAlignment="1">
      <alignment horizontal="right" vertical="top" wrapText="1"/>
    </xf>
    <xf numFmtId="0" fontId="0" fillId="45" borderId="60" xfId="0" applyFill="1" applyBorder="1" applyAlignment="1">
      <alignment horizontal="right" vertical="top" wrapText="1"/>
    </xf>
    <xf numFmtId="0" fontId="0" fillId="45" borderId="21" xfId="0" applyFill="1" applyBorder="1" applyAlignment="1">
      <alignment horizontal="right" vertical="top" wrapText="1"/>
    </xf>
    <xf numFmtId="0" fontId="0" fillId="42" borderId="71" xfId="0" applyFill="1" applyBorder="1" applyAlignment="1">
      <alignment horizontal="right" vertical="top" wrapText="1"/>
    </xf>
    <xf numFmtId="0" fontId="0" fillId="0" borderId="72" xfId="0" applyBorder="1" applyAlignment="1">
      <alignment horizontal="right" vertical="top" wrapText="1"/>
    </xf>
    <xf numFmtId="0" fontId="0" fillId="0" borderId="6" xfId="0" applyBorder="1"/>
    <xf numFmtId="0" fontId="0" fillId="0" borderId="14" xfId="0" applyBorder="1" applyAlignment="1">
      <alignment horizontal="right" vertical="top" wrapText="1"/>
    </xf>
    <xf numFmtId="0" fontId="0" fillId="42" borderId="60" xfId="0" applyFill="1" applyBorder="1" applyAlignment="1">
      <alignment horizontal="right" vertical="top" wrapText="1"/>
    </xf>
    <xf numFmtId="0" fontId="0" fillId="44" borderId="59" xfId="0" applyFill="1" applyBorder="1" applyAlignment="1">
      <alignment wrapText="1"/>
    </xf>
    <xf numFmtId="0" fontId="1" fillId="45" borderId="62" xfId="1" applyFill="1" applyBorder="1" applyAlignment="1">
      <alignment horizontal="right" vertical="top" wrapText="1"/>
    </xf>
    <xf numFmtId="0" fontId="54" fillId="0" borderId="62" xfId="0" applyFont="1" applyBorder="1" applyAlignment="1">
      <alignment horizontal="right" vertical="top" wrapText="1"/>
    </xf>
    <xf numFmtId="0" fontId="54" fillId="45" borderId="62" xfId="0" applyFont="1" applyFill="1" applyBorder="1" applyAlignment="1">
      <alignment horizontal="right" vertical="top" wrapText="1"/>
    </xf>
    <xf numFmtId="0" fontId="54" fillId="44" borderId="62" xfId="0" applyFont="1" applyFill="1" applyBorder="1" applyAlignment="1">
      <alignment wrapText="1"/>
    </xf>
    <xf numFmtId="0" fontId="50" fillId="0" borderId="62" xfId="0" applyFont="1" applyBorder="1" applyAlignment="1">
      <alignment horizontal="right" vertical="top" wrapText="1"/>
    </xf>
    <xf numFmtId="0" fontId="50" fillId="45" borderId="62" xfId="0" applyFont="1" applyFill="1" applyBorder="1" applyAlignment="1">
      <alignment horizontal="right" vertical="top" wrapText="1"/>
    </xf>
    <xf numFmtId="0" fontId="54" fillId="42" borderId="62" xfId="0" applyFont="1" applyFill="1" applyBorder="1" applyAlignment="1">
      <alignment horizontal="right" vertical="top" wrapText="1"/>
    </xf>
    <xf numFmtId="0" fontId="54" fillId="0" borderId="0" xfId="0" applyFont="1" applyAlignment="1">
      <alignment horizontal="right" vertical="top" wrapText="1"/>
    </xf>
    <xf numFmtId="3" fontId="54" fillId="0" borderId="0" xfId="0" applyNumberFormat="1" applyFont="1"/>
    <xf numFmtId="0" fontId="54" fillId="44" borderId="62" xfId="0" applyFont="1" applyFill="1" applyBorder="1" applyAlignment="1">
      <alignment horizontal="right" vertical="top" wrapText="1"/>
    </xf>
    <xf numFmtId="0" fontId="54" fillId="45" borderId="18" xfId="0" applyFont="1" applyFill="1" applyBorder="1" applyAlignment="1">
      <alignment horizontal="right" vertical="top" wrapText="1"/>
    </xf>
    <xf numFmtId="0" fontId="54" fillId="42" borderId="18" xfId="0" applyFont="1" applyFill="1" applyBorder="1" applyAlignment="1">
      <alignment horizontal="right" vertical="top" wrapText="1"/>
    </xf>
    <xf numFmtId="3" fontId="54" fillId="0" borderId="62" xfId="0" applyNumberFormat="1" applyFont="1" applyBorder="1" applyAlignment="1">
      <alignment horizontal="right" vertical="top" wrapText="1"/>
    </xf>
    <xf numFmtId="3" fontId="54" fillId="45" borderId="62" xfId="0" applyNumberFormat="1" applyFont="1" applyFill="1" applyBorder="1" applyAlignment="1">
      <alignment horizontal="right" vertical="top" wrapText="1"/>
    </xf>
    <xf numFmtId="0" fontId="54" fillId="46" borderId="62" xfId="0" applyFont="1" applyFill="1" applyBorder="1" applyAlignment="1">
      <alignment horizontal="right" vertical="top" wrapText="1"/>
    </xf>
    <xf numFmtId="0" fontId="54" fillId="46" borderId="0" xfId="0" applyFont="1" applyFill="1" applyAlignment="1">
      <alignment horizontal="right" vertical="top" wrapText="1"/>
    </xf>
    <xf numFmtId="0" fontId="55" fillId="45" borderId="62" xfId="0" applyFont="1" applyFill="1" applyBorder="1" applyAlignment="1">
      <alignment horizontal="right" vertical="top" wrapText="1"/>
    </xf>
    <xf numFmtId="0" fontId="0" fillId="31" borderId="6" xfId="0" applyFill="1" applyBorder="1" applyAlignment="1">
      <alignment horizontal="right" vertical="top" wrapText="1"/>
    </xf>
    <xf numFmtId="0" fontId="0" fillId="31" borderId="0" xfId="0" applyFill="1" applyAlignment="1">
      <alignment horizontal="right" vertical="top" wrapText="1"/>
    </xf>
    <xf numFmtId="0" fontId="0" fillId="43" borderId="25" xfId="0" applyFill="1" applyBorder="1" applyAlignment="1">
      <alignment horizontal="right" vertical="top" wrapText="1"/>
    </xf>
    <xf numFmtId="0" fontId="0" fillId="43" borderId="16" xfId="0" applyFill="1" applyBorder="1" applyAlignment="1">
      <alignment horizontal="right" vertical="top" wrapText="1"/>
    </xf>
    <xf numFmtId="0" fontId="0" fillId="31" borderId="10" xfId="0" applyFill="1" applyBorder="1" applyAlignment="1">
      <alignment horizontal="right" vertical="top" wrapText="1"/>
    </xf>
    <xf numFmtId="0" fontId="47" fillId="31" borderId="6" xfId="0" applyFont="1" applyFill="1" applyBorder="1" applyAlignment="1">
      <alignment horizontal="right" vertical="top" wrapText="1"/>
    </xf>
    <xf numFmtId="0" fontId="0" fillId="31" borderId="73" xfId="0" applyFill="1" applyBorder="1" applyAlignment="1">
      <alignment horizontal="right" vertical="top" wrapText="1"/>
    </xf>
    <xf numFmtId="0" fontId="0" fillId="31" borderId="74" xfId="0" applyFill="1" applyBorder="1" applyAlignment="1">
      <alignment horizontal="right" vertical="top" wrapText="1"/>
    </xf>
    <xf numFmtId="3" fontId="0" fillId="31" borderId="16" xfId="0" applyNumberFormat="1" applyFill="1" applyBorder="1" applyAlignment="1">
      <alignment horizontal="right" vertical="top" wrapText="1"/>
    </xf>
    <xf numFmtId="0" fontId="0" fillId="33" borderId="2" xfId="0" applyFill="1" applyBorder="1" applyAlignment="1">
      <alignment horizontal="center" vertical="top" wrapText="1"/>
    </xf>
    <xf numFmtId="0" fontId="0" fillId="30" borderId="26" xfId="0" applyFill="1" applyBorder="1" applyAlignment="1">
      <alignment horizontal="right" vertical="top" wrapText="1"/>
    </xf>
    <xf numFmtId="0" fontId="0" fillId="30" borderId="0" xfId="0" applyFill="1" applyAlignment="1">
      <alignment horizontal="right" vertical="top" wrapText="1"/>
    </xf>
    <xf numFmtId="0" fontId="0" fillId="30" borderId="75" xfId="0" applyFill="1" applyBorder="1" applyAlignment="1">
      <alignment horizontal="right" vertical="top" wrapText="1"/>
    </xf>
    <xf numFmtId="0" fontId="0" fillId="30" borderId="76" xfId="0" applyFill="1" applyBorder="1" applyAlignment="1">
      <alignment horizontal="right" vertical="top" wrapText="1"/>
    </xf>
    <xf numFmtId="0" fontId="0" fillId="30" borderId="6" xfId="2" applyNumberFormat="1" applyFont="1" applyFill="1" applyBorder="1" applyAlignment="1">
      <alignment horizontal="right" vertical="top" wrapText="1"/>
    </xf>
    <xf numFmtId="0" fontId="0" fillId="29" borderId="57" xfId="0" applyFill="1" applyBorder="1" applyAlignment="1">
      <alignment horizontal="right" vertical="top" wrapText="1"/>
    </xf>
    <xf numFmtId="0" fontId="0" fillId="29" borderId="12" xfId="0" applyFill="1" applyBorder="1" applyAlignment="1">
      <alignment horizontal="right" vertical="top" wrapText="1"/>
    </xf>
    <xf numFmtId="0" fontId="0" fillId="29" borderId="14" xfId="0" applyFill="1" applyBorder="1" applyAlignment="1">
      <alignment horizontal="right" vertical="top" wrapText="1"/>
    </xf>
    <xf numFmtId="0" fontId="0" fillId="29" borderId="16" xfId="0" applyFill="1" applyBorder="1" applyAlignment="1">
      <alignment horizontal="right" vertical="top" wrapText="1"/>
    </xf>
    <xf numFmtId="0" fontId="47" fillId="29" borderId="13" xfId="0" applyFont="1" applyFill="1" applyBorder="1" applyAlignment="1">
      <alignment horizontal="right" vertical="top" wrapText="1"/>
    </xf>
    <xf numFmtId="0" fontId="47" fillId="41" borderId="24" xfId="0" applyFont="1" applyFill="1" applyBorder="1" applyAlignment="1">
      <alignment horizontal="right" vertical="top" wrapText="1"/>
    </xf>
    <xf numFmtId="0" fontId="47" fillId="38" borderId="0" xfId="0" applyFont="1" applyFill="1" applyAlignment="1">
      <alignment horizontal="right" vertical="top" wrapText="1"/>
    </xf>
    <xf numFmtId="0" fontId="0" fillId="38" borderId="77" xfId="0" applyFill="1" applyBorder="1" applyAlignment="1">
      <alignment horizontal="right" vertical="top" wrapText="1"/>
    </xf>
    <xf numFmtId="0" fontId="0" fillId="39" borderId="78" xfId="0" applyFill="1" applyBorder="1" applyAlignment="1">
      <alignment horizontal="right" vertical="top" wrapText="1"/>
    </xf>
    <xf numFmtId="0" fontId="0" fillId="39" borderId="0" xfId="0" applyFill="1" applyAlignment="1">
      <alignment horizontal="right" vertical="top" wrapText="1"/>
    </xf>
    <xf numFmtId="0" fontId="0" fillId="39" borderId="65" xfId="0" applyFill="1" applyBorder="1" applyAlignment="1">
      <alignment horizontal="right" vertical="top" wrapText="1"/>
    </xf>
    <xf numFmtId="0" fontId="47" fillId="39" borderId="6" xfId="0" applyFont="1" applyFill="1" applyBorder="1" applyAlignment="1">
      <alignment horizontal="right" vertical="top" wrapText="1"/>
    </xf>
    <xf numFmtId="0" fontId="0" fillId="39" borderId="6" xfId="0" applyFill="1" applyBorder="1" applyAlignment="1">
      <alignment horizontal="right" vertical="top" wrapText="1"/>
    </xf>
    <xf numFmtId="0" fontId="0" fillId="40" borderId="79" xfId="0" applyFill="1" applyBorder="1" applyAlignment="1">
      <alignment horizontal="right" vertical="top" wrapText="1"/>
    </xf>
    <xf numFmtId="0" fontId="0" fillId="40" borderId="80" xfId="0" applyFill="1" applyBorder="1" applyAlignment="1">
      <alignment wrapText="1"/>
    </xf>
    <xf numFmtId="0" fontId="0" fillId="40" borderId="81" xfId="0" applyFill="1" applyBorder="1" applyAlignment="1">
      <alignment horizontal="right" vertical="top" wrapText="1"/>
    </xf>
    <xf numFmtId="0" fontId="0" fillId="40" borderId="80" xfId="0" applyFill="1" applyBorder="1" applyAlignment="1">
      <alignment horizontal="right" vertical="top" wrapText="1"/>
    </xf>
    <xf numFmtId="0" fontId="47" fillId="40" borderId="79" xfId="0" applyFont="1" applyFill="1" applyBorder="1" applyAlignment="1">
      <alignment horizontal="right" vertical="top" wrapText="1"/>
    </xf>
    <xf numFmtId="0" fontId="0" fillId="40" borderId="2" xfId="0" applyFill="1" applyBorder="1" applyAlignment="1">
      <alignment horizontal="right" vertical="top" wrapText="1"/>
    </xf>
    <xf numFmtId="0" fontId="0" fillId="41" borderId="82" xfId="0" applyFill="1" applyBorder="1" applyAlignment="1">
      <alignment horizontal="right" vertical="top" wrapText="1"/>
    </xf>
    <xf numFmtId="0" fontId="46" fillId="50" borderId="0" xfId="0" applyFont="1" applyFill="1" applyAlignment="1">
      <alignment horizontal="center" vertical="top" wrapText="1"/>
    </xf>
    <xf numFmtId="0" fontId="0" fillId="50" borderId="0" xfId="0" applyFill="1" applyAlignment="1">
      <alignment horizontal="center" vertical="top" wrapText="1"/>
    </xf>
    <xf numFmtId="0" fontId="47" fillId="50" borderId="0" xfId="0" applyFont="1" applyFill="1" applyAlignment="1">
      <alignment horizontal="center" vertical="top" wrapText="1"/>
    </xf>
    <xf numFmtId="0" fontId="0" fillId="51" borderId="6" xfId="0" applyFill="1" applyBorder="1" applyAlignment="1">
      <alignment horizontal="right" vertical="top" wrapText="1"/>
    </xf>
    <xf numFmtId="0" fontId="0" fillId="53" borderId="6" xfId="0" applyFill="1" applyBorder="1" applyAlignment="1">
      <alignment horizontal="right" vertical="top" wrapText="1"/>
    </xf>
    <xf numFmtId="0" fontId="47" fillId="53" borderId="6" xfId="0" applyFont="1" applyFill="1" applyBorder="1" applyAlignment="1">
      <alignment horizontal="right" vertical="top" wrapText="1"/>
    </xf>
    <xf numFmtId="0" fontId="0" fillId="42" borderId="13" xfId="0" applyFill="1" applyBorder="1" applyAlignment="1">
      <alignment horizontal="right" vertical="top" wrapText="1"/>
    </xf>
    <xf numFmtId="0" fontId="47" fillId="51" borderId="6" xfId="0" applyFont="1" applyFill="1" applyBorder="1" applyAlignment="1">
      <alignment horizontal="right" vertical="top" wrapText="1"/>
    </xf>
    <xf numFmtId="0" fontId="47" fillId="48" borderId="14" xfId="0" applyFont="1" applyFill="1" applyBorder="1" applyAlignment="1">
      <alignment horizontal="right" vertical="top" wrapText="1"/>
    </xf>
    <xf numFmtId="0" fontId="0" fillId="48" borderId="2" xfId="0" applyFill="1" applyBorder="1" applyAlignment="1">
      <alignment horizontal="right" vertical="top" wrapText="1"/>
    </xf>
    <xf numFmtId="0" fontId="0" fillId="48" borderId="16" xfId="0" applyFill="1" applyBorder="1" applyAlignment="1">
      <alignment horizontal="right" vertical="top" wrapText="1"/>
    </xf>
    <xf numFmtId="0" fontId="0" fillId="48" borderId="12" xfId="0" applyFill="1" applyBorder="1" applyAlignment="1">
      <alignment horizontal="right" vertical="top" wrapText="1"/>
    </xf>
    <xf numFmtId="0" fontId="0" fillId="44" borderId="22" xfId="0" applyFill="1" applyBorder="1" applyAlignment="1">
      <alignment horizontal="right" vertical="top" wrapText="1"/>
    </xf>
    <xf numFmtId="0" fontId="0" fillId="0" borderId="6" xfId="0" applyBorder="1" applyAlignment="1">
      <alignment horizontal="right" vertical="top"/>
    </xf>
    <xf numFmtId="0" fontId="0" fillId="45" borderId="6" xfId="0" applyFill="1" applyBorder="1" applyAlignment="1">
      <alignment horizontal="right" vertical="top"/>
    </xf>
    <xf numFmtId="0" fontId="0" fillId="42" borderId="1" xfId="0" applyFill="1" applyBorder="1" applyAlignment="1">
      <alignment horizontal="right" vertical="top" wrapText="1"/>
    </xf>
    <xf numFmtId="0" fontId="0" fillId="44" borderId="1" xfId="0" applyFill="1" applyBorder="1" applyAlignment="1">
      <alignment horizontal="right" vertical="top" wrapText="1"/>
    </xf>
    <xf numFmtId="0" fontId="0" fillId="43" borderId="1" xfId="0" applyFill="1" applyBorder="1" applyAlignment="1">
      <alignment horizontal="right" vertical="top" wrapText="1"/>
    </xf>
    <xf numFmtId="0" fontId="0" fillId="43" borderId="1" xfId="0" applyFill="1" applyBorder="1" applyAlignment="1">
      <alignment wrapText="1"/>
    </xf>
    <xf numFmtId="0" fontId="46" fillId="34" borderId="0" xfId="0" applyFont="1" applyFill="1" applyAlignment="1">
      <alignment horizontal="center" vertical="top" wrapText="1"/>
    </xf>
    <xf numFmtId="0" fontId="54" fillId="52" borderId="60" xfId="0" applyFont="1" applyFill="1" applyBorder="1" applyAlignment="1">
      <alignment horizontal="center" vertical="top" wrapText="1"/>
    </xf>
    <xf numFmtId="0" fontId="0" fillId="52" borderId="67" xfId="0" applyFill="1" applyBorder="1" applyAlignment="1">
      <alignment horizontal="center" vertical="top" wrapText="1"/>
    </xf>
    <xf numFmtId="0" fontId="47" fillId="52" borderId="67" xfId="0" applyFont="1" applyFill="1" applyBorder="1" applyAlignment="1">
      <alignment horizontal="center" vertical="top" wrapText="1"/>
    </xf>
    <xf numFmtId="0" fontId="0" fillId="52" borderId="59" xfId="0" applyFill="1" applyBorder="1" applyAlignment="1">
      <alignment horizontal="center" vertical="top" wrapText="1"/>
    </xf>
    <xf numFmtId="0" fontId="0" fillId="35" borderId="0" xfId="0" applyFill="1" applyAlignment="1">
      <alignment wrapText="1"/>
    </xf>
    <xf numFmtId="0" fontId="0" fillId="27" borderId="6" xfId="0" applyFill="1" applyBorder="1" applyAlignment="1">
      <alignment horizontal="right" vertical="top" wrapText="1"/>
    </xf>
    <xf numFmtId="0" fontId="47" fillId="27" borderId="6" xfId="0" applyFont="1" applyFill="1" applyBorder="1" applyAlignment="1">
      <alignment horizontal="right" vertical="top" wrapText="1"/>
    </xf>
    <xf numFmtId="3" fontId="0" fillId="27" borderId="6" xfId="0" applyNumberFormat="1" applyFill="1" applyBorder="1" applyAlignment="1">
      <alignment horizontal="right" vertical="top" wrapText="1"/>
    </xf>
    <xf numFmtId="0" fontId="47" fillId="27" borderId="13" xfId="0" applyFont="1" applyFill="1" applyBorder="1" applyAlignment="1">
      <alignment horizontal="right" vertical="top" wrapText="1"/>
    </xf>
    <xf numFmtId="0" fontId="46" fillId="35" borderId="0" xfId="0" applyFont="1" applyFill="1" applyAlignment="1">
      <alignment horizontal="center" vertical="top" wrapText="1"/>
    </xf>
    <xf numFmtId="0" fontId="0" fillId="44" borderId="13" xfId="0" applyFill="1" applyBorder="1" applyAlignment="1">
      <alignment wrapText="1"/>
    </xf>
    <xf numFmtId="0" fontId="0" fillId="0" borderId="83" xfId="0" applyBorder="1" applyAlignment="1">
      <alignment horizontal="right" vertical="top" wrapText="1"/>
    </xf>
    <xf numFmtId="0" fontId="0" fillId="46" borderId="83" xfId="0" applyFill="1" applyBorder="1" applyAlignment="1">
      <alignment horizontal="right" vertical="top" wrapText="1"/>
    </xf>
    <xf numFmtId="0" fontId="0" fillId="46" borderId="84" xfId="0" applyFill="1" applyBorder="1" applyAlignment="1">
      <alignment horizontal="right" vertical="top" wrapText="1"/>
    </xf>
    <xf numFmtId="0" fontId="0" fillId="46" borderId="85" xfId="0" applyFill="1" applyBorder="1" applyAlignment="1">
      <alignment horizontal="right" vertical="top" wrapText="1"/>
    </xf>
    <xf numFmtId="0" fontId="47" fillId="46" borderId="87" xfId="0" applyFont="1" applyFill="1" applyBorder="1" applyAlignment="1">
      <alignment horizontal="right" vertical="top" wrapText="1"/>
    </xf>
    <xf numFmtId="0" fontId="47" fillId="46" borderId="88" xfId="0" applyFont="1" applyFill="1" applyBorder="1" applyAlignment="1">
      <alignment horizontal="right" vertical="top" wrapText="1"/>
    </xf>
    <xf numFmtId="0" fontId="47" fillId="46" borderId="86" xfId="0" applyFont="1" applyFill="1" applyBorder="1" applyAlignment="1">
      <alignment horizontal="right" vertical="top" wrapText="1"/>
    </xf>
    <xf numFmtId="0" fontId="0" fillId="46" borderId="89" xfId="0" applyFill="1" applyBorder="1" applyAlignment="1">
      <alignment horizontal="right" vertical="top" wrapText="1"/>
    </xf>
    <xf numFmtId="0" fontId="0" fillId="46" borderId="86" xfId="0" applyFill="1" applyBorder="1" applyAlignment="1">
      <alignment horizontal="right" vertical="top" wrapText="1"/>
    </xf>
    <xf numFmtId="0" fontId="0" fillId="46" borderId="8" xfId="0" applyFill="1" applyBorder="1" applyAlignment="1">
      <alignment horizontal="right" vertical="top" wrapText="1"/>
    </xf>
    <xf numFmtId="0" fontId="0" fillId="46" borderId="7" xfId="0" applyFill="1" applyBorder="1" applyAlignment="1">
      <alignment horizontal="right" vertical="top" wrapText="1"/>
    </xf>
    <xf numFmtId="0" fontId="0" fillId="46" borderId="9" xfId="0" applyFill="1" applyBorder="1" applyAlignment="1">
      <alignment horizontal="right" vertical="top" wrapText="1"/>
    </xf>
    <xf numFmtId="0" fontId="0" fillId="46" borderId="90" xfId="0" applyFill="1" applyBorder="1" applyAlignment="1">
      <alignment horizontal="right" vertical="top" wrapText="1"/>
    </xf>
    <xf numFmtId="0" fontId="0" fillId="46" borderId="91" xfId="0" applyFill="1" applyBorder="1" applyAlignment="1">
      <alignment horizontal="right" vertical="top" wrapText="1"/>
    </xf>
    <xf numFmtId="0" fontId="0" fillId="46" borderId="92" xfId="0" applyFill="1" applyBorder="1" applyAlignment="1">
      <alignment horizontal="right" vertical="top" wrapText="1"/>
    </xf>
    <xf numFmtId="0" fontId="0" fillId="46" borderId="93" xfId="0" applyFill="1" applyBorder="1" applyAlignment="1">
      <alignment horizontal="right" vertical="top" wrapText="1"/>
    </xf>
    <xf numFmtId="0" fontId="0" fillId="46" borderId="94" xfId="0" applyFill="1" applyBorder="1" applyAlignment="1">
      <alignment horizontal="right" vertical="top" wrapText="1"/>
    </xf>
    <xf numFmtId="0" fontId="0" fillId="46" borderId="95" xfId="0" applyFill="1" applyBorder="1" applyAlignment="1">
      <alignment horizontal="right" vertical="top" wrapText="1"/>
    </xf>
    <xf numFmtId="0" fontId="0" fillId="0" borderId="86" xfId="0" applyBorder="1" applyAlignment="1">
      <alignment horizontal="right" vertical="top" wrapText="1"/>
    </xf>
    <xf numFmtId="0" fontId="47" fillId="0" borderId="86" xfId="0" applyFont="1" applyBorder="1" applyAlignment="1">
      <alignment horizontal="right" vertical="top" wrapText="1"/>
    </xf>
    <xf numFmtId="0" fontId="46" fillId="44" borderId="62" xfId="0" applyFont="1" applyFill="1" applyBorder="1" applyAlignment="1">
      <alignment horizontal="center" vertical="top" wrapText="1"/>
    </xf>
    <xf numFmtId="0" fontId="47" fillId="44" borderId="62" xfId="0" applyFont="1" applyFill="1" applyBorder="1" applyAlignment="1">
      <alignment horizontal="center" vertical="top" wrapText="1"/>
    </xf>
    <xf numFmtId="0" fontId="0" fillId="44" borderId="0" xfId="0" applyFill="1"/>
    <xf numFmtId="0" fontId="0" fillId="31" borderId="6" xfId="0" applyFill="1" applyBorder="1"/>
    <xf numFmtId="0" fontId="0" fillId="44" borderId="6" xfId="0" applyFill="1" applyBorder="1"/>
    <xf numFmtId="0" fontId="54" fillId="28" borderId="63" xfId="0" applyFont="1" applyFill="1" applyBorder="1" applyAlignment="1">
      <alignment horizontal="right" vertical="top" wrapText="1"/>
    </xf>
    <xf numFmtId="0" fontId="56" fillId="28" borderId="63" xfId="0" applyFont="1" applyFill="1" applyBorder="1" applyAlignment="1">
      <alignment horizontal="right" vertical="top" wrapText="1"/>
    </xf>
    <xf numFmtId="0" fontId="47" fillId="0" borderId="6" xfId="0" applyFont="1" applyBorder="1" applyAlignment="1">
      <alignment wrapText="1"/>
    </xf>
    <xf numFmtId="0" fontId="47" fillId="31" borderId="6" xfId="0" applyFont="1" applyFill="1" applyBorder="1" applyAlignment="1">
      <alignment wrapText="1"/>
    </xf>
    <xf numFmtId="0" fontId="0" fillId="31" borderId="6" xfId="0" applyFill="1" applyBorder="1" applyAlignment="1">
      <alignment wrapText="1"/>
    </xf>
    <xf numFmtId="0" fontId="0" fillId="0" borderId="6" xfId="0" applyBorder="1" applyAlignment="1">
      <alignment wrapText="1"/>
    </xf>
    <xf numFmtId="0" fontId="0" fillId="54" borderId="6" xfId="0" applyFill="1" applyBorder="1"/>
    <xf numFmtId="0" fontId="47" fillId="54" borderId="6" xfId="0" applyFont="1" applyFill="1" applyBorder="1" applyAlignment="1">
      <alignment wrapText="1"/>
    </xf>
    <xf numFmtId="0" fontId="0" fillId="54" borderId="6" xfId="0" applyFill="1" applyBorder="1" applyAlignment="1">
      <alignment horizontal="right" vertical="top" wrapText="1"/>
    </xf>
    <xf numFmtId="0" fontId="0" fillId="44" borderId="0" xfId="0" applyFill="1" applyAlignment="1">
      <alignment horizontal="right"/>
    </xf>
    <xf numFmtId="0" fontId="0" fillId="0" borderId="6" xfId="0" applyBorder="1" applyAlignment="1">
      <alignment horizontal="right"/>
    </xf>
    <xf numFmtId="0" fontId="0" fillId="31" borderId="6" xfId="0" applyFill="1" applyBorder="1" applyAlignment="1">
      <alignment horizontal="right"/>
    </xf>
    <xf numFmtId="0" fontId="46" fillId="54" borderId="6" xfId="0" applyFont="1" applyFill="1" applyBorder="1" applyAlignment="1">
      <alignment horizontal="right"/>
    </xf>
    <xf numFmtId="0" fontId="0" fillId="0" borderId="0" xfId="0" applyAlignment="1">
      <alignment horizontal="right"/>
    </xf>
    <xf numFmtId="0" fontId="0" fillId="54" borderId="6" xfId="0" applyFill="1" applyBorder="1" applyAlignment="1">
      <alignment horizontal="right"/>
    </xf>
    <xf numFmtId="0" fontId="0" fillId="54" borderId="62" xfId="0" applyFill="1" applyBorder="1" applyAlignment="1">
      <alignment horizontal="right" vertical="top" wrapText="1"/>
    </xf>
    <xf numFmtId="0" fontId="47" fillId="54" borderId="62" xfId="0" applyFont="1" applyFill="1" applyBorder="1" applyAlignment="1">
      <alignment horizontal="right" vertical="top" wrapText="1"/>
    </xf>
    <xf numFmtId="0" fontId="0" fillId="54" borderId="0" xfId="0" applyFill="1" applyAlignment="1">
      <alignment horizontal="right" vertical="top" wrapText="1"/>
    </xf>
    <xf numFmtId="0" fontId="46" fillId="55" borderId="0" xfId="0" applyFont="1" applyFill="1" applyAlignment="1">
      <alignment horizontal="center" vertical="top" wrapText="1"/>
    </xf>
    <xf numFmtId="0" fontId="0" fillId="55" borderId="0" xfId="0" applyFill="1" applyAlignment="1">
      <alignment wrapText="1"/>
    </xf>
    <xf numFmtId="0" fontId="0" fillId="55" borderId="0" xfId="0" applyFill="1" applyAlignment="1">
      <alignment horizontal="right" vertical="top" wrapText="1"/>
    </xf>
    <xf numFmtId="0" fontId="47" fillId="55" borderId="0" xfId="0" applyFont="1" applyFill="1" applyAlignment="1">
      <alignment horizontal="right" vertical="top" wrapText="1"/>
    </xf>
    <xf numFmtId="0" fontId="0" fillId="56" borderId="6" xfId="0" applyFill="1" applyBorder="1" applyAlignment="1">
      <alignment horizontal="right" vertical="top" wrapText="1"/>
    </xf>
    <xf numFmtId="0" fontId="0" fillId="56" borderId="13" xfId="0" applyFill="1" applyBorder="1" applyAlignment="1">
      <alignment horizontal="right" vertical="top" wrapText="1"/>
    </xf>
    <xf numFmtId="0" fontId="47" fillId="56" borderId="6" xfId="0" applyFont="1" applyFill="1" applyBorder="1" applyAlignment="1">
      <alignment horizontal="right" vertical="top" wrapText="1"/>
    </xf>
    <xf numFmtId="0" fontId="47" fillId="56" borderId="13" xfId="0" applyFont="1" applyFill="1" applyBorder="1" applyAlignment="1">
      <alignment horizontal="right" vertical="top" wrapText="1"/>
    </xf>
    <xf numFmtId="3" fontId="0" fillId="56" borderId="6" xfId="0" applyNumberFormat="1" applyFill="1" applyBorder="1" applyAlignment="1">
      <alignment horizontal="right" vertical="top" wrapText="1"/>
    </xf>
    <xf numFmtId="3" fontId="0" fillId="56" borderId="13" xfId="0" applyNumberFormat="1" applyFill="1" applyBorder="1" applyAlignment="1">
      <alignment horizontal="right" vertical="top" wrapText="1"/>
    </xf>
    <xf numFmtId="0" fontId="0" fillId="4" borderId="24" xfId="0" applyFill="1" applyBorder="1" applyAlignment="1">
      <alignment horizontal="right" vertical="top" wrapText="1"/>
    </xf>
    <xf numFmtId="0" fontId="0" fillId="4" borderId="12" xfId="0" applyFill="1" applyBorder="1" applyAlignment="1">
      <alignment horizontal="right" vertical="top" wrapText="1"/>
    </xf>
    <xf numFmtId="0" fontId="0" fillId="4" borderId="14" xfId="0" applyFill="1" applyBorder="1" applyAlignment="1">
      <alignment horizontal="right" vertical="top" wrapText="1"/>
    </xf>
    <xf numFmtId="0" fontId="0" fillId="51" borderId="14" xfId="0" applyFill="1" applyBorder="1" applyAlignment="1">
      <alignment horizontal="right" vertical="top" wrapText="1"/>
    </xf>
    <xf numFmtId="0" fontId="0" fillId="44" borderId="14" xfId="0" applyFill="1" applyBorder="1" applyAlignment="1">
      <alignment wrapText="1"/>
    </xf>
    <xf numFmtId="0" fontId="47" fillId="51" borderId="14" xfId="0" applyFont="1" applyFill="1" applyBorder="1" applyAlignment="1">
      <alignment horizontal="right" vertical="top" wrapText="1"/>
    </xf>
    <xf numFmtId="0" fontId="0" fillId="51" borderId="13" xfId="0" applyFill="1" applyBorder="1" applyAlignment="1">
      <alignment horizontal="right" vertical="top" wrapText="1"/>
    </xf>
    <xf numFmtId="0" fontId="47" fillId="51" borderId="13" xfId="0" applyFont="1" applyFill="1" applyBorder="1" applyAlignment="1">
      <alignment horizontal="right" vertical="top" wrapText="1"/>
    </xf>
    <xf numFmtId="0" fontId="0" fillId="50" borderId="0" xfId="0" applyFill="1" applyAlignment="1">
      <alignment horizontal="right" vertical="top" wrapText="1"/>
    </xf>
    <xf numFmtId="0" fontId="0" fillId="50" borderId="0" xfId="0" applyFill="1" applyAlignment="1">
      <alignment wrapText="1"/>
    </xf>
    <xf numFmtId="0" fontId="47" fillId="50" borderId="0" xfId="0" applyFont="1" applyFill="1" applyAlignment="1">
      <alignment horizontal="right" vertical="top" wrapText="1"/>
    </xf>
    <xf numFmtId="3" fontId="0" fillId="31" borderId="6" xfId="0" applyNumberFormat="1" applyFill="1" applyBorder="1" applyAlignment="1">
      <alignment horizontal="right" vertical="top" wrapText="1"/>
    </xf>
    <xf numFmtId="0" fontId="54" fillId="0" borderId="18" xfId="0" applyFont="1" applyBorder="1" applyAlignment="1">
      <alignment horizontal="right" vertical="top" wrapText="1"/>
    </xf>
    <xf numFmtId="0" fontId="0" fillId="42" borderId="22" xfId="0" applyFill="1" applyBorder="1" applyAlignment="1">
      <alignment horizontal="right" vertical="top" wrapText="1"/>
    </xf>
    <xf numFmtId="0" fontId="54" fillId="42" borderId="19" xfId="0" applyFont="1" applyFill="1" applyBorder="1" applyAlignment="1">
      <alignment horizontal="right" vertical="top" wrapText="1"/>
    </xf>
    <xf numFmtId="0" fontId="0" fillId="45" borderId="72" xfId="0" applyFill="1" applyBorder="1" applyAlignment="1">
      <alignment horizontal="right" vertical="top" wrapText="1"/>
    </xf>
    <xf numFmtId="0" fontId="54" fillId="45" borderId="72" xfId="0" applyFont="1" applyFill="1" applyBorder="1" applyAlignment="1">
      <alignment horizontal="right" vertical="top" wrapText="1"/>
    </xf>
    <xf numFmtId="0" fontId="54" fillId="45" borderId="6" xfId="0" applyFont="1" applyFill="1" applyBorder="1" applyAlignment="1">
      <alignment horizontal="right" vertical="top" wrapText="1"/>
    </xf>
    <xf numFmtId="0" fontId="54" fillId="42" borderId="6" xfId="0" applyFont="1" applyFill="1" applyBorder="1" applyAlignment="1">
      <alignment horizontal="right" vertical="top" wrapText="1"/>
    </xf>
    <xf numFmtId="0" fontId="0" fillId="36" borderId="59" xfId="0" applyFill="1" applyBorder="1" applyAlignment="1">
      <alignment horizontal="right" vertical="top" wrapText="1"/>
    </xf>
    <xf numFmtId="0" fontId="42" fillId="31" borderId="6" xfId="0" applyFont="1" applyFill="1" applyBorder="1" applyAlignment="1">
      <alignment horizontal="right" vertical="top" wrapText="1"/>
    </xf>
    <xf numFmtId="0" fontId="59" fillId="44" borderId="62" xfId="0" applyFont="1" applyFill="1" applyBorder="1" applyAlignment="1">
      <alignment horizontal="right" vertical="top" wrapText="1"/>
    </xf>
    <xf numFmtId="0" fontId="59" fillId="45" borderId="62" xfId="0" applyFont="1" applyFill="1" applyBorder="1" applyAlignment="1">
      <alignment horizontal="right" vertical="top" wrapText="1"/>
    </xf>
    <xf numFmtId="0" fontId="59" fillId="44" borderId="62" xfId="0" applyFont="1" applyFill="1" applyBorder="1" applyAlignment="1">
      <alignment wrapText="1"/>
    </xf>
    <xf numFmtId="0" fontId="60" fillId="45" borderId="62" xfId="0" applyFont="1" applyFill="1" applyBorder="1" applyAlignment="1">
      <alignment horizontal="right" vertical="top" wrapText="1"/>
    </xf>
    <xf numFmtId="0" fontId="59" fillId="42" borderId="62" xfId="0" applyFont="1" applyFill="1" applyBorder="1" applyAlignment="1">
      <alignment horizontal="right" vertical="top" wrapText="1"/>
    </xf>
    <xf numFmtId="0" fontId="59" fillId="0" borderId="0" xfId="0" applyFont="1" applyAlignment="1">
      <alignment horizontal="right" vertical="top" wrapText="1"/>
    </xf>
    <xf numFmtId="0" fontId="42" fillId="57" borderId="6" xfId="0" applyFont="1" applyFill="1" applyBorder="1" applyAlignment="1">
      <alignment horizontal="right" vertical="top" wrapText="1"/>
    </xf>
    <xf numFmtId="0" fontId="42" fillId="57" borderId="59" xfId="0" applyFont="1" applyFill="1" applyBorder="1" applyAlignment="1">
      <alignment horizontal="right" vertical="top" wrapText="1"/>
    </xf>
    <xf numFmtId="0" fontId="59" fillId="43" borderId="0" xfId="0" applyFont="1" applyFill="1" applyAlignment="1">
      <alignment horizontal="right" vertical="top" wrapText="1"/>
    </xf>
    <xf numFmtId="0" fontId="59" fillId="29" borderId="58" xfId="0" applyFont="1" applyFill="1" applyBorder="1" applyAlignment="1">
      <alignment horizontal="right" vertical="top" wrapText="1"/>
    </xf>
    <xf numFmtId="0" fontId="59" fillId="43" borderId="0" xfId="0" applyFont="1" applyFill="1" applyAlignment="1">
      <alignment wrapText="1"/>
    </xf>
    <xf numFmtId="0" fontId="59" fillId="29" borderId="59" xfId="0" applyFont="1" applyFill="1" applyBorder="1" applyAlignment="1">
      <alignment horizontal="right" vertical="top" wrapText="1"/>
    </xf>
    <xf numFmtId="0" fontId="59" fillId="29" borderId="6" xfId="0" applyFont="1" applyFill="1" applyBorder="1" applyAlignment="1">
      <alignment horizontal="right" vertical="top" wrapText="1"/>
    </xf>
    <xf numFmtId="0" fontId="59" fillId="29" borderId="60" xfId="0" applyFont="1" applyFill="1" applyBorder="1" applyAlignment="1">
      <alignment horizontal="right" vertical="top" wrapText="1"/>
    </xf>
    <xf numFmtId="0" fontId="59" fillId="29" borderId="2" xfId="0" applyFont="1" applyFill="1" applyBorder="1" applyAlignment="1">
      <alignment horizontal="right" vertical="top" wrapText="1"/>
    </xf>
    <xf numFmtId="0" fontId="60" fillId="29" borderId="6" xfId="0" applyFont="1" applyFill="1" applyBorder="1" applyAlignment="1">
      <alignment horizontal="right" vertical="top" wrapText="1"/>
    </xf>
    <xf numFmtId="0" fontId="59" fillId="42" borderId="0" xfId="0" applyFont="1" applyFill="1" applyAlignment="1">
      <alignment horizontal="right" vertical="top" wrapText="1"/>
    </xf>
    <xf numFmtId="0" fontId="59" fillId="29" borderId="1" xfId="0" applyFont="1" applyFill="1" applyBorder="1" applyAlignment="1">
      <alignment horizontal="right" vertical="top" wrapText="1"/>
    </xf>
    <xf numFmtId="0" fontId="59" fillId="44" borderId="6" xfId="0" applyFont="1" applyFill="1" applyBorder="1" applyAlignment="1">
      <alignment horizontal="right" vertical="top" wrapText="1"/>
    </xf>
    <xf numFmtId="0" fontId="59" fillId="43" borderId="6" xfId="0" applyFont="1" applyFill="1" applyBorder="1" applyAlignment="1">
      <alignment horizontal="right" vertical="top" wrapText="1"/>
    </xf>
  </cellXfs>
  <cellStyles count="3">
    <cellStyle name="Comma" xfId="2" builtinId="3"/>
    <cellStyle name="Hyperlink" xfId="1" builtinId="8"/>
    <cellStyle name="Normal" xfId="0" builtinId="0"/>
  </cellStyles>
  <dxfs count="28">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color rgb="FF9C0006"/>
      </font>
      <fill>
        <patternFill patternType="solid">
          <bgColor rgb="FF1F4E78"/>
        </patternFill>
      </fill>
    </dxf>
    <dxf>
      <font>
        <color rgb="FF9C0006"/>
      </font>
      <fill>
        <patternFill patternType="solid">
          <bgColor rgb="FF1F4E78"/>
        </patternFill>
      </fill>
    </dxf>
    <dxf>
      <font>
        <color rgb="FF9C0006"/>
      </font>
      <fill>
        <patternFill patternType="solid">
          <bgColor rgb="FF1F4E78"/>
        </patternFill>
      </fill>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s>
  <tableStyles count="0" defaultTableStyle="TableStyleMedium2" defaultPivotStyle="PivotStyleMedium9"/>
  <colors>
    <mruColors>
      <color rgb="FFC1FFF3"/>
      <color rgb="FF00FFCC"/>
      <color rgb="FF000000"/>
      <color rgb="FFFFCC99"/>
      <color rgb="FFFF9900"/>
      <color rgb="FFFFCCFF"/>
      <color rgb="FFFF00FF"/>
      <color rgb="FFE8D1FF"/>
      <color rgb="FF7111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'Jet Engines'!$A$5:$FR$5</c:f>
              <c:strCache>
                <c:ptCount val="174"/>
                <c:pt idx="0">
                  <c:v>Certification_Date</c:v>
                </c:pt>
                <c:pt idx="1">
                  <c:v>year</c:v>
                </c:pt>
                <c:pt idx="2">
                  <c:v>EIS</c:v>
                </c:pt>
                <c:pt idx="4">
                  <c:v>1988</c:v>
                </c:pt>
                <c:pt idx="5">
                  <c:v>1992</c:v>
                </c:pt>
                <c:pt idx="6">
                  <c:v>1993</c:v>
                </c:pt>
                <c:pt idx="7">
                  <c:v>2000</c:v>
                </c:pt>
                <c:pt idx="8">
                  <c:v>2003</c:v>
                </c:pt>
                <c:pt idx="9">
                  <c:v>2000</c:v>
                </c:pt>
                <c:pt idx="10">
                  <c:v>2003</c:v>
                </c:pt>
                <c:pt idx="11">
                  <c:v>2013</c:v>
                </c:pt>
                <c:pt idx="12">
                  <c:v>2013</c:v>
                </c:pt>
                <c:pt idx="13">
                  <c:v>2017</c:v>
                </c:pt>
                <c:pt idx="14">
                  <c:v>1972</c:v>
                </c:pt>
                <c:pt idx="15">
                  <c:v>1973</c:v>
                </c:pt>
                <c:pt idx="16">
                  <c:v>1976</c:v>
                </c:pt>
                <c:pt idx="17">
                  <c:v>1978</c:v>
                </c:pt>
                <c:pt idx="18">
                  <c:v>1974</c:v>
                </c:pt>
                <c:pt idx="19">
                  <c:v>1985</c:v>
                </c:pt>
                <c:pt idx="20">
                  <c:v>1987</c:v>
                </c:pt>
                <c:pt idx="21">
                  <c:v>1982</c:v>
                </c:pt>
                <c:pt idx="22">
                  <c:v>1988</c:v>
                </c:pt>
                <c:pt idx="23">
                  <c:v>1988</c:v>
                </c:pt>
                <c:pt idx="24">
                  <c:v>1982</c:v>
                </c:pt>
                <c:pt idx="25">
                  <c:v>1986</c:v>
                </c:pt>
                <c:pt idx="26">
                  <c:v>1981</c:v>
                </c:pt>
                <c:pt idx="27">
                  <c:v>1981</c:v>
                </c:pt>
                <c:pt idx="28">
                  <c:v>1991</c:v>
                </c:pt>
                <c:pt idx="29">
                  <c:v>1987</c:v>
                </c:pt>
                <c:pt idx="30">
                  <c:v>1991</c:v>
                </c:pt>
                <c:pt idx="31">
                  <c:v>2002</c:v>
                </c:pt>
                <c:pt idx="32">
                  <c:v>2002</c:v>
                </c:pt>
                <c:pt idx="33">
                  <c:v>2005</c:v>
                </c:pt>
                <c:pt idx="34">
                  <c:v>2005</c:v>
                </c:pt>
                <c:pt idx="35">
                  <c:v>1996</c:v>
                </c:pt>
                <c:pt idx="36">
                  <c:v>1996</c:v>
                </c:pt>
                <c:pt idx="37">
                  <c:v>1994</c:v>
                </c:pt>
                <c:pt idx="38">
                  <c:v>1994</c:v>
                </c:pt>
                <c:pt idx="39">
                  <c:v>1999</c:v>
                </c:pt>
                <c:pt idx="40">
                  <c:v>1996</c:v>
                </c:pt>
                <c:pt idx="41">
                  <c:v>1996</c:v>
                </c:pt>
                <c:pt idx="42">
                  <c:v>1999</c:v>
                </c:pt>
                <c:pt idx="43">
                  <c:v>2015</c:v>
                </c:pt>
                <c:pt idx="44">
                  <c:v>2015</c:v>
                </c:pt>
                <c:pt idx="45">
                  <c:v>2015</c:v>
                </c:pt>
                <c:pt idx="46">
                  <c:v>1987</c:v>
                </c:pt>
                <c:pt idx="47">
                  <c:v>1990</c:v>
                </c:pt>
                <c:pt idx="48">
                  <c:v>1994</c:v>
                </c:pt>
                <c:pt idx="49">
                  <c:v>1996</c:v>
                </c:pt>
                <c:pt idx="50">
                  <c:v>1989</c:v>
                </c:pt>
                <c:pt idx="51">
                  <c:v>1993</c:v>
                </c:pt>
                <c:pt idx="52">
                  <c:v>1995</c:v>
                </c:pt>
                <c:pt idx="53">
                  <c:v>2015</c:v>
                </c:pt>
                <c:pt idx="54">
                  <c:v>2015</c:v>
                </c:pt>
                <c:pt idx="55">
                  <c:v>2016</c:v>
                </c:pt>
                <c:pt idx="56">
                  <c:v>2018</c:v>
                </c:pt>
                <c:pt idx="57">
                  <c:v>1994</c:v>
                </c:pt>
                <c:pt idx="58">
                  <c:v>1993</c:v>
                </c:pt>
                <c:pt idx="59">
                  <c:v>1993</c:v>
                </c:pt>
                <c:pt idx="60">
                  <c:v>1996</c:v>
                </c:pt>
                <c:pt idx="61">
                  <c:v>1997</c:v>
                </c:pt>
                <c:pt idx="62">
                  <c:v>2015</c:v>
                </c:pt>
                <c:pt idx="63">
                  <c:v>2015</c:v>
                </c:pt>
                <c:pt idx="64">
                  <c:v>2015</c:v>
                </c:pt>
                <c:pt idx="65">
                  <c:v>2015</c:v>
                </c:pt>
                <c:pt idx="66">
                  <c:v>2015</c:v>
                </c:pt>
                <c:pt idx="67">
                  <c:v>1993</c:v>
                </c:pt>
                <c:pt idx="68">
                  <c:v>1997</c:v>
                </c:pt>
                <c:pt idx="69">
                  <c:v>2001</c:v>
                </c:pt>
                <c:pt idx="70">
                  <c:v>1998</c:v>
                </c:pt>
                <c:pt idx="71">
                  <c:v>1997</c:v>
                </c:pt>
                <c:pt idx="72">
                  <c:v>2009</c:v>
                </c:pt>
                <c:pt idx="73">
                  <c:v>1994</c:v>
                </c:pt>
                <c:pt idx="74">
                  <c:v>1994</c:v>
                </c:pt>
                <c:pt idx="75">
                  <c:v>1994</c:v>
                </c:pt>
                <c:pt idx="76">
                  <c:v>1994</c:v>
                </c:pt>
                <c:pt idx="77">
                  <c:v>2018</c:v>
                </c:pt>
                <c:pt idx="79">
                  <c:v>1960</c:v>
                </c:pt>
                <c:pt idx="80">
                  <c:v>1956</c:v>
                </c:pt>
                <c:pt idx="81">
                  <c:v>1961</c:v>
                </c:pt>
                <c:pt idx="82">
                  <c:v>1963</c:v>
                </c:pt>
                <c:pt idx="83">
                  <c:v>1998</c:v>
                </c:pt>
                <c:pt idx="84">
                  <c:v>1998</c:v>
                </c:pt>
                <c:pt idx="85">
                  <c:v>1961</c:v>
                </c:pt>
                <c:pt idx="86">
                  <c:v>1967</c:v>
                </c:pt>
                <c:pt idx="87">
                  <c:v>1971</c:v>
                </c:pt>
                <c:pt idx="88">
                  <c:v>1974</c:v>
                </c:pt>
                <c:pt idx="89">
                  <c:v>1984</c:v>
                </c:pt>
                <c:pt idx="90">
                  <c:v>1984</c:v>
                </c:pt>
                <c:pt idx="91">
                  <c:v>1994</c:v>
                </c:pt>
                <c:pt idx="92">
                  <c:v>1994</c:v>
                </c:pt>
                <c:pt idx="93">
                  <c:v>1994</c:v>
                </c:pt>
                <c:pt idx="94">
                  <c:v>2016</c:v>
                </c:pt>
                <c:pt idx="95">
                  <c:v>1970</c:v>
                </c:pt>
                <c:pt idx="96">
                  <c:v>1978</c:v>
                </c:pt>
                <c:pt idx="97">
                  <c:v>1978</c:v>
                </c:pt>
                <c:pt idx="98">
                  <c:v>1972</c:v>
                </c:pt>
                <c:pt idx="99">
                  <c:v>1972</c:v>
                </c:pt>
                <c:pt idx="100">
                  <c:v>1976</c:v>
                </c:pt>
                <c:pt idx="101">
                  <c:v>1976</c:v>
                </c:pt>
                <c:pt idx="102">
                  <c:v>1981</c:v>
                </c:pt>
                <c:pt idx="103">
                  <c:v>1982</c:v>
                </c:pt>
                <c:pt idx="104">
                  <c:v>1974</c:v>
                </c:pt>
                <c:pt idx="105">
                  <c:v>1974</c:v>
                </c:pt>
                <c:pt idx="106">
                  <c:v>1978</c:v>
                </c:pt>
                <c:pt idx="107">
                  <c:v>1979</c:v>
                </c:pt>
                <c:pt idx="108">
                  <c:v>1987</c:v>
                </c:pt>
                <c:pt idx="109">
                  <c:v>1997</c:v>
                </c:pt>
                <c:pt idx="110">
                  <c:v>1989</c:v>
                </c:pt>
                <c:pt idx="111">
                  <c:v>2002</c:v>
                </c:pt>
                <c:pt idx="112">
                  <c:v>1998</c:v>
                </c:pt>
                <c:pt idx="113">
                  <c:v>1997</c:v>
                </c:pt>
                <c:pt idx="114">
                  <c:v>2011</c:v>
                </c:pt>
                <c:pt idx="115">
                  <c:v>1981</c:v>
                </c:pt>
                <c:pt idx="116">
                  <c:v>1983</c:v>
                </c:pt>
                <c:pt idx="117">
                  <c:v>1995</c:v>
                </c:pt>
                <c:pt idx="118">
                  <c:v>1989</c:v>
                </c:pt>
                <c:pt idx="119">
                  <c:v>1979</c:v>
                </c:pt>
                <c:pt idx="120">
                  <c:v>1993</c:v>
                </c:pt>
                <c:pt idx="121">
                  <c:v>1989</c:v>
                </c:pt>
                <c:pt idx="122">
                  <c:v>1989</c:v>
                </c:pt>
                <c:pt idx="123">
                  <c:v>2000</c:v>
                </c:pt>
                <c:pt idx="124">
                  <c:v>2000</c:v>
                </c:pt>
                <c:pt idx="125">
                  <c:v>1995</c:v>
                </c:pt>
                <c:pt idx="126">
                  <c:v>1994</c:v>
                </c:pt>
                <c:pt idx="127">
                  <c:v>1994</c:v>
                </c:pt>
                <c:pt idx="128">
                  <c:v>1995</c:v>
                </c:pt>
                <c:pt idx="129">
                  <c:v>1995</c:v>
                </c:pt>
                <c:pt idx="130">
                  <c:v>2000</c:v>
                </c:pt>
                <c:pt idx="131">
                  <c:v>1998</c:v>
                </c:pt>
                <c:pt idx="132">
                  <c:v>1996</c:v>
                </c:pt>
                <c:pt idx="133">
                  <c:v>2003</c:v>
                </c:pt>
                <c:pt idx="134">
                  <c:v>2003</c:v>
                </c:pt>
                <c:pt idx="135">
                  <c:v>2007</c:v>
                </c:pt>
                <c:pt idx="136">
                  <c:v>2013</c:v>
                </c:pt>
                <c:pt idx="137">
                  <c:v>2016</c:v>
                </c:pt>
                <c:pt idx="138">
                  <c:v>1995</c:v>
                </c:pt>
                <c:pt idx="139">
                  <c:v>1995</c:v>
                </c:pt>
                <c:pt idx="140">
                  <c:v>1997</c:v>
                </c:pt>
                <c:pt idx="142">
                  <c:v>2000</c:v>
                </c:pt>
                <c:pt idx="143">
                  <c:v>2002</c:v>
                </c:pt>
                <c:pt idx="146">
                  <c:v>1984</c:v>
                </c:pt>
                <c:pt idx="147">
                  <c:v>1988</c:v>
                </c:pt>
                <c:pt idx="148">
                  <c:v>1995</c:v>
                </c:pt>
                <c:pt idx="149">
                  <c:v>2016</c:v>
                </c:pt>
                <c:pt idx="150">
                  <c:v>2016</c:v>
                </c:pt>
                <c:pt idx="151">
                  <c:v>2018</c:v>
                </c:pt>
                <c:pt idx="152">
                  <c:v>2018</c:v>
                </c:pt>
                <c:pt idx="153">
                  <c:v>2002</c:v>
                </c:pt>
                <c:pt idx="154">
                  <c:v>2008</c:v>
                </c:pt>
                <c:pt idx="155">
                  <c:v>2006</c:v>
                </c:pt>
                <c:pt idx="156">
                  <c:v>2006</c:v>
                </c:pt>
                <c:pt idx="157">
                  <c:v>1999</c:v>
                </c:pt>
                <c:pt idx="158">
                  <c:v>2003</c:v>
                </c:pt>
                <c:pt idx="159">
                  <c:v>1997</c:v>
                </c:pt>
                <c:pt idx="160">
                  <c:v>1999</c:v>
                </c:pt>
                <c:pt idx="163">
                  <c:v>1964</c:v>
                </c:pt>
                <c:pt idx="164">
                  <c:v>1966</c:v>
                </c:pt>
                <c:pt idx="166">
                  <c:v>1968</c:v>
                </c:pt>
                <c:pt idx="167">
                  <c:v>1968</c:v>
                </c:pt>
                <c:pt idx="172">
                  <c:v>1977</c:v>
                </c:pt>
              </c:strCache>
            </c:strRef>
          </c:tx>
          <c:spPr>
            <a:ln w="25400" cap="rnd">
              <a:noFill/>
              <a:round/>
            </a:ln>
            <a:effectLst/>
          </c:spPr>
          <c:marker>
            <c:symbol val="circle"/>
            <c:size val="5"/>
            <c:spPr>
              <a:solidFill>
                <a:schemeClr val="accent1"/>
              </a:solidFill>
              <a:ln w="9525">
                <a:solidFill>
                  <a:schemeClr val="accent1"/>
                </a:solidFill>
              </a:ln>
              <a:effectLst/>
            </c:spPr>
          </c:marker>
          <c:yVal>
            <c:numRef>
              <c:f>'Jet Engines'!$FS$5:$HE$5</c:f>
              <c:numCache>
                <c:formatCode>General</c:formatCode>
                <c:ptCount val="39"/>
                <c:pt idx="1">
                  <c:v>1999</c:v>
                </c:pt>
                <c:pt idx="2">
                  <c:v>1998</c:v>
                </c:pt>
                <c:pt idx="3">
                  <c:v>2013</c:v>
                </c:pt>
                <c:pt idx="4">
                  <c:v>1957</c:v>
                </c:pt>
                <c:pt idx="5">
                  <c:v>1958</c:v>
                </c:pt>
                <c:pt idx="6">
                  <c:v>1957</c:v>
                </c:pt>
                <c:pt idx="7">
                  <c:v>1966</c:v>
                </c:pt>
                <c:pt idx="9">
                  <c:v>1963</c:v>
                </c:pt>
                <c:pt idx="10">
                  <c:v>1979</c:v>
                </c:pt>
                <c:pt idx="11">
                  <c:v>1985</c:v>
                </c:pt>
                <c:pt idx="12">
                  <c:v>1970</c:v>
                </c:pt>
                <c:pt idx="13">
                  <c:v>1981</c:v>
                </c:pt>
                <c:pt idx="14">
                  <c:v>1988</c:v>
                </c:pt>
                <c:pt idx="15">
                  <c:v>1981</c:v>
                </c:pt>
                <c:pt idx="16">
                  <c:v>1993</c:v>
                </c:pt>
                <c:pt idx="17">
                  <c:v>1973</c:v>
                </c:pt>
                <c:pt idx="18">
                  <c:v>1978</c:v>
                </c:pt>
                <c:pt idx="24">
                  <c:v>2011</c:v>
                </c:pt>
                <c:pt idx="25">
                  <c:v>2016</c:v>
                </c:pt>
                <c:pt idx="26">
                  <c:v>1982</c:v>
                </c:pt>
                <c:pt idx="27">
                  <c:v>1992</c:v>
                </c:pt>
                <c:pt idx="31">
                  <c:v>2020</c:v>
                </c:pt>
                <c:pt idx="32">
                  <c:v>2004</c:v>
                </c:pt>
                <c:pt idx="33">
                  <c:v>2005</c:v>
                </c:pt>
                <c:pt idx="34">
                  <c:v>2007</c:v>
                </c:pt>
                <c:pt idx="38">
                  <c:v>22</c:v>
                </c:pt>
              </c:numCache>
            </c:numRef>
          </c:yVal>
          <c:smooth val="0"/>
          <c:extLst>
            <c:ext xmlns:c16="http://schemas.microsoft.com/office/drawing/2014/chart" uri="{C3380CC4-5D6E-409C-BE32-E72D297353CC}">
              <c16:uniqueId val="{00000001-BE82-4D5D-9D60-DA9831D757B6}"/>
            </c:ext>
          </c:extLst>
        </c:ser>
        <c:dLbls>
          <c:showLegendKey val="0"/>
          <c:showVal val="0"/>
          <c:showCatName val="0"/>
          <c:showSerName val="0"/>
          <c:showPercent val="0"/>
          <c:showBubbleSize val="0"/>
        </c:dLbls>
        <c:axId val="588875144"/>
        <c:axId val="588870216"/>
      </c:scatterChart>
      <c:valAx>
        <c:axId val="588875144"/>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870216"/>
        <c:crosses val="autoZero"/>
        <c:crossBetween val="midCat"/>
      </c:valAx>
      <c:valAx>
        <c:axId val="588870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87514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ocumenttasks/documenttask1.xml><?xml version="1.0" encoding="utf-8"?>
<Tasks xmlns="http://schemas.microsoft.com/office/tasks/2019/documenttasks">
  <Task id="{CBD4E931-5F84-4A21-9831-CB2C826D63BA}">
    <Anchor>
      <Comment id="{365E9081-95F8-4BBB-B35E-459F5DEA9499}"/>
    </Anchor>
    <History>
      <Event time="2023-07-25T20:29:41.83" id="{F485ED17-AE20-451C-AD2C-C8BE24FC93D5}">
        <Attribution userId="S::raljaber@umich.edu::c98cb58f-8124-4473-b5f2-fa616920a038" userName="Aljaber, Rawan" userProvider="AD"/>
        <Anchor>
          <Comment id="{365E9081-95F8-4BBB-B35E-459F5DEA9499}"/>
        </Anchor>
        <Create/>
      </Event>
      <Event time="2023-07-25T20:29:41.83" id="{30189939-CA71-451B-9FE7-3525DBA84C73}">
        <Attribution userId="S::raljaber@umich.edu::c98cb58f-8124-4473-b5f2-fa616920a038" userName="Aljaber, Rawan" userProvider="AD"/>
        <Anchor>
          <Comment id="{365E9081-95F8-4BBB-B35E-459F5DEA9499}"/>
        </Anchor>
        <Assign userId="S::raljaber@umich.edu::c98cb58f-8124-4473-b5f2-fa616920a038" userName="Aljaber, Rawan" userProvider="AD"/>
      </Event>
      <Event time="2023-07-25T20:29:41.83" id="{6D808094-71E6-42A7-899E-EF6AE6CBD8C7}">
        <Attribution userId="S::raljaber@umich.edu::c98cb58f-8124-4473-b5f2-fa616920a038" userName="Aljaber, Rawan" userProvider="AD"/>
        <Anchor>
          <Comment id="{365E9081-95F8-4BBB-B35E-459F5DEA9499}"/>
        </Anchor>
        <SetTitle title="check GE_90_B3/B4 Specs @Aljaber, Rawan"/>
      </Event>
      <Event time="2023-08-04T20:30:29.94" id="{3D388C6E-8F9A-4AE0-AA22-38B9EC468DE0}">
        <Attribution userId="S::marnson@umich.edu::b7117be1-11f1-47d4-8f41-d691444f420a" userName="Arnson, Maxfield" userProvider="AD"/>
        <Progress percentComplete="100"/>
      </Event>
    </History>
  </Task>
  <Task id="{A104B3CA-BF06-4839-BB61-B42EEFC1D93A}">
    <Anchor>
      <Comment id="{AFDF0E40-5B51-4DDF-81F6-55ABCAF3A8F7}"/>
    </Anchor>
    <History>
      <Event time="2023-07-20T19:16:18.61" id="{7848732B-6D2D-462F-B022-28E29C99C70F}">
        <Attribution userId="S::raljaber@umich.edu::c98cb58f-8124-4473-b5f2-fa616920a038" userName="Aljaber, Rawan" userProvider="AD"/>
        <Anchor>
          <Comment id="{AFDF0E40-5B51-4DDF-81F6-55ABCAF3A8F7}"/>
        </Anchor>
        <Create/>
      </Event>
      <Event time="2023-07-20T19:16:18.61" id="{6C6F1B1D-32E0-480B-B9D5-5BCDE387E967}">
        <Attribution userId="S::raljaber@umich.edu::c98cb58f-8124-4473-b5f2-fa616920a038" userName="Aljaber, Rawan" userProvider="AD"/>
        <Anchor>
          <Comment id="{AFDF0E40-5B51-4DDF-81F6-55ABCAF3A8F7}"/>
        </Anchor>
        <Assign userId="S::marnson@umich.edu::b7117be1-11f1-47d4-8f41-d691444f420a" userName="Arnson, Maxfield" userProvider="AD"/>
      </Event>
      <Event time="2023-07-20T19:16:18.61" id="{727047F7-A4E2-4CBC-ABEB-18447600E6C2}">
        <Attribution userId="S::raljaber@umich.edu::c98cb58f-8124-4473-b5f2-fa616920a038" userName="Aljaber, Rawan" userProvider="AD"/>
        <Anchor>
          <Comment id="{AFDF0E40-5B51-4DDF-81F6-55ABCAF3A8F7}"/>
        </Anchor>
        <SetTitle title="Discrepancy between GY and GW23 @Arnson, Maxfield"/>
      </Event>
    </History>
  </Task>
  <Task id="{C205B1DF-6789-4FE8-9BF7-EAAFB507EF67}">
    <Anchor>
      <Comment id="{0E280ED1-814A-4392-8AB8-D574A37A8EFD}"/>
    </Anchor>
    <History>
      <Event time="2023-07-07T15:30:00.48" id="{483A5B99-6B49-4207-9029-6C9ED9C350D1}">
        <Attribution userId="S::marnson@umich.edu::b7117be1-11f1-47d4-8f41-d691444f420a" userName="Arnson, Maxfield" userProvider="AD"/>
        <Anchor>
          <Comment id="{0E280ED1-814A-4392-8AB8-D574A37A8EFD}"/>
        </Anchor>
        <Create/>
      </Event>
      <Event time="2023-07-07T15:30:00.48" id="{8DCAC6FB-9D1B-4C40-ADC7-32BB8E3858C2}">
        <Attribution userId="S::marnson@umich.edu::b7117be1-11f1-47d4-8f41-d691444f420a" userName="Arnson, Maxfield" userProvider="AD"/>
        <Anchor>
          <Comment id="{0E280ED1-814A-4392-8AB8-D574A37A8EFD}"/>
        </Anchor>
        <Assign userId="S::marnson@umich.edu::b7117be1-11f1-47d4-8f41-d691444f420a" userName="Arnson, Maxfield" userProvider="AD"/>
      </Event>
      <Event time="2023-07-07T15:30:00.48" id="{95797E72-3C62-4CD8-8ED2-CC6D8D4F95F9}">
        <Attribution userId="S::marnson@umich.edu::b7117be1-11f1-47d4-8f41-d691444f420a" userName="Arnson, Maxfield" userProvider="AD"/>
        <Anchor>
          <Comment id="{0E280ED1-814A-4392-8AB8-D574A37A8EFD}"/>
        </Anchor>
        <SetTitle title="@Arnson, Maxfield check these later"/>
      </Event>
    </History>
  </Task>
  <Task id="{D064A5E9-B403-424F-A2CF-F10B04BA5AC4}">
    <Anchor>
      <Comment id="{88368C25-D0AA-44B1-8AB4-1B951700C610}"/>
    </Anchor>
    <History>
      <Event time="2023-08-04T18:15:53.05" id="{63B1CC31-C64F-4C4A-BC9E-C61DCD8B2BAE}">
        <Attribution userId="S::marnson@umich.edu::b7117be1-11f1-47d4-8f41-d691444f420a" userName="Arnson, Maxfield" userProvider="AD"/>
        <Anchor>
          <Comment id="{88368C25-D0AA-44B1-8AB4-1B951700C610}"/>
        </Anchor>
        <Create/>
      </Event>
      <Event time="2023-08-04T18:15:53.05" id="{407B852F-B45A-48EC-BD90-774AE9216D32}">
        <Attribution userId="S::marnson@umich.edu::b7117be1-11f1-47d4-8f41-d691444f420a" userName="Arnson, Maxfield" userProvider="AD"/>
        <Anchor>
          <Comment id="{88368C25-D0AA-44B1-8AB4-1B951700C610}"/>
        </Anchor>
        <Assign userId="S::jashine@umich.edu::5b76e9f9-becd-4f63-b80e-924a64486356" userName="Shine, Jayda" userProvider="AD"/>
      </Event>
      <Event time="2023-08-04T18:15:53.05" id="{7A17C80B-E018-41A0-A4EE-CA62924A9D12}">
        <Attribution userId="S::marnson@umich.edu::b7117be1-11f1-47d4-8f41-d691444f420a" userName="Arnson, Maxfield" userProvider="AD"/>
        <Anchor>
          <Comment id="{88368C25-D0AA-44B1-8AB4-1B951700C610}"/>
        </Anchor>
        <SetTitle title="@Khailany, Nawa @Shine, Jayda I cannot find this engine. I believe it is a typo and should be 1124G not 1126. I cannot find the TCDS for the 1126 and when I looked in the 319-171N tcds it references the 1124G"/>
      </Event>
      <Event time="2023-08-08T17:01:34.51" id="{D6C4D97E-1CE3-45BD-A173-633C0F5F9C10}">
        <Attribution userId="S::prmoko@umich.edu::799eac86-170b-43e4-b1cb-c9a8aca007e7" userName="Mokotoff, Paul" userProvider="AD"/>
        <Progress percentComplete="100"/>
      </Event>
    </History>
  </Task>
</Tasks>
</file>

<file path=xl/documenttasks/documenttask2.xml><?xml version="1.0" encoding="utf-8"?>
<Tasks xmlns="http://schemas.microsoft.com/office/tasks/2019/documenttasks">
  <Task id="{D9ED4159-65D7-4A5F-BDDF-0342D9A9CF7A}">
    <Anchor>
      <Comment id="{5B446FE4-2990-4289-9541-3A14126FA87B}"/>
    </Anchor>
    <History>
      <Event time="2023-08-04T14:36:09.23" id="{383A771A-A99A-4285-B0FA-6905AF8A1039}">
        <Attribution userId="S::marnson@umich.edu::b7117be1-11f1-47d4-8f41-d691444f420a" userName="Arnson, Maxfield" userProvider="AD"/>
        <Anchor>
          <Comment id="{5B446FE4-2990-4289-9541-3A14126FA87B}"/>
        </Anchor>
        <Create/>
      </Event>
      <Event time="2023-08-04T14:36:09.23" id="{F0A15049-86E5-43F0-A5B0-97BE401DBBAC}">
        <Attribution userId="S::marnson@umich.edu::b7117be1-11f1-47d4-8f41-d691444f420a" userName="Arnson, Maxfield" userProvider="AD"/>
        <Anchor>
          <Comment id="{5B446FE4-2990-4289-9541-3A14126FA87B}"/>
        </Anchor>
        <Assign userId="S::mtnof@umich.edu::09d3ac9f-1370-4a3a-b580-8226eab8970f" userName="Tsai, Michael" userProvider="AD"/>
      </Event>
      <Event time="2023-08-04T14:36:09.23" id="{3CD8744F-F5CA-4B9A-B171-2E05D45D7C8B}">
        <Attribution userId="S::marnson@umich.edu::b7117be1-11f1-47d4-8f41-d691444f420a" userName="Arnson, Maxfield" userProvider="AD"/>
        <Anchor>
          <Comment id="{5B446FE4-2990-4289-9541-3A14126FA87B}"/>
        </Anchor>
        <SetTitle title="If they only list max permissibly then set the max continuous percentages to 100. if the rpms listed are for max permissible, divide the rpms by these percentages and then enter that number in the 100% rpm fields @Tsai, Michael "/>
      </Event>
      <Event time="2023-08-04T17:43:02.53" id="{E7D05EA6-5EB2-4167-885C-11BE2532CA4F}">
        <Attribution userId="S::mtnof@umich.edu::09d3ac9f-1370-4a3a-b580-8226eab8970f" userName="Tsai, Michael" userProvider="AD"/>
        <Progress percentComplete="100"/>
      </Event>
    </History>
  </Task>
  <Task id="{69240662-0C4D-4043-AB89-B99CE090E2F8}">
    <Anchor>
      <Comment id="{01EDCCA3-96C9-4F5B-905D-8AA5EB030060}"/>
    </Anchor>
    <History>
      <Event time="2023-08-04T18:26:04.11" id="{71DAC13F-92D2-4BAB-AB6D-E71161D0A47B}">
        <Attribution userId="S::marnson@umich.edu::b7117be1-11f1-47d4-8f41-d691444f420a" userName="Arnson, Maxfield" userProvider="AD"/>
        <Anchor>
          <Comment id="{01EDCCA3-96C9-4F5B-905D-8AA5EB030060}"/>
        </Anchor>
        <Create/>
      </Event>
      <Event time="2023-08-04T18:26:04.11" id="{D7DE2B8B-E82A-4C50-AAA5-6E33A4E8B184}">
        <Attribution userId="S::marnson@umich.edu::b7117be1-11f1-47d4-8f41-d691444f420a" userName="Arnson, Maxfield" userProvider="AD"/>
        <Anchor>
          <Comment id="{01EDCCA3-96C9-4F5B-905D-8AA5EB030060}"/>
        </Anchor>
        <Assign userId="S::raljaber@umich.edu::c98cb58f-8124-4473-b5f2-fa616920a038" userName="Aljaber, Rawan" userProvider="AD"/>
      </Event>
      <Event time="2023-08-04T18:26:04.11" id="{0353A8B1-7625-4F24-9027-DC415A845849}">
        <Attribution userId="S::marnson@umich.edu::b7117be1-11f1-47d4-8f41-d691444f420a" userName="Arnson, Maxfield" userProvider="AD"/>
        <Anchor>
          <Comment id="{01EDCCA3-96C9-4F5B-905D-8AA5EB030060}"/>
        </Anchor>
        <SetTitle title="Are these missing zeros? @Aljaber, Rawan "/>
      </Event>
      <Event time="2023-08-08T18:32:48.04" id="{3AACF3C8-63A5-449E-8320-7A6CE3DB6197}">
        <Attribution userId="S::raljaber@umich.edu::c98cb58f-8124-4473-b5f2-fa616920a038" userName="Aljaber, Rawan" userProvider="AD"/>
        <Progress percentComplete="100"/>
      </Event>
    </History>
  </Task>
  <Task id="{67DE486D-16B0-4D92-A44B-4E6C24B44B0E}">
    <Anchor>
      <Comment id="{8352C930-DB81-41A3-AD6B-3B3C228CEACC}"/>
    </Anchor>
    <History>
      <Event time="2023-08-04T15:18:20.07" id="{FFDE8EEB-5217-48C0-8C91-2B69DED68AFF}">
        <Attribution userId="S::marnson@umich.edu::b7117be1-11f1-47d4-8f41-d691444f420a" userName="Arnson, Maxfield" userProvider="AD"/>
        <Anchor>
          <Comment id="{8352C930-DB81-41A3-AD6B-3B3C228CEACC}"/>
        </Anchor>
        <Create/>
      </Event>
      <Event time="2023-08-04T15:18:20.07" id="{AEA84A7C-943F-4705-A9F8-A7C52C592DC8}">
        <Attribution userId="S::marnson@umich.edu::b7117be1-11f1-47d4-8f41-d691444f420a" userName="Arnson, Maxfield" userProvider="AD"/>
        <Anchor>
          <Comment id="{8352C930-DB81-41A3-AD6B-3B3C228CEACC}"/>
        </Anchor>
        <Assign userId="S::reyjoaqu@umich.edu::79d869ba-2281-4dde-936a-c713247c4edf" userName="Rey, Joaquin" userProvider="AD"/>
      </Event>
      <Event time="2023-08-04T15:18:20.07" id="{3DF057E0-CAA9-4094-B4E6-3602B894ABF6}">
        <Attribution userId="S::marnson@umich.edu::b7117be1-11f1-47d4-8f41-d691444f420a" userName="Arnson, Maxfield" userProvider="AD"/>
        <Anchor>
          <Comment id="{8352C930-DB81-41A3-AD6B-3B3C228CEACC}"/>
        </Anchor>
        <SetTitle title="@Rey, Joaquin "/>
      </Event>
    </History>
  </Task>
  <Task id="{096F9E97-697F-42A8-9DBF-8EF9CBAFAB28}">
    <Anchor>
      <Comment id="{B955F27E-2908-4B2F-AE23-778E959F5ADF}"/>
    </Anchor>
    <History>
      <Event time="2023-08-04T15:18:08.46" id="{1FB43C3C-3A41-4BB7-BCC6-F405D93AB3F0}">
        <Attribution userId="S::marnson@umich.edu::b7117be1-11f1-47d4-8f41-d691444f420a" userName="Arnson, Maxfield" userProvider="AD"/>
        <Anchor>
          <Comment id="{B955F27E-2908-4B2F-AE23-778E959F5ADF}"/>
        </Anchor>
        <Create/>
      </Event>
      <Event time="2023-08-04T15:18:08.46" id="{CDB252D7-F707-40CE-BBB0-CCDED0C4FD6A}">
        <Attribution userId="S::marnson@umich.edu::b7117be1-11f1-47d4-8f41-d691444f420a" userName="Arnson, Maxfield" userProvider="AD"/>
        <Anchor>
          <Comment id="{B955F27E-2908-4B2F-AE23-778E959F5ADF}"/>
        </Anchor>
        <Assign userId="S::reyjoaqu@umich.edu::79d869ba-2281-4dde-936a-c713247c4edf" userName="Rey, Joaquin" userProvider="AD"/>
      </Event>
      <Event time="2023-08-04T15:18:08.46" id="{FFA9DC72-6F27-46B3-80DF-BD8E26A98276}">
        <Attribution userId="S::marnson@umich.edu::b7117be1-11f1-47d4-8f41-d691444f420a" userName="Arnson, Maxfield" userProvider="AD"/>
        <Anchor>
          <Comment id="{B955F27E-2908-4B2F-AE23-778E959F5ADF}"/>
        </Anchor>
        <SetTitle title="@Rey, Joaquin "/>
      </Event>
    </History>
  </Task>
</Tasks>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20</xdr:col>
      <xdr:colOff>1634490</xdr:colOff>
      <xdr:row>55</xdr:row>
      <xdr:rowOff>396240</xdr:rowOff>
    </xdr:from>
    <xdr:to>
      <xdr:col>23</xdr:col>
      <xdr:colOff>533400</xdr:colOff>
      <xdr:row>67</xdr:row>
      <xdr:rowOff>156210</xdr:rowOff>
    </xdr:to>
    <xdr:graphicFrame macro="">
      <xdr:nvGraphicFramePr>
        <xdr:cNvPr id="3" name="Chart 2">
          <a:extLst>
            <a:ext uri="{FF2B5EF4-FFF2-40B4-BE49-F238E27FC236}">
              <a16:creationId xmlns:a16="http://schemas.microsoft.com/office/drawing/2014/main" id="{ECAFDF71-1756-B7F7-B8DD-BFE19BEBAF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57</xdr:row>
      <xdr:rowOff>9525</xdr:rowOff>
    </xdr:from>
    <xdr:to>
      <xdr:col>0</xdr:col>
      <xdr:colOff>1447800</xdr:colOff>
      <xdr:row>66</xdr:row>
      <xdr:rowOff>180975</xdr:rowOff>
    </xdr:to>
    <xdr:sp macro="" textlink="">
      <xdr:nvSpPr>
        <xdr:cNvPr id="2" name="TextBox 1">
          <a:extLst>
            <a:ext uri="{FF2B5EF4-FFF2-40B4-BE49-F238E27FC236}">
              <a16:creationId xmlns:a16="http://schemas.microsoft.com/office/drawing/2014/main" id="{4B91CEE7-C971-18DF-F0E4-B4EAD643A8ED}"/>
            </a:ext>
          </a:extLst>
        </xdr:cNvPr>
        <xdr:cNvSpPr txBox="1"/>
      </xdr:nvSpPr>
      <xdr:spPr>
        <a:xfrm>
          <a:off x="0" y="11382375"/>
          <a:ext cx="1447800" cy="1885950"/>
        </a:xfrm>
        <a:prstGeom prst="rect">
          <a:avLst/>
        </a:prstGeom>
        <a:solidFill>
          <a:srgbClr val="E7E6E6"/>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TP = turboprop</a:t>
          </a:r>
        </a:p>
        <a:p>
          <a:pPr marL="0" indent="0" algn="l"/>
          <a:r>
            <a:rPr lang="en-US" sz="1100">
              <a:latin typeface="+mn-lt"/>
              <a:ea typeface="+mn-lt"/>
              <a:cs typeface="+mn-lt"/>
            </a:rPr>
            <a:t>TJ = Turbojet</a:t>
          </a:r>
        </a:p>
        <a:p>
          <a:pPr marL="0" indent="0" algn="l"/>
          <a:r>
            <a:rPr lang="en-US" sz="1100">
              <a:latin typeface="+mn-lt"/>
              <a:ea typeface="+mn-lt"/>
              <a:cs typeface="+mn-lt"/>
            </a:rPr>
            <a:t>Yellow = fuel cap and reserve fuel different.</a:t>
          </a:r>
        </a:p>
        <a:p>
          <a:pPr marL="0" indent="0" algn="l"/>
          <a:r>
            <a:rPr lang="en-US" sz="1100">
              <a:latin typeface="+mn-lt"/>
              <a:ea typeface="+mn-lt"/>
              <a:cs typeface="+mn-lt"/>
            </a:rPr>
            <a:t>Green = double checked</a:t>
          </a:r>
        </a:p>
        <a:p>
          <a:pPr marL="0" indent="0" algn="l"/>
          <a:r>
            <a:rPr lang="en-US" sz="1100">
              <a:latin typeface="+mn-lt"/>
              <a:ea typeface="+mn-lt"/>
              <a:cs typeface="+mn-lt"/>
            </a:rPr>
            <a:t>Bold Values from Jane's database</a:t>
          </a:r>
        </a:p>
        <a:p>
          <a:pPr marL="0" indent="0" algn="l"/>
          <a:endParaRPr lang="en-US" sz="1100">
            <a:latin typeface="+mn-lt"/>
            <a:ea typeface="+mn-lt"/>
            <a:cs typeface="+mn-l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53</xdr:row>
      <xdr:rowOff>180975</xdr:rowOff>
    </xdr:from>
    <xdr:to>
      <xdr:col>0</xdr:col>
      <xdr:colOff>1562100</xdr:colOff>
      <xdr:row>57</xdr:row>
      <xdr:rowOff>57150</xdr:rowOff>
    </xdr:to>
    <xdr:sp macro="" textlink="">
      <xdr:nvSpPr>
        <xdr:cNvPr id="6" name="TextBox 1">
          <a:extLst>
            <a:ext uri="{FF2B5EF4-FFF2-40B4-BE49-F238E27FC236}">
              <a16:creationId xmlns:a16="http://schemas.microsoft.com/office/drawing/2014/main" id="{585AFD19-C6F8-4640-9D68-80115147D463}"/>
            </a:ext>
          </a:extLst>
        </xdr:cNvPr>
        <xdr:cNvSpPr txBox="1"/>
      </xdr:nvSpPr>
      <xdr:spPr>
        <a:xfrm>
          <a:off x="0" y="10601325"/>
          <a:ext cx="1562100" cy="638175"/>
        </a:xfrm>
        <a:prstGeom prst="rect">
          <a:avLst/>
        </a:prstGeom>
        <a:solidFill>
          <a:srgbClr val="E7E6E6"/>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a:latin typeface="+mn-lt"/>
              <a:ea typeface="+mn-lt"/>
              <a:cs typeface="+mn-lt"/>
            </a:rPr>
            <a:t>TP = turboprop</a:t>
          </a:r>
        </a:p>
        <a:p>
          <a:pPr marL="0" indent="0" algn="l"/>
          <a:r>
            <a:rPr lang="en-US" sz="1100">
              <a:latin typeface="+mn-lt"/>
              <a:ea typeface="+mn-lt"/>
              <a:cs typeface="+mn-lt"/>
            </a:rPr>
            <a:t>TJ = Turbojet</a:t>
          </a:r>
        </a:p>
        <a:p>
          <a:pPr marL="0" indent="0" algn="l"/>
          <a:endParaRPr lang="en-US" sz="1100">
            <a:latin typeface="+mn-lt"/>
            <a:ea typeface="+mn-lt"/>
            <a:cs typeface="+mn-lt"/>
          </a:endParaRPr>
        </a:p>
      </xdr:txBody>
    </xdr:sp>
    <xdr:clientData/>
  </xdr:twoCellAnchor>
  <xdr:twoCellAnchor>
    <xdr:from>
      <xdr:col>0</xdr:col>
      <xdr:colOff>0</xdr:colOff>
      <xdr:row>58</xdr:row>
      <xdr:rowOff>19050</xdr:rowOff>
    </xdr:from>
    <xdr:to>
      <xdr:col>0</xdr:col>
      <xdr:colOff>1543050</xdr:colOff>
      <xdr:row>61</xdr:row>
      <xdr:rowOff>114300</xdr:rowOff>
    </xdr:to>
    <xdr:sp macro="" textlink="">
      <xdr:nvSpPr>
        <xdr:cNvPr id="2" name="TextBox 1">
          <a:extLst>
            <a:ext uri="{FF2B5EF4-FFF2-40B4-BE49-F238E27FC236}">
              <a16:creationId xmlns:a16="http://schemas.microsoft.com/office/drawing/2014/main" id="{2BA9FD67-E739-43FF-8A73-003D479541CE}"/>
            </a:ext>
            <a:ext uri="{147F2762-F138-4A5C-976F-8EAC2B608ADB}">
              <a16:predDERef xmlns:a16="http://schemas.microsoft.com/office/drawing/2014/main" pred="{585AFD19-C6F8-4640-9D68-80115147D463}"/>
            </a:ext>
          </a:extLst>
        </xdr:cNvPr>
        <xdr:cNvSpPr txBox="1"/>
      </xdr:nvSpPr>
      <xdr:spPr>
        <a:xfrm>
          <a:off x="0" y="11391900"/>
          <a:ext cx="1543050" cy="666750"/>
        </a:xfrm>
        <a:prstGeom prst="rect">
          <a:avLst/>
        </a:prstGeom>
        <a:solidFill>
          <a:srgbClr val="E7E6E6"/>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a:latin typeface="+mn-lt"/>
              <a:ea typeface="+mn-lt"/>
              <a:cs typeface="+mn-lt"/>
            </a:rPr>
            <a:t>20 - 100 TJ: 7, 25 = 32</a:t>
          </a:r>
        </a:p>
        <a:p>
          <a:pPr marL="0" indent="0" algn="l"/>
          <a:r>
            <a:rPr lang="en-US" sz="1100">
              <a:latin typeface="+mn-lt"/>
              <a:ea typeface="+mn-lt"/>
              <a:cs typeface="+mn-lt"/>
            </a:rPr>
            <a:t>100 - 250 TJ: 125 + 6 </a:t>
          </a:r>
        </a:p>
      </xdr:txBody>
    </xdr:sp>
    <xdr:clientData/>
  </xdr:twoCellAnchor>
  <xdr:twoCellAnchor>
    <xdr:from>
      <xdr:col>0</xdr:col>
      <xdr:colOff>0</xdr:colOff>
      <xdr:row>62</xdr:row>
      <xdr:rowOff>133350</xdr:rowOff>
    </xdr:from>
    <xdr:to>
      <xdr:col>0</xdr:col>
      <xdr:colOff>1524000</xdr:colOff>
      <xdr:row>68</xdr:row>
      <xdr:rowOff>171450</xdr:rowOff>
    </xdr:to>
    <xdr:sp macro="" textlink="">
      <xdr:nvSpPr>
        <xdr:cNvPr id="5" name="TextBox 4">
          <a:extLst>
            <a:ext uri="{FF2B5EF4-FFF2-40B4-BE49-F238E27FC236}">
              <a16:creationId xmlns:a16="http://schemas.microsoft.com/office/drawing/2014/main" id="{998FD989-2076-47C9-9F87-F0C8D5F59ECC}"/>
            </a:ext>
            <a:ext uri="{147F2762-F138-4A5C-976F-8EAC2B608ADB}">
              <a16:predDERef xmlns:a16="http://schemas.microsoft.com/office/drawing/2014/main" pred="{2BA9FD67-E739-43FF-8A73-003D479541CE}"/>
            </a:ext>
          </a:extLst>
        </xdr:cNvPr>
        <xdr:cNvSpPr txBox="1"/>
      </xdr:nvSpPr>
      <xdr:spPr>
        <a:xfrm>
          <a:off x="0" y="12268200"/>
          <a:ext cx="1524000" cy="1181100"/>
        </a:xfrm>
        <a:prstGeom prst="rect">
          <a:avLst/>
        </a:prstGeom>
        <a:solidFill>
          <a:srgbClr val="E7E6E6"/>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a:latin typeface="+mn-lt"/>
              <a:ea typeface="+mn-lt"/>
              <a:cs typeface="+mn-lt"/>
            </a:rPr>
            <a:t>Engine Type Sheet: https://rgl.faa.gov/Regulatory_and_Guidance_Library/rgMakeModel.nsf/MainFrame?OpenFrameSet</a:t>
          </a:r>
        </a:p>
        <a:p>
          <a:pPr marL="0" indent="0" algn="l"/>
          <a:endParaRPr lang="en-US" sz="1100">
            <a:latin typeface="+mn-lt"/>
            <a:ea typeface="+mn-lt"/>
            <a:cs typeface="+mn-lt"/>
          </a:endParaRPr>
        </a:p>
      </xdr:txBody>
    </xdr:sp>
    <xdr:clientData/>
  </xdr:twoCellAnchor>
  <xdr:twoCellAnchor>
    <xdr:from>
      <xdr:col>0</xdr:col>
      <xdr:colOff>0</xdr:colOff>
      <xdr:row>69</xdr:row>
      <xdr:rowOff>85725</xdr:rowOff>
    </xdr:from>
    <xdr:to>
      <xdr:col>0</xdr:col>
      <xdr:colOff>1562100</xdr:colOff>
      <xdr:row>73</xdr:row>
      <xdr:rowOff>19050</xdr:rowOff>
    </xdr:to>
    <xdr:sp macro="" textlink="">
      <xdr:nvSpPr>
        <xdr:cNvPr id="4" name="TextBox 3">
          <a:extLst>
            <a:ext uri="{FF2B5EF4-FFF2-40B4-BE49-F238E27FC236}">
              <a16:creationId xmlns:a16="http://schemas.microsoft.com/office/drawing/2014/main" id="{3641F849-965C-43CA-8CF9-8296D340FD39}"/>
            </a:ext>
            <a:ext uri="{147F2762-F138-4A5C-976F-8EAC2B608ADB}">
              <a16:predDERef xmlns:a16="http://schemas.microsoft.com/office/drawing/2014/main" pred="{998FD989-2076-47C9-9F87-F0C8D5F59ECC}"/>
            </a:ext>
          </a:extLst>
        </xdr:cNvPr>
        <xdr:cNvSpPr txBox="1"/>
      </xdr:nvSpPr>
      <xdr:spPr>
        <a:xfrm>
          <a:off x="0" y="13554075"/>
          <a:ext cx="1562100" cy="695325"/>
        </a:xfrm>
        <a:prstGeom prst="rect">
          <a:avLst/>
        </a:prstGeom>
        <a:solidFill>
          <a:srgbClr val="E7E6E6"/>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a:latin typeface="+mn-lt"/>
              <a:ea typeface="+mn-lt"/>
              <a:cs typeface="+mn-lt"/>
            </a:rPr>
            <a:t>A300: 250+ class but combi is 100-250</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30</xdr:row>
      <xdr:rowOff>180975</xdr:rowOff>
    </xdr:from>
    <xdr:to>
      <xdr:col>4</xdr:col>
      <xdr:colOff>1390650</xdr:colOff>
      <xdr:row>44</xdr:row>
      <xdr:rowOff>47625</xdr:rowOff>
    </xdr:to>
    <xdr:sp macro="" textlink="">
      <xdr:nvSpPr>
        <xdr:cNvPr id="2" name="TextBox 1">
          <a:extLst>
            <a:ext uri="{FF2B5EF4-FFF2-40B4-BE49-F238E27FC236}">
              <a16:creationId xmlns:a16="http://schemas.microsoft.com/office/drawing/2014/main" id="{AD4E446D-F4A2-FCC4-9F09-4CBA8600D4D7}"/>
            </a:ext>
          </a:extLst>
        </xdr:cNvPr>
        <xdr:cNvSpPr txBox="1"/>
      </xdr:nvSpPr>
      <xdr:spPr>
        <a:xfrm>
          <a:off x="4638675" y="9086850"/>
          <a:ext cx="3114675" cy="253365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 get velocity input from professor (EAS or TAS)</a:t>
          </a:r>
        </a:p>
        <a:p>
          <a:pPr marL="0" indent="0" algn="l"/>
          <a:r>
            <a:rPr lang="en-US" sz="1100">
              <a:latin typeface="+mn-lt"/>
              <a:ea typeface="+mn-lt"/>
              <a:cs typeface="+mn-lt"/>
            </a:rPr>
            <a:t>- propeller efficiency from professor </a:t>
          </a:r>
        </a:p>
        <a:p>
          <a:pPr marL="0" indent="0" algn="l"/>
          <a:r>
            <a:rPr lang="en-US" sz="1100">
              <a:latin typeface="+mn-lt"/>
              <a:ea typeface="+mn-lt"/>
              <a:cs typeface="+mn-lt"/>
            </a:rPr>
            <a:t>- input .m file is metric, do we want it metric or imperial or dynamic?</a:t>
          </a:r>
        </a:p>
        <a:p>
          <a:pPr marL="0" indent="0" algn="l"/>
          <a:endParaRPr lang="en-US" sz="1100">
            <a:latin typeface="+mn-lt"/>
            <a:ea typeface="+mn-lt"/>
            <a:cs typeface="+mn-lt"/>
          </a:endParaRPr>
        </a:p>
        <a:p>
          <a:pPr marL="0" indent="0" algn="l"/>
          <a:endParaRPr lang="en-US" sz="1100">
            <a:latin typeface="+mn-lt"/>
            <a:ea typeface="+mn-lt"/>
            <a:cs typeface="+mn-lt"/>
          </a:endParaRPr>
        </a:p>
        <a:p>
          <a:pPr marL="0" indent="0" algn="l"/>
          <a:r>
            <a:rPr lang="en-US" sz="1100">
              <a:latin typeface="+mn-lt"/>
              <a:ea typeface="+mn-lt"/>
              <a:cs typeface="+mn-lt"/>
            </a:rPr>
            <a:t>- for cruise, do what we did to edit the efficiencies </a:t>
          </a:r>
        </a:p>
        <a:p>
          <a:pPr marL="0" indent="0" algn="l"/>
          <a:r>
            <a:rPr lang="en-US" sz="1100">
              <a:latin typeface="+mn-lt"/>
              <a:ea typeface="+mn-lt"/>
              <a:cs typeface="+mn-lt"/>
            </a:rPr>
            <a:t>- do cruise, bottom </a:t>
          </a:r>
        </a:p>
      </xdr:txBody>
    </xdr:sp>
    <xdr:clientData/>
  </xdr:twoCellAnchor>
</xdr:wsDr>
</file>

<file path=xl/persons/person.xml><?xml version="1.0" encoding="utf-8"?>
<personList xmlns="http://schemas.microsoft.com/office/spreadsheetml/2018/threadedcomments" xmlns:x="http://schemas.openxmlformats.org/spreadsheetml/2006/main">
  <person displayName="Tsai, Michael" id="{9D199C6A-F267-46A3-8549-5BD1933798C8}" userId="mtnof@umich.edu" providerId="PeoplePicker"/>
  <person displayName="Shine, Jayda" id="{FD29876F-2E31-4D37-8DF1-BC5A77274EEF}" userId="jashine@umich.edu" providerId="PeoplePicker"/>
  <person displayName="Arnson, Maxfield" id="{E6158DEB-1913-4041-AFF9-DFA8F51801A4}" userId="marnson@umich.edu" providerId="PeoplePicker"/>
  <person displayName="Khailany, Nawa" id="{D3AA4872-A1B8-43C1-8B5B-85E68EE80091}" userId="nawakhai@umich.edu" providerId="PeoplePicker"/>
  <person displayName="Aljaber, Rawan" id="{0E7E035B-DDF1-495D-8A0D-4CCA8EAC5BE1}" userId="raljaber@umich.edu" providerId="PeoplePicker"/>
  <person displayName="Rey, Joaquin" id="{7920C32E-26EE-47C4-A11F-1A176C2E5695}" userId="reyjoaqu@umich.edu" providerId="PeoplePicker"/>
  <person displayName="Tsai, Michael" id="{A8494F70-BB7C-4E11-8FCE-65D77F288123}" userId="S::mtnof@umich.edu::09d3ac9f-1370-4a3a-b580-8226eab8970f" providerId="AD"/>
  <person displayName="Dwibhashyam, Neha" id="{B14135B6-91F6-4E46-A7C5-F754F5E98C66}" userId="S::ndwib@umich.edu::8a4ff2c5-bb9f-45da-8f58-d0df17738e26" providerId="AD"/>
  <person displayName="Shine, Jayda" id="{4FFA7C25-785E-4401-AC87-52D0534B92FE}" userId="S::jashine@umich.edu::5b76e9f9-becd-4f63-b80e-924a64486356" providerId="AD"/>
  <person displayName="Arnson, Maxfield" id="{707A005A-EA5D-4BFF-AED6-630672EEA8D8}" userId="S::marnson@umich.edu::b7117be1-11f1-47d4-8f41-d691444f420a" providerId="AD"/>
  <person displayName="Acar, Huseyin" id="{1BA6ECEE-2DD0-4ED8-B31B-F36FE889EC20}" userId="S::hsynacar@umich.edu::2b38ff58-83d1-462b-a494-6f8030971c27" providerId="AD"/>
  <person displayName="Aljaber, Rawan" id="{A52DB959-8015-4F33-A843-D2A6A3705C7D}" userId="S::raljaber@umich.edu::c98cb58f-8124-4473-b5f2-fa616920a038"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Q2" dT="2023-08-02T15:40:04.16" personId="{707A005A-EA5D-4BFF-AED6-630672EEA8D8}" id="{0D3A3727-6DB3-4E75-BFBE-FE4CD86B4A5F}">
    <text>Are these Neos? RR claims that these engines are only used on Neos</text>
  </threadedComment>
  <threadedComment ref="FG2" dT="2023-07-26T16:33:15.09" personId="{A52DB959-8015-4F33-A843-D2A6A3705C7D}" id="{5F612CE8-CF15-4EBD-BB37-338F4C0E2DC9}" done="1">
    <text xml:space="preserve">@Tsai, Michael "FAA TCDS did not include RB engine"  not all engine information if from the TCDS, a good amount (especially the newer ones) are from airport planning manuals and sometimes brochures </text>
    <mentions>
      <mention mentionpersonId="{9D199C6A-F267-46A3-8549-5BD1933798C8}" mentionId="{D1193F72-1B75-446B-8B1F-69C4AC1ACF0C}" startIndex="0" length="14"/>
    </mentions>
  </threadedComment>
  <threadedComment ref="FG2" dT="2023-07-26T16:34:50.02" personId="{A52DB959-8015-4F33-A843-D2A6A3705C7D}" id="{36726665-3DA4-49D3-A19B-2EAC0537E70C}" parentId="{5F612CE8-CF15-4EBD-BB37-338F4C0E2DC9}">
    <text>Just checked this one, it's on page 15 of the airport manual</text>
  </threadedComment>
  <threadedComment ref="GJ2" dT="2023-07-27T15:51:50.37" personId="{A8494F70-BB7C-4E11-8FCE-65D77F288123}" id="{D883E059-75C4-4C3F-B671-CC2E96423534}">
    <text xml:space="preserve">Boeing APM don’t have payload range diagram for this SP and engine config
</text>
  </threadedComment>
  <threadedComment ref="GS2" dT="2023-07-28T04:21:50.27" personId="{A8494F70-BB7C-4E11-8FCE-65D77F288123}" id="{39ADE219-35FE-4EDC-9595-DCD664871DF8}">
    <text>No APM Payload range diagram</text>
  </threadedComment>
  <threadedComment ref="GT2" dT="2023-07-28T04:14:31.26" personId="{A8494F70-BB7C-4E11-8FCE-65D77F288123}" id="{60AD967F-FBC2-4E49-BF6F-5F6A11F0A815}">
    <text>No APM payload Range Diagram</text>
  </threadedComment>
  <threadedComment ref="JI2" dT="2023-07-31T12:39:06.99" personId="{B14135B6-91F6-4E46-A7C5-F754F5E98C66}" id="{E3D5EED4-AB35-47D6-9F05-F300A4112376}" done="1">
    <text xml:space="preserve">deleted one column to the right of this one. </text>
  </threadedComment>
  <threadedComment ref="KB2" dT="2023-08-07T21:12:03.30" personId="{B14135B6-91F6-4E46-A7C5-F754F5E98C66}" id="{01EB184F-B08B-4029-81DD-67E2E43438B1}">
    <text xml:space="preserve">Might be the same thing as 145ER. but is listed separately in the TCDS file @Arnson, Maxfield </text>
    <mentions>
      <mention mentionpersonId="{E6158DEB-1913-4041-AFF9-DFA8F51801A4}" mentionId="{F254B9B7-3875-4C12-8F59-3E2A02825B8B}" startIndex="76" length="17"/>
    </mentions>
  </threadedComment>
  <threadedComment ref="DP5" dT="2023-08-03T17:35:44.06" personId="{707A005A-EA5D-4BFF-AED6-630672EEA8D8}" id="{2D46747C-2528-4734-9E39-B633AB35C493}">
    <text xml:space="preserve">These aircraft need certification dates. Are they future aircraft/uncertified?
</text>
  </threadedComment>
  <threadedComment ref="EU5" dT="2023-07-06T18:43:45.51" personId="{A52DB959-8015-4F33-A843-D2A6A3705C7D}" id="{0F859D76-CC12-4E5B-BF07-C6E6B15441BF}">
    <text>retrofit with winglets</text>
  </threadedComment>
  <threadedComment ref="FH5" dT="2023-07-26T20:32:23.88" personId="{A8494F70-BB7C-4E11-8FCE-65D77F288123}" id="{4FE8F482-37C9-4D8D-9BCC-55583A3C03C6}" done="1">
    <text>A20WE: 747SR (Approved September 26, 1973) includes these configuration. Should we change the certi year to 1973?</text>
  </threadedComment>
  <threadedComment ref="FH5" dT="2023-07-27T22:54:36.93" personId="{A52DB959-8015-4F33-A843-D2A6A3705C7D}" id="{272F0425-DA15-4899-8D63-9C98E32D53B0}" parentId="{4FE8F482-37C9-4D8D-9BCC-55583A3C03C6}">
    <text>Yes, I changed it, make sure to @ me to make sure I don't miss any comments!</text>
  </threadedComment>
  <threadedComment ref="FO5" dT="2023-07-27T13:40:29.84" personId="{A8494F70-BB7C-4E11-8FCE-65D77F288123}" id="{3BA07E97-AB45-44D2-8A16-96C321B346B7}">
    <text>FAA TCDS cant find combi</text>
  </threadedComment>
  <threadedComment ref="GF5" dT="2023-07-27T15:01:58.93" personId="{A8494F70-BB7C-4E11-8FCE-65D77F288123}" id="{AFB86E00-4EC0-45EE-9F72-D266BCBC509F}">
    <text>Not on FAA TCDS</text>
  </threadedComment>
  <threadedComment ref="GU5" dT="2023-07-27T19:34:32.09" personId="{A8494F70-BB7C-4E11-8FCE-65D77F288123}" id="{4B2B990B-6249-474B-9FBD-AAF82BDFFB51}">
    <text>-400 ER year was "first delivery" from boeing.com. Couldn’t find FAA TCDS</text>
  </threadedComment>
  <threadedComment ref="GV5" dT="2023-07-27T19:34:32.09" personId="{A8494F70-BB7C-4E11-8FCE-65D77F288123}" id="{19EB6FEB-692F-4475-B9D6-5DA205318A98}">
    <text>-400 ER year was "first delivery" from boeing.com. Couldn’t find FAA TCDS</text>
  </threadedComment>
  <threadedComment ref="GW5" dT="2023-07-27T19:34:32.09" personId="{A8494F70-BB7C-4E11-8FCE-65D77F288123}" id="{2B32A4FC-3BDC-455C-9B28-4709A7E6769D}">
    <text>-400 ER year was "first delivery" from boeing.com. Couldn’t find FAA TCDS</text>
  </threadedComment>
  <threadedComment ref="GX5" dT="2023-07-27T19:34:32.09" personId="{A8494F70-BB7C-4E11-8FCE-65D77F288123}" id="{703F4EBC-D37E-4B89-88C6-5570B144A4F4}">
    <text>-400 ER year was "first delivery" from boeing.com. Couldn’t find FAA TCDS</text>
  </threadedComment>
  <threadedComment ref="GY5" dT="2023-07-27T19:34:32.09" personId="{A8494F70-BB7C-4E11-8FCE-65D77F288123}" id="{85FB22B9-8623-4FFB-8FDD-468238037A42}">
    <text>-400 ER year was "first delivery" from boeing.com. Couldn’t find FAA TCDS</text>
  </threadedComment>
  <threadedComment ref="GZ5" dT="2023-07-27T19:34:32.09" personId="{A8494F70-BB7C-4E11-8FCE-65D77F288123}" id="{908A266F-0A84-45FA-804B-7FDC481EAD5C}">
    <text>-400 ER year was "first delivery" from boeing.com. Couldn’t find FAA TCDS</text>
  </threadedComment>
  <threadedComment ref="BR8" dT="2023-08-04T18:15:53.05" personId="{707A005A-EA5D-4BFF-AED6-630672EEA8D8}" id="{88368C25-D0AA-44B1-8AB4-1B951700C610}" done="1">
    <text>@Khailany, Nawa @Shine, Jayda I cannot find this engine. I believe it is a typo and should be 1124G not 1126. I cannot find the TCDS for the 1126 and when I looked in the 319-171N tcds it references the 1124G</text>
    <mentions>
      <mention mentionpersonId="{D3AA4872-A1B8-43C1-8B5B-85E68EE80091}" mentionId="{6B6AF92D-690E-45E1-9AFD-60971F7E6A6C}" startIndex="0" length="15"/>
      <mention mentionpersonId="{FD29876F-2E31-4D37-8DF1-BC5A77274EEF}" mentionId="{08F66E8D-D323-469D-AA7F-948AC5909F2E}" startIndex="16" length="13"/>
    </mentions>
  </threadedComment>
  <threadedComment ref="BS8" dT="2023-08-01T21:25:40.82" personId="{707A005A-EA5D-4BFF-AED6-630672EEA8D8}" id="{3E1C6E98-F497-4590-8747-E0342C34C8BB}">
    <text xml:space="preserve">Not sure which exact leap 1a, just says 1a on airbus website
</text>
  </threadedComment>
  <threadedComment ref="FP8" dT="2023-07-28T17:54:48.22" personId="{A8494F70-BB7C-4E11-8FCE-65D77F288123}" id="{4F5585EB-A725-4DFE-912F-1F403D697A29}">
    <text>No AW in TCDS, maybe JT9D_7A with water injection?</text>
  </threadedComment>
  <threadedComment ref="FT8" dT="2023-07-28T17:54:48.22" personId="{A8494F70-BB7C-4E11-8FCE-65D77F288123}" id="{9F9EFC7C-CB10-4197-8081-9BE54BA75151}">
    <text>No AW in TCDS, maybe JT9D_7A with water injection?</text>
  </threadedComment>
  <threadedComment ref="FU8" dT="2023-07-28T18:01:52.99" personId="{A8494F70-BB7C-4E11-8FCE-65D77F288123}" id="{D60AE34E-F6B2-4113-80D4-03967678AEEE}">
    <text>No AW in TCDS</text>
  </threadedComment>
  <threadedComment ref="GW8" dT="2023-07-28T18:51:42.96" personId="{A8494F70-BB7C-4E11-8FCE-65D77F288123}" id="{42CF4DCC-537B-4C94-A7E0-0B609EC34A49}">
    <text>Couldn’t find FAA TCDS for this model used the 524H</text>
  </threadedComment>
  <threadedComment ref="GW8" dT="2023-08-01T14:52:54.48" personId="{707A005A-EA5D-4BFF-AED6-630672EEA8D8}" id="{490C5B31-5C27-4647-875A-9E8A60941AA8}" parentId="{42CF4DCC-537B-4C94-A7E0-0B609EC34A49}">
    <text>The H8 doesnt exist. The correct engine name is updated</text>
  </threadedComment>
  <threadedComment ref="GZ8" dT="2023-07-28T18:51:42.96" personId="{A8494F70-BB7C-4E11-8FCE-65D77F288123}" id="{AE80AB98-9288-4D8D-A07D-BF42642380F4}">
    <text>Couldn’t find FAA TCDS for this model used the 524H</text>
  </threadedComment>
  <threadedComment ref="GZ8" dT="2023-08-01T14:53:35.06" personId="{707A005A-EA5D-4BFF-AED6-630672EEA8D8}" id="{69E82DC7-75A0-4AF3-B0A2-87E7ED275CE0}" parentId="{AE80AB98-9288-4D8D-A07D-BF42642380F4}">
    <text>See cell GX8</text>
  </threadedComment>
  <threadedComment ref="IF8" dT="2023-08-03T13:40:21.36" personId="{707A005A-EA5D-4BFF-AED6-630672EEA8D8}" id="{C732DEBA-8099-4E6D-A000-276559B9542F}">
    <text xml:space="preserve">@Aljaber, Rawan the 890 does not exist. In the 777 tcds it says 892. I will change this. No action required. </text>
    <mentions>
      <mention mentionpersonId="{0E7E035B-DDF1-495D-8A0D-4CCA8EAC5BE1}" mentionId="{04857048-FCAE-48FE-9A6C-D696D84AB9D1}" startIndex="0" length="15"/>
    </mentions>
  </threadedComment>
  <threadedComment ref="IF8" dT="2023-08-03T13:57:03.91" personId="{707A005A-EA5D-4BFF-AED6-630672EEA8D8}" id="{E9944813-1857-4389-A3B0-0A7AFD528AEB}" parentId="{C732DEBA-8099-4E6D-A000-276559B9542F}">
    <text>Hm. I do see the 890 in the handbook actually. I may have been mistaken that it exists, although I do not see it in the TCDS or on wikipedia as a variant. Maybe it goes by a different name.</text>
  </threadedComment>
  <threadedComment ref="IF8" dT="2023-08-03T16:12:38.63" personId="{A52DB959-8015-4F33-A843-D2A6A3705C7D}" id="{A05DF1D2-CA7D-4D29-8B88-E6DEB62B7B7A}" parentId="{C732DEBA-8099-4E6D-A000-276559B9542F}">
    <text>Yeah, the 890 is in the airport manual, the performance summary brochure does highlight the 892 though so I agree its better to change it to 892.</text>
  </threadedComment>
  <threadedComment ref="LN8" dT="2023-08-03T17:31:06.43" personId="{707A005A-EA5D-4BFF-AED6-630672EEA8D8}" id="{FAFD1250-DF5A-4EFB-A09D-09673AC24CE0}">
    <text>Couldn’t find 1B modifier. Dropping it</text>
  </threadedComment>
  <threadedComment ref="MA8" dT="2023-07-27T19:57:11.34" personId="{4FFA7C25-785E-4401-AC87-52D0534B92FE}" id="{C0769431-BB88-4218-BBA3-C86A0F1315F0}" done="1">
    <text>@Arnson, Maxfield  Check these aircrafts engines</text>
    <mentions>
      <mention mentionpersonId="{E6158DEB-1913-4041-AFF9-DFA8F51801A4}" mentionId="{E62734AC-85A1-4A99-9A5B-03F5251D332A}" startIndex="0" length="17"/>
    </mentions>
  </threadedComment>
  <threadedComment ref="MB8" dT="2023-07-27T19:57:11.34" personId="{4FFA7C25-785E-4401-AC87-52D0534B92FE}" id="{A62F47B8-1156-4ECA-86E8-F19475C93761}" done="1">
    <text>@Arnson, Maxfield  Check these aircrafts engines</text>
    <mentions>
      <mention mentionpersonId="{E6158DEB-1913-4041-AFF9-DFA8F51801A4}" mentionId="{527C713C-0C9A-4F39-B79B-E5069BE81485}" startIndex="0" length="17"/>
    </mentions>
  </threadedComment>
  <threadedComment ref="MC8" dT="2023-07-27T19:57:11.34" personId="{4FFA7C25-785E-4401-AC87-52D0534B92FE}" id="{D5564127-0D5A-4634-BC38-D7E8CF02EA16}" done="1">
    <text>@Arnson, Maxfield  Check these aircrafts engines</text>
    <mentions>
      <mention mentionpersonId="{E6158DEB-1913-4041-AFF9-DFA8F51801A4}" mentionId="{294AF14C-5D7C-47E3-A1FC-D301688F077D}" startIndex="0" length="17"/>
    </mentions>
  </threadedComment>
  <threadedComment ref="HX9" dT="2023-07-25T20:29:41.88" personId="{A52DB959-8015-4F33-A843-D2A6A3705C7D}" id="{365E9081-95F8-4BBB-B35E-459F5DEA9499}" done="1">
    <text xml:space="preserve">check GE_90_B3/B4 Specs
@Aljaber, Rawan </text>
    <mentions>
      <mention mentionpersonId="{0E7E035B-DDF1-495D-8A0D-4CCA8EAC5BE1}" mentionId="{207F1C1C-46D7-4C75-9B6D-9A0A653C1C4A}" startIndex="24" length="15"/>
    </mentions>
  </threadedComment>
  <threadedComment ref="PB9" dT="2023-08-08T20:41:57.19" personId="{A8494F70-BB7C-4E11-8FCE-65D77F288123}" id="{FEC9D7C9-8BFD-4A35-90F6-E977444CC803}">
    <text>This is the engine name on FAA</text>
  </threadedComment>
  <threadedComment ref="IF12" dT="2023-07-29T23:33:23.22" personId="{A52DB959-8015-4F33-A843-D2A6A3705C7D}" id="{4EF3AD3C-3913-40C5-A251-495448D27088}">
    <text>unsure if short or long range</text>
  </threadedComment>
  <threadedComment ref="IP14" dT="2023-08-11T20:12:21.73" personId="{A8494F70-BB7C-4E11-8FCE-65D77F288123}" id="{22E31AC4-E7BB-4115-B757-C9A9C0F08C70}">
    <text xml:space="preserve">Should this and the next be CRJ-100 instead of -200
</text>
  </threadedComment>
  <threadedComment ref="DE18" dT="2023-08-07T19:09:49.21" personId="{707A005A-EA5D-4BFF-AED6-630672EEA8D8}" id="{B0BBB6E1-83EA-4B1E-96B7-6518274894A2}">
    <text xml:space="preserve">0 pax? Freighter…
</text>
  </threadedComment>
  <threadedComment ref="ET20" dT="2023-08-01T01:35:52.67" personId="{A8494F70-BB7C-4E11-8FCE-65D77F288123}" id="{CCFCA2CC-A605-47E2-AAE4-9A1F550BA8C5}">
    <text>Might be using the max range not design range?</text>
  </threadedComment>
  <threadedComment ref="GC20" dT="2023-07-31T18:36:39.40" personId="{A52DB959-8015-4F33-A843-D2A6A3705C7D}" id="{67C74FE7-660B-4710-9C61-1C0C12680769}">
    <text>Unable to find in TCDS, Airport Planning Manual, or brochure</text>
  </threadedComment>
  <threadedComment ref="GE20" dT="2023-07-31T18:36:39.40" personId="{A52DB959-8015-4F33-A843-D2A6A3705C7D}" id="{F0BBB7B1-30B4-4B60-9D98-1822837291E5}">
    <text>Unable to find in TCDS, Airport Planning Manual, or brochure</text>
  </threadedComment>
  <threadedComment ref="GF20" dT="2023-07-31T18:36:39.40" personId="{A52DB959-8015-4F33-A843-D2A6A3705C7D}" id="{51C97362-0139-4CAC-B256-9F8924993A00}">
    <text>Unable to find in TCDS, Airport Planning Manual, or brochure</text>
  </threadedComment>
  <threadedComment ref="GG20" dT="2023-07-31T18:36:39.40" personId="{A52DB959-8015-4F33-A843-D2A6A3705C7D}" id="{E590A71D-CE6A-4642-A3F4-E1D65F5586B1}">
    <text>Unable to find in TCDS, Airport Planning Manual, or brochure</text>
  </threadedComment>
  <threadedComment ref="GJ20" dT="2023-07-31T18:36:39.40" personId="{A52DB959-8015-4F33-A843-D2A6A3705C7D}" id="{C995430B-DC76-4081-8DC1-749A9DC73EB3}">
    <text>Unable to find in TCDS, Airport Planning Manual, or brochure</text>
  </threadedComment>
  <threadedComment ref="HA20" dT="2023-08-11T18:43:12.71" personId="{707A005A-EA5D-4BFF-AED6-630672EEA8D8}" id="{72972C0E-BA08-44D1-870E-D6A9C525A6FA}">
    <text>Is this value correct</text>
  </threadedComment>
  <threadedComment ref="HG21" dT="2023-07-31T01:02:15.85" personId="{A52DB959-8015-4F33-A843-D2A6A3705C7D}" id="{8F425700-9856-4F84-96F6-333FC7A9210D}">
    <text>OEW PLUS PAYLOAD (81000 kg) - OEW (51700 kg) = 29300 kg</text>
  </threadedComment>
  <threadedComment ref="HR21" dT="2023-07-30T23:39:13.11" personId="{A52DB959-8015-4F33-A843-D2A6A3705C7D}" id="{09EEF752-B412-42AC-BBBF-2468EA6974B2}">
    <text>OEW PLUS PAYLOAD (127500 kg) - OEW (85275 kg) = 42225 kg</text>
  </threadedComment>
  <threadedComment ref="HS21" dT="2023-07-30T23:16:47.08" personId="{A52DB959-8015-4F33-A843-D2A6A3705C7D}" id="{C2518E0F-0B40-48D5-B1A1-676EC165B309}">
    <text>OEW PLUS PAYLOAD (114,000 kg) - OEW (85321 kg) = 28679 kg</text>
  </threadedComment>
  <threadedComment ref="EW23" dT="2023-07-07T15:29:59.67" personId="{707A005A-EA5D-4BFF-AED6-630672EEA8D8}" id="{0E280ED1-814A-4392-8AB8-D574A37A8EFD}">
    <text>@Arnson, Maxfield check these later</text>
    <mentions>
      <mention mentionpersonId="{E6158DEB-1913-4041-AFF9-DFA8F51801A4}" mentionId="{12988DDD-B7CA-463C-94E5-AED946AEA96C}" startIndex="0" length="17"/>
    </mentions>
  </threadedComment>
  <threadedComment ref="GL23" dT="2023-07-28T04:19:29.41" personId="{A8494F70-BB7C-4E11-8FCE-65D77F288123}" id="{22D28C2F-3562-4721-B7C0-61E424026132}">
    <text>First column from left</text>
  </threadedComment>
  <threadedComment ref="GM23" dT="2023-07-28T04:19:29.41" personId="{A8494F70-BB7C-4E11-8FCE-65D77F288123}" id="{60DEBABA-FE2B-44F9-BC51-4D5BD7B10181}">
    <text>First column from left</text>
  </threadedComment>
  <threadedComment ref="GN23" dT="2023-07-28T04:19:29.41" personId="{A8494F70-BB7C-4E11-8FCE-65D77F288123}" id="{7BB6AB4A-F044-42AC-B5CB-F8430535C57C}">
    <text>First column from left</text>
  </threadedComment>
  <threadedComment ref="GO23" dT="2023-07-28T04:19:29.41" personId="{A8494F70-BB7C-4E11-8FCE-65D77F288123}" id="{3BF2B281-27BB-4EA1-9247-E309D2AE4B60}">
    <text>First column from left</text>
  </threadedComment>
  <threadedComment ref="GP23" dT="2023-07-28T04:19:29.41" personId="{A8494F70-BB7C-4E11-8FCE-65D77F288123}" id="{E1CA631A-2394-44CE-9C93-8A96F82723C1}">
    <text>First column from left</text>
  </threadedComment>
  <threadedComment ref="GQ23" dT="2023-07-28T04:19:29.41" personId="{A8494F70-BB7C-4E11-8FCE-65D77F288123}" id="{0A4B6403-FFC0-4637-AD25-7250914A0637}">
    <text>First column from left</text>
  </threadedComment>
  <threadedComment ref="GR23" dT="2023-07-28T04:19:29.41" personId="{A8494F70-BB7C-4E11-8FCE-65D77F288123}" id="{94D644FA-FF16-45E8-BF5D-02F6BA85FAFD}">
    <text>First column from right</text>
  </threadedComment>
  <threadedComment ref="GS23" dT="2023-07-28T04:19:29.41" personId="{A8494F70-BB7C-4E11-8FCE-65D77F288123}" id="{BA9BBC69-D499-4581-A402-4393761A0A90}">
    <text>First column from left</text>
  </threadedComment>
  <threadedComment ref="HA23" dT="2023-07-27T18:58:19.00" personId="{A8494F70-BB7C-4E11-8FCE-65D77F288123}" id="{EE7E7EEA-3051-43A3-9D2A-752CB3035F5A}">
    <text>Used first column from left to match P-R</text>
  </threadedComment>
  <threadedComment ref="CC24" dT="2024-03-19T18:12:08.86" personId="{707A005A-EA5D-4BFF-AED6-630672EEA8D8}" id="{B9C45081-A668-4BEC-B605-B4347A89DC5D}">
    <text xml:space="preserve">The airbus fact sheet says MTOW should be 79 metric tons. Skeptical of this value
</text>
  </threadedComment>
  <threadedComment ref="EH24" dT="2023-07-28T21:28:34.22" personId="{A52DB959-8015-4F33-A843-D2A6A3705C7D}" id="{BBC94494-D436-4FAE-BDA0-8CD3FD6846D2}">
    <text>Maximum Flight Weight. Gotta double check if this means MTOW</text>
  </threadedComment>
  <threadedComment ref="JU24" dT="2023-07-20T19:16:18.80" personId="{A52DB959-8015-4F33-A843-D2A6A3705C7D}" id="{AFDF0E40-5B51-4DDF-81F6-55ABCAF3A8F7}">
    <text xml:space="preserve">Discrepancy between GY and GW23 @Arnson, Maxfield </text>
    <mentions>
      <mention mentionpersonId="{E6158DEB-1913-4041-AFF9-DFA8F51801A4}" mentionId="{56279168-87BB-43D3-8BAA-D649B8038229}" startIndex="32" length="17"/>
    </mentions>
  </threadedComment>
  <threadedComment ref="NW28" dT="2023-07-24T21:10:36.82" personId="{4FFA7C25-785E-4401-AC87-52D0534B92FE}" id="{DD46AB91-C720-4967-ADE5-47D5C6141103}">
    <text xml:space="preserve">@marnson@umich.edu </text>
  </threadedComment>
  <threadedComment ref="NW28" dT="2023-07-24T21:11:06.72" personId="{4FFA7C25-785E-4401-AC87-52D0534B92FE}" id="{44794115-AA7A-43E5-BA22-D229E8EFD826}" parentId="{DD46AB91-C720-4967-ADE5-47D5C6141103}">
    <text>The values for the FAA and Airport Planning are different for the weights</text>
  </threadedComment>
  <threadedComment ref="HA31" dT="2023-07-27T16:48:11.24" personId="{A8494F70-BB7C-4E11-8FCE-65D77F288123}" id="{A3403A9E-B736-4D58-8448-ABDAFFFD1CAD}">
    <text>From Payload Range diagram in APM</text>
  </threadedComment>
</ThreadedComments>
</file>

<file path=xl/threadedComments/threadedComment2.xml><?xml version="1.0" encoding="utf-8"?>
<ThreadedComments xmlns="http://schemas.microsoft.com/office/spreadsheetml/2018/threadedcomments" xmlns:x="http://schemas.openxmlformats.org/spreadsheetml/2006/main">
  <threadedComment ref="BI8" dT="2023-09-28T18:42:12.15" personId="{707A005A-EA5D-4BFF-AED6-630672EEA8D8}" id="{B82DB471-EAA3-4F29-91C1-8AC7EA1E4FE8}">
    <text>Double check these engines</text>
  </threadedComment>
  <threadedComment ref="BD9" dT="2023-09-21T19:27:09.46" personId="{707A005A-EA5D-4BFF-AED6-630672EEA8D8}" id="{B9EB042A-9A6B-47DE-85FE-060E34AF6D0B}">
    <text xml:space="preserve">The 115 was discontinued and no longer exists. It seems that that they started using the 118 </text>
  </threadedComment>
  <threadedComment ref="Z23" dT="2023-08-11T17:46:00.24" personId="{A52DB959-8015-4F33-A843-D2A6A3705C7D}" id="{B1E10341-8E5A-4785-ADA6-11F82B5F767C}">
    <text xml:space="preserve">Unclear weight MRW reported in TCDS, other weights are from TCDS(MLW) and LM-100J Brochure(MTOW, MZFW, OEW, Max Payload) @Arnson, Maxfield </text>
    <mentions>
      <mention mentionpersonId="{E6158DEB-1913-4041-AFF9-DFA8F51801A4}" mentionId="{A636E5B8-4D03-4A8F-831E-15E167727F4E}" startIndex="121" length="17"/>
    </mentions>
  </threadedComment>
  <threadedComment ref="Z29" dT="2023-12-20T19:22:54.33" personId="{707A005A-EA5D-4BFF-AED6-630672EEA8D8}" id="{3241FFEB-0F90-4A53-80EE-889262EF9F9F}">
    <text>This is not consistent with the literature. I get 38 klbf from the brochure</text>
  </threadedComment>
  <threadedComment ref="Z29" dT="2023-12-20T19:23:07.91" personId="{707A005A-EA5D-4BFF-AED6-630672EEA8D8}" id="{CF34ECE5-6DAF-4156-BCCB-E84F230B1304}" parentId="{3241FFEB-0F90-4A53-80EE-889262EF9F9F}">
    <text xml:space="preserve">Would check other variants as well
</text>
  </threadedComment>
</ThreadedComments>
</file>

<file path=xl/threadedComments/threadedComment3.xml><?xml version="1.0" encoding="utf-8"?>
<ThreadedComments xmlns="http://schemas.microsoft.com/office/spreadsheetml/2018/threadedcomments" xmlns:x="http://schemas.openxmlformats.org/spreadsheetml/2006/main">
  <threadedComment ref="DM2" dT="2023-08-04T15:18:08.46" personId="{707A005A-EA5D-4BFF-AED6-630672EEA8D8}" id="{B955F27E-2908-4B2F-AE23-778E959F5ADF}">
    <text xml:space="preserve">@Rey, Joaquin </text>
    <mentions>
      <mention mentionpersonId="{7920C32E-26EE-47C4-A11F-1A176C2E5695}" mentionId="{27C454B2-6EB3-4F89-BA9A-F707C6F83BA0}" startIndex="0" length="13"/>
    </mentions>
  </threadedComment>
  <threadedComment ref="DN2" dT="2023-08-04T15:18:20.07" personId="{707A005A-EA5D-4BFF-AED6-630672EEA8D8}" id="{8352C930-DB81-41A3-AD6B-3B3C228CEACC}">
    <text xml:space="preserve">@Rey, Joaquin </text>
    <mentions>
      <mention mentionpersonId="{7920C32E-26EE-47C4-A11F-1A176C2E5695}" mentionId="{E43798EB-99DA-4D09-9C49-E3BF6CBE46F9}" startIndex="0" length="13"/>
    </mentions>
  </threadedComment>
  <threadedComment ref="DT2" dT="2023-08-03T21:52:15.59" personId="{A8494F70-BB7C-4E11-8FCE-65D77F288123}" id="{21E296F9-C51B-41DF-AF79-80F072D4A667}" done="1">
    <text>Used CF6_80C2_B7F</text>
  </threadedComment>
  <threadedComment ref="DT2" dT="2023-08-04T18:40:57.15" personId="{707A005A-EA5D-4BFF-AED6-630672EEA8D8}" id="{C9A0F8B2-2809-463A-B037-6D9BAA6803FB}" parentId="{21E296F9-C51B-41DF-AF79-80F072D4A667}">
    <text>Thats fine.</text>
  </threadedComment>
  <threadedComment ref="EA2" dT="2023-08-03T19:02:46.47" personId="{707A005A-EA5D-4BFF-AED6-630672EEA8D8}" id="{35B2E685-BD30-472B-99B1-747FC8080740}" done="1">
    <text>@max arnson double check the purple columns (GE90s)</text>
  </threadedComment>
  <threadedComment ref="DT6" dT="2023-08-03T21:52:15.59" personId="{A8494F70-BB7C-4E11-8FCE-65D77F288123}" id="{B6EE5513-BA67-4A31-B20A-AC30A05DC791}" done="1">
    <text>Used CF6_80C2_B7F</text>
  </threadedComment>
  <threadedComment ref="DT6" dT="2023-08-04T18:40:57.15" personId="{707A005A-EA5D-4BFF-AED6-630672EEA8D8}" id="{8AAB8873-6406-4F7C-B3E8-5C967E2169C1}" parentId="{B6EE5513-BA67-4A31-B20A-AC30A05DC791}">
    <text>Thats fine.</text>
  </threadedComment>
  <threadedComment ref="AU11" dT="2023-08-04T18:26:04.11" personId="{707A005A-EA5D-4BFF-AED6-630672EEA8D8}" id="{01EDCCA3-96C9-4F5B-905D-8AA5EB030060}" done="1">
    <text xml:space="preserve">Are these missing zeros? @Aljaber, Rawan </text>
    <mentions>
      <mention mentionpersonId="{0E7E035B-DDF1-495D-8A0D-4CCA8EAC5BE1}" mentionId="{3EBDF35E-B93F-4102-8F35-3F12DCB639EE}" startIndex="25" length="15"/>
    </mentions>
  </threadedComment>
  <threadedComment ref="AU11" dT="2023-08-04T18:36:23.34" personId="{A52DB959-8015-4F33-A843-D2A6A3705C7D}" id="{D186735B-2B3E-4AB0-AA65-A0016395BF26}" parentId="{01EDCCA3-96C9-4F5B-905D-8AA5EB030060}">
    <text xml:space="preserve">Yes, my bad I just fixed them, I'll double check all the other ones to make sure they're good </text>
  </threadedComment>
  <threadedComment ref="DL22" dT="2023-08-03T21:27:03.81" personId="{707A005A-EA5D-4BFF-AED6-630672EEA8D8}" id="{9288DF79-E294-4AE7-8028-0925519993F3}">
    <text>Excluding a lot of things… this is likely higher in reality. Applies to E4B-37 too</text>
  </threadedComment>
  <threadedComment ref="DL22" dT="2023-08-03T21:27:14.34" personId="{707A005A-EA5D-4BFF-AED6-630672EEA8D8}" id="{03FB5A58-2292-4ED7-80B2-1B9DEC047CEA}" parentId="{9288DF79-E294-4AE7-8028-0925519993F3}">
    <text>Cell DO22</text>
  </threadedComment>
  <threadedComment ref="GL32" dT="2023-09-12T15:07:10.25" personId="{707A005A-EA5D-4BFF-AED6-630672EEA8D8}" id="{6D5CE7BD-040B-49E5-BE64-30F1902CF05C}">
    <text>aft</text>
  </threadedComment>
  <threadedComment ref="GM32" dT="2023-09-12T15:07:22.59" personId="{707A005A-EA5D-4BFF-AED6-630672EEA8D8}" id="{EF2610AE-B77F-4098-9764-FE008FCBA74B}">
    <text xml:space="preserve">Aft
</text>
  </threadedComment>
  <threadedComment ref="AT33" dT="2023-08-04T18:27:28.22" personId="{707A005A-EA5D-4BFF-AED6-630672EEA8D8}" id="{026E74DF-8A86-4FB9-AB1B-E61C284F6FE6}">
    <text>Gear ratio 1:3.0625</text>
  </threadedComment>
  <threadedComment ref="X47" dT="2023-08-04T14:36:09.23" personId="{707A005A-EA5D-4BFF-AED6-630672EEA8D8}" id="{5B446FE4-2990-4289-9541-3A14126FA87B}" done="1">
    <text xml:space="preserve">If they only list max permissibly then set the max continuous percentages to 100. if the rpms listed are for max permissible, divide the rpms by these percentages and then enter that number in the 100% rpm fields @Tsai, Michael </text>
    <mentions>
      <mention mentionpersonId="{9D199C6A-F267-46A3-8549-5BD1933798C8}" mentionId="{79CA3B85-6576-4984-A5EF-B40734A53CE1}" startIndex="213" length="14"/>
    </mentions>
  </threadedComment>
  <threadedComment ref="CQ50" dT="2023-09-08T17:41:43.64" personId="{707A005A-EA5D-4BFF-AED6-630672EEA8D8}" id="{537E8828-F395-464F-846F-0C7F8B74C350}">
    <text xml:space="preserve">Approx = 1000 lmb
</text>
  </threadedComment>
  <threadedComment ref="FY56" dT="2023-08-03T21:44:34.24" personId="{707A005A-EA5D-4BFF-AED6-630672EEA8D8}" id="{5D7FBE7D-B9FE-4EE4-8D42-F3BFF8FB200A}">
    <text>This is literally the first turbofan ever lol</text>
  </threadedComment>
</ThreadedComments>
</file>

<file path=xl/threadedComments/threadedComment4.xml><?xml version="1.0" encoding="utf-8"?>
<ThreadedComments xmlns="http://schemas.microsoft.com/office/spreadsheetml/2018/threadedcomments" xmlns:x="http://schemas.openxmlformats.org/spreadsheetml/2006/main">
  <threadedComment ref="R24" dT="2023-09-21T19:39:11.88" personId="{707A005A-EA5D-4BFF-AED6-630672EEA8D8}" id="{19D2851C-A8ED-4253-8CC9-22CD7ACB3293}">
    <text xml:space="preserve">EASA FAA discrepancy
</text>
  </threadedComment>
  <threadedComment ref="S24" dT="2023-09-21T20:07:52.59" personId="{707A005A-EA5D-4BFF-AED6-630672EEA8D8}" id="{8DC68BCD-7626-401F-8862-3EC8F3E03040}">
    <text>FAA EASA Discrepancy</text>
  </threadedComment>
  <threadedComment ref="T24" dT="2023-09-22T16:53:26.88" personId="{707A005A-EA5D-4BFF-AED6-630672EEA8D8}" id="{29499CAF-E7A7-435C-99ED-24ADEBD134B4}">
    <text xml:space="preserve">FAA EASA Discrepancy
</text>
  </threadedComment>
  <threadedComment ref="U24" dT="2023-09-21T19:52:26.86" personId="{707A005A-EA5D-4BFF-AED6-630672EEA8D8}" id="{1578470B-3FB8-4825-87F7-F13822058320}">
    <text>FAA EASA Discrepancy</text>
  </threadedComment>
  <threadedComment ref="V24" dT="2023-09-21T19:59:50.00" personId="{707A005A-EA5D-4BFF-AED6-630672EEA8D8}" id="{94AB23C4-4A48-47AF-A4C9-2635787629A8}">
    <text>FAA EASA Discrepancy</text>
  </threadedComment>
  <threadedComment ref="W24" dT="2023-09-21T19:52:26.86" personId="{707A005A-EA5D-4BFF-AED6-630672EEA8D8}" id="{D7D57AD5-C347-46E3-A9C4-5567D12BC19D}">
    <text>FAA EASA Discrepancy</text>
  </threadedComment>
  <threadedComment ref="Y24" dT="2023-09-22T17:15:35.21" personId="{707A005A-EA5D-4BFF-AED6-630672EEA8D8}" id="{94287153-E527-4F1C-A319-FED8FFFCB604}">
    <text xml:space="preserve">FAA EASA Discrepancy
</text>
  </threadedComment>
  <threadedComment ref="AA24" dT="2023-09-22T17:15:35.21" personId="{707A005A-EA5D-4BFF-AED6-630672EEA8D8}" id="{1F58A833-E01A-4738-B753-AC52E4C0EB87}">
    <text xml:space="preserve">FAA EASA Discrepancy
</text>
  </threadedComment>
  <threadedComment ref="AB24" dT="2023-09-22T17:15:35.21" personId="{707A005A-EA5D-4BFF-AED6-630672EEA8D8}" id="{8BF75608-4402-41DF-8D10-B786C423032D}">
    <text xml:space="preserve">FAA EASA Discrepancy
</text>
  </threadedComment>
</ThreadedComments>
</file>

<file path=xl/threadedComments/threadedComment5.xml><?xml version="1.0" encoding="utf-8"?>
<ThreadedComments xmlns="http://schemas.microsoft.com/office/spreadsheetml/2018/threadedcomments" xmlns:x="http://schemas.openxmlformats.org/spreadsheetml/2006/main">
  <threadedComment ref="Z45" dT="2023-01-20T05:05:54.65" personId="{1BA6ECEE-2DD0-4ED8-B31B-F36FE889EC20}" id="{FFC10899-72A6-4C33-AA82-5B048F4612B3}">
    <text>https://en.wikipedia.org/wiki/Cessna_425</text>
  </threadedComment>
  <threadedComment ref="CD46" dT="2023-01-20T07:37:27.14" personId="{1BA6ECEE-2DD0-4ED8-B31B-F36FE889EC20}" id="{389BF4C0-FCE2-49BD-88D5-1A040C0B87E4}">
    <text xml:space="preserve">No net information for ATRXXX
approximately take 25000 feet
</text>
  </threadedComment>
  <threadedComment ref="DV46" dT="2023-01-26T18:23:26.06" personId="{1BA6ECEE-2DD0-4ED8-B31B-F36FE889EC20}" id="{99126E9E-E2FD-4A85-BD26-12DD764D94F2}">
    <text>There is no net information for DC8-xxx planes. Different values are given in different sources, they were written as averages.</text>
  </threadedComment>
  <threadedComment ref="DV48" dT="2023-01-26T18:23:26.06" personId="{1BA6ECEE-2DD0-4ED8-B31B-F36FE889EC20}" id="{BD2F098C-69A8-4F4B-B34E-D8F10B5084E5}">
    <text>There is no net information for DC8-xxx planes. Different values are given in different sources, they were written as averages.</text>
  </threadedComment>
</ThreadedComments>
</file>

<file path=xl/threadedComments/threadedComment6.xml><?xml version="1.0" encoding="utf-8"?>
<ThreadedComments xmlns="http://schemas.microsoft.com/office/spreadsheetml/2018/threadedcomments" xmlns:x="http://schemas.openxmlformats.org/spreadsheetml/2006/main">
  <threadedComment ref="Z45" dT="2023-01-20T05:05:54.65" personId="{1BA6ECEE-2DD0-4ED8-B31B-F36FE889EC20}" id="{2CD9D484-62D6-4FAE-9780-F9CE9517E81F}">
    <text>https://en.wikipedia.org/wiki/Cessna_425</text>
  </threadedComment>
  <threadedComment ref="CD46" dT="2023-01-20T07:37:27.14" personId="{1BA6ECEE-2DD0-4ED8-B31B-F36FE889EC20}" id="{83A23F94-EA8D-4C97-83B4-437D1E4AFB9E}">
    <text xml:space="preserve">No net information for ATRXXX
approximately take 25000 feet
</text>
  </threadedComment>
</ThreadedComments>
</file>

<file path=xl/threadedComments/threadedComment7.xml><?xml version="1.0" encoding="utf-8"?>
<ThreadedComments xmlns="http://schemas.microsoft.com/office/spreadsheetml/2018/threadedcomments" xmlns:x="http://schemas.openxmlformats.org/spreadsheetml/2006/main">
  <threadedComment ref="S46" dT="2023-01-26T18:23:26.06" personId="{1BA6ECEE-2DD0-4ED8-B31B-F36FE889EC20}" id="{1C40B52B-3C8F-4FED-9EE0-9CA0E4645BF8}">
    <text>There is no net information for DC8-xxx planes. Different values are given in different sources, they were written as averages.</text>
  </threadedComment>
  <threadedComment ref="S48" dT="2023-01-26T18:23:26.06" personId="{1BA6ECEE-2DD0-4ED8-B31B-F36FE889EC20}" id="{3E15C459-0B9B-4AE6-9FD2-34916F62E216}">
    <text>There is no net information for DC8-xxx planes. Different values are given in different sources, they were written as averages.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docs.google.com/document/d/12vhGgq21sfxa9xTva_hW-9y9iY1ZXdxFAijdIG1Zox4/edit?usp=sharing" TargetMode="External"/><Relationship Id="rId6" Type="http://schemas.microsoft.com/office/2019/04/relationships/documenttask" Target="../documenttasks/documenttask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2.bin"/><Relationship Id="rId1" Type="http://schemas.openxmlformats.org/officeDocument/2006/relationships/hyperlink" Target="https://docs.google.com/document/d/12vhGgq21sfxa9xTva_hW-9y9iY1ZXdxFAijdIG1Zox4/edit?usp=sharing" TargetMode="Externa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8" Type="http://schemas.microsoft.com/office/2019/04/relationships/documenttask" Target="../documenttasks/documenttask2.xml"/><Relationship Id="rId3" Type="http://schemas.openxmlformats.org/officeDocument/2006/relationships/printerSettings" Target="../printerSettings/printerSettings3.bin"/><Relationship Id="rId7" Type="http://schemas.microsoft.com/office/2017/10/relationships/threadedComment" Target="../threadedComments/threadedComment3.xml"/><Relationship Id="rId2" Type="http://schemas.openxmlformats.org/officeDocument/2006/relationships/hyperlink" Target="https://web.archive.org/web/20080927015655/http:/www.cfm56.com/products/cfm56-3/9674" TargetMode="External"/><Relationship Id="rId1" Type="http://schemas.openxmlformats.org/officeDocument/2006/relationships/hyperlink" Target="https://web.archive.org/web/20080927015655/http:/www.cfm56.com/products/cfm56-3/9674"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2.xml"/><Relationship Id="rId4" Type="http://schemas.microsoft.com/office/2017/10/relationships/threadedComment" Target="../threadedComments/threadedComment6.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3.xml"/><Relationship Id="rId1" Type="http://schemas.openxmlformats.org/officeDocument/2006/relationships/hyperlink" Target="http://mye6b.com/Fuel/" TargetMode="External"/><Relationship Id="rId4" Type="http://schemas.openxmlformats.org/officeDocument/2006/relationships/comments" Target="../comments7.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hyperlink" Target="http://mye6b.com/Fuel/" TargetMode="External"/><Relationship Id="rId4" Type="http://schemas.microsoft.com/office/2017/10/relationships/threadedComment" Target="../threadedComments/threadedComment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D28E1-CCBF-4B29-A5DE-42B6AB613A0E}">
  <dimension ref="A1:PO71"/>
  <sheetViews>
    <sheetView tabSelected="1" zoomScale="70" zoomScaleNormal="70" workbookViewId="0">
      <pane xSplit="2" ySplit="2" topLeftCell="NZ26" activePane="bottomRight" state="frozen"/>
      <selection pane="topRight" activeCell="D1" sqref="D1"/>
      <selection pane="bottomLeft" activeCell="A3" sqref="A3"/>
      <selection pane="bottomRight" activeCell="OL52" sqref="OL52"/>
    </sheetView>
  </sheetViews>
  <sheetFormatPr defaultColWidth="20.7109375" defaultRowHeight="15" customHeight="1"/>
  <cols>
    <col min="1" max="1" width="32.7109375" style="379" customWidth="1"/>
    <col min="2" max="2" width="6.140625" style="380" customWidth="1"/>
    <col min="3" max="4" width="11.7109375" style="380" customWidth="1"/>
    <col min="5" max="5" width="13.42578125" style="380" customWidth="1"/>
    <col min="6" max="6" width="11.7109375" style="380" customWidth="1"/>
    <col min="7" max="7" width="7" style="490" customWidth="1"/>
    <col min="8" max="80" width="20.7109375" style="379" customWidth="1"/>
    <col min="81" max="81" width="20.7109375" style="851" customWidth="1"/>
    <col min="82" max="122" width="20.7109375" style="379" customWidth="1"/>
    <col min="123" max="123" width="7.140625" style="490" customWidth="1"/>
    <col min="124" max="124" width="20.7109375" style="379"/>
    <col min="125" max="125" width="21.7109375" style="379" customWidth="1"/>
    <col min="126" max="126" width="20.7109375" style="379"/>
    <col min="127" max="129" width="21.7109375" style="379" customWidth="1"/>
    <col min="130" max="130" width="1.7109375" style="379" customWidth="1"/>
    <col min="131" max="131" width="20.42578125" style="379" customWidth="1"/>
    <col min="132" max="132" width="22" style="379" customWidth="1"/>
    <col min="133" max="133" width="1.7109375" style="379" customWidth="1"/>
    <col min="134" max="140" width="22" style="379" customWidth="1"/>
    <col min="141" max="141" width="20.7109375" style="379"/>
    <col min="142" max="142" width="1.7109375" style="379" customWidth="1"/>
    <col min="143" max="143" width="22.140625" style="379" customWidth="1"/>
    <col min="144" max="144" width="20.7109375" style="379"/>
    <col min="145" max="146" width="20.140625" style="379" customWidth="1"/>
    <col min="147" max="147" width="18.42578125" style="379" customWidth="1"/>
    <col min="148" max="148" width="22.42578125" style="379" customWidth="1"/>
    <col min="149" max="157" width="21.7109375" style="379" customWidth="1"/>
    <col min="158" max="160" width="24.42578125" style="379" customWidth="1"/>
    <col min="161" max="161" width="1.7109375" style="379" customWidth="1"/>
    <col min="162" max="182" width="24.28515625" style="379" customWidth="1"/>
    <col min="183" max="211" width="25" style="379" customWidth="1"/>
    <col min="212" max="212" width="2.42578125" style="379" customWidth="1"/>
    <col min="213" max="217" width="25" style="379" customWidth="1"/>
    <col min="218" max="218" width="1.7109375" style="379" customWidth="1"/>
    <col min="219" max="230" width="25" style="379" customWidth="1"/>
    <col min="231" max="231" width="4" style="379" customWidth="1"/>
    <col min="232" max="243" width="25" style="379" customWidth="1"/>
    <col min="244" max="244" width="3" style="379" customWidth="1"/>
    <col min="245" max="247" width="25" style="379" customWidth="1"/>
    <col min="248" max="248" width="12.42578125" style="379" customWidth="1"/>
    <col min="249" max="269" width="20.7109375" style="379"/>
    <col min="270" max="270" width="8.28515625" style="379" customWidth="1"/>
    <col min="271" max="295" width="20.7109375" style="379"/>
    <col min="296" max="296" width="10.42578125" style="379" customWidth="1"/>
    <col min="297" max="298" width="22.140625" style="379" customWidth="1"/>
    <col min="299" max="302" width="20.7109375" style="379"/>
    <col min="303" max="303" width="19" style="379" customWidth="1"/>
    <col min="304" max="331" width="20.7109375" style="379"/>
    <col min="332" max="332" width="18.140625" style="379" customWidth="1"/>
    <col min="333" max="347" width="20.7109375" style="379" customWidth="1"/>
    <col min="348" max="348" width="20.7109375" style="379"/>
    <col min="349" max="359" width="20.7109375" style="379" customWidth="1"/>
    <col min="360" max="390" width="20.7109375" style="379"/>
    <col min="391" max="391" width="19.140625" style="379" customWidth="1"/>
    <col min="392" max="403" width="20.7109375" style="379"/>
    <col min="404" max="404" width="2.42578125" style="379" customWidth="1"/>
    <col min="405" max="424" width="20.7109375" style="379"/>
    <col min="425" max="427" width="24.28515625" style="379" customWidth="1"/>
    <col min="428" max="430" width="20.7109375" style="379"/>
    <col min="431" max="431" width="24.42578125" style="379" customWidth="1"/>
    <col min="432" max="16384" width="20.7109375" style="379"/>
  </cols>
  <sheetData>
    <row r="1" spans="1:431" ht="16.5" customHeight="1" thickBot="1">
      <c r="A1" s="582" t="s">
        <v>0</v>
      </c>
      <c r="B1" s="623" t="s">
        <v>1</v>
      </c>
      <c r="C1" s="380" t="s">
        <v>2</v>
      </c>
      <c r="D1" s="380" t="s">
        <v>3</v>
      </c>
      <c r="E1" s="380" t="s">
        <v>4</v>
      </c>
      <c r="F1" s="380" t="s">
        <v>5</v>
      </c>
      <c r="G1" s="491" t="s">
        <v>6</v>
      </c>
      <c r="H1" s="455"/>
      <c r="I1" s="455"/>
      <c r="J1" s="455"/>
      <c r="K1" s="455"/>
      <c r="L1" s="455"/>
      <c r="M1" s="455"/>
      <c r="N1" s="455"/>
      <c r="O1" s="455"/>
      <c r="P1" s="455"/>
      <c r="Q1" s="455"/>
      <c r="R1" s="455"/>
      <c r="S1" s="455"/>
      <c r="T1" s="455"/>
      <c r="U1" s="455"/>
      <c r="V1" s="455"/>
      <c r="W1" s="455"/>
      <c r="X1" s="455"/>
      <c r="Y1" s="455"/>
      <c r="Z1" s="455"/>
      <c r="AA1" s="455"/>
      <c r="AB1" s="455"/>
      <c r="AC1" s="455"/>
      <c r="AD1" s="455"/>
      <c r="AE1" s="455"/>
      <c r="AF1" s="455"/>
      <c r="AG1" s="455"/>
      <c r="AH1" s="455"/>
      <c r="AI1" s="455"/>
      <c r="AJ1" s="455"/>
      <c r="AK1" s="455"/>
      <c r="AL1" s="455"/>
      <c r="AM1" s="455"/>
      <c r="AN1" s="455"/>
      <c r="AO1" s="455"/>
      <c r="AP1" s="455"/>
      <c r="AQ1" s="455"/>
      <c r="AR1" s="455"/>
      <c r="AS1" s="455"/>
      <c r="AT1" s="455"/>
      <c r="AU1" s="455"/>
      <c r="AV1" s="455"/>
      <c r="AW1" s="455"/>
      <c r="AX1" s="455"/>
      <c r="AY1" s="455"/>
      <c r="AZ1" s="455"/>
      <c r="BA1" s="455"/>
      <c r="BB1" s="455"/>
      <c r="BC1" s="455"/>
      <c r="BD1" s="455"/>
      <c r="BE1" s="455"/>
      <c r="BF1" s="455"/>
      <c r="BG1" s="455"/>
      <c r="BH1" s="455"/>
      <c r="BI1" s="455"/>
      <c r="BJ1" s="455"/>
      <c r="BK1" s="455"/>
      <c r="BL1" s="455"/>
      <c r="BM1" s="455"/>
      <c r="BN1" s="455"/>
      <c r="BO1" s="455"/>
      <c r="BP1" s="455"/>
      <c r="BQ1" s="455"/>
      <c r="BR1" s="455"/>
      <c r="BS1" s="455"/>
      <c r="BT1" s="455"/>
      <c r="BU1" s="455"/>
      <c r="BV1" s="455"/>
      <c r="BW1" s="455"/>
      <c r="BX1" s="455"/>
      <c r="BY1" s="455"/>
      <c r="BZ1" s="455"/>
      <c r="CA1" s="455"/>
      <c r="CB1" s="455"/>
      <c r="CC1" s="854"/>
      <c r="CD1" s="455"/>
      <c r="CE1" s="455"/>
      <c r="CF1" s="455"/>
      <c r="CG1" s="455"/>
      <c r="CH1" s="455"/>
      <c r="CI1" s="455"/>
      <c r="CJ1" s="455"/>
      <c r="CK1" s="455"/>
      <c r="CL1" s="455"/>
      <c r="CM1" s="455"/>
      <c r="CN1" s="455"/>
      <c r="CO1" s="455"/>
      <c r="CP1" s="455"/>
      <c r="CQ1" s="455"/>
      <c r="CR1" s="455"/>
      <c r="CS1" s="455"/>
      <c r="CT1" s="455"/>
      <c r="CU1" s="455"/>
      <c r="CV1" s="455"/>
      <c r="CW1" s="455"/>
      <c r="CX1" s="455"/>
      <c r="CY1" s="455"/>
      <c r="CZ1" s="455"/>
      <c r="DA1" s="455"/>
      <c r="DB1" s="455"/>
      <c r="DC1" s="455"/>
      <c r="DD1" s="455"/>
      <c r="DE1" s="455"/>
      <c r="DF1" s="455"/>
      <c r="DG1" s="455"/>
      <c r="DH1" s="455"/>
      <c r="DI1" s="455"/>
      <c r="DJ1" s="455"/>
      <c r="DK1" s="455"/>
      <c r="DL1" s="455"/>
      <c r="DM1" s="455"/>
      <c r="DN1" s="455"/>
      <c r="DO1" s="455"/>
      <c r="DP1" s="455"/>
      <c r="DQ1" s="455"/>
      <c r="DR1" s="455"/>
      <c r="DS1" s="497" t="s">
        <v>7</v>
      </c>
      <c r="DT1" s="455"/>
      <c r="DU1" s="455"/>
      <c r="DV1" s="455"/>
      <c r="DW1" s="455"/>
      <c r="DX1" s="455"/>
      <c r="DY1" s="455"/>
      <c r="DZ1" s="541"/>
      <c r="EA1" s="455"/>
      <c r="EB1" s="455"/>
      <c r="EC1" s="541"/>
      <c r="ED1" s="455"/>
      <c r="EE1" s="455"/>
      <c r="EF1" s="455"/>
      <c r="EG1" s="455"/>
      <c r="EH1" s="455"/>
      <c r="EI1" s="455"/>
      <c r="EJ1" s="455"/>
      <c r="EK1" s="455"/>
      <c r="EL1" s="541"/>
      <c r="EM1" s="455"/>
      <c r="EN1" s="455"/>
      <c r="EO1" s="455"/>
      <c r="EP1" s="455"/>
      <c r="EQ1" s="455"/>
      <c r="ER1" s="455"/>
      <c r="ES1" s="455"/>
      <c r="ET1" s="455"/>
      <c r="EU1" s="455"/>
      <c r="EV1" s="455"/>
      <c r="EW1" s="455"/>
      <c r="EX1" s="455"/>
      <c r="EY1" s="455"/>
      <c r="EZ1" s="455"/>
      <c r="FA1" s="455"/>
      <c r="FB1" s="455"/>
      <c r="FC1" s="455"/>
      <c r="FD1" s="455"/>
      <c r="FE1" s="541"/>
      <c r="FF1" s="455"/>
      <c r="FG1" s="455"/>
      <c r="FH1" s="455"/>
      <c r="FI1" s="455"/>
      <c r="FJ1" s="455"/>
      <c r="FK1" s="455"/>
      <c r="FL1" s="455"/>
      <c r="FM1" s="455"/>
      <c r="FN1" s="455"/>
      <c r="FO1" s="455"/>
      <c r="FP1" s="455"/>
      <c r="FQ1" s="455"/>
      <c r="FR1" s="455"/>
      <c r="FS1" s="455"/>
      <c r="FT1" s="455"/>
      <c r="FU1" s="455"/>
      <c r="FV1" s="455"/>
      <c r="FW1" s="455"/>
      <c r="FX1" s="455"/>
      <c r="FY1" s="455"/>
      <c r="FZ1" s="455"/>
      <c r="GA1" s="455"/>
      <c r="GB1" s="455"/>
      <c r="GC1" s="455"/>
      <c r="GD1" s="455"/>
      <c r="GE1" s="455"/>
      <c r="GF1" s="455"/>
      <c r="GG1" s="455"/>
      <c r="GH1" s="455"/>
      <c r="GI1" s="455"/>
      <c r="GJ1" s="455"/>
      <c r="GK1" s="455"/>
      <c r="GL1" s="455"/>
      <c r="GM1" s="455"/>
      <c r="GN1" s="455"/>
      <c r="GO1" s="455"/>
      <c r="GP1" s="455"/>
      <c r="GQ1" s="455"/>
      <c r="GR1" s="455"/>
      <c r="GS1" s="455"/>
      <c r="GT1" s="455"/>
      <c r="GU1" s="455"/>
      <c r="GV1" s="455"/>
      <c r="GW1" s="455"/>
      <c r="GX1" s="455"/>
      <c r="GY1" s="455"/>
      <c r="GZ1" s="455"/>
      <c r="HA1" s="455"/>
      <c r="HB1" s="455"/>
      <c r="HC1" s="455"/>
      <c r="HD1" s="541"/>
      <c r="HE1" s="455"/>
      <c r="HF1" s="455"/>
      <c r="HG1" s="455"/>
      <c r="HH1" s="455"/>
      <c r="HI1" s="455"/>
      <c r="HJ1" s="541"/>
      <c r="HK1" s="455"/>
      <c r="HL1" s="455"/>
      <c r="HM1" s="455"/>
      <c r="HN1" s="455"/>
      <c r="HO1" s="455"/>
      <c r="HP1" s="455"/>
      <c r="HQ1" s="455"/>
      <c r="HR1" s="455"/>
      <c r="HS1" s="455"/>
      <c r="HT1" s="455"/>
      <c r="HU1" s="455"/>
      <c r="HV1" s="455"/>
      <c r="HW1" s="541"/>
      <c r="HX1" s="455"/>
      <c r="HY1" s="455"/>
      <c r="HZ1" s="455"/>
      <c r="IA1" s="455"/>
      <c r="IB1" s="455"/>
      <c r="IC1" s="455"/>
      <c r="ID1" s="455"/>
      <c r="IE1" s="455"/>
      <c r="IF1" s="455"/>
      <c r="IG1" s="455"/>
      <c r="IH1" s="455"/>
      <c r="II1" s="455"/>
      <c r="IJ1" s="541"/>
      <c r="IK1" s="455"/>
      <c r="IL1" s="455"/>
      <c r="IM1" s="455"/>
      <c r="IN1" s="502" t="s">
        <v>8</v>
      </c>
      <c r="IO1" s="455"/>
      <c r="IP1" s="455"/>
      <c r="IQ1" s="455"/>
      <c r="IR1" s="455"/>
      <c r="IS1" s="455"/>
      <c r="IT1" s="455"/>
      <c r="IU1" s="455"/>
      <c r="IV1" s="455"/>
      <c r="IW1" s="455"/>
      <c r="IX1" s="455"/>
      <c r="IY1" s="455"/>
      <c r="IZ1" s="455"/>
      <c r="JA1" s="455"/>
      <c r="JB1" s="455"/>
      <c r="JC1" s="455"/>
      <c r="JD1" s="455"/>
      <c r="JE1" s="455"/>
      <c r="JF1" s="455"/>
      <c r="JG1" s="455"/>
      <c r="JH1" s="455"/>
      <c r="JI1" s="455"/>
      <c r="JJ1" s="503" t="s">
        <v>9</v>
      </c>
      <c r="JK1" s="455"/>
      <c r="JL1" s="455"/>
      <c r="JM1" s="455"/>
      <c r="JN1" s="455"/>
      <c r="JO1" s="455"/>
      <c r="JP1" s="455"/>
      <c r="JQ1" s="455"/>
      <c r="JR1" s="455"/>
      <c r="JS1" s="455"/>
      <c r="JT1" s="455"/>
      <c r="JU1" s="455"/>
      <c r="JV1" s="455"/>
      <c r="JW1" s="455"/>
      <c r="JX1" s="455"/>
      <c r="JY1" s="455"/>
      <c r="JZ1" s="455"/>
      <c r="KA1" s="455"/>
      <c r="KB1" s="455"/>
      <c r="KC1" s="455"/>
      <c r="KD1" s="455"/>
      <c r="KE1" s="455"/>
      <c r="KF1" s="455"/>
      <c r="KG1" s="455"/>
      <c r="KH1" s="455"/>
      <c r="KI1" s="455"/>
      <c r="KJ1" s="504" t="s">
        <v>10</v>
      </c>
      <c r="KK1" s="455"/>
      <c r="KL1" s="455"/>
      <c r="KM1" s="455"/>
      <c r="KN1" s="455"/>
      <c r="KO1" s="455"/>
      <c r="KP1" s="455"/>
      <c r="KQ1" s="505" t="s">
        <v>11</v>
      </c>
      <c r="KR1" s="454"/>
      <c r="KS1" s="455"/>
      <c r="KT1" s="455"/>
      <c r="KU1" s="455"/>
      <c r="KV1" s="455"/>
      <c r="KW1" s="455"/>
      <c r="KX1" s="455"/>
      <c r="KY1" s="455"/>
      <c r="KZ1" s="455"/>
      <c r="LA1" s="455"/>
      <c r="LB1" s="455"/>
      <c r="LC1" s="455"/>
      <c r="LD1" s="455"/>
      <c r="LE1" s="455"/>
      <c r="LF1" s="455"/>
      <c r="LG1" s="455" t="s">
        <v>12</v>
      </c>
      <c r="LH1" s="455"/>
      <c r="LI1" s="455"/>
      <c r="LJ1" s="455"/>
      <c r="LK1" s="455"/>
      <c r="LL1" s="455"/>
      <c r="LM1" s="455"/>
      <c r="LN1" s="455"/>
      <c r="LO1" s="455"/>
      <c r="LP1" s="455"/>
      <c r="LQ1" s="455"/>
      <c r="LR1" s="455"/>
      <c r="LS1" s="455"/>
      <c r="LT1" s="506" t="s">
        <v>13</v>
      </c>
      <c r="LU1" s="454"/>
      <c r="LV1" s="455"/>
      <c r="LW1" s="607"/>
      <c r="LX1" s="607"/>
      <c r="LY1" s="607"/>
      <c r="LZ1" s="607"/>
      <c r="MA1" s="607"/>
      <c r="MB1" s="607"/>
      <c r="MC1" s="607"/>
      <c r="MD1" s="455"/>
      <c r="ME1" s="607"/>
      <c r="MF1" s="455"/>
      <c r="MG1" s="607"/>
      <c r="MH1" s="455"/>
      <c r="MI1" s="607"/>
      <c r="MJ1" s="455"/>
      <c r="MK1" s="607"/>
      <c r="ML1" s="607"/>
      <c r="MM1" s="607"/>
      <c r="MN1" s="607"/>
      <c r="MO1" s="607"/>
      <c r="MP1" s="607"/>
      <c r="MQ1" s="607"/>
      <c r="MR1" s="607"/>
      <c r="MS1" s="607"/>
      <c r="MT1" s="607"/>
      <c r="MU1" s="607"/>
      <c r="MV1" s="607"/>
      <c r="MW1" s="455"/>
      <c r="MX1" s="455"/>
      <c r="MY1" s="455"/>
      <c r="MZ1" s="455"/>
      <c r="NA1" s="455"/>
      <c r="NB1" s="455"/>
      <c r="NC1" s="455"/>
      <c r="ND1" s="455"/>
      <c r="NE1" s="455"/>
      <c r="NF1" s="455"/>
      <c r="NG1" s="455"/>
      <c r="NH1" s="455"/>
      <c r="NI1" s="455"/>
      <c r="NJ1" s="455"/>
      <c r="NK1" s="455"/>
      <c r="NL1" s="455"/>
      <c r="NM1" s="455"/>
      <c r="NN1" s="455"/>
      <c r="NO1" s="455"/>
      <c r="NP1" s="455"/>
      <c r="NQ1" s="455"/>
      <c r="NR1" s="455"/>
      <c r="NS1" s="455"/>
      <c r="NT1" s="455"/>
      <c r="NU1" s="455"/>
      <c r="NV1" s="455"/>
      <c r="NW1" s="455"/>
      <c r="NX1" s="455"/>
      <c r="NY1" s="455" t="s">
        <v>14</v>
      </c>
      <c r="NZ1" s="512"/>
      <c r="OA1" s="636" t="s">
        <v>15</v>
      </c>
      <c r="OB1" s="637"/>
      <c r="OC1" s="637"/>
      <c r="OD1" s="637"/>
      <c r="OE1" s="637"/>
      <c r="OF1" s="637"/>
      <c r="OG1" s="637"/>
      <c r="OH1" s="637"/>
      <c r="OI1" s="637"/>
      <c r="OJ1" s="637"/>
      <c r="OK1" s="637"/>
      <c r="OL1" s="637"/>
      <c r="OM1" s="637"/>
      <c r="ON1" s="636"/>
      <c r="OO1" s="637"/>
      <c r="OP1" s="637"/>
      <c r="OQ1" s="637"/>
      <c r="OR1" s="637"/>
      <c r="OS1" s="637"/>
      <c r="OT1" s="637"/>
      <c r="OU1" s="637"/>
      <c r="OV1" s="637"/>
      <c r="OW1" s="637"/>
      <c r="OX1" s="637"/>
      <c r="OY1" s="637"/>
      <c r="OZ1" s="637"/>
      <c r="PA1" s="637"/>
      <c r="PB1" s="637"/>
      <c r="PC1" s="637"/>
      <c r="PD1" s="637"/>
      <c r="PE1" s="637"/>
      <c r="PF1" s="637"/>
      <c r="PG1" s="637"/>
      <c r="PH1" s="637"/>
      <c r="PI1" s="455"/>
      <c r="PJ1" s="455"/>
      <c r="PK1" s="607"/>
      <c r="PL1" s="541"/>
      <c r="PM1" s="541"/>
      <c r="PN1" s="541"/>
      <c r="PO1" s="455"/>
    </row>
    <row r="2" spans="1:431" ht="27" customHeight="1" thickTop="1" thickBot="1">
      <c r="A2" s="509" t="s">
        <v>16</v>
      </c>
      <c r="B2" s="623" t="s">
        <v>17</v>
      </c>
      <c r="G2" s="492"/>
      <c r="H2" s="381" t="s">
        <v>18</v>
      </c>
      <c r="I2" s="382" t="s">
        <v>19</v>
      </c>
      <c r="J2" s="382" t="s">
        <v>20</v>
      </c>
      <c r="K2" s="382" t="s">
        <v>21</v>
      </c>
      <c r="L2" s="382" t="s">
        <v>22</v>
      </c>
      <c r="M2" s="382" t="s">
        <v>23</v>
      </c>
      <c r="N2" s="382" t="s">
        <v>24</v>
      </c>
      <c r="O2" s="382" t="s">
        <v>25</v>
      </c>
      <c r="P2" s="382" t="s">
        <v>26</v>
      </c>
      <c r="Q2" s="382" t="s">
        <v>27</v>
      </c>
      <c r="R2" s="382" t="s">
        <v>28</v>
      </c>
      <c r="S2" s="382" t="s">
        <v>29</v>
      </c>
      <c r="T2" s="382" t="s">
        <v>30</v>
      </c>
      <c r="U2" s="382" t="s">
        <v>31</v>
      </c>
      <c r="V2" s="382" t="s">
        <v>32</v>
      </c>
      <c r="W2" s="382" t="s">
        <v>33</v>
      </c>
      <c r="X2" s="382" t="s">
        <v>34</v>
      </c>
      <c r="Y2" s="382" t="s">
        <v>35</v>
      </c>
      <c r="Z2" s="382" t="s">
        <v>36</v>
      </c>
      <c r="AA2" s="382" t="s">
        <v>37</v>
      </c>
      <c r="AB2" s="382" t="s">
        <v>38</v>
      </c>
      <c r="AC2" s="382" t="s">
        <v>39</v>
      </c>
      <c r="AD2" s="382" t="s">
        <v>40</v>
      </c>
      <c r="AE2" s="382" t="s">
        <v>41</v>
      </c>
      <c r="AF2" s="382" t="s">
        <v>42</v>
      </c>
      <c r="AG2" s="382" t="s">
        <v>43</v>
      </c>
      <c r="AH2" s="382" t="s">
        <v>44</v>
      </c>
      <c r="AI2" s="382" t="s">
        <v>45</v>
      </c>
      <c r="AJ2" s="382" t="s">
        <v>46</v>
      </c>
      <c r="AK2" s="382" t="s">
        <v>47</v>
      </c>
      <c r="AL2" s="382" t="s">
        <v>48</v>
      </c>
      <c r="AM2" s="382" t="s">
        <v>49</v>
      </c>
      <c r="AN2" s="382" t="s">
        <v>50</v>
      </c>
      <c r="AO2" s="382" t="s">
        <v>51</v>
      </c>
      <c r="AP2" s="382" t="s">
        <v>52</v>
      </c>
      <c r="AQ2" s="382" t="s">
        <v>53</v>
      </c>
      <c r="AR2" s="382" t="s">
        <v>54</v>
      </c>
      <c r="AS2" s="382" t="s">
        <v>55</v>
      </c>
      <c r="AT2" s="382" t="s">
        <v>56</v>
      </c>
      <c r="AU2" s="382" t="s">
        <v>57</v>
      </c>
      <c r="AV2" s="382" t="s">
        <v>58</v>
      </c>
      <c r="AW2" s="382" t="s">
        <v>59</v>
      </c>
      <c r="AX2" s="382" t="s">
        <v>60</v>
      </c>
      <c r="AY2" s="382" t="s">
        <v>61</v>
      </c>
      <c r="AZ2" s="382" t="s">
        <v>62</v>
      </c>
      <c r="BA2" s="382" t="s">
        <v>63</v>
      </c>
      <c r="BB2" s="382" t="s">
        <v>64</v>
      </c>
      <c r="BC2" s="382" t="s">
        <v>65</v>
      </c>
      <c r="BD2" s="382" t="s">
        <v>66</v>
      </c>
      <c r="BE2" s="382" t="s">
        <v>67</v>
      </c>
      <c r="BF2" s="382" t="s">
        <v>68</v>
      </c>
      <c r="BG2" s="382" t="s">
        <v>69</v>
      </c>
      <c r="BH2" s="382" t="s">
        <v>70</v>
      </c>
      <c r="BI2" s="382" t="s">
        <v>71</v>
      </c>
      <c r="BJ2" s="382" t="s">
        <v>72</v>
      </c>
      <c r="BK2" s="382" t="s">
        <v>73</v>
      </c>
      <c r="BL2" s="382" t="s">
        <v>74</v>
      </c>
      <c r="BM2" s="382" t="s">
        <v>75</v>
      </c>
      <c r="BN2" s="382" t="s">
        <v>76</v>
      </c>
      <c r="BO2" s="382" t="s">
        <v>77</v>
      </c>
      <c r="BP2" s="382" t="s">
        <v>78</v>
      </c>
      <c r="BQ2" s="382" t="s">
        <v>79</v>
      </c>
      <c r="BR2" s="382" t="s">
        <v>80</v>
      </c>
      <c r="BS2" s="382" t="s">
        <v>81</v>
      </c>
      <c r="BT2" s="382" t="s">
        <v>82</v>
      </c>
      <c r="BU2" s="382" t="s">
        <v>83</v>
      </c>
      <c r="BV2" s="382" t="s">
        <v>84</v>
      </c>
      <c r="BW2" s="382" t="s">
        <v>85</v>
      </c>
      <c r="BX2" s="382" t="s">
        <v>86</v>
      </c>
      <c r="BY2" s="382" t="s">
        <v>87</v>
      </c>
      <c r="BZ2" s="382" t="s">
        <v>88</v>
      </c>
      <c r="CA2" s="382" t="s">
        <v>89</v>
      </c>
      <c r="CB2" s="382" t="s">
        <v>90</v>
      </c>
      <c r="CC2" s="855" t="s">
        <v>91</v>
      </c>
      <c r="CD2" s="382" t="s">
        <v>92</v>
      </c>
      <c r="CE2" s="382" t="s">
        <v>93</v>
      </c>
      <c r="CF2" s="382" t="s">
        <v>94</v>
      </c>
      <c r="CG2" s="382" t="s">
        <v>95</v>
      </c>
      <c r="CH2" s="382" t="s">
        <v>96</v>
      </c>
      <c r="CI2" s="382" t="s">
        <v>97</v>
      </c>
      <c r="CJ2" s="382" t="s">
        <v>98</v>
      </c>
      <c r="CK2" s="382" t="s">
        <v>99</v>
      </c>
      <c r="CL2" s="382" t="s">
        <v>100</v>
      </c>
      <c r="CM2" s="382" t="s">
        <v>101</v>
      </c>
      <c r="CN2" s="382" t="s">
        <v>102</v>
      </c>
      <c r="CO2" s="382" t="s">
        <v>103</v>
      </c>
      <c r="CP2" s="382" t="s">
        <v>104</v>
      </c>
      <c r="CQ2" s="382" t="s">
        <v>105</v>
      </c>
      <c r="CR2" s="382" t="s">
        <v>106</v>
      </c>
      <c r="CS2" s="382" t="s">
        <v>107</v>
      </c>
      <c r="CT2" s="382" t="s">
        <v>108</v>
      </c>
      <c r="CU2" s="382" t="s">
        <v>109</v>
      </c>
      <c r="CV2" s="382" t="s">
        <v>110</v>
      </c>
      <c r="CW2" s="382" t="s">
        <v>111</v>
      </c>
      <c r="CX2" s="382" t="s">
        <v>112</v>
      </c>
      <c r="CY2" s="382" t="s">
        <v>113</v>
      </c>
      <c r="CZ2" s="382" t="s">
        <v>114</v>
      </c>
      <c r="DA2" s="382" t="s">
        <v>115</v>
      </c>
      <c r="DB2" s="382" t="s">
        <v>116</v>
      </c>
      <c r="DC2" s="382" t="s">
        <v>117</v>
      </c>
      <c r="DD2" s="382" t="s">
        <v>118</v>
      </c>
      <c r="DE2" s="382" t="s">
        <v>119</v>
      </c>
      <c r="DF2" s="382" t="s">
        <v>120</v>
      </c>
      <c r="DG2" s="382" t="s">
        <v>121</v>
      </c>
      <c r="DH2" s="382" t="s">
        <v>122</v>
      </c>
      <c r="DI2" s="382" t="s">
        <v>123</v>
      </c>
      <c r="DJ2" s="382" t="s">
        <v>124</v>
      </c>
      <c r="DK2" s="382" t="s">
        <v>125</v>
      </c>
      <c r="DL2" s="382" t="s">
        <v>126</v>
      </c>
      <c r="DM2" s="382" t="s">
        <v>127</v>
      </c>
      <c r="DN2" s="382" t="s">
        <v>128</v>
      </c>
      <c r="DO2" s="382" t="s">
        <v>129</v>
      </c>
      <c r="DP2" s="382" t="s">
        <v>130</v>
      </c>
      <c r="DQ2" s="721" t="s">
        <v>131</v>
      </c>
      <c r="DR2" s="420" t="s">
        <v>132</v>
      </c>
      <c r="DS2" s="498"/>
      <c r="DT2" s="666" t="s">
        <v>133</v>
      </c>
      <c r="DU2" s="716" t="s">
        <v>134</v>
      </c>
      <c r="DV2" s="383" t="s">
        <v>135</v>
      </c>
      <c r="DW2" s="383" t="s">
        <v>136</v>
      </c>
      <c r="DX2" s="383" t="s">
        <v>137</v>
      </c>
      <c r="DY2" s="383" t="s">
        <v>138</v>
      </c>
      <c r="DZ2" s="593"/>
      <c r="EA2" s="383" t="s">
        <v>139</v>
      </c>
      <c r="EB2" s="383" t="s">
        <v>140</v>
      </c>
      <c r="EC2" s="593"/>
      <c r="ED2" s="383" t="s">
        <v>141</v>
      </c>
      <c r="EE2" s="383" t="s">
        <v>142</v>
      </c>
      <c r="EF2" s="383" t="s">
        <v>143</v>
      </c>
      <c r="EG2" s="383" t="s">
        <v>144</v>
      </c>
      <c r="EH2" s="383" t="s">
        <v>145</v>
      </c>
      <c r="EI2" s="383" t="s">
        <v>146</v>
      </c>
      <c r="EJ2" s="383" t="s">
        <v>147</v>
      </c>
      <c r="EK2" s="383" t="s">
        <v>148</v>
      </c>
      <c r="EL2" s="593"/>
      <c r="EM2" s="383" t="s">
        <v>149</v>
      </c>
      <c r="EN2" s="383" t="s">
        <v>150</v>
      </c>
      <c r="EO2" s="383" t="s">
        <v>151</v>
      </c>
      <c r="EP2" s="383" t="s">
        <v>152</v>
      </c>
      <c r="EQ2" s="383" t="s">
        <v>153</v>
      </c>
      <c r="ER2" s="383" t="s">
        <v>154</v>
      </c>
      <c r="ES2" s="383" t="s">
        <v>155</v>
      </c>
      <c r="ET2" s="383" t="s">
        <v>156</v>
      </c>
      <c r="EU2" s="383" t="s">
        <v>157</v>
      </c>
      <c r="EV2" s="383" t="s">
        <v>158</v>
      </c>
      <c r="EW2" s="383" t="s">
        <v>159</v>
      </c>
      <c r="EX2" s="383" t="s">
        <v>160</v>
      </c>
      <c r="EY2" s="383" t="s">
        <v>161</v>
      </c>
      <c r="EZ2" s="383" t="s">
        <v>162</v>
      </c>
      <c r="FA2" s="383" t="s">
        <v>163</v>
      </c>
      <c r="FB2" s="383" t="s">
        <v>164</v>
      </c>
      <c r="FC2" s="383" t="s">
        <v>165</v>
      </c>
      <c r="FD2" s="383" t="s">
        <v>166</v>
      </c>
      <c r="FE2" s="593"/>
      <c r="FF2" s="383" t="s">
        <v>167</v>
      </c>
      <c r="FG2" s="383" t="s">
        <v>168</v>
      </c>
      <c r="FH2" s="383" t="s">
        <v>169</v>
      </c>
      <c r="FI2" s="383" t="s">
        <v>170</v>
      </c>
      <c r="FJ2" s="383" t="s">
        <v>171</v>
      </c>
      <c r="FK2" s="383" t="s">
        <v>172</v>
      </c>
      <c r="FL2" s="383" t="s">
        <v>173</v>
      </c>
      <c r="FM2" s="383" t="s">
        <v>174</v>
      </c>
      <c r="FN2" s="383" t="s">
        <v>175</v>
      </c>
      <c r="FO2" s="383" t="s">
        <v>176</v>
      </c>
      <c r="FP2" s="383" t="s">
        <v>177</v>
      </c>
      <c r="FQ2" s="383" t="s">
        <v>178</v>
      </c>
      <c r="FR2" s="383" t="s">
        <v>179</v>
      </c>
      <c r="FS2" s="383" t="s">
        <v>180</v>
      </c>
      <c r="FT2" s="383" t="s">
        <v>181</v>
      </c>
      <c r="FU2" s="383" t="s">
        <v>182</v>
      </c>
      <c r="FV2" s="383" t="s">
        <v>183</v>
      </c>
      <c r="FW2" s="383" t="s">
        <v>184</v>
      </c>
      <c r="FX2" s="383" t="s">
        <v>185</v>
      </c>
      <c r="FY2" s="383" t="s">
        <v>186</v>
      </c>
      <c r="FZ2" s="383" t="s">
        <v>187</v>
      </c>
      <c r="GA2" s="383" t="s">
        <v>188</v>
      </c>
      <c r="GB2" s="383" t="s">
        <v>189</v>
      </c>
      <c r="GC2" s="383" t="s">
        <v>190</v>
      </c>
      <c r="GD2" s="383" t="s">
        <v>191</v>
      </c>
      <c r="GE2" s="383" t="s">
        <v>192</v>
      </c>
      <c r="GF2" s="383" t="s">
        <v>193</v>
      </c>
      <c r="GG2" s="383" t="s">
        <v>194</v>
      </c>
      <c r="GH2" s="383" t="s">
        <v>195</v>
      </c>
      <c r="GI2" s="383" t="s">
        <v>196</v>
      </c>
      <c r="GJ2" s="383" t="s">
        <v>197</v>
      </c>
      <c r="GK2" s="383" t="s">
        <v>195</v>
      </c>
      <c r="GL2" s="383" t="s">
        <v>198</v>
      </c>
      <c r="GM2" s="383" t="s">
        <v>199</v>
      </c>
      <c r="GN2" s="383" t="s">
        <v>200</v>
      </c>
      <c r="GO2" s="383" t="s">
        <v>201</v>
      </c>
      <c r="GP2" s="383" t="s">
        <v>202</v>
      </c>
      <c r="GQ2" s="383" t="s">
        <v>203</v>
      </c>
      <c r="GR2" s="383" t="s">
        <v>204</v>
      </c>
      <c r="GS2" s="383" t="s">
        <v>205</v>
      </c>
      <c r="GT2" s="383" t="s">
        <v>206</v>
      </c>
      <c r="GU2" s="383" t="s">
        <v>207</v>
      </c>
      <c r="GV2" s="383" t="s">
        <v>208</v>
      </c>
      <c r="GW2" s="383" t="s">
        <v>209</v>
      </c>
      <c r="GX2" s="383" t="s">
        <v>210</v>
      </c>
      <c r="GY2" s="383" t="s">
        <v>211</v>
      </c>
      <c r="GZ2" s="383" t="s">
        <v>212</v>
      </c>
      <c r="HA2" s="383" t="s">
        <v>213</v>
      </c>
      <c r="HB2" s="383" t="s">
        <v>214</v>
      </c>
      <c r="HC2" s="383" t="s">
        <v>215</v>
      </c>
      <c r="HD2" s="593"/>
      <c r="HE2" s="383" t="s">
        <v>216</v>
      </c>
      <c r="HF2" s="383" t="s">
        <v>217</v>
      </c>
      <c r="HG2" s="383" t="s">
        <v>218</v>
      </c>
      <c r="HH2" s="383" t="s">
        <v>219</v>
      </c>
      <c r="HI2" s="383" t="s">
        <v>220</v>
      </c>
      <c r="HJ2" s="593"/>
      <c r="HK2" s="383" t="s">
        <v>221</v>
      </c>
      <c r="HL2" s="383" t="s">
        <v>222</v>
      </c>
      <c r="HM2" s="383" t="s">
        <v>223</v>
      </c>
      <c r="HN2" s="383" t="s">
        <v>224</v>
      </c>
      <c r="HO2" s="383" t="s">
        <v>225</v>
      </c>
      <c r="HP2" s="383" t="s">
        <v>226</v>
      </c>
      <c r="HQ2" s="383" t="s">
        <v>227</v>
      </c>
      <c r="HR2" s="383" t="s">
        <v>228</v>
      </c>
      <c r="HS2" s="383" t="s">
        <v>229</v>
      </c>
      <c r="HT2" s="383" t="s">
        <v>230</v>
      </c>
      <c r="HU2" s="383" t="s">
        <v>231</v>
      </c>
      <c r="HV2" s="383" t="s">
        <v>232</v>
      </c>
      <c r="HW2" s="593"/>
      <c r="HX2" s="383" t="s">
        <v>233</v>
      </c>
      <c r="HY2" s="383" t="s">
        <v>234</v>
      </c>
      <c r="HZ2" s="383" t="s">
        <v>235</v>
      </c>
      <c r="IA2" s="383" t="s">
        <v>236</v>
      </c>
      <c r="IB2" s="383" t="s">
        <v>237</v>
      </c>
      <c r="IC2" s="383" t="s">
        <v>238</v>
      </c>
      <c r="ID2" s="383" t="s">
        <v>239</v>
      </c>
      <c r="IE2" s="383" t="s">
        <v>240</v>
      </c>
      <c r="IF2" s="383" t="s">
        <v>241</v>
      </c>
      <c r="IG2" s="383" t="s">
        <v>242</v>
      </c>
      <c r="IH2" s="383" t="s">
        <v>243</v>
      </c>
      <c r="II2" s="383" t="s">
        <v>244</v>
      </c>
      <c r="IJ2" s="593"/>
      <c r="IK2" s="383" t="s">
        <v>245</v>
      </c>
      <c r="IL2" s="383" t="s">
        <v>246</v>
      </c>
      <c r="IM2" s="383" t="s">
        <v>247</v>
      </c>
      <c r="IN2" s="423"/>
      <c r="IO2" s="384" t="s">
        <v>248</v>
      </c>
      <c r="IP2" s="384" t="s">
        <v>249</v>
      </c>
      <c r="IQ2" s="385" t="s">
        <v>250</v>
      </c>
      <c r="IR2" s="385" t="s">
        <v>251</v>
      </c>
      <c r="IS2" s="385" t="s">
        <v>252</v>
      </c>
      <c r="IT2" s="385" t="s">
        <v>253</v>
      </c>
      <c r="IU2" s="385" t="s">
        <v>254</v>
      </c>
      <c r="IV2" s="385" t="s">
        <v>255</v>
      </c>
      <c r="IW2" s="385" t="s">
        <v>256</v>
      </c>
      <c r="IX2" s="385" t="s">
        <v>257</v>
      </c>
      <c r="IY2" s="385" t="s">
        <v>258</v>
      </c>
      <c r="IZ2" s="385" t="s">
        <v>259</v>
      </c>
      <c r="JA2" s="385" t="s">
        <v>260</v>
      </c>
      <c r="JB2" s="385" t="s">
        <v>261</v>
      </c>
      <c r="JC2" s="385" t="s">
        <v>262</v>
      </c>
      <c r="JD2" s="385" t="s">
        <v>263</v>
      </c>
      <c r="JE2" s="385" t="s">
        <v>264</v>
      </c>
      <c r="JF2" s="385" t="s">
        <v>265</v>
      </c>
      <c r="JG2" s="385" t="s">
        <v>266</v>
      </c>
      <c r="JH2" s="385" t="s">
        <v>267</v>
      </c>
      <c r="JI2" s="385" t="s">
        <v>268</v>
      </c>
      <c r="JJ2" s="396"/>
      <c r="JK2" s="386" t="s">
        <v>269</v>
      </c>
      <c r="JL2" s="387" t="s">
        <v>270</v>
      </c>
      <c r="JM2" s="387" t="s">
        <v>271</v>
      </c>
      <c r="JN2" s="387" t="s">
        <v>272</v>
      </c>
      <c r="JO2" s="387" t="s">
        <v>273</v>
      </c>
      <c r="JP2" s="387" t="s">
        <v>274</v>
      </c>
      <c r="JQ2" s="387" t="s">
        <v>275</v>
      </c>
      <c r="JR2" s="387" t="s">
        <v>276</v>
      </c>
      <c r="JS2" s="387" t="s">
        <v>277</v>
      </c>
      <c r="JT2" s="387" t="s">
        <v>278</v>
      </c>
      <c r="JU2" s="387" t="s">
        <v>279</v>
      </c>
      <c r="JV2" s="387" t="s">
        <v>280</v>
      </c>
      <c r="JW2" s="387" t="s">
        <v>281</v>
      </c>
      <c r="JX2" s="387" t="s">
        <v>282</v>
      </c>
      <c r="JY2" s="387" t="s">
        <v>283</v>
      </c>
      <c r="JZ2" s="387" t="s">
        <v>284</v>
      </c>
      <c r="KA2" s="387" t="s">
        <v>285</v>
      </c>
      <c r="KB2" s="387" t="s">
        <v>286</v>
      </c>
      <c r="KC2" s="387" t="s">
        <v>287</v>
      </c>
      <c r="KD2" s="387" t="s">
        <v>288</v>
      </c>
      <c r="KE2" s="387" t="s">
        <v>289</v>
      </c>
      <c r="KF2" s="387" t="s">
        <v>290</v>
      </c>
      <c r="KG2" s="387" t="s">
        <v>291</v>
      </c>
      <c r="KH2" s="387" t="s">
        <v>292</v>
      </c>
      <c r="KI2" s="387" t="s">
        <v>293</v>
      </c>
      <c r="KJ2" s="397"/>
      <c r="KK2" s="388" t="s">
        <v>294</v>
      </c>
      <c r="KL2" s="544" t="s">
        <v>295</v>
      </c>
      <c r="KM2" s="389" t="s">
        <v>296</v>
      </c>
      <c r="KN2" s="389" t="s">
        <v>297</v>
      </c>
      <c r="KO2" s="389"/>
      <c r="KP2" s="389"/>
      <c r="KQ2" s="398"/>
      <c r="KR2" s="390" t="s">
        <v>298</v>
      </c>
      <c r="KS2" s="391" t="s">
        <v>299</v>
      </c>
      <c r="KT2" s="392" t="s">
        <v>300</v>
      </c>
      <c r="KU2" s="392" t="s">
        <v>301</v>
      </c>
      <c r="KV2" s="392" t="s">
        <v>302</v>
      </c>
      <c r="KW2" s="392" t="s">
        <v>303</v>
      </c>
      <c r="KX2" s="392" t="s">
        <v>304</v>
      </c>
      <c r="KY2" s="392" t="s">
        <v>305</v>
      </c>
      <c r="KZ2" s="392" t="s">
        <v>306</v>
      </c>
      <c r="LA2" s="392" t="s">
        <v>307</v>
      </c>
      <c r="LB2" s="392" t="s">
        <v>308</v>
      </c>
      <c r="LC2" s="392" t="s">
        <v>309</v>
      </c>
      <c r="LD2" s="392" t="s">
        <v>310</v>
      </c>
      <c r="LE2" s="392" t="s">
        <v>311</v>
      </c>
      <c r="LF2" s="392" t="s">
        <v>312</v>
      </c>
      <c r="LG2" s="392" t="s">
        <v>313</v>
      </c>
      <c r="LH2" s="392" t="s">
        <v>314</v>
      </c>
      <c r="LI2" s="392" t="s">
        <v>315</v>
      </c>
      <c r="LJ2" s="392" t="s">
        <v>316</v>
      </c>
      <c r="LK2" s="392" t="s">
        <v>317</v>
      </c>
      <c r="LL2" s="392" t="s">
        <v>318</v>
      </c>
      <c r="LM2" s="392" t="s">
        <v>319</v>
      </c>
      <c r="LN2" s="392" t="s">
        <v>320</v>
      </c>
      <c r="LO2" s="392" t="s">
        <v>321</v>
      </c>
      <c r="LP2" s="392"/>
      <c r="LQ2" s="392"/>
      <c r="LR2" s="392" t="s">
        <v>322</v>
      </c>
      <c r="LS2" s="392"/>
      <c r="LT2" s="734"/>
      <c r="LU2" s="611" t="s">
        <v>323</v>
      </c>
      <c r="LV2" s="587" t="s">
        <v>324</v>
      </c>
      <c r="LW2" s="608" t="s">
        <v>325</v>
      </c>
      <c r="LX2" s="608" t="s">
        <v>326</v>
      </c>
      <c r="LY2" s="608" t="s">
        <v>327</v>
      </c>
      <c r="LZ2" s="608" t="s">
        <v>328</v>
      </c>
      <c r="MA2" s="608" t="s">
        <v>329</v>
      </c>
      <c r="MB2" s="608" t="s">
        <v>330</v>
      </c>
      <c r="MC2" s="608" t="s">
        <v>331</v>
      </c>
      <c r="MD2" s="587" t="s">
        <v>332</v>
      </c>
      <c r="ME2" s="608" t="s">
        <v>333</v>
      </c>
      <c r="MF2" s="587" t="s">
        <v>334</v>
      </c>
      <c r="MG2" s="608" t="s">
        <v>335</v>
      </c>
      <c r="MH2" s="587" t="s">
        <v>336</v>
      </c>
      <c r="MI2" s="608" t="s">
        <v>337</v>
      </c>
      <c r="MJ2" s="587" t="s">
        <v>338</v>
      </c>
      <c r="MK2" s="608" t="s">
        <v>339</v>
      </c>
      <c r="ML2" s="608" t="s">
        <v>340</v>
      </c>
      <c r="MM2" s="608" t="s">
        <v>341</v>
      </c>
      <c r="MN2" s="608" t="s">
        <v>342</v>
      </c>
      <c r="MO2" s="608" t="s">
        <v>343</v>
      </c>
      <c r="MP2" s="608" t="s">
        <v>344</v>
      </c>
      <c r="MQ2" s="608" t="s">
        <v>345</v>
      </c>
      <c r="MR2" s="608" t="s">
        <v>346</v>
      </c>
      <c r="MS2" s="608" t="s">
        <v>347</v>
      </c>
      <c r="MT2" s="608" t="s">
        <v>348</v>
      </c>
      <c r="MU2" s="608" t="s">
        <v>349</v>
      </c>
      <c r="MV2" s="608" t="s">
        <v>350</v>
      </c>
      <c r="MW2" s="587" t="s">
        <v>351</v>
      </c>
      <c r="MX2" s="393" t="s">
        <v>352</v>
      </c>
      <c r="MY2" s="393" t="s">
        <v>353</v>
      </c>
      <c r="MZ2" s="393" t="s">
        <v>354</v>
      </c>
      <c r="NA2" s="393" t="s">
        <v>355</v>
      </c>
      <c r="NB2" s="393" t="s">
        <v>356</v>
      </c>
      <c r="NC2" s="393" t="s">
        <v>357</v>
      </c>
      <c r="ND2" s="393" t="s">
        <v>358</v>
      </c>
      <c r="NE2" s="393" t="s">
        <v>359</v>
      </c>
      <c r="NF2" s="393" t="s">
        <v>360</v>
      </c>
      <c r="NG2" s="393" t="s">
        <v>361</v>
      </c>
      <c r="NH2" s="393" t="s">
        <v>362</v>
      </c>
      <c r="NI2" s="393" t="s">
        <v>363</v>
      </c>
      <c r="NJ2" s="393" t="s">
        <v>364</v>
      </c>
      <c r="NK2" s="393" t="s">
        <v>365</v>
      </c>
      <c r="NL2" s="393" t="s">
        <v>366</v>
      </c>
      <c r="NM2" s="393" t="s">
        <v>367</v>
      </c>
      <c r="NN2" s="393" t="s">
        <v>368</v>
      </c>
      <c r="NO2" s="393" t="s">
        <v>369</v>
      </c>
      <c r="NP2" s="393" t="s">
        <v>370</v>
      </c>
      <c r="NQ2" s="393" t="s">
        <v>371</v>
      </c>
      <c r="NR2" s="393" t="s">
        <v>372</v>
      </c>
      <c r="NS2" s="393" t="s">
        <v>373</v>
      </c>
      <c r="NT2" s="393" t="s">
        <v>374</v>
      </c>
      <c r="NU2" s="393" t="s">
        <v>375</v>
      </c>
      <c r="NV2" s="393" t="s">
        <v>376</v>
      </c>
      <c r="NW2" s="393" t="s">
        <v>377</v>
      </c>
      <c r="NX2" s="393" t="s">
        <v>378</v>
      </c>
      <c r="NY2" s="393" t="s">
        <v>379</v>
      </c>
      <c r="NZ2" s="611" t="s">
        <v>380</v>
      </c>
      <c r="OA2" s="635"/>
      <c r="OB2" s="638" t="s">
        <v>381</v>
      </c>
      <c r="OC2" s="638" t="s">
        <v>382</v>
      </c>
      <c r="OD2" s="638" t="s">
        <v>383</v>
      </c>
      <c r="OE2" s="638" t="s">
        <v>384</v>
      </c>
      <c r="OF2" s="638" t="s">
        <v>385</v>
      </c>
      <c r="OG2" s="638" t="s">
        <v>386</v>
      </c>
      <c r="OH2" s="638" t="s">
        <v>387</v>
      </c>
      <c r="OI2" s="638" t="s">
        <v>388</v>
      </c>
      <c r="OJ2" s="638" t="s">
        <v>389</v>
      </c>
      <c r="OK2" s="638" t="s">
        <v>390</v>
      </c>
      <c r="OL2" s="638" t="s">
        <v>391</v>
      </c>
      <c r="OM2" s="638" t="s">
        <v>392</v>
      </c>
      <c r="ON2" s="635"/>
      <c r="OO2" s="638" t="s">
        <v>393</v>
      </c>
      <c r="OP2" s="638" t="s">
        <v>394</v>
      </c>
      <c r="OQ2" s="638" t="s">
        <v>395</v>
      </c>
      <c r="OR2" s="638" t="s">
        <v>396</v>
      </c>
      <c r="OS2" s="638" t="s">
        <v>397</v>
      </c>
      <c r="OT2" s="638" t="s">
        <v>398</v>
      </c>
      <c r="OU2" s="638" t="s">
        <v>399</v>
      </c>
      <c r="OV2" s="638" t="s">
        <v>400</v>
      </c>
      <c r="OW2" s="638" t="s">
        <v>401</v>
      </c>
      <c r="OX2" s="638" t="s">
        <v>402</v>
      </c>
      <c r="OY2" s="638" t="s">
        <v>403</v>
      </c>
      <c r="OZ2" s="638" t="s">
        <v>404</v>
      </c>
      <c r="PA2" s="638" t="s">
        <v>405</v>
      </c>
      <c r="PB2" s="638" t="s">
        <v>406</v>
      </c>
      <c r="PC2" s="638" t="s">
        <v>407</v>
      </c>
      <c r="PD2" s="638" t="s">
        <v>408</v>
      </c>
      <c r="PE2" s="638" t="s">
        <v>409</v>
      </c>
      <c r="PF2" s="638" t="s">
        <v>410</v>
      </c>
      <c r="PG2" s="638" t="s">
        <v>411</v>
      </c>
      <c r="PH2" s="640" t="s">
        <v>412</v>
      </c>
      <c r="PI2" s="666" t="s">
        <v>413</v>
      </c>
      <c r="PJ2" s="666" t="s">
        <v>414</v>
      </c>
      <c r="PK2" s="666" t="s">
        <v>415</v>
      </c>
      <c r="PL2" s="420" t="s">
        <v>416</v>
      </c>
      <c r="PM2" s="420" t="s">
        <v>417</v>
      </c>
      <c r="PN2" s="420" t="s">
        <v>418</v>
      </c>
      <c r="PO2" s="550" t="s">
        <v>419</v>
      </c>
    </row>
    <row r="3" spans="1:431" s="226" customFormat="1" ht="16.5" thickTop="1">
      <c r="A3" s="509" t="s">
        <v>420</v>
      </c>
      <c r="B3" s="624"/>
      <c r="C3" s="620"/>
      <c r="D3" s="620"/>
      <c r="E3" s="620"/>
      <c r="F3" s="620"/>
      <c r="G3" s="492"/>
      <c r="H3" s="394"/>
      <c r="I3" s="394"/>
      <c r="J3" s="395"/>
      <c r="K3" s="395"/>
      <c r="L3" s="395"/>
      <c r="M3" s="395"/>
      <c r="N3" s="395"/>
      <c r="O3" s="395"/>
      <c r="P3" s="395"/>
      <c r="Q3" s="395"/>
      <c r="R3" s="395"/>
      <c r="S3" s="395"/>
      <c r="T3" s="395"/>
      <c r="U3" s="395"/>
      <c r="V3" s="395"/>
      <c r="W3" s="395"/>
      <c r="X3" s="395"/>
      <c r="Y3" s="395"/>
      <c r="Z3" s="395"/>
      <c r="AA3" s="395"/>
      <c r="AB3" s="395"/>
      <c r="AC3" s="395"/>
      <c r="AD3" s="395"/>
      <c r="AE3" s="395"/>
      <c r="AF3" s="395"/>
      <c r="AG3" s="395"/>
      <c r="AH3" s="395"/>
      <c r="AI3" s="395"/>
      <c r="AJ3" s="395"/>
      <c r="AK3" s="395"/>
      <c r="AL3" s="395"/>
      <c r="AM3" s="395"/>
      <c r="AN3" s="395"/>
      <c r="AO3" s="395"/>
      <c r="AP3" s="395"/>
      <c r="AQ3" s="395"/>
      <c r="AR3" s="395"/>
      <c r="AS3" s="395"/>
      <c r="AT3" s="395"/>
      <c r="AU3" s="395"/>
      <c r="AV3" s="395"/>
      <c r="AW3" s="395"/>
      <c r="AX3" s="395"/>
      <c r="AY3" s="395"/>
      <c r="AZ3" s="395"/>
      <c r="BA3" s="395"/>
      <c r="BB3" s="395"/>
      <c r="BC3" s="395"/>
      <c r="BD3" s="395"/>
      <c r="BE3" s="395"/>
      <c r="BF3" s="395"/>
      <c r="BG3" s="395"/>
      <c r="BH3" s="395"/>
      <c r="BI3" s="395"/>
      <c r="BJ3" s="395"/>
      <c r="BK3" s="395"/>
      <c r="BL3" s="395"/>
      <c r="BM3" s="395"/>
      <c r="BN3" s="395"/>
      <c r="BO3" s="395"/>
      <c r="BP3" s="395"/>
      <c r="BQ3" s="395"/>
      <c r="BR3" s="395"/>
      <c r="BS3" s="395"/>
      <c r="BT3" s="395"/>
      <c r="BU3" s="395"/>
      <c r="BV3" s="395"/>
      <c r="BW3" s="395"/>
      <c r="BX3" s="395"/>
      <c r="BY3" s="395"/>
      <c r="BZ3" s="395"/>
      <c r="CA3" s="395"/>
      <c r="CB3" s="395"/>
      <c r="CC3" s="856"/>
      <c r="CD3" s="395"/>
      <c r="CE3" s="395"/>
      <c r="CF3" s="395"/>
      <c r="CG3" s="395"/>
      <c r="CH3" s="395"/>
      <c r="CI3" s="395"/>
      <c r="CJ3" s="395"/>
      <c r="CK3" s="395"/>
      <c r="CL3" s="395"/>
      <c r="CM3" s="395"/>
      <c r="CN3" s="395"/>
      <c r="CO3" s="395"/>
      <c r="CP3" s="395"/>
      <c r="CQ3" s="395"/>
      <c r="CR3" s="395"/>
      <c r="CS3" s="395"/>
      <c r="CT3" s="395"/>
      <c r="CU3" s="395"/>
      <c r="CV3" s="395"/>
      <c r="CW3" s="395"/>
      <c r="CX3" s="395"/>
      <c r="CY3" s="395"/>
      <c r="CZ3" s="395"/>
      <c r="DA3" s="395"/>
      <c r="DB3" s="395"/>
      <c r="DC3" s="395"/>
      <c r="DD3" s="395"/>
      <c r="DE3" s="395"/>
      <c r="DF3" s="395"/>
      <c r="DG3" s="395"/>
      <c r="DH3" s="395"/>
      <c r="DI3" s="395"/>
      <c r="DJ3" s="395"/>
      <c r="DK3" s="395"/>
      <c r="DL3" s="395"/>
      <c r="DM3" s="395"/>
      <c r="DN3" s="395"/>
      <c r="DO3" s="395"/>
      <c r="DP3" s="395"/>
      <c r="DQ3" s="395"/>
      <c r="DR3" s="637"/>
      <c r="DS3" s="498"/>
      <c r="DT3" s="637"/>
      <c r="DU3" s="395"/>
      <c r="DV3" s="395"/>
      <c r="DW3" s="395"/>
      <c r="DX3" s="395"/>
      <c r="DY3" s="395"/>
      <c r="DZ3" s="599"/>
      <c r="EA3" s="395"/>
      <c r="EB3" s="395"/>
      <c r="EC3" s="599"/>
      <c r="ED3" s="395"/>
      <c r="EE3" s="395"/>
      <c r="EF3" s="395"/>
      <c r="EG3" s="395"/>
      <c r="EH3" s="395"/>
      <c r="EI3" s="395"/>
      <c r="EJ3" s="395"/>
      <c r="EK3" s="395"/>
      <c r="EL3" s="599"/>
      <c r="EM3" s="395"/>
      <c r="EN3" s="395"/>
      <c r="EO3" s="395"/>
      <c r="EP3" s="395"/>
      <c r="EQ3" s="395"/>
      <c r="ER3" s="395"/>
      <c r="ES3" s="395"/>
      <c r="ET3" s="395"/>
      <c r="EU3" s="395"/>
      <c r="EV3" s="395"/>
      <c r="EW3" s="395"/>
      <c r="EX3" s="395"/>
      <c r="EY3" s="395"/>
      <c r="EZ3" s="395"/>
      <c r="FA3" s="395"/>
      <c r="FB3" s="395"/>
      <c r="FC3" s="395"/>
      <c r="FD3" s="395"/>
      <c r="FE3" s="599"/>
      <c r="FF3" s="395"/>
      <c r="FG3" s="395"/>
      <c r="FH3" s="395"/>
      <c r="FI3" s="395"/>
      <c r="FJ3" s="395"/>
      <c r="FK3" s="395"/>
      <c r="FL3" s="395"/>
      <c r="FM3" s="395"/>
      <c r="FN3" s="395"/>
      <c r="FO3" s="395"/>
      <c r="FP3" s="395"/>
      <c r="FQ3" s="395"/>
      <c r="FR3" s="395"/>
      <c r="FS3" s="395"/>
      <c r="FT3" s="395"/>
      <c r="FU3" s="395"/>
      <c r="FV3" s="395"/>
      <c r="FW3" s="395"/>
      <c r="FX3" s="395"/>
      <c r="FY3" s="395"/>
      <c r="FZ3" s="395"/>
      <c r="GA3" s="395"/>
      <c r="GB3" s="395"/>
      <c r="GC3" s="395"/>
      <c r="GD3" s="395"/>
      <c r="GE3" s="395"/>
      <c r="GF3" s="395"/>
      <c r="GG3" s="395"/>
      <c r="GH3" s="395"/>
      <c r="GI3" s="395"/>
      <c r="GJ3" s="395"/>
      <c r="GK3" s="395"/>
      <c r="GL3" s="395"/>
      <c r="GM3" s="395"/>
      <c r="GN3" s="395"/>
      <c r="GO3" s="395"/>
      <c r="GP3" s="395"/>
      <c r="GQ3" s="395"/>
      <c r="GR3" s="395"/>
      <c r="GS3" s="395"/>
      <c r="GT3" s="395"/>
      <c r="GU3" s="395"/>
      <c r="GV3" s="395"/>
      <c r="GW3" s="395"/>
      <c r="GX3" s="395"/>
      <c r="GY3" s="395"/>
      <c r="GZ3" s="395"/>
      <c r="HA3" s="395"/>
      <c r="HB3" s="395"/>
      <c r="HC3" s="395"/>
      <c r="HD3" s="599"/>
      <c r="HE3" s="395"/>
      <c r="HF3" s="395"/>
      <c r="HG3" s="395"/>
      <c r="HH3" s="395"/>
      <c r="HI3" s="395"/>
      <c r="HJ3" s="599"/>
      <c r="HK3" s="395"/>
      <c r="HL3" s="395"/>
      <c r="HM3" s="395"/>
      <c r="HN3" s="395"/>
      <c r="HO3" s="395"/>
      <c r="HP3" s="395"/>
      <c r="HQ3" s="395"/>
      <c r="HR3" s="395"/>
      <c r="HS3" s="395"/>
      <c r="HT3" s="395"/>
      <c r="HU3" s="395"/>
      <c r="HV3" s="395"/>
      <c r="HW3" s="599"/>
      <c r="HX3" s="395"/>
      <c r="HY3" s="395"/>
      <c r="HZ3" s="395"/>
      <c r="IA3" s="395"/>
      <c r="IB3" s="395"/>
      <c r="IC3" s="395"/>
      <c r="ID3" s="395"/>
      <c r="IE3" s="395"/>
      <c r="IF3" s="395"/>
      <c r="IG3" s="395"/>
      <c r="IH3" s="395"/>
      <c r="II3" s="395"/>
      <c r="IJ3" s="599"/>
      <c r="IK3" s="395"/>
      <c r="IL3" s="395"/>
      <c r="IM3" s="395"/>
      <c r="IN3" s="404"/>
      <c r="IO3" s="394"/>
      <c r="IP3" s="395"/>
      <c r="IQ3" s="395"/>
      <c r="IR3" s="395"/>
      <c r="IS3" s="395"/>
      <c r="IT3" s="395"/>
      <c r="IU3" s="395"/>
      <c r="IV3" s="395"/>
      <c r="IW3" s="395"/>
      <c r="IX3" s="395"/>
      <c r="IY3" s="395"/>
      <c r="IZ3" s="395"/>
      <c r="JA3" s="395"/>
      <c r="JB3" s="395"/>
      <c r="JC3" s="395"/>
      <c r="JD3" s="395"/>
      <c r="JE3" s="395"/>
      <c r="JF3" s="395"/>
      <c r="JG3" s="395"/>
      <c r="JH3" s="395"/>
      <c r="JI3" s="395"/>
      <c r="JJ3" s="396"/>
      <c r="JK3" s="394"/>
      <c r="JL3" s="395"/>
      <c r="JM3" s="395"/>
      <c r="JN3" s="395"/>
      <c r="JO3" s="395"/>
      <c r="JP3" s="395"/>
      <c r="JQ3" s="395"/>
      <c r="JR3" s="395"/>
      <c r="JS3" s="395"/>
      <c r="JT3" s="395"/>
      <c r="JU3" s="395"/>
      <c r="JV3" s="395"/>
      <c r="JW3" s="395"/>
      <c r="JX3" s="395"/>
      <c r="JY3" s="395"/>
      <c r="JZ3" s="395"/>
      <c r="KA3" s="395"/>
      <c r="KB3" s="395"/>
      <c r="KC3" s="395"/>
      <c r="KD3" s="395"/>
      <c r="KE3" s="395"/>
      <c r="KF3" s="395"/>
      <c r="KG3" s="395"/>
      <c r="KH3" s="395"/>
      <c r="KI3" s="395"/>
      <c r="KJ3" s="397"/>
      <c r="KK3" s="394"/>
      <c r="KL3" s="395"/>
      <c r="KM3" s="395"/>
      <c r="KN3" s="395"/>
      <c r="KO3" s="395"/>
      <c r="KP3" s="395"/>
      <c r="KQ3" s="398"/>
      <c r="KR3" s="394"/>
      <c r="KS3" s="395"/>
      <c r="KT3" s="395"/>
      <c r="KU3" s="395"/>
      <c r="KV3" s="395"/>
      <c r="KW3" s="395"/>
      <c r="KX3" s="395"/>
      <c r="KY3" s="395"/>
      <c r="KZ3" s="395"/>
      <c r="LA3" s="395"/>
      <c r="LB3" s="395"/>
      <c r="LC3" s="395"/>
      <c r="LD3" s="395"/>
      <c r="LE3" s="395"/>
      <c r="LF3" s="395"/>
      <c r="LG3" s="395"/>
      <c r="LH3" s="395"/>
      <c r="LI3" s="395"/>
      <c r="LJ3" s="395"/>
      <c r="LK3" s="395"/>
      <c r="LL3" s="395"/>
      <c r="LM3" s="395"/>
      <c r="LN3" s="395"/>
      <c r="LO3" s="395"/>
      <c r="LP3" s="395"/>
      <c r="LQ3" s="395"/>
      <c r="LR3" s="395"/>
      <c r="LS3" s="395"/>
      <c r="LT3" s="735"/>
      <c r="LU3" s="637"/>
      <c r="LV3" s="395"/>
      <c r="LW3" s="609"/>
      <c r="LX3" s="394"/>
      <c r="LY3" s="395"/>
      <c r="LZ3" s="609"/>
      <c r="MA3" s="394"/>
      <c r="MB3" s="395"/>
      <c r="MC3" s="609"/>
      <c r="MD3" s="394"/>
      <c r="ME3" s="395"/>
      <c r="MF3" s="609"/>
      <c r="MG3" s="394"/>
      <c r="MH3" s="395"/>
      <c r="MI3" s="609"/>
      <c r="MJ3" s="394"/>
      <c r="MK3" s="395"/>
      <c r="ML3" s="609"/>
      <c r="MM3" s="394"/>
      <c r="MN3" s="395"/>
      <c r="MO3" s="609"/>
      <c r="MP3" s="394"/>
      <c r="MQ3" s="395"/>
      <c r="MR3" s="609"/>
      <c r="MS3" s="394"/>
      <c r="MT3" s="395"/>
      <c r="MU3" s="609"/>
      <c r="MV3" s="609"/>
      <c r="MW3" s="395"/>
      <c r="MX3" s="395"/>
      <c r="MY3" s="395"/>
      <c r="MZ3" s="395"/>
      <c r="NA3" s="395"/>
      <c r="NB3" s="395"/>
      <c r="NC3" s="395"/>
      <c r="ND3" s="395"/>
      <c r="NE3" s="395"/>
      <c r="NF3" s="395"/>
      <c r="NG3" s="395"/>
      <c r="NH3" s="395"/>
      <c r="NI3" s="395"/>
      <c r="NJ3" s="395"/>
      <c r="NK3" s="395"/>
      <c r="NL3" s="395"/>
      <c r="NM3" s="395"/>
      <c r="NN3" s="395"/>
      <c r="NO3" s="395"/>
      <c r="NP3" s="395"/>
      <c r="NQ3" s="395"/>
      <c r="NR3" s="395"/>
      <c r="NS3" s="395"/>
      <c r="NT3" s="395"/>
      <c r="NU3" s="395"/>
      <c r="NV3" s="395"/>
      <c r="NW3" s="395"/>
      <c r="NX3" s="395"/>
      <c r="NY3" s="395"/>
      <c r="NZ3" s="637"/>
      <c r="OA3" s="635"/>
      <c r="OB3" s="637"/>
      <c r="OC3" s="637"/>
      <c r="OD3" s="637"/>
      <c r="OE3" s="637"/>
      <c r="OF3" s="637"/>
      <c r="OG3" s="637"/>
      <c r="OH3" s="637"/>
      <c r="OI3" s="637"/>
      <c r="OJ3" s="637"/>
      <c r="OK3" s="637"/>
      <c r="OL3" s="637"/>
      <c r="OM3" s="637"/>
      <c r="ON3" s="635"/>
      <c r="OO3" s="637"/>
      <c r="OP3" s="637"/>
      <c r="OQ3" s="637"/>
      <c r="OR3" s="637"/>
      <c r="OS3" s="637"/>
      <c r="OT3" s="637"/>
      <c r="OU3" s="637"/>
      <c r="OV3" s="637"/>
      <c r="OW3" s="637"/>
      <c r="OX3" s="637"/>
      <c r="OY3" s="637"/>
      <c r="OZ3" s="637"/>
      <c r="PA3" s="637"/>
      <c r="PB3" s="637"/>
      <c r="PC3" s="637"/>
      <c r="PD3" s="637"/>
      <c r="PE3" s="637"/>
      <c r="PF3" s="637"/>
      <c r="PG3" s="637"/>
      <c r="PH3" s="641"/>
      <c r="PI3" s="637"/>
      <c r="PJ3" s="637"/>
      <c r="PK3" s="637"/>
      <c r="PL3" s="675"/>
      <c r="PM3" s="675"/>
      <c r="PN3" s="675"/>
      <c r="PO3" s="759"/>
    </row>
    <row r="4" spans="1:431" ht="30">
      <c r="A4" s="399" t="s">
        <v>421</v>
      </c>
      <c r="B4" s="623" t="s">
        <v>17</v>
      </c>
      <c r="C4" s="380" t="s">
        <v>420</v>
      </c>
      <c r="D4" s="380" t="s">
        <v>421</v>
      </c>
      <c r="G4" s="493"/>
      <c r="H4" s="400" t="s">
        <v>6</v>
      </c>
      <c r="I4" s="401" t="s">
        <v>6</v>
      </c>
      <c r="J4" s="401" t="s">
        <v>6</v>
      </c>
      <c r="K4" s="401" t="s">
        <v>6</v>
      </c>
      <c r="L4" s="401" t="s">
        <v>6</v>
      </c>
      <c r="M4" s="401" t="s">
        <v>6</v>
      </c>
      <c r="N4" s="400" t="s">
        <v>6</v>
      </c>
      <c r="O4" s="401" t="s">
        <v>6</v>
      </c>
      <c r="P4" s="401" t="s">
        <v>6</v>
      </c>
      <c r="Q4" s="401" t="s">
        <v>6</v>
      </c>
      <c r="R4" s="401" t="s">
        <v>6</v>
      </c>
      <c r="S4" s="401" t="s">
        <v>6</v>
      </c>
      <c r="T4" s="401" t="s">
        <v>6</v>
      </c>
      <c r="U4" s="401" t="s">
        <v>6</v>
      </c>
      <c r="V4" s="401" t="s">
        <v>6</v>
      </c>
      <c r="W4" s="401" t="s">
        <v>6</v>
      </c>
      <c r="X4" s="401" t="s">
        <v>6</v>
      </c>
      <c r="Y4" s="401" t="s">
        <v>6</v>
      </c>
      <c r="Z4" s="401" t="s">
        <v>6</v>
      </c>
      <c r="AA4" s="401" t="s">
        <v>6</v>
      </c>
      <c r="AB4" s="401" t="s">
        <v>6</v>
      </c>
      <c r="AC4" s="401" t="s">
        <v>6</v>
      </c>
      <c r="AD4" s="401" t="s">
        <v>6</v>
      </c>
      <c r="AE4" s="401" t="s">
        <v>6</v>
      </c>
      <c r="AF4" s="401" t="s">
        <v>6</v>
      </c>
      <c r="AG4" s="401" t="s">
        <v>6</v>
      </c>
      <c r="AH4" s="401" t="s">
        <v>6</v>
      </c>
      <c r="AI4" s="401" t="s">
        <v>6</v>
      </c>
      <c r="AJ4" s="401" t="s">
        <v>6</v>
      </c>
      <c r="AK4" s="401" t="s">
        <v>6</v>
      </c>
      <c r="AL4" s="401" t="s">
        <v>6</v>
      </c>
      <c r="AM4" s="401" t="s">
        <v>6</v>
      </c>
      <c r="AN4" s="401" t="s">
        <v>6</v>
      </c>
      <c r="AO4" s="401" t="s">
        <v>6</v>
      </c>
      <c r="AP4" s="401" t="s">
        <v>6</v>
      </c>
      <c r="AQ4" s="401" t="s">
        <v>6</v>
      </c>
      <c r="AR4" s="401" t="s">
        <v>6</v>
      </c>
      <c r="AS4" s="401" t="s">
        <v>6</v>
      </c>
      <c r="AT4" s="401" t="s">
        <v>6</v>
      </c>
      <c r="AU4" s="401" t="s">
        <v>6</v>
      </c>
      <c r="AV4" s="401" t="s">
        <v>6</v>
      </c>
      <c r="AW4" s="401" t="s">
        <v>6</v>
      </c>
      <c r="AX4" s="401" t="s">
        <v>6</v>
      </c>
      <c r="AY4" s="401" t="s">
        <v>6</v>
      </c>
      <c r="AZ4" s="401" t="s">
        <v>6</v>
      </c>
      <c r="BA4" s="401" t="s">
        <v>6</v>
      </c>
      <c r="BB4" s="401" t="s">
        <v>6</v>
      </c>
      <c r="BC4" s="401" t="s">
        <v>6</v>
      </c>
      <c r="BD4" s="401" t="s">
        <v>6</v>
      </c>
      <c r="BE4" s="401" t="s">
        <v>6</v>
      </c>
      <c r="BF4" s="401" t="s">
        <v>6</v>
      </c>
      <c r="BG4" s="401" t="s">
        <v>6</v>
      </c>
      <c r="BH4" s="401" t="s">
        <v>6</v>
      </c>
      <c r="BI4" s="401" t="s">
        <v>6</v>
      </c>
      <c r="BJ4" s="401" t="s">
        <v>6</v>
      </c>
      <c r="BK4" s="401" t="s">
        <v>6</v>
      </c>
      <c r="BL4" s="401" t="s">
        <v>6</v>
      </c>
      <c r="BM4" s="401" t="s">
        <v>6</v>
      </c>
      <c r="BN4" s="401" t="s">
        <v>6</v>
      </c>
      <c r="BO4" s="401" t="s">
        <v>6</v>
      </c>
      <c r="BP4" s="401" t="s">
        <v>6</v>
      </c>
      <c r="BQ4" s="401" t="s">
        <v>6</v>
      </c>
      <c r="BR4" s="401" t="s">
        <v>6</v>
      </c>
      <c r="BS4" s="401" t="s">
        <v>6</v>
      </c>
      <c r="BT4" s="401" t="s">
        <v>6</v>
      </c>
      <c r="BU4" s="401" t="s">
        <v>6</v>
      </c>
      <c r="BV4" s="401" t="s">
        <v>6</v>
      </c>
      <c r="BW4" s="401" t="s">
        <v>6</v>
      </c>
      <c r="BX4" s="401" t="s">
        <v>6</v>
      </c>
      <c r="BY4" s="401" t="s">
        <v>6</v>
      </c>
      <c r="BZ4" s="401" t="s">
        <v>6</v>
      </c>
      <c r="CA4" s="401" t="s">
        <v>6</v>
      </c>
      <c r="CB4" s="401" t="s">
        <v>6</v>
      </c>
      <c r="CC4" s="857" t="s">
        <v>6</v>
      </c>
      <c r="CD4" s="401" t="s">
        <v>6</v>
      </c>
      <c r="CE4" s="401" t="s">
        <v>6</v>
      </c>
      <c r="CF4" s="401" t="s">
        <v>6</v>
      </c>
      <c r="CG4" s="401" t="s">
        <v>6</v>
      </c>
      <c r="CH4" s="401" t="s">
        <v>6</v>
      </c>
      <c r="CI4" s="401" t="s">
        <v>6</v>
      </c>
      <c r="CJ4" s="401" t="s">
        <v>6</v>
      </c>
      <c r="CK4" s="401" t="s">
        <v>6</v>
      </c>
      <c r="CL4" s="401" t="s">
        <v>6</v>
      </c>
      <c r="CM4" s="401" t="s">
        <v>6</v>
      </c>
      <c r="CN4" s="401" t="s">
        <v>6</v>
      </c>
      <c r="CO4" s="401" t="s">
        <v>6</v>
      </c>
      <c r="CP4" s="401" t="s">
        <v>6</v>
      </c>
      <c r="CQ4" s="401" t="s">
        <v>6</v>
      </c>
      <c r="CR4" s="401" t="s">
        <v>6</v>
      </c>
      <c r="CS4" s="401" t="s">
        <v>6</v>
      </c>
      <c r="CT4" s="401" t="s">
        <v>6</v>
      </c>
      <c r="CU4" s="401" t="s">
        <v>6</v>
      </c>
      <c r="CV4" s="401" t="s">
        <v>6</v>
      </c>
      <c r="CW4" s="401" t="s">
        <v>6</v>
      </c>
      <c r="CX4" s="401" t="s">
        <v>6</v>
      </c>
      <c r="CY4" s="401" t="s">
        <v>6</v>
      </c>
      <c r="CZ4" s="401" t="s">
        <v>6</v>
      </c>
      <c r="DA4" s="401" t="s">
        <v>6</v>
      </c>
      <c r="DB4" s="401" t="s">
        <v>6</v>
      </c>
      <c r="DC4" s="401" t="s">
        <v>6</v>
      </c>
      <c r="DD4" s="401" t="s">
        <v>6</v>
      </c>
      <c r="DE4" s="401" t="s">
        <v>6</v>
      </c>
      <c r="DF4" s="401" t="s">
        <v>6</v>
      </c>
      <c r="DG4" s="401" t="s">
        <v>6</v>
      </c>
      <c r="DH4" s="401" t="s">
        <v>6</v>
      </c>
      <c r="DI4" s="401" t="s">
        <v>6</v>
      </c>
      <c r="DJ4" s="401" t="s">
        <v>6</v>
      </c>
      <c r="DK4" s="401" t="s">
        <v>6</v>
      </c>
      <c r="DL4" s="401" t="s">
        <v>6</v>
      </c>
      <c r="DM4" s="401" t="s">
        <v>6</v>
      </c>
      <c r="DN4" s="401" t="s">
        <v>6</v>
      </c>
      <c r="DO4" s="401" t="s">
        <v>6</v>
      </c>
      <c r="DP4" s="401" t="s">
        <v>6</v>
      </c>
      <c r="DQ4" s="722" t="s">
        <v>6</v>
      </c>
      <c r="DR4" s="420" t="s">
        <v>6</v>
      </c>
      <c r="DS4" s="498"/>
      <c r="DT4" s="666" t="s">
        <v>7</v>
      </c>
      <c r="DU4" s="574" t="s">
        <v>7</v>
      </c>
      <c r="DV4" s="550" t="s">
        <v>7</v>
      </c>
      <c r="DW4" s="550" t="s">
        <v>7</v>
      </c>
      <c r="DX4" s="550" t="s">
        <v>7</v>
      </c>
      <c r="DY4" s="550" t="s">
        <v>7</v>
      </c>
      <c r="DZ4" s="602"/>
      <c r="EA4" s="550" t="s">
        <v>7</v>
      </c>
      <c r="EB4" s="550" t="s">
        <v>7</v>
      </c>
      <c r="EC4" s="602"/>
      <c r="ED4" s="550" t="s">
        <v>7</v>
      </c>
      <c r="EE4" s="550" t="s">
        <v>7</v>
      </c>
      <c r="EF4" s="550" t="s">
        <v>7</v>
      </c>
      <c r="EG4" s="550" t="s">
        <v>7</v>
      </c>
      <c r="EH4" s="550" t="s">
        <v>7</v>
      </c>
      <c r="EI4" s="550" t="s">
        <v>7</v>
      </c>
      <c r="EJ4" s="550" t="s">
        <v>7</v>
      </c>
      <c r="EK4" s="550" t="s">
        <v>7</v>
      </c>
      <c r="EL4" s="602"/>
      <c r="EM4" s="550" t="s">
        <v>7</v>
      </c>
      <c r="EN4" s="402" t="s">
        <v>7</v>
      </c>
      <c r="EO4" s="403" t="s">
        <v>7</v>
      </c>
      <c r="EP4" s="403" t="s">
        <v>7</v>
      </c>
      <c r="EQ4" s="403" t="s">
        <v>7</v>
      </c>
      <c r="ER4" s="550" t="s">
        <v>7</v>
      </c>
      <c r="ES4" s="550" t="s">
        <v>7</v>
      </c>
      <c r="ET4" s="550" t="s">
        <v>7</v>
      </c>
      <c r="EU4" s="550" t="s">
        <v>7</v>
      </c>
      <c r="EV4" s="550" t="s">
        <v>7</v>
      </c>
      <c r="EW4" s="550" t="s">
        <v>7</v>
      </c>
      <c r="EX4" s="550" t="s">
        <v>7</v>
      </c>
      <c r="EY4" s="550" t="s">
        <v>7</v>
      </c>
      <c r="EZ4" s="550" t="s">
        <v>7</v>
      </c>
      <c r="FA4" s="571" t="s">
        <v>7</v>
      </c>
      <c r="FB4" s="642" t="s">
        <v>7</v>
      </c>
      <c r="FC4" s="642" t="s">
        <v>7</v>
      </c>
      <c r="FD4" s="550" t="s">
        <v>7</v>
      </c>
      <c r="FE4" s="602"/>
      <c r="FF4" s="550" t="s">
        <v>7</v>
      </c>
      <c r="FG4" s="550" t="s">
        <v>7</v>
      </c>
      <c r="FH4" s="550" t="s">
        <v>7</v>
      </c>
      <c r="FI4" s="550" t="s">
        <v>7</v>
      </c>
      <c r="FJ4" s="550" t="s">
        <v>7</v>
      </c>
      <c r="FK4" s="550" t="s">
        <v>7</v>
      </c>
      <c r="FL4" s="550" t="s">
        <v>7</v>
      </c>
      <c r="FM4" s="550" t="s">
        <v>7</v>
      </c>
      <c r="FN4" s="550" t="s">
        <v>7</v>
      </c>
      <c r="FO4" s="550" t="s">
        <v>7</v>
      </c>
      <c r="FP4" s="550" t="s">
        <v>7</v>
      </c>
      <c r="FQ4" s="550" t="s">
        <v>7</v>
      </c>
      <c r="FR4" s="550" t="s">
        <v>7</v>
      </c>
      <c r="FS4" s="550" t="s">
        <v>7</v>
      </c>
      <c r="FT4" s="550" t="s">
        <v>7</v>
      </c>
      <c r="FU4" s="550" t="s">
        <v>7</v>
      </c>
      <c r="FV4" s="550" t="s">
        <v>7</v>
      </c>
      <c r="FW4" s="550" t="s">
        <v>7</v>
      </c>
      <c r="FX4" s="550" t="s">
        <v>7</v>
      </c>
      <c r="FY4" s="550" t="s">
        <v>7</v>
      </c>
      <c r="FZ4" s="571" t="s">
        <v>7</v>
      </c>
      <c r="GA4" s="550" t="s">
        <v>7</v>
      </c>
      <c r="GB4" s="550" t="s">
        <v>7</v>
      </c>
      <c r="GC4" s="550" t="s">
        <v>7</v>
      </c>
      <c r="GD4" s="550" t="s">
        <v>7</v>
      </c>
      <c r="GE4" s="550" t="s">
        <v>7</v>
      </c>
      <c r="GF4" s="550" t="s">
        <v>7</v>
      </c>
      <c r="GG4" s="550" t="s">
        <v>7</v>
      </c>
      <c r="GH4" s="550" t="s">
        <v>7</v>
      </c>
      <c r="GI4" s="550" t="s">
        <v>7</v>
      </c>
      <c r="GJ4" s="550" t="s">
        <v>7</v>
      </c>
      <c r="GK4" s="550" t="s">
        <v>7</v>
      </c>
      <c r="GL4" s="550" t="s">
        <v>7</v>
      </c>
      <c r="GM4" s="550" t="s">
        <v>7</v>
      </c>
      <c r="GN4" s="550" t="s">
        <v>7</v>
      </c>
      <c r="GO4" s="550" t="s">
        <v>7</v>
      </c>
      <c r="GP4" s="550" t="s">
        <v>7</v>
      </c>
      <c r="GQ4" s="550" t="s">
        <v>7</v>
      </c>
      <c r="GR4" s="550" t="s">
        <v>7</v>
      </c>
      <c r="GS4" s="550" t="s">
        <v>7</v>
      </c>
      <c r="GT4" s="550" t="s">
        <v>7</v>
      </c>
      <c r="GU4" s="550" t="s">
        <v>7</v>
      </c>
      <c r="GV4" s="550" t="s">
        <v>7</v>
      </c>
      <c r="GW4" s="550" t="s">
        <v>7</v>
      </c>
      <c r="GX4" s="550" t="s">
        <v>7</v>
      </c>
      <c r="GY4" s="550" t="s">
        <v>7</v>
      </c>
      <c r="GZ4" s="550" t="s">
        <v>7</v>
      </c>
      <c r="HA4" s="550" t="s">
        <v>7</v>
      </c>
      <c r="HB4" s="550" t="s">
        <v>7</v>
      </c>
      <c r="HC4" s="550" t="s">
        <v>7</v>
      </c>
      <c r="HD4" s="630"/>
      <c r="HE4" s="550" t="s">
        <v>7</v>
      </c>
      <c r="HF4" s="550" t="s">
        <v>7</v>
      </c>
      <c r="HG4" s="550" t="s">
        <v>7</v>
      </c>
      <c r="HH4" s="550" t="s">
        <v>7</v>
      </c>
      <c r="HI4" s="550" t="s">
        <v>7</v>
      </c>
      <c r="HJ4" s="630"/>
      <c r="HK4" s="550" t="s">
        <v>7</v>
      </c>
      <c r="HL4" s="550" t="s">
        <v>7</v>
      </c>
      <c r="HM4" s="550" t="s">
        <v>7</v>
      </c>
      <c r="HN4" s="550" t="s">
        <v>7</v>
      </c>
      <c r="HO4" s="550" t="s">
        <v>7</v>
      </c>
      <c r="HP4" s="550" t="s">
        <v>7</v>
      </c>
      <c r="HQ4" s="550" t="s">
        <v>7</v>
      </c>
      <c r="HR4" s="550" t="s">
        <v>7</v>
      </c>
      <c r="HS4" s="550" t="s">
        <v>7</v>
      </c>
      <c r="HT4" s="550" t="s">
        <v>7</v>
      </c>
      <c r="HU4" s="550" t="s">
        <v>7</v>
      </c>
      <c r="HV4" s="550" t="s">
        <v>7</v>
      </c>
      <c r="HW4" s="630"/>
      <c r="HX4" s="550" t="s">
        <v>7</v>
      </c>
      <c r="HY4" s="550" t="s">
        <v>7</v>
      </c>
      <c r="HZ4" s="550" t="s">
        <v>7</v>
      </c>
      <c r="IA4" s="550" t="s">
        <v>7</v>
      </c>
      <c r="IB4" s="550" t="s">
        <v>7</v>
      </c>
      <c r="IC4" s="550" t="s">
        <v>7</v>
      </c>
      <c r="ID4" s="550" t="s">
        <v>7</v>
      </c>
      <c r="IE4" s="550" t="s">
        <v>7</v>
      </c>
      <c r="IF4" s="550" t="s">
        <v>7</v>
      </c>
      <c r="IG4" s="550" t="s">
        <v>7</v>
      </c>
      <c r="IH4" s="550" t="s">
        <v>7</v>
      </c>
      <c r="II4" s="550" t="s">
        <v>7</v>
      </c>
      <c r="IJ4" s="630"/>
      <c r="IK4" s="550" t="s">
        <v>7</v>
      </c>
      <c r="IL4" s="550" t="s">
        <v>7</v>
      </c>
      <c r="IM4" s="550" t="s">
        <v>7</v>
      </c>
      <c r="IN4" s="404"/>
      <c r="IO4" s="405" t="s">
        <v>8</v>
      </c>
      <c r="IP4" s="619" t="s">
        <v>8</v>
      </c>
      <c r="IQ4" s="706" t="s">
        <v>8</v>
      </c>
      <c r="IR4" s="706" t="s">
        <v>8</v>
      </c>
      <c r="IS4" s="706" t="s">
        <v>8</v>
      </c>
      <c r="IT4" s="706" t="s">
        <v>8</v>
      </c>
      <c r="IU4" s="706" t="s">
        <v>8</v>
      </c>
      <c r="IV4" s="706" t="s">
        <v>8</v>
      </c>
      <c r="IW4" s="706" t="s">
        <v>8</v>
      </c>
      <c r="IX4" s="706" t="s">
        <v>8</v>
      </c>
      <c r="IY4" s="706" t="s">
        <v>8</v>
      </c>
      <c r="IZ4" s="706" t="s">
        <v>8</v>
      </c>
      <c r="JA4" s="706" t="s">
        <v>8</v>
      </c>
      <c r="JB4" s="706" t="s">
        <v>8</v>
      </c>
      <c r="JC4" s="706" t="s">
        <v>8</v>
      </c>
      <c r="JD4" s="706" t="s">
        <v>8</v>
      </c>
      <c r="JE4" s="706" t="s">
        <v>8</v>
      </c>
      <c r="JF4" s="706" t="s">
        <v>8</v>
      </c>
      <c r="JG4" s="706" t="s">
        <v>8</v>
      </c>
      <c r="JH4" s="706" t="s">
        <v>8</v>
      </c>
      <c r="JI4" s="619" t="s">
        <v>8</v>
      </c>
      <c r="JJ4" s="426"/>
      <c r="JK4" s="408" t="s">
        <v>9</v>
      </c>
      <c r="JL4" s="408" t="s">
        <v>9</v>
      </c>
      <c r="JM4" s="408" t="s">
        <v>9</v>
      </c>
      <c r="JN4" s="408" t="s">
        <v>9</v>
      </c>
      <c r="JO4" s="409" t="s">
        <v>9</v>
      </c>
      <c r="JP4" s="409" t="s">
        <v>9</v>
      </c>
      <c r="JQ4" s="409" t="s">
        <v>9</v>
      </c>
      <c r="JR4" s="409" t="s">
        <v>9</v>
      </c>
      <c r="JS4" s="409" t="s">
        <v>9</v>
      </c>
      <c r="JT4" s="409" t="s">
        <v>9</v>
      </c>
      <c r="JU4" s="409" t="s">
        <v>9</v>
      </c>
      <c r="JV4" s="409" t="s">
        <v>9</v>
      </c>
      <c r="JW4" s="409" t="s">
        <v>9</v>
      </c>
      <c r="JX4" s="409" t="s">
        <v>9</v>
      </c>
      <c r="JY4" s="409" t="s">
        <v>9</v>
      </c>
      <c r="JZ4" s="409" t="s">
        <v>9</v>
      </c>
      <c r="KA4" s="409" t="s">
        <v>9</v>
      </c>
      <c r="KB4" s="409" t="s">
        <v>9</v>
      </c>
      <c r="KC4" s="409" t="s">
        <v>9</v>
      </c>
      <c r="KD4" s="409" t="s">
        <v>9</v>
      </c>
      <c r="KE4" s="409" t="s">
        <v>9</v>
      </c>
      <c r="KF4" s="409" t="s">
        <v>9</v>
      </c>
      <c r="KG4" s="409" t="s">
        <v>9</v>
      </c>
      <c r="KH4" s="409" t="s">
        <v>9</v>
      </c>
      <c r="KI4" s="409" t="s">
        <v>9</v>
      </c>
      <c r="KJ4" s="410"/>
      <c r="KK4" s="411" t="s">
        <v>422</v>
      </c>
      <c r="KL4" s="411" t="s">
        <v>422</v>
      </c>
      <c r="KM4" s="411" t="s">
        <v>422</v>
      </c>
      <c r="KN4" s="411" t="s">
        <v>10</v>
      </c>
      <c r="KO4" s="411" t="s">
        <v>10</v>
      </c>
      <c r="KP4" s="412" t="s">
        <v>10</v>
      </c>
      <c r="KQ4" s="398"/>
      <c r="KR4" s="413" t="s">
        <v>11</v>
      </c>
      <c r="KS4" s="413" t="s">
        <v>11</v>
      </c>
      <c r="KT4" s="413" t="s">
        <v>11</v>
      </c>
      <c r="KU4" s="413" t="s">
        <v>11</v>
      </c>
      <c r="KV4" s="413" t="s">
        <v>11</v>
      </c>
      <c r="KW4" s="413" t="s">
        <v>11</v>
      </c>
      <c r="KX4" s="413" t="s">
        <v>11</v>
      </c>
      <c r="KY4" s="413" t="s">
        <v>11</v>
      </c>
      <c r="KZ4" s="413" t="s">
        <v>11</v>
      </c>
      <c r="LA4" s="413" t="s">
        <v>11</v>
      </c>
      <c r="LB4" s="413" t="s">
        <v>11</v>
      </c>
      <c r="LC4" s="413" t="s">
        <v>423</v>
      </c>
      <c r="LD4" s="413" t="s">
        <v>423</v>
      </c>
      <c r="LE4" s="413" t="s">
        <v>423</v>
      </c>
      <c r="LF4" s="413" t="s">
        <v>423</v>
      </c>
      <c r="LG4" s="413" t="s">
        <v>423</v>
      </c>
      <c r="LH4" s="413" t="s">
        <v>423</v>
      </c>
      <c r="LI4" s="413" t="s">
        <v>423</v>
      </c>
      <c r="LJ4" s="413" t="s">
        <v>424</v>
      </c>
      <c r="LK4" s="413" t="s">
        <v>425</v>
      </c>
      <c r="LL4" s="413" t="s">
        <v>423</v>
      </c>
      <c r="LM4" s="413" t="s">
        <v>423</v>
      </c>
      <c r="LN4" s="413" t="s">
        <v>423</v>
      </c>
      <c r="LO4" s="413" t="s">
        <v>423</v>
      </c>
      <c r="LP4" s="413" t="s">
        <v>423</v>
      </c>
      <c r="LQ4" s="413" t="s">
        <v>423</v>
      </c>
      <c r="LR4" s="413" t="s">
        <v>423</v>
      </c>
      <c r="LS4" s="413" t="s">
        <v>423</v>
      </c>
      <c r="LT4" s="734"/>
      <c r="LU4" s="611" t="s">
        <v>426</v>
      </c>
      <c r="LV4" s="586" t="s">
        <v>426</v>
      </c>
      <c r="LW4" s="610" t="s">
        <v>426</v>
      </c>
      <c r="LX4" s="416" t="s">
        <v>426</v>
      </c>
      <c r="LY4" s="586" t="s">
        <v>426</v>
      </c>
      <c r="LZ4" s="610" t="s">
        <v>426</v>
      </c>
      <c r="MA4" s="416" t="s">
        <v>426</v>
      </c>
      <c r="MB4" s="586" t="s">
        <v>426</v>
      </c>
      <c r="MC4" s="610" t="s">
        <v>426</v>
      </c>
      <c r="MD4" s="416" t="s">
        <v>426</v>
      </c>
      <c r="ME4" s="586" t="s">
        <v>426</v>
      </c>
      <c r="MF4" s="610" t="s">
        <v>426</v>
      </c>
      <c r="MG4" s="416" t="s">
        <v>426</v>
      </c>
      <c r="MH4" s="586" t="s">
        <v>426</v>
      </c>
      <c r="MI4" s="610" t="s">
        <v>426</v>
      </c>
      <c r="MJ4" s="416" t="s">
        <v>426</v>
      </c>
      <c r="MK4" s="586" t="s">
        <v>426</v>
      </c>
      <c r="ML4" s="610" t="s">
        <v>426</v>
      </c>
      <c r="MM4" s="416" t="s">
        <v>426</v>
      </c>
      <c r="MN4" s="586" t="s">
        <v>426</v>
      </c>
      <c r="MO4" s="610" t="s">
        <v>426</v>
      </c>
      <c r="MP4" s="416" t="s">
        <v>426</v>
      </c>
      <c r="MQ4" s="586" t="s">
        <v>426</v>
      </c>
      <c r="MR4" s="610" t="s">
        <v>426</v>
      </c>
      <c r="MS4" s="416" t="s">
        <v>426</v>
      </c>
      <c r="MT4" s="586" t="s">
        <v>426</v>
      </c>
      <c r="MU4" s="610" t="s">
        <v>426</v>
      </c>
      <c r="MV4" s="610" t="s">
        <v>426</v>
      </c>
      <c r="MW4" s="416" t="s">
        <v>426</v>
      </c>
      <c r="MX4" s="416" t="s">
        <v>426</v>
      </c>
      <c r="MY4" s="416" t="s">
        <v>426</v>
      </c>
      <c r="MZ4" s="416" t="s">
        <v>426</v>
      </c>
      <c r="NA4" s="416" t="s">
        <v>426</v>
      </c>
      <c r="NB4" s="416" t="s">
        <v>426</v>
      </c>
      <c r="NC4" s="416" t="s">
        <v>426</v>
      </c>
      <c r="ND4" s="416" t="s">
        <v>426</v>
      </c>
      <c r="NE4" s="416" t="s">
        <v>426</v>
      </c>
      <c r="NF4" s="416" t="s">
        <v>426</v>
      </c>
      <c r="NG4" s="416" t="s">
        <v>426</v>
      </c>
      <c r="NH4" s="416" t="s">
        <v>426</v>
      </c>
      <c r="NI4" s="416" t="s">
        <v>426</v>
      </c>
      <c r="NJ4" s="416" t="s">
        <v>426</v>
      </c>
      <c r="NK4" s="416" t="s">
        <v>426</v>
      </c>
      <c r="NL4" s="416" t="s">
        <v>426</v>
      </c>
      <c r="NM4" s="416" t="s">
        <v>426</v>
      </c>
      <c r="NN4" s="416" t="s">
        <v>426</v>
      </c>
      <c r="NO4" s="416" t="s">
        <v>426</v>
      </c>
      <c r="NP4" s="416" t="s">
        <v>426</v>
      </c>
      <c r="NQ4" s="416" t="s">
        <v>426</v>
      </c>
      <c r="NR4" s="416" t="s">
        <v>426</v>
      </c>
      <c r="NS4" s="416" t="s">
        <v>426</v>
      </c>
      <c r="NT4" s="416" t="s">
        <v>426</v>
      </c>
      <c r="NU4" s="416" t="s">
        <v>426</v>
      </c>
      <c r="NV4" s="416" t="s">
        <v>426</v>
      </c>
      <c r="NW4" s="416" t="s">
        <v>426</v>
      </c>
      <c r="NX4" s="586" t="s">
        <v>426</v>
      </c>
      <c r="NY4" s="586" t="s">
        <v>426</v>
      </c>
      <c r="NZ4" s="611" t="s">
        <v>426</v>
      </c>
      <c r="OA4" s="635"/>
      <c r="OB4" s="638" t="s">
        <v>427</v>
      </c>
      <c r="OC4" s="638" t="s">
        <v>427</v>
      </c>
      <c r="OD4" s="638" t="s">
        <v>427</v>
      </c>
      <c r="OE4" s="638" t="s">
        <v>427</v>
      </c>
      <c r="OF4" s="638" t="s">
        <v>428</v>
      </c>
      <c r="OG4" s="638" t="s">
        <v>428</v>
      </c>
      <c r="OH4" s="638" t="s">
        <v>429</v>
      </c>
      <c r="OI4" s="638" t="s">
        <v>429</v>
      </c>
      <c r="OJ4" s="638" t="s">
        <v>429</v>
      </c>
      <c r="OK4" s="638" t="s">
        <v>429</v>
      </c>
      <c r="OL4" s="638" t="s">
        <v>429</v>
      </c>
      <c r="OM4" s="638" t="s">
        <v>429</v>
      </c>
      <c r="ON4" s="635"/>
      <c r="OO4" s="638" t="s">
        <v>430</v>
      </c>
      <c r="OP4" s="638" t="s">
        <v>430</v>
      </c>
      <c r="OQ4" s="638" t="s">
        <v>430</v>
      </c>
      <c r="OR4" s="638" t="s">
        <v>430</v>
      </c>
      <c r="OS4" s="638" t="s">
        <v>431</v>
      </c>
      <c r="OT4" s="638" t="s">
        <v>432</v>
      </c>
      <c r="OU4" s="638" t="s">
        <v>432</v>
      </c>
      <c r="OV4" s="638" t="s">
        <v>432</v>
      </c>
      <c r="OW4" s="638" t="s">
        <v>432</v>
      </c>
      <c r="OX4" s="638" t="s">
        <v>432</v>
      </c>
      <c r="OY4" s="638" t="s">
        <v>432</v>
      </c>
      <c r="OZ4" s="638" t="s">
        <v>433</v>
      </c>
      <c r="PA4" s="638" t="s">
        <v>434</v>
      </c>
      <c r="PB4" s="638" t="s">
        <v>435</v>
      </c>
      <c r="PC4" s="638" t="s">
        <v>435</v>
      </c>
      <c r="PD4" s="638" t="s">
        <v>435</v>
      </c>
      <c r="PE4" s="638" t="s">
        <v>435</v>
      </c>
      <c r="PF4" s="638" t="s">
        <v>435</v>
      </c>
      <c r="PG4" s="638" t="s">
        <v>435</v>
      </c>
      <c r="PH4" s="640" t="s">
        <v>435</v>
      </c>
      <c r="PI4" s="666" t="s">
        <v>7</v>
      </c>
      <c r="PJ4" s="666" t="s">
        <v>7</v>
      </c>
      <c r="PK4" s="666" t="s">
        <v>7</v>
      </c>
      <c r="PL4" s="420" t="s">
        <v>6</v>
      </c>
      <c r="PM4" s="420" t="s">
        <v>6</v>
      </c>
      <c r="PN4" s="420" t="s">
        <v>6</v>
      </c>
      <c r="PO4" s="550" t="s">
        <v>7</v>
      </c>
    </row>
    <row r="5" spans="1:431">
      <c r="A5" s="418" t="s">
        <v>436</v>
      </c>
      <c r="B5" s="623" t="s">
        <v>437</v>
      </c>
      <c r="C5" s="380" t="s">
        <v>438</v>
      </c>
      <c r="D5" s="380" t="s">
        <v>439</v>
      </c>
      <c r="E5" s="380" t="s">
        <v>440</v>
      </c>
      <c r="G5" s="494"/>
      <c r="H5" s="419">
        <v>1992</v>
      </c>
      <c r="I5" s="420">
        <v>1994</v>
      </c>
      <c r="J5" s="420">
        <v>1995</v>
      </c>
      <c r="K5" s="419">
        <v>1992</v>
      </c>
      <c r="L5" s="420">
        <v>1994</v>
      </c>
      <c r="M5" s="420">
        <v>1995</v>
      </c>
      <c r="N5" s="420">
        <v>2002</v>
      </c>
      <c r="O5" s="420">
        <v>2007</v>
      </c>
      <c r="P5" s="420">
        <v>2002</v>
      </c>
      <c r="Q5" s="420">
        <v>2006</v>
      </c>
      <c r="R5" s="420">
        <v>2014</v>
      </c>
      <c r="S5" s="420">
        <v>2014</v>
      </c>
      <c r="T5" s="420">
        <v>2017</v>
      </c>
      <c r="U5" s="420">
        <v>1974</v>
      </c>
      <c r="V5" s="420">
        <v>1974</v>
      </c>
      <c r="W5" s="420">
        <v>1974</v>
      </c>
      <c r="X5" s="420">
        <v>1976</v>
      </c>
      <c r="Y5" s="420">
        <v>1978</v>
      </c>
      <c r="Z5" s="420">
        <v>1980</v>
      </c>
      <c r="AA5" s="420">
        <v>1980</v>
      </c>
      <c r="AB5" s="420">
        <v>1975</v>
      </c>
      <c r="AC5" s="420">
        <v>1977</v>
      </c>
      <c r="AD5" s="420">
        <v>1979</v>
      </c>
      <c r="AE5" s="420">
        <v>1981</v>
      </c>
      <c r="AF5" s="420">
        <v>1979</v>
      </c>
      <c r="AG5" s="420">
        <v>1982</v>
      </c>
      <c r="AH5" s="420">
        <v>1985</v>
      </c>
      <c r="AI5" s="420">
        <v>1987</v>
      </c>
      <c r="AJ5" s="420">
        <v>1984</v>
      </c>
      <c r="AK5" s="420">
        <v>1989</v>
      </c>
      <c r="AL5" s="420">
        <v>1988</v>
      </c>
      <c r="AM5" s="420">
        <v>1988</v>
      </c>
      <c r="AN5" s="420">
        <v>1979</v>
      </c>
      <c r="AO5" s="420">
        <v>1984</v>
      </c>
      <c r="AP5" s="420">
        <v>1999</v>
      </c>
      <c r="AQ5" s="420">
        <v>1986</v>
      </c>
      <c r="AR5" s="420">
        <v>1994</v>
      </c>
      <c r="AS5" s="420">
        <v>2000</v>
      </c>
      <c r="AT5" s="420">
        <v>1983</v>
      </c>
      <c r="AU5" s="420">
        <v>1984</v>
      </c>
      <c r="AV5" s="420">
        <v>1986</v>
      </c>
      <c r="AW5" s="420">
        <v>1983</v>
      </c>
      <c r="AX5" s="420">
        <v>1983</v>
      </c>
      <c r="AY5" s="420">
        <v>1986</v>
      </c>
      <c r="AZ5" s="420">
        <v>1991</v>
      </c>
      <c r="BA5" s="420">
        <v>1985</v>
      </c>
      <c r="BB5" s="420">
        <v>1987</v>
      </c>
      <c r="BC5" s="420">
        <v>1992</v>
      </c>
      <c r="BD5" s="420">
        <v>2003</v>
      </c>
      <c r="BE5" s="420">
        <v>2003</v>
      </c>
      <c r="BF5" s="420">
        <v>2007</v>
      </c>
      <c r="BG5" s="420">
        <v>2007</v>
      </c>
      <c r="BH5" s="420">
        <v>1997</v>
      </c>
      <c r="BI5" s="420">
        <v>1996</v>
      </c>
      <c r="BJ5" s="420">
        <v>1997</v>
      </c>
      <c r="BK5" s="420">
        <v>1997</v>
      </c>
      <c r="BL5" s="420">
        <v>1997</v>
      </c>
      <c r="BM5" s="420">
        <v>1997</v>
      </c>
      <c r="BN5" s="420">
        <v>2002</v>
      </c>
      <c r="BO5" s="420">
        <v>2002</v>
      </c>
      <c r="BP5" s="420">
        <v>2018</v>
      </c>
      <c r="BQ5" s="420">
        <v>2020</v>
      </c>
      <c r="BR5" s="420">
        <v>2019</v>
      </c>
      <c r="BS5" s="420">
        <v>2019</v>
      </c>
      <c r="BT5" s="420">
        <v>1988</v>
      </c>
      <c r="BU5" s="420">
        <v>1990</v>
      </c>
      <c r="BV5" s="420">
        <v>1996</v>
      </c>
      <c r="BW5" s="420">
        <v>2006</v>
      </c>
      <c r="BX5" s="420">
        <v>2016</v>
      </c>
      <c r="BY5" s="420">
        <v>1989</v>
      </c>
      <c r="BZ5" s="420">
        <v>1993</v>
      </c>
      <c r="CA5" s="420">
        <v>1995</v>
      </c>
      <c r="CB5" s="420">
        <v>2015</v>
      </c>
      <c r="CC5" s="858">
        <v>2016</v>
      </c>
      <c r="CD5" s="420">
        <v>2018</v>
      </c>
      <c r="CE5" s="420">
        <v>2019</v>
      </c>
      <c r="CF5" s="420">
        <v>2019</v>
      </c>
      <c r="CG5" s="420">
        <v>2019</v>
      </c>
      <c r="CH5" s="420">
        <v>1995</v>
      </c>
      <c r="CI5" s="420">
        <v>1995</v>
      </c>
      <c r="CJ5" s="420">
        <v>1995</v>
      </c>
      <c r="CK5" s="420">
        <v>1997</v>
      </c>
      <c r="CL5" s="420">
        <v>2005</v>
      </c>
      <c r="CM5" s="420">
        <v>2005</v>
      </c>
      <c r="CN5" s="420">
        <v>1997</v>
      </c>
      <c r="CO5" s="420">
        <v>2005</v>
      </c>
      <c r="CP5" s="420">
        <v>2016</v>
      </c>
      <c r="CQ5" s="420">
        <v>2017</v>
      </c>
      <c r="CR5" s="420">
        <v>2017</v>
      </c>
      <c r="CS5" s="420">
        <v>2017</v>
      </c>
      <c r="CT5" s="420">
        <v>2018</v>
      </c>
      <c r="CU5" s="420">
        <v>2018</v>
      </c>
      <c r="CV5" s="420">
        <v>2018</v>
      </c>
      <c r="CW5" s="420">
        <v>2018</v>
      </c>
      <c r="CX5" s="420">
        <v>2018</v>
      </c>
      <c r="CY5" s="420">
        <v>2018</v>
      </c>
      <c r="CZ5" s="420">
        <v>2003</v>
      </c>
      <c r="DA5" s="420">
        <v>1998</v>
      </c>
      <c r="DB5" s="420">
        <v>2002</v>
      </c>
      <c r="DC5" s="420">
        <v>1999</v>
      </c>
      <c r="DD5" s="420">
        <v>2000</v>
      </c>
      <c r="DE5" s="420">
        <v>2010</v>
      </c>
      <c r="DF5" s="420">
        <v>2010</v>
      </c>
      <c r="DG5" s="420">
        <v>1993</v>
      </c>
      <c r="DH5" s="420">
        <v>2007</v>
      </c>
      <c r="DI5" s="420">
        <v>2007</v>
      </c>
      <c r="DJ5" s="420">
        <v>1999</v>
      </c>
      <c r="DK5" s="420">
        <v>1999</v>
      </c>
      <c r="DL5" s="420">
        <v>1999</v>
      </c>
      <c r="DM5" s="420">
        <v>2000</v>
      </c>
      <c r="DN5" s="420">
        <v>2000</v>
      </c>
      <c r="DO5" s="420">
        <v>2000</v>
      </c>
      <c r="DP5" s="420">
        <v>2019</v>
      </c>
      <c r="DQ5" s="723"/>
      <c r="DR5" s="420">
        <v>2018</v>
      </c>
      <c r="DS5" s="499"/>
      <c r="DT5" s="666">
        <v>1961</v>
      </c>
      <c r="DU5" s="717">
        <v>1959</v>
      </c>
      <c r="DV5" s="403">
        <v>1962</v>
      </c>
      <c r="DW5" s="403">
        <v>1962</v>
      </c>
      <c r="DX5" s="403">
        <v>1962</v>
      </c>
      <c r="DY5" s="403">
        <v>1962</v>
      </c>
      <c r="DZ5" s="595"/>
      <c r="EA5" s="403">
        <v>1999</v>
      </c>
      <c r="EB5" s="403">
        <v>1999</v>
      </c>
      <c r="EC5" s="595"/>
      <c r="ED5" s="403">
        <v>1963</v>
      </c>
      <c r="EE5" s="403">
        <v>1963</v>
      </c>
      <c r="EF5" s="403">
        <v>1966</v>
      </c>
      <c r="EG5" s="403">
        <v>1966</v>
      </c>
      <c r="EH5" s="403">
        <v>1967</v>
      </c>
      <c r="EI5" s="403">
        <v>1967</v>
      </c>
      <c r="EJ5" s="403">
        <v>1967</v>
      </c>
      <c r="EK5" s="403">
        <v>1967</v>
      </c>
      <c r="EL5" s="595"/>
      <c r="EM5" s="403">
        <v>1967</v>
      </c>
      <c r="EN5" s="422">
        <v>1967</v>
      </c>
      <c r="EO5" s="422">
        <v>1968</v>
      </c>
      <c r="EP5" s="422">
        <v>1984</v>
      </c>
      <c r="EQ5" s="422">
        <v>1988</v>
      </c>
      <c r="ER5" s="403">
        <v>1990</v>
      </c>
      <c r="ES5" s="403">
        <v>1998</v>
      </c>
      <c r="ET5" s="403">
        <v>1997</v>
      </c>
      <c r="EU5" s="403">
        <v>2001</v>
      </c>
      <c r="EV5" s="403">
        <v>2000</v>
      </c>
      <c r="EW5" s="403">
        <v>1998</v>
      </c>
      <c r="EX5" s="403"/>
      <c r="EY5" s="403">
        <v>2001</v>
      </c>
      <c r="EZ5" s="403"/>
      <c r="FA5" s="403">
        <v>2007</v>
      </c>
      <c r="FB5" s="550"/>
      <c r="FC5" s="550">
        <v>2017</v>
      </c>
      <c r="FD5" s="581">
        <v>2018</v>
      </c>
      <c r="FE5" s="595"/>
      <c r="FF5" s="403">
        <v>1969</v>
      </c>
      <c r="FG5" s="403">
        <v>1979</v>
      </c>
      <c r="FH5" s="403">
        <v>1973</v>
      </c>
      <c r="FI5" s="403">
        <v>1979</v>
      </c>
      <c r="FJ5" s="403">
        <v>1970</v>
      </c>
      <c r="FK5" s="403">
        <v>1970</v>
      </c>
      <c r="FL5" s="403">
        <v>1970</v>
      </c>
      <c r="FM5" s="403">
        <v>1970</v>
      </c>
      <c r="FN5" s="403">
        <v>1970</v>
      </c>
      <c r="FO5" s="585"/>
      <c r="FP5" s="585"/>
      <c r="FQ5" s="585"/>
      <c r="FR5" s="585"/>
      <c r="FS5" s="585"/>
      <c r="FT5" s="403">
        <v>1973</v>
      </c>
      <c r="FU5" s="403">
        <v>1973</v>
      </c>
      <c r="FV5" s="403">
        <v>1973</v>
      </c>
      <c r="FW5" s="403">
        <v>1973</v>
      </c>
      <c r="FX5" s="403">
        <v>1972</v>
      </c>
      <c r="FY5" s="403">
        <v>1972</v>
      </c>
      <c r="FZ5" s="403">
        <v>1972</v>
      </c>
      <c r="GA5" s="403">
        <v>1972</v>
      </c>
      <c r="GB5" s="403">
        <v>1972</v>
      </c>
      <c r="GC5" s="550">
        <v>1983</v>
      </c>
      <c r="GD5" s="550">
        <v>1983</v>
      </c>
      <c r="GE5" s="550">
        <v>1983</v>
      </c>
      <c r="GF5" s="550"/>
      <c r="GG5" s="550"/>
      <c r="GH5" s="550">
        <v>1976</v>
      </c>
      <c r="GI5" s="550">
        <v>1976</v>
      </c>
      <c r="GJ5" s="550">
        <v>1976</v>
      </c>
      <c r="GK5" s="550">
        <v>1976</v>
      </c>
      <c r="GL5" s="631">
        <v>1989</v>
      </c>
      <c r="GM5" s="631">
        <v>1989</v>
      </c>
      <c r="GN5" s="631">
        <v>1989</v>
      </c>
      <c r="GO5" s="631"/>
      <c r="GP5" s="631"/>
      <c r="GQ5" s="631"/>
      <c r="GR5" s="631">
        <v>1993</v>
      </c>
      <c r="GS5" s="631">
        <v>1993</v>
      </c>
      <c r="GT5" s="631">
        <v>1993</v>
      </c>
      <c r="GU5" s="631">
        <v>2002</v>
      </c>
      <c r="GV5" s="631">
        <v>2002</v>
      </c>
      <c r="GW5" s="631">
        <v>2002</v>
      </c>
      <c r="GX5" s="631">
        <v>2002</v>
      </c>
      <c r="GY5" s="631">
        <v>2002</v>
      </c>
      <c r="GZ5" s="631">
        <v>2002</v>
      </c>
      <c r="HA5" s="631">
        <v>1991</v>
      </c>
      <c r="HB5" s="631">
        <v>2011</v>
      </c>
      <c r="HC5" s="631">
        <v>2011</v>
      </c>
      <c r="HD5" s="594"/>
      <c r="HE5" s="581">
        <v>1982</v>
      </c>
      <c r="HF5" s="581">
        <v>1982</v>
      </c>
      <c r="HG5" s="550">
        <v>1987</v>
      </c>
      <c r="HH5" s="550">
        <v>1999</v>
      </c>
      <c r="HI5" s="550">
        <v>1999</v>
      </c>
      <c r="HJ5" s="594"/>
      <c r="HK5" s="403">
        <v>1982</v>
      </c>
      <c r="HL5" s="403">
        <v>1982</v>
      </c>
      <c r="HM5" s="403"/>
      <c r="HN5" s="403"/>
      <c r="HO5" s="403">
        <v>1986</v>
      </c>
      <c r="HP5" s="403"/>
      <c r="HQ5" s="403"/>
      <c r="HR5" s="403">
        <v>1995</v>
      </c>
      <c r="HS5" s="403">
        <v>1995</v>
      </c>
      <c r="HT5" s="403">
        <v>1995</v>
      </c>
      <c r="HU5" s="403">
        <v>2000</v>
      </c>
      <c r="HV5" s="403">
        <v>2000</v>
      </c>
      <c r="HW5" s="594"/>
      <c r="HX5" s="403">
        <v>1995</v>
      </c>
      <c r="HY5" s="403">
        <v>1995</v>
      </c>
      <c r="HZ5" s="403">
        <v>1995</v>
      </c>
      <c r="IA5" s="403">
        <v>1995</v>
      </c>
      <c r="IB5" s="403">
        <v>1995</v>
      </c>
      <c r="IC5" s="403">
        <v>1995</v>
      </c>
      <c r="ID5" s="403">
        <v>1998</v>
      </c>
      <c r="IE5" s="403">
        <v>1998</v>
      </c>
      <c r="IF5" s="403">
        <v>1998</v>
      </c>
      <c r="IG5" s="403">
        <v>2006</v>
      </c>
      <c r="IH5" s="403">
        <v>2004</v>
      </c>
      <c r="II5" s="403">
        <v>2009</v>
      </c>
      <c r="IJ5" s="594"/>
      <c r="IK5" s="403">
        <v>2011</v>
      </c>
      <c r="IL5" s="403">
        <v>2014</v>
      </c>
      <c r="IM5" s="403">
        <v>2018</v>
      </c>
      <c r="IN5" s="423"/>
      <c r="IO5" s="424">
        <v>1993</v>
      </c>
      <c r="IP5" s="825"/>
      <c r="IQ5" s="826"/>
      <c r="IR5" s="826"/>
      <c r="IS5" s="826"/>
      <c r="IT5" s="826"/>
      <c r="IU5" s="406">
        <v>2004</v>
      </c>
      <c r="IV5" s="406">
        <v>2003</v>
      </c>
      <c r="IW5" s="406">
        <v>2001</v>
      </c>
      <c r="IX5" s="406">
        <v>2019</v>
      </c>
      <c r="IY5" s="706">
        <v>2002</v>
      </c>
      <c r="IZ5" s="706">
        <v>2002</v>
      </c>
      <c r="JA5" s="619">
        <v>2010</v>
      </c>
      <c r="JB5" s="406">
        <v>2018</v>
      </c>
      <c r="JC5" s="406">
        <v>1980</v>
      </c>
      <c r="JD5" s="406">
        <v>1983</v>
      </c>
      <c r="JE5" s="406">
        <v>1987</v>
      </c>
      <c r="JF5" s="406">
        <v>1995</v>
      </c>
      <c r="JG5" s="406">
        <v>1995</v>
      </c>
      <c r="JH5" s="406">
        <v>2016</v>
      </c>
      <c r="JI5" s="425">
        <v>2016</v>
      </c>
      <c r="JJ5" s="426"/>
      <c r="JK5" s="427">
        <v>2018</v>
      </c>
      <c r="JL5" s="428">
        <v>2019</v>
      </c>
      <c r="JM5" s="428">
        <v>2004</v>
      </c>
      <c r="JN5" s="428">
        <v>2004</v>
      </c>
      <c r="JO5" s="428">
        <v>2005</v>
      </c>
      <c r="JP5" s="428">
        <v>2005</v>
      </c>
      <c r="JQ5" s="428">
        <v>2007</v>
      </c>
      <c r="JR5" s="428">
        <v>2005</v>
      </c>
      <c r="JS5" s="428">
        <v>2005</v>
      </c>
      <c r="JT5" s="428">
        <v>2005</v>
      </c>
      <c r="JU5" s="428">
        <v>2005</v>
      </c>
      <c r="JV5" s="428">
        <v>2007</v>
      </c>
      <c r="JW5" s="428">
        <v>2007</v>
      </c>
      <c r="JX5" s="428">
        <v>2007</v>
      </c>
      <c r="JY5" s="428">
        <v>1999</v>
      </c>
      <c r="JZ5" s="428">
        <v>1999</v>
      </c>
      <c r="KA5" s="428">
        <v>2002</v>
      </c>
      <c r="KB5" s="428">
        <v>1996</v>
      </c>
      <c r="KC5" s="428">
        <v>1997</v>
      </c>
      <c r="KD5" s="428">
        <v>1997</v>
      </c>
      <c r="KE5" s="428">
        <v>1997</v>
      </c>
      <c r="KF5" s="428">
        <v>1998</v>
      </c>
      <c r="KG5" s="428">
        <v>1999</v>
      </c>
      <c r="KH5" s="428">
        <v>2003</v>
      </c>
      <c r="KI5" s="428">
        <v>2002</v>
      </c>
      <c r="KJ5" s="429"/>
      <c r="KK5" s="430">
        <v>1985</v>
      </c>
      <c r="KL5" s="545">
        <v>1996</v>
      </c>
      <c r="KM5" s="431">
        <v>2002</v>
      </c>
      <c r="KN5" s="431">
        <v>2005</v>
      </c>
      <c r="KO5" s="431"/>
      <c r="KP5" s="431"/>
      <c r="KQ5" s="398"/>
      <c r="KR5" s="432">
        <v>1964</v>
      </c>
      <c r="KS5" s="433">
        <v>1966</v>
      </c>
      <c r="KT5" s="434">
        <v>1966</v>
      </c>
      <c r="KU5" s="434">
        <v>1968</v>
      </c>
      <c r="KV5" s="434">
        <v>1969</v>
      </c>
      <c r="KW5" s="434">
        <v>1970</v>
      </c>
      <c r="KX5" s="434">
        <v>1970</v>
      </c>
      <c r="KY5" s="434">
        <v>1970</v>
      </c>
      <c r="KZ5" s="434">
        <v>1976</v>
      </c>
      <c r="LA5" s="434">
        <v>1976</v>
      </c>
      <c r="LB5" s="434">
        <v>1976</v>
      </c>
      <c r="LC5" s="434">
        <v>1967</v>
      </c>
      <c r="LD5" s="434">
        <v>1970</v>
      </c>
      <c r="LE5" s="434">
        <v>1970</v>
      </c>
      <c r="LF5" s="434">
        <v>1970</v>
      </c>
      <c r="LG5" s="434">
        <v>1976</v>
      </c>
      <c r="LH5" s="434">
        <v>1976</v>
      </c>
      <c r="LI5" s="434">
        <v>1979</v>
      </c>
      <c r="LJ5" s="434">
        <v>1988</v>
      </c>
      <c r="LK5" s="434">
        <v>1991</v>
      </c>
      <c r="LL5" s="434">
        <v>1974</v>
      </c>
      <c r="LM5" s="434">
        <v>1976</v>
      </c>
      <c r="LN5" s="434"/>
      <c r="LO5" s="434">
        <v>1997</v>
      </c>
      <c r="LP5" s="434"/>
      <c r="LQ5" s="434"/>
      <c r="LR5" s="434"/>
      <c r="LS5" s="434"/>
      <c r="LT5" s="734"/>
      <c r="LU5" s="611">
        <v>1959</v>
      </c>
      <c r="LV5" s="588"/>
      <c r="LW5" s="611">
        <v>1960</v>
      </c>
      <c r="LX5" s="611">
        <v>1960</v>
      </c>
      <c r="LY5" s="611">
        <v>1960</v>
      </c>
      <c r="LZ5" s="611">
        <v>1960</v>
      </c>
      <c r="MA5" s="611">
        <v>1960</v>
      </c>
      <c r="MB5" s="611">
        <v>1960</v>
      </c>
      <c r="MC5" s="611">
        <v>1961</v>
      </c>
      <c r="MD5" s="588">
        <v>1961</v>
      </c>
      <c r="ME5" s="611">
        <v>1961</v>
      </c>
      <c r="MF5" s="588">
        <v>1961</v>
      </c>
      <c r="MG5" s="611">
        <v>1963</v>
      </c>
      <c r="MH5" s="588">
        <v>1964</v>
      </c>
      <c r="MI5" s="611">
        <v>1965</v>
      </c>
      <c r="MJ5" s="588">
        <v>1966</v>
      </c>
      <c r="MK5" s="611">
        <v>1967</v>
      </c>
      <c r="ML5" s="611">
        <v>1967</v>
      </c>
      <c r="MM5" s="611">
        <v>1967</v>
      </c>
      <c r="MN5" s="611">
        <v>1967</v>
      </c>
      <c r="MO5" s="611">
        <v>1968</v>
      </c>
      <c r="MP5" s="611">
        <v>1982</v>
      </c>
      <c r="MQ5" s="611">
        <v>1982</v>
      </c>
      <c r="MR5" s="611">
        <v>1982</v>
      </c>
      <c r="MS5" s="611">
        <v>1982</v>
      </c>
      <c r="MT5" s="611">
        <v>1982</v>
      </c>
      <c r="MU5" s="611">
        <v>1982</v>
      </c>
      <c r="MV5" s="611">
        <v>1965</v>
      </c>
      <c r="MW5" s="588">
        <v>1965</v>
      </c>
      <c r="MX5" s="436">
        <v>1965</v>
      </c>
      <c r="MY5" s="436">
        <v>1965</v>
      </c>
      <c r="MZ5" s="436">
        <v>1966</v>
      </c>
      <c r="NA5" s="436">
        <v>1967</v>
      </c>
      <c r="NB5" s="436">
        <v>1968</v>
      </c>
      <c r="NC5" s="436">
        <v>1966</v>
      </c>
      <c r="ND5" s="436">
        <v>1967</v>
      </c>
      <c r="NE5" s="436">
        <v>1967</v>
      </c>
      <c r="NF5" s="436">
        <v>1968</v>
      </c>
      <c r="NG5" s="436">
        <v>1976</v>
      </c>
      <c r="NH5" s="436">
        <v>1976</v>
      </c>
      <c r="NI5" s="436">
        <v>1968</v>
      </c>
      <c r="NJ5" s="436">
        <v>1975</v>
      </c>
      <c r="NK5" s="436">
        <v>1980</v>
      </c>
      <c r="NL5" s="436">
        <v>1981</v>
      </c>
      <c r="NM5" s="436">
        <v>1985</v>
      </c>
      <c r="NN5" s="436">
        <v>1987</v>
      </c>
      <c r="NO5" s="436">
        <v>1971</v>
      </c>
      <c r="NP5" s="436">
        <v>1972</v>
      </c>
      <c r="NQ5" s="436">
        <v>1972</v>
      </c>
      <c r="NR5" s="436">
        <v>1973</v>
      </c>
      <c r="NS5" s="436">
        <v>1974</v>
      </c>
      <c r="NT5" s="436">
        <v>1976</v>
      </c>
      <c r="NU5" s="436">
        <v>1981</v>
      </c>
      <c r="NV5" s="436">
        <v>1990</v>
      </c>
      <c r="NW5" s="436">
        <v>1990</v>
      </c>
      <c r="NX5" s="436">
        <v>2000</v>
      </c>
      <c r="NY5" s="436">
        <v>1987</v>
      </c>
      <c r="NZ5" s="611">
        <v>1994</v>
      </c>
      <c r="OA5" s="635"/>
      <c r="OB5" s="638">
        <v>1975</v>
      </c>
      <c r="OC5" s="638">
        <v>1975</v>
      </c>
      <c r="OD5" s="638">
        <v>1975</v>
      </c>
      <c r="OE5" s="638">
        <v>1979</v>
      </c>
      <c r="OF5" s="638"/>
      <c r="OG5" s="638"/>
      <c r="OH5" s="638"/>
      <c r="OI5" s="638"/>
      <c r="OJ5" s="638"/>
      <c r="OK5" s="638"/>
      <c r="OL5" s="638"/>
      <c r="OM5" s="638"/>
      <c r="ON5" s="635"/>
      <c r="OO5" s="638">
        <v>2014</v>
      </c>
      <c r="OP5" s="638">
        <v>2014</v>
      </c>
      <c r="OQ5" s="638">
        <v>2022</v>
      </c>
      <c r="OR5" s="638">
        <v>2022</v>
      </c>
      <c r="OS5" s="638"/>
      <c r="OT5" s="638">
        <v>1983</v>
      </c>
      <c r="OU5" s="638">
        <v>1983</v>
      </c>
      <c r="OV5" s="638">
        <v>1988</v>
      </c>
      <c r="OW5" s="638">
        <v>1993</v>
      </c>
      <c r="OX5" s="638">
        <v>1993</v>
      </c>
      <c r="OY5" s="638">
        <v>1993</v>
      </c>
      <c r="OZ5" s="638"/>
      <c r="PA5" s="638"/>
      <c r="PB5" s="638">
        <v>1966</v>
      </c>
      <c r="PC5" s="638">
        <v>1965</v>
      </c>
      <c r="PD5" s="638"/>
      <c r="PE5" s="638">
        <v>1966</v>
      </c>
      <c r="PF5" s="638"/>
      <c r="PG5" s="638"/>
      <c r="PH5" s="640"/>
      <c r="PI5" s="666"/>
      <c r="PJ5" s="666"/>
      <c r="PK5" s="666"/>
      <c r="PL5" s="420">
        <v>2006</v>
      </c>
      <c r="PM5" s="420">
        <v>2006</v>
      </c>
      <c r="PN5" s="420">
        <v>2007</v>
      </c>
      <c r="PO5" s="550">
        <v>2021</v>
      </c>
    </row>
    <row r="6" spans="1:431" ht="45">
      <c r="A6" s="472" t="s">
        <v>441</v>
      </c>
      <c r="B6" s="623" t="s">
        <v>17</v>
      </c>
      <c r="C6" s="380" t="s">
        <v>420</v>
      </c>
      <c r="D6" s="380" t="s">
        <v>441</v>
      </c>
      <c r="G6" s="494"/>
      <c r="H6" s="419"/>
      <c r="I6" s="420"/>
      <c r="J6" s="420"/>
      <c r="K6" s="420"/>
      <c r="L6" s="420"/>
      <c r="M6" s="420"/>
      <c r="N6" s="420"/>
      <c r="O6" s="420"/>
      <c r="P6" s="420"/>
      <c r="Q6" s="420"/>
      <c r="R6" s="420"/>
      <c r="S6" s="420" t="s">
        <v>28</v>
      </c>
      <c r="T6" s="420"/>
      <c r="U6" s="420"/>
      <c r="V6" s="420"/>
      <c r="W6" s="420"/>
      <c r="X6" s="420"/>
      <c r="Y6" s="420"/>
      <c r="Z6" s="420"/>
      <c r="AA6" s="420"/>
      <c r="AB6" s="420"/>
      <c r="AC6" s="420"/>
      <c r="AD6" s="420"/>
      <c r="AE6" s="420"/>
      <c r="AF6" s="420"/>
      <c r="AG6" s="420"/>
      <c r="AH6" s="420"/>
      <c r="AI6" s="420"/>
      <c r="AJ6" s="420"/>
      <c r="AK6" s="420"/>
      <c r="AL6" s="420"/>
      <c r="AM6" s="420"/>
      <c r="AN6" s="420"/>
      <c r="AO6" s="420"/>
      <c r="AP6" s="420"/>
      <c r="AQ6" s="420"/>
      <c r="AR6" s="420"/>
      <c r="AS6" s="420"/>
      <c r="AT6" s="420"/>
      <c r="AU6" s="420"/>
      <c r="AV6" s="420"/>
      <c r="AW6" s="420"/>
      <c r="AX6" s="420"/>
      <c r="AY6" s="420"/>
      <c r="AZ6" s="420"/>
      <c r="BA6" s="420"/>
      <c r="BB6" s="420"/>
      <c r="BC6" s="420"/>
      <c r="BD6" s="420"/>
      <c r="BE6" s="420"/>
      <c r="BF6" s="420"/>
      <c r="BG6" s="420"/>
      <c r="BH6" s="420"/>
      <c r="BI6" s="420"/>
      <c r="BJ6" s="420"/>
      <c r="BK6" s="420"/>
      <c r="BL6" s="420"/>
      <c r="BM6" s="420"/>
      <c r="BN6" s="420"/>
      <c r="BO6" s="420"/>
      <c r="BP6" s="420"/>
      <c r="BQ6" s="420"/>
      <c r="BR6" s="420"/>
      <c r="BS6" s="420" t="s">
        <v>442</v>
      </c>
      <c r="BT6" s="420"/>
      <c r="BU6" s="420"/>
      <c r="BV6" s="420"/>
      <c r="BW6" s="420"/>
      <c r="BX6" s="420"/>
      <c r="BY6" s="420"/>
      <c r="BZ6" s="420"/>
      <c r="CA6" s="420"/>
      <c r="CB6" s="420"/>
      <c r="CC6" s="858"/>
      <c r="CD6" s="420"/>
      <c r="CE6" s="420"/>
      <c r="CF6" s="420"/>
      <c r="CG6" s="420"/>
      <c r="CH6" s="420"/>
      <c r="CI6" s="420"/>
      <c r="CJ6" s="420"/>
      <c r="CK6" s="420"/>
      <c r="CL6" s="420"/>
      <c r="CM6" s="420"/>
      <c r="CN6" s="420"/>
      <c r="CO6" s="420"/>
      <c r="CP6" s="420"/>
      <c r="CQ6" s="420"/>
      <c r="CR6" s="420"/>
      <c r="CS6" s="420"/>
      <c r="CT6" s="420"/>
      <c r="CU6" s="420"/>
      <c r="CV6" s="420"/>
      <c r="CW6" s="420"/>
      <c r="CX6" s="420"/>
      <c r="CY6" s="420"/>
      <c r="CZ6" s="420"/>
      <c r="DA6" s="420"/>
      <c r="DB6" s="420"/>
      <c r="DC6" s="420"/>
      <c r="DD6" s="420"/>
      <c r="DE6" s="420"/>
      <c r="DF6" s="420"/>
      <c r="DG6" s="420"/>
      <c r="DH6" s="420"/>
      <c r="DI6" s="420"/>
      <c r="DJ6" s="420"/>
      <c r="DK6" s="420"/>
      <c r="DL6" s="420"/>
      <c r="DM6" s="420"/>
      <c r="DN6" s="420"/>
      <c r="DO6" s="420"/>
      <c r="DP6" s="420" t="s">
        <v>443</v>
      </c>
      <c r="DQ6" s="723" t="s">
        <v>444</v>
      </c>
      <c r="DR6" s="420"/>
      <c r="DS6" s="499"/>
      <c r="DT6" s="666"/>
      <c r="DU6" s="574"/>
      <c r="DV6" s="584"/>
      <c r="DW6" s="550"/>
      <c r="DX6" s="550"/>
      <c r="DY6" s="550"/>
      <c r="DZ6" s="596"/>
      <c r="EA6" s="422" t="s">
        <v>445</v>
      </c>
      <c r="EB6" s="422" t="s">
        <v>445</v>
      </c>
      <c r="EC6" s="596"/>
      <c r="ED6" s="422"/>
      <c r="EE6" s="422"/>
      <c r="EF6" s="422"/>
      <c r="EG6" s="422"/>
      <c r="EH6" s="422"/>
      <c r="EI6" s="422"/>
      <c r="EJ6" s="422"/>
      <c r="EK6" s="422"/>
      <c r="EL6" s="596"/>
      <c r="EM6" s="422"/>
      <c r="EN6" s="422"/>
      <c r="EO6" s="422"/>
      <c r="EP6" s="422"/>
      <c r="EQ6" s="422"/>
      <c r="ER6" s="422"/>
      <c r="ES6" s="422"/>
      <c r="ET6" s="422"/>
      <c r="EU6" s="422"/>
      <c r="EV6" s="422"/>
      <c r="EW6" s="422"/>
      <c r="EX6" s="422"/>
      <c r="EY6" s="422"/>
      <c r="EZ6" s="422"/>
      <c r="FA6" s="422"/>
      <c r="FB6" s="550" t="s">
        <v>446</v>
      </c>
      <c r="FC6" s="550"/>
      <c r="FD6" s="584"/>
      <c r="FE6" s="596"/>
      <c r="FF6" s="422"/>
      <c r="FG6" s="422"/>
      <c r="FH6" s="422"/>
      <c r="FI6" s="422"/>
      <c r="FJ6" s="422"/>
      <c r="FK6" s="422"/>
      <c r="FL6" s="422"/>
      <c r="FM6" s="422"/>
      <c r="FN6" s="422"/>
      <c r="FO6" s="550" t="s">
        <v>447</v>
      </c>
      <c r="FP6" s="550" t="s">
        <v>447</v>
      </c>
      <c r="FQ6" s="550" t="s">
        <v>447</v>
      </c>
      <c r="FR6" s="550" t="s">
        <v>447</v>
      </c>
      <c r="FS6" s="550" t="s">
        <v>447</v>
      </c>
      <c r="FT6" s="550" t="s">
        <v>448</v>
      </c>
      <c r="FU6" s="550" t="s">
        <v>448</v>
      </c>
      <c r="FV6" s="550" t="s">
        <v>448</v>
      </c>
      <c r="FW6" s="550" t="s">
        <v>448</v>
      </c>
      <c r="FX6" s="550" t="s">
        <v>449</v>
      </c>
      <c r="FY6" s="550" t="s">
        <v>449</v>
      </c>
      <c r="FZ6" s="550" t="s">
        <v>449</v>
      </c>
      <c r="GA6" s="550" t="s">
        <v>449</v>
      </c>
      <c r="GB6" s="550" t="s">
        <v>449</v>
      </c>
      <c r="GC6" s="550" t="s">
        <v>450</v>
      </c>
      <c r="GD6" s="550" t="s">
        <v>450</v>
      </c>
      <c r="GE6" s="550" t="s">
        <v>450</v>
      </c>
      <c r="GF6" s="550" t="s">
        <v>451</v>
      </c>
      <c r="GG6" s="550" t="s">
        <v>451</v>
      </c>
      <c r="GH6" s="550"/>
      <c r="GI6" s="550"/>
      <c r="GJ6" s="550"/>
      <c r="GK6" s="550"/>
      <c r="GL6" s="550" t="s">
        <v>452</v>
      </c>
      <c r="GM6" s="550" t="s">
        <v>452</v>
      </c>
      <c r="GN6" s="550" t="s">
        <v>452</v>
      </c>
      <c r="GO6" s="550" t="s">
        <v>453</v>
      </c>
      <c r="GP6" s="550" t="s">
        <v>453</v>
      </c>
      <c r="GQ6" s="550" t="s">
        <v>453</v>
      </c>
      <c r="GR6" s="550" t="s">
        <v>454</v>
      </c>
      <c r="GS6" s="550" t="s">
        <v>454</v>
      </c>
      <c r="GT6" s="550" t="s">
        <v>454</v>
      </c>
      <c r="GU6" s="550" t="s">
        <v>455</v>
      </c>
      <c r="GV6" s="550" t="s">
        <v>455</v>
      </c>
      <c r="GW6" s="550" t="s">
        <v>455</v>
      </c>
      <c r="GX6" s="550" t="s">
        <v>456</v>
      </c>
      <c r="GY6" s="550" t="s">
        <v>456</v>
      </c>
      <c r="GZ6" s="550" t="s">
        <v>456</v>
      </c>
      <c r="HA6" s="550" t="s">
        <v>457</v>
      </c>
      <c r="HB6" s="550" t="s">
        <v>458</v>
      </c>
      <c r="HC6" s="550" t="s">
        <v>459</v>
      </c>
      <c r="HD6" s="594"/>
      <c r="HE6" s="584"/>
      <c r="HF6" s="422"/>
      <c r="HG6" s="550"/>
      <c r="HH6" s="550"/>
      <c r="HI6" s="550"/>
      <c r="HJ6" s="594"/>
      <c r="HK6" s="422"/>
      <c r="HL6" s="422"/>
      <c r="HM6" s="422"/>
      <c r="HN6" s="422"/>
      <c r="HO6" s="422"/>
      <c r="HP6" s="422"/>
      <c r="HQ6" s="422"/>
      <c r="HR6" s="422"/>
      <c r="HS6" s="422"/>
      <c r="HT6" s="422"/>
      <c r="HU6" s="422"/>
      <c r="HV6" s="422"/>
      <c r="HW6" s="594"/>
      <c r="HX6" s="422"/>
      <c r="HY6" s="422"/>
      <c r="HZ6" s="422"/>
      <c r="IA6" s="422"/>
      <c r="IB6" s="422"/>
      <c r="IC6" s="422"/>
      <c r="ID6" s="422"/>
      <c r="IE6" s="422"/>
      <c r="IF6" s="422"/>
      <c r="IG6" s="422"/>
      <c r="IH6" s="422"/>
      <c r="II6" s="422"/>
      <c r="IJ6" s="594"/>
      <c r="IK6" s="422"/>
      <c r="IL6" s="422"/>
      <c r="IM6" s="422"/>
      <c r="IN6" s="423"/>
      <c r="IO6" s="424" t="s">
        <v>460</v>
      </c>
      <c r="IP6" s="424" t="s">
        <v>460</v>
      </c>
      <c r="IQ6" s="424" t="s">
        <v>460</v>
      </c>
      <c r="IR6" s="425" t="s">
        <v>461</v>
      </c>
      <c r="IS6" s="706" t="s">
        <v>462</v>
      </c>
      <c r="IT6" s="706" t="s">
        <v>462</v>
      </c>
      <c r="IU6" s="706" t="s">
        <v>463</v>
      </c>
      <c r="IV6" s="706" t="s">
        <v>464</v>
      </c>
      <c r="IW6" s="443" t="s">
        <v>465</v>
      </c>
      <c r="IX6" s="425" t="s">
        <v>466</v>
      </c>
      <c r="IY6" s="425" t="s">
        <v>467</v>
      </c>
      <c r="IZ6" s="425" t="s">
        <v>468</v>
      </c>
      <c r="JA6" s="425" t="s">
        <v>469</v>
      </c>
      <c r="JB6" s="425" t="s">
        <v>470</v>
      </c>
      <c r="JC6" s="425" t="s">
        <v>471</v>
      </c>
      <c r="JD6" s="425" t="s">
        <v>472</v>
      </c>
      <c r="JE6" s="425" t="s">
        <v>473</v>
      </c>
      <c r="JF6" s="425" t="s">
        <v>474</v>
      </c>
      <c r="JG6" s="425" t="s">
        <v>475</v>
      </c>
      <c r="JH6" s="425" t="s">
        <v>476</v>
      </c>
      <c r="JI6" s="425" t="s">
        <v>477</v>
      </c>
      <c r="JJ6" s="426"/>
      <c r="JK6" s="427" t="s">
        <v>478</v>
      </c>
      <c r="JL6" s="428" t="s">
        <v>479</v>
      </c>
      <c r="JM6" s="428" t="s">
        <v>480</v>
      </c>
      <c r="JN6" s="428" t="s">
        <v>481</v>
      </c>
      <c r="JO6" s="428" t="s">
        <v>482</v>
      </c>
      <c r="JP6" s="428" t="s">
        <v>483</v>
      </c>
      <c r="JQ6" s="428" t="s">
        <v>484</v>
      </c>
      <c r="JR6" s="428" t="s">
        <v>485</v>
      </c>
      <c r="JS6" s="428" t="s">
        <v>486</v>
      </c>
      <c r="JT6" s="428" t="s">
        <v>487</v>
      </c>
      <c r="JU6" s="428" t="s">
        <v>488</v>
      </c>
      <c r="JV6" s="428" t="s">
        <v>489</v>
      </c>
      <c r="JW6" s="428" t="s">
        <v>490</v>
      </c>
      <c r="JX6" s="428" t="s">
        <v>491</v>
      </c>
      <c r="JY6" s="428"/>
      <c r="JZ6" s="428"/>
      <c r="KA6" s="428" t="s">
        <v>492</v>
      </c>
      <c r="KB6" s="428"/>
      <c r="KC6" s="428"/>
      <c r="KD6" s="428"/>
      <c r="KE6" s="428"/>
      <c r="KF6" s="428"/>
      <c r="KG6" s="428"/>
      <c r="KH6" s="428"/>
      <c r="KI6" s="428"/>
      <c r="KJ6" s="429"/>
      <c r="KK6" s="430"/>
      <c r="KL6" s="545"/>
      <c r="KM6" s="431"/>
      <c r="KN6" s="431"/>
      <c r="KO6" s="431"/>
      <c r="KP6" s="431"/>
      <c r="KQ6" s="398"/>
      <c r="KR6" s="432"/>
      <c r="KS6" s="433"/>
      <c r="KT6" s="434"/>
      <c r="KU6" s="434"/>
      <c r="KV6" s="434"/>
      <c r="KW6" s="434"/>
      <c r="KX6" s="434"/>
      <c r="KY6" s="434"/>
      <c r="KZ6" s="434"/>
      <c r="LA6" s="434"/>
      <c r="LB6" s="434"/>
      <c r="LC6" s="434"/>
      <c r="LD6" s="434"/>
      <c r="LE6" s="434"/>
      <c r="LF6" s="434"/>
      <c r="LG6" s="434"/>
      <c r="LH6" s="434"/>
      <c r="LI6" s="434"/>
      <c r="LJ6" s="434"/>
      <c r="LK6" s="434"/>
      <c r="LL6" s="434"/>
      <c r="LM6" s="434"/>
      <c r="LN6" s="434"/>
      <c r="LO6" s="434"/>
      <c r="LP6" s="434"/>
      <c r="LQ6" s="434"/>
      <c r="LR6" s="434"/>
      <c r="LS6" s="434"/>
      <c r="LT6" s="734"/>
      <c r="LU6" s="611"/>
      <c r="LV6" s="588"/>
      <c r="LW6" s="611"/>
      <c r="LX6" s="611"/>
      <c r="LY6" s="611"/>
      <c r="LZ6" s="611"/>
      <c r="MA6" s="611"/>
      <c r="MB6" s="611"/>
      <c r="MC6" s="611"/>
      <c r="MD6" s="588"/>
      <c r="ME6" s="611"/>
      <c r="MF6" s="588"/>
      <c r="MG6" s="611"/>
      <c r="MH6" s="588"/>
      <c r="MI6" s="611"/>
      <c r="MJ6" s="588"/>
      <c r="MK6" s="611"/>
      <c r="ML6" s="611"/>
      <c r="MM6" s="611"/>
      <c r="MN6" s="611"/>
      <c r="MO6" s="611"/>
      <c r="MP6" s="611"/>
      <c r="MQ6" s="611"/>
      <c r="MR6" s="611"/>
      <c r="MS6" s="611"/>
      <c r="MT6" s="611"/>
      <c r="MU6" s="611"/>
      <c r="MV6" s="611"/>
      <c r="MW6" s="588"/>
      <c r="MX6" s="436"/>
      <c r="MY6" s="436"/>
      <c r="MZ6" s="436"/>
      <c r="NA6" s="436"/>
      <c r="NB6" s="436"/>
      <c r="NC6" s="436"/>
      <c r="ND6" s="436" t="s">
        <v>493</v>
      </c>
      <c r="NE6" s="436" t="s">
        <v>494</v>
      </c>
      <c r="NF6" s="436"/>
      <c r="NG6" s="436"/>
      <c r="NH6" s="436"/>
      <c r="NI6" s="436"/>
      <c r="NJ6" s="436"/>
      <c r="NK6" s="436" t="s">
        <v>495</v>
      </c>
      <c r="NL6" s="436" t="s">
        <v>496</v>
      </c>
      <c r="NM6" s="436" t="s">
        <v>497</v>
      </c>
      <c r="NN6" s="436" t="s">
        <v>498</v>
      </c>
      <c r="NO6" s="436"/>
      <c r="NP6" s="436"/>
      <c r="NQ6" s="436"/>
      <c r="NR6" s="436" t="s">
        <v>499</v>
      </c>
      <c r="NS6" s="436"/>
      <c r="NT6" s="436"/>
      <c r="NU6" s="436"/>
      <c r="NV6" s="436"/>
      <c r="NW6" s="436"/>
      <c r="NX6" s="436"/>
      <c r="NY6" s="436"/>
      <c r="NZ6" s="611"/>
      <c r="OA6" s="635"/>
      <c r="OB6" s="638" t="s">
        <v>500</v>
      </c>
      <c r="OC6" s="638" t="s">
        <v>501</v>
      </c>
      <c r="OD6" s="638" t="s">
        <v>502</v>
      </c>
      <c r="OE6" s="638" t="s">
        <v>503</v>
      </c>
      <c r="OF6" s="638"/>
      <c r="OG6" s="638"/>
      <c r="OH6" s="638"/>
      <c r="OI6" s="638"/>
      <c r="OJ6" s="638" t="s">
        <v>504</v>
      </c>
      <c r="OK6" s="638"/>
      <c r="OL6" s="638"/>
      <c r="OM6" s="638"/>
      <c r="ON6" s="635"/>
      <c r="OO6" s="638"/>
      <c r="OP6" s="638"/>
      <c r="OQ6" s="638"/>
      <c r="OR6" s="638"/>
      <c r="OS6" s="638"/>
      <c r="OT6" s="638"/>
      <c r="OU6" s="638"/>
      <c r="OV6" s="638"/>
      <c r="OW6" s="638" t="s">
        <v>505</v>
      </c>
      <c r="OX6" s="638" t="s">
        <v>505</v>
      </c>
      <c r="OY6" s="638" t="s">
        <v>505</v>
      </c>
      <c r="OZ6" s="638" t="s">
        <v>506</v>
      </c>
      <c r="PA6" s="638"/>
      <c r="PB6" s="638" t="s">
        <v>507</v>
      </c>
      <c r="PC6" s="638" t="s">
        <v>507</v>
      </c>
      <c r="PD6" s="638" t="s">
        <v>507</v>
      </c>
      <c r="PE6" s="638" t="s">
        <v>507</v>
      </c>
      <c r="PF6" s="638" t="s">
        <v>507</v>
      </c>
      <c r="PG6" s="638" t="s">
        <v>507</v>
      </c>
      <c r="PH6" s="640" t="s">
        <v>507</v>
      </c>
      <c r="PI6" s="666"/>
      <c r="PJ6" s="666"/>
      <c r="PK6" s="666"/>
      <c r="PL6" s="420"/>
      <c r="PM6" s="420"/>
      <c r="PN6" s="420"/>
      <c r="PO6" s="550"/>
    </row>
    <row r="7" spans="1:431" ht="30">
      <c r="A7" s="472" t="s">
        <v>508</v>
      </c>
      <c r="B7" s="623" t="s">
        <v>17</v>
      </c>
      <c r="C7" s="380" t="s">
        <v>420</v>
      </c>
      <c r="D7" s="380" t="s">
        <v>508</v>
      </c>
      <c r="G7" s="496"/>
      <c r="H7" s="437"/>
      <c r="I7" s="438"/>
      <c r="J7" s="438"/>
      <c r="K7" s="438"/>
      <c r="L7" s="438"/>
      <c r="M7" s="438"/>
      <c r="N7" s="438"/>
      <c r="O7" s="438"/>
      <c r="P7" s="438"/>
      <c r="Q7" s="438"/>
      <c r="R7" s="438"/>
      <c r="S7" s="438"/>
      <c r="T7" s="438"/>
      <c r="U7" s="438"/>
      <c r="V7" s="438"/>
      <c r="W7" s="438"/>
      <c r="X7" s="438"/>
      <c r="Y7" s="438"/>
      <c r="Z7" s="438"/>
      <c r="AA7" s="438"/>
      <c r="AB7" s="438"/>
      <c r="AC7" s="438"/>
      <c r="AD7" s="438"/>
      <c r="AE7" s="438"/>
      <c r="AF7" s="438"/>
      <c r="AG7" s="438"/>
      <c r="AH7" s="438"/>
      <c r="AI7" s="438"/>
      <c r="AJ7" s="438"/>
      <c r="AK7" s="438"/>
      <c r="AL7" s="438"/>
      <c r="AM7" s="438"/>
      <c r="AN7" s="438"/>
      <c r="AO7" s="438"/>
      <c r="AP7" s="438"/>
      <c r="AQ7" s="438"/>
      <c r="AR7" s="438"/>
      <c r="AS7" s="438"/>
      <c r="AT7" s="438"/>
      <c r="AU7" s="438"/>
      <c r="AV7" s="438"/>
      <c r="AW7" s="438"/>
      <c r="AX7" s="438"/>
      <c r="AY7" s="438"/>
      <c r="AZ7" s="438"/>
      <c r="BA7" s="438"/>
      <c r="BB7" s="438"/>
      <c r="BC7" s="438"/>
      <c r="BD7" s="438"/>
      <c r="BE7" s="438"/>
      <c r="BF7" s="438"/>
      <c r="BG7" s="438"/>
      <c r="BH7" s="438"/>
      <c r="BI7" s="438"/>
      <c r="BJ7" s="438"/>
      <c r="BK7" s="438"/>
      <c r="BL7" s="438"/>
      <c r="BM7" s="438"/>
      <c r="BN7" s="438"/>
      <c r="BO7" s="438"/>
      <c r="BP7" s="438"/>
      <c r="BQ7" s="438"/>
      <c r="BR7" s="438"/>
      <c r="BS7" s="438"/>
      <c r="BT7" s="438"/>
      <c r="BU7" s="438"/>
      <c r="BV7" s="438"/>
      <c r="BW7" s="438"/>
      <c r="BX7" s="438"/>
      <c r="BY7" s="438"/>
      <c r="BZ7" s="438"/>
      <c r="CA7" s="438"/>
      <c r="CB7" s="438"/>
      <c r="CC7" s="859"/>
      <c r="CD7" s="438"/>
      <c r="CE7" s="438"/>
      <c r="CF7" s="438"/>
      <c r="CG7" s="438"/>
      <c r="CH7" s="438"/>
      <c r="CI7" s="438"/>
      <c r="CJ7" s="438"/>
      <c r="CK7" s="438"/>
      <c r="CL7" s="438"/>
      <c r="CM7" s="438"/>
      <c r="CN7" s="438"/>
      <c r="CO7" s="438"/>
      <c r="CP7" s="438"/>
      <c r="CQ7" s="438"/>
      <c r="CR7" s="438"/>
      <c r="CS7" s="438"/>
      <c r="CT7" s="438"/>
      <c r="CU7" s="438"/>
      <c r="CV7" s="438"/>
      <c r="CW7" s="438"/>
      <c r="CX7" s="438"/>
      <c r="CY7" s="438"/>
      <c r="CZ7" s="438"/>
      <c r="DA7" s="438"/>
      <c r="DB7" s="438"/>
      <c r="DC7" s="438"/>
      <c r="DD7" s="438"/>
      <c r="DE7" s="438"/>
      <c r="DF7" s="438"/>
      <c r="DG7" s="438"/>
      <c r="DH7" s="438"/>
      <c r="DI7" s="438"/>
      <c r="DJ7" s="438"/>
      <c r="DK7" s="438"/>
      <c r="DL7" s="438"/>
      <c r="DM7" s="438"/>
      <c r="DN7" s="438"/>
      <c r="DO7" s="438"/>
      <c r="DP7" s="438"/>
      <c r="DQ7" s="724"/>
      <c r="DR7" s="420"/>
      <c r="DS7" s="501"/>
      <c r="DT7" s="666"/>
      <c r="DU7" s="717"/>
      <c r="DV7" s="440"/>
      <c r="DW7" s="585"/>
      <c r="DX7" s="585"/>
      <c r="DY7" s="585"/>
      <c r="DZ7" s="597"/>
      <c r="EA7" s="440"/>
      <c r="EB7" s="440"/>
      <c r="EC7" s="597"/>
      <c r="ED7" s="440"/>
      <c r="EE7" s="440"/>
      <c r="EF7" s="440"/>
      <c r="EG7" s="440"/>
      <c r="EH7" s="440"/>
      <c r="EI7" s="440"/>
      <c r="EJ7" s="440"/>
      <c r="EK7" s="440"/>
      <c r="EL7" s="597"/>
      <c r="EM7" s="440" t="s">
        <v>509</v>
      </c>
      <c r="EN7" s="440" t="s">
        <v>509</v>
      </c>
      <c r="EO7" s="440" t="s">
        <v>509</v>
      </c>
      <c r="EP7" s="440" t="s">
        <v>510</v>
      </c>
      <c r="EQ7" s="440" t="s">
        <v>510</v>
      </c>
      <c r="ER7" s="440" t="s">
        <v>510</v>
      </c>
      <c r="ES7" s="440" t="s">
        <v>511</v>
      </c>
      <c r="ET7" s="440" t="s">
        <v>511</v>
      </c>
      <c r="EU7" s="440" t="s">
        <v>511</v>
      </c>
      <c r="EV7" s="440" t="s">
        <v>511</v>
      </c>
      <c r="EW7" s="440" t="s">
        <v>511</v>
      </c>
      <c r="EX7" s="440" t="s">
        <v>511</v>
      </c>
      <c r="EY7" s="440" t="s">
        <v>511</v>
      </c>
      <c r="EZ7" s="440" t="s">
        <v>511</v>
      </c>
      <c r="FA7" s="440" t="s">
        <v>511</v>
      </c>
      <c r="FB7" s="550"/>
      <c r="FC7" s="550" t="s">
        <v>512</v>
      </c>
      <c r="FD7" s="643" t="s">
        <v>512</v>
      </c>
      <c r="FE7" s="597"/>
      <c r="FF7" s="440"/>
      <c r="FG7" s="440"/>
      <c r="FH7" s="440"/>
      <c r="FI7" s="440"/>
      <c r="FJ7" s="440"/>
      <c r="FK7" s="440"/>
      <c r="FL7" s="440"/>
      <c r="FM7" s="440"/>
      <c r="FN7" s="440"/>
      <c r="FO7" s="585"/>
      <c r="FP7" s="585"/>
      <c r="FQ7" s="585"/>
      <c r="FR7" s="585"/>
      <c r="FS7" s="585"/>
      <c r="FT7" s="440"/>
      <c r="FU7" s="440"/>
      <c r="FV7" s="440"/>
      <c r="FW7" s="440"/>
      <c r="FX7" s="440"/>
      <c r="FY7" s="440"/>
      <c r="FZ7" s="440"/>
      <c r="GA7" s="585"/>
      <c r="GB7" s="585"/>
      <c r="GC7" s="585"/>
      <c r="GD7" s="585"/>
      <c r="GE7" s="585"/>
      <c r="GF7" s="585"/>
      <c r="GG7" s="585"/>
      <c r="GH7" s="585" t="s">
        <v>513</v>
      </c>
      <c r="GI7" s="585" t="s">
        <v>513</v>
      </c>
      <c r="GJ7" s="585" t="s">
        <v>513</v>
      </c>
      <c r="GK7" s="585" t="s">
        <v>513</v>
      </c>
      <c r="GL7" s="585"/>
      <c r="GM7" s="585"/>
      <c r="GN7" s="585"/>
      <c r="GO7" s="585"/>
      <c r="GP7" s="585"/>
      <c r="GQ7" s="585"/>
      <c r="GR7" s="585"/>
      <c r="GS7" s="585"/>
      <c r="GT7" s="585"/>
      <c r="GU7" s="585"/>
      <c r="GV7" s="585"/>
      <c r="GW7" s="585"/>
      <c r="GX7" s="585"/>
      <c r="GY7" s="585"/>
      <c r="GZ7" s="585"/>
      <c r="HA7" s="550" t="s">
        <v>514</v>
      </c>
      <c r="HB7" s="585" t="s">
        <v>515</v>
      </c>
      <c r="HC7" s="585" t="s">
        <v>516</v>
      </c>
      <c r="HD7" s="629"/>
      <c r="HE7" s="440"/>
      <c r="HF7" s="440"/>
      <c r="HG7" s="585"/>
      <c r="HH7" s="585"/>
      <c r="HI7" s="585"/>
      <c r="HJ7" s="629"/>
      <c r="HK7" s="440"/>
      <c r="HL7" s="440"/>
      <c r="HM7" s="440"/>
      <c r="HN7" s="440"/>
      <c r="HO7" s="440"/>
      <c r="HP7" s="440"/>
      <c r="HQ7" s="440"/>
      <c r="HR7" s="550"/>
      <c r="HS7" s="440"/>
      <c r="HT7" s="440"/>
      <c r="HU7" s="440"/>
      <c r="HV7" s="440"/>
      <c r="HW7" s="629"/>
      <c r="HX7" s="440"/>
      <c r="HY7" s="440"/>
      <c r="HZ7" s="440"/>
      <c r="IA7" s="440"/>
      <c r="IB7" s="440"/>
      <c r="IC7" s="440"/>
      <c r="ID7" s="440"/>
      <c r="IE7" s="440"/>
      <c r="IF7" s="440"/>
      <c r="IG7" s="440"/>
      <c r="IH7" s="440"/>
      <c r="II7" s="440"/>
      <c r="IJ7" s="629"/>
      <c r="IK7" s="440" t="s">
        <v>517</v>
      </c>
      <c r="IL7" s="440" t="s">
        <v>517</v>
      </c>
      <c r="IM7" s="440" t="s">
        <v>517</v>
      </c>
      <c r="IN7" s="441"/>
      <c r="IO7" s="442"/>
      <c r="IP7" s="618"/>
      <c r="IQ7" s="443"/>
      <c r="IR7" s="443"/>
      <c r="IS7" s="706"/>
      <c r="IT7" s="706"/>
      <c r="IU7" s="706"/>
      <c r="IV7" s="706"/>
      <c r="IW7" s="443"/>
      <c r="IX7" s="443"/>
      <c r="IY7" s="443"/>
      <c r="IZ7" s="443"/>
      <c r="JA7" s="443"/>
      <c r="JB7" s="443"/>
      <c r="JC7" s="443"/>
      <c r="JD7" s="443"/>
      <c r="JE7" s="443"/>
      <c r="JF7" s="443"/>
      <c r="JG7" s="443"/>
      <c r="JH7" s="443"/>
      <c r="JI7" s="443"/>
      <c r="JJ7" s="444"/>
      <c r="JK7" s="445"/>
      <c r="JL7" s="446"/>
      <c r="JM7" s="446"/>
      <c r="JN7" s="446"/>
      <c r="JO7" s="446"/>
      <c r="JP7" s="446"/>
      <c r="JQ7" s="446"/>
      <c r="JR7" s="446"/>
      <c r="JS7" s="446"/>
      <c r="JT7" s="446"/>
      <c r="JU7" s="446"/>
      <c r="JV7" s="446"/>
      <c r="JW7" s="446"/>
      <c r="JX7" s="446"/>
      <c r="JY7" s="446"/>
      <c r="JZ7" s="446"/>
      <c r="KA7" s="446"/>
      <c r="KB7" s="446"/>
      <c r="KC7" s="446"/>
      <c r="KD7" s="446"/>
      <c r="KE7" s="446"/>
      <c r="KF7" s="446"/>
      <c r="KG7" s="446"/>
      <c r="KH7" s="446"/>
      <c r="KI7" s="446"/>
      <c r="KJ7" s="473"/>
      <c r="KK7" s="447" t="s">
        <v>518</v>
      </c>
      <c r="KL7" s="548"/>
      <c r="KM7" s="448"/>
      <c r="KN7" s="448"/>
      <c r="KO7" s="448"/>
      <c r="KP7" s="448"/>
      <c r="KQ7" s="398"/>
      <c r="KR7" s="556"/>
      <c r="KS7" s="557"/>
      <c r="KT7" s="558"/>
      <c r="KU7" s="558"/>
      <c r="KV7" s="558"/>
      <c r="KW7" s="558"/>
      <c r="KX7" s="558"/>
      <c r="KY7" s="558"/>
      <c r="KZ7" s="558"/>
      <c r="LA7" s="558"/>
      <c r="LB7" s="558"/>
      <c r="LC7" s="558"/>
      <c r="LD7" s="558"/>
      <c r="LE7" s="558"/>
      <c r="LF7" s="558"/>
      <c r="LG7" s="558"/>
      <c r="LH7" s="558"/>
      <c r="LI7" s="558"/>
      <c r="LJ7" s="558"/>
      <c r="LK7" s="558"/>
      <c r="LL7" s="558"/>
      <c r="LM7" s="558"/>
      <c r="LN7" s="558"/>
      <c r="LO7" s="558"/>
      <c r="LP7" s="558"/>
      <c r="LQ7" s="558"/>
      <c r="LR7" s="558"/>
      <c r="LS7" s="558"/>
      <c r="LT7" s="736"/>
      <c r="LU7" s="611"/>
      <c r="LV7" s="589"/>
      <c r="LW7" s="612"/>
      <c r="LX7" s="612"/>
      <c r="LY7" s="612"/>
      <c r="LZ7" s="612"/>
      <c r="MA7" s="612"/>
      <c r="MB7" s="612"/>
      <c r="MC7" s="612"/>
      <c r="MD7" s="589"/>
      <c r="ME7" s="612"/>
      <c r="MF7" s="589"/>
      <c r="MG7" s="612"/>
      <c r="MH7" s="589"/>
      <c r="MI7" s="612"/>
      <c r="MJ7" s="589"/>
      <c r="MK7" s="612"/>
      <c r="ML7" s="612"/>
      <c r="MM7" s="612"/>
      <c r="MN7" s="612"/>
      <c r="MO7" s="612"/>
      <c r="MP7" s="612"/>
      <c r="MQ7" s="612"/>
      <c r="MR7" s="612"/>
      <c r="MS7" s="612"/>
      <c r="MT7" s="612"/>
      <c r="MU7" s="612"/>
      <c r="MV7" s="612"/>
      <c r="MW7" s="589"/>
      <c r="MX7" s="450"/>
      <c r="MY7" s="450"/>
      <c r="MZ7" s="450"/>
      <c r="NA7" s="450"/>
      <c r="NB7" s="450"/>
      <c r="NC7" s="450"/>
      <c r="ND7" s="450"/>
      <c r="NE7" s="450"/>
      <c r="NF7" s="450"/>
      <c r="NG7" s="450"/>
      <c r="NH7" s="450"/>
      <c r="NI7" s="450"/>
      <c r="NJ7" s="450"/>
      <c r="NK7" s="450"/>
      <c r="NL7" s="450"/>
      <c r="NM7" s="450"/>
      <c r="NN7" s="450"/>
      <c r="NO7" s="450"/>
      <c r="NP7" s="450"/>
      <c r="NQ7" s="450"/>
      <c r="NR7" s="450"/>
      <c r="NS7" s="450"/>
      <c r="NT7" s="450"/>
      <c r="NU7" s="450"/>
      <c r="NV7" s="450"/>
      <c r="NW7" s="450"/>
      <c r="NX7" s="450"/>
      <c r="NY7" s="450"/>
      <c r="NZ7" s="611"/>
      <c r="OA7" s="635"/>
      <c r="OB7" s="638" t="s">
        <v>519</v>
      </c>
      <c r="OC7" s="638" t="s">
        <v>519</v>
      </c>
      <c r="OD7" s="638" t="s">
        <v>519</v>
      </c>
      <c r="OE7" s="638" t="s">
        <v>519</v>
      </c>
      <c r="OF7" s="638"/>
      <c r="OG7" s="638" t="s">
        <v>520</v>
      </c>
      <c r="OH7" s="638" t="s">
        <v>521</v>
      </c>
      <c r="OI7" s="638" t="s">
        <v>521</v>
      </c>
      <c r="OJ7" s="638" t="s">
        <v>521</v>
      </c>
      <c r="OK7" s="638" t="s">
        <v>521</v>
      </c>
      <c r="OL7" s="638"/>
      <c r="OM7" s="638"/>
      <c r="ON7" s="635"/>
      <c r="OO7" s="638" t="s">
        <v>522</v>
      </c>
      <c r="OP7" s="638" t="s">
        <v>522</v>
      </c>
      <c r="OQ7" s="638"/>
      <c r="OR7" s="638"/>
      <c r="OS7" s="638"/>
      <c r="OT7" s="638" t="s">
        <v>523</v>
      </c>
      <c r="OU7" s="638" t="s">
        <v>523</v>
      </c>
      <c r="OV7" s="638" t="s">
        <v>523</v>
      </c>
      <c r="OW7" s="638" t="s">
        <v>523</v>
      </c>
      <c r="OX7" s="638" t="s">
        <v>523</v>
      </c>
      <c r="OY7" s="638" t="s">
        <v>523</v>
      </c>
      <c r="OZ7" s="638" t="s">
        <v>524</v>
      </c>
      <c r="PA7" s="638"/>
      <c r="PB7" s="638" t="s">
        <v>525</v>
      </c>
      <c r="PC7" s="638" t="s">
        <v>526</v>
      </c>
      <c r="PD7" s="638"/>
      <c r="PE7" s="638" t="s">
        <v>527</v>
      </c>
      <c r="PF7" s="638"/>
      <c r="PG7" s="638"/>
      <c r="PH7" s="640"/>
      <c r="PI7" s="666"/>
      <c r="PJ7" s="666"/>
      <c r="PK7" s="666"/>
      <c r="PL7" s="420"/>
      <c r="PM7" s="420"/>
      <c r="PN7" s="420"/>
      <c r="PO7" s="550" t="s">
        <v>512</v>
      </c>
    </row>
    <row r="8" spans="1:431" ht="30">
      <c r="A8" s="418" t="s">
        <v>528</v>
      </c>
      <c r="B8" s="623" t="s">
        <v>17</v>
      </c>
      <c r="C8" s="380" t="s">
        <v>438</v>
      </c>
      <c r="D8" s="380" t="s">
        <v>529</v>
      </c>
      <c r="E8" s="380" t="s">
        <v>528</v>
      </c>
      <c r="G8" s="576"/>
      <c r="H8" s="575" t="s">
        <v>530</v>
      </c>
      <c r="I8" s="549" t="s">
        <v>531</v>
      </c>
      <c r="J8" s="549" t="s">
        <v>532</v>
      </c>
      <c r="K8" s="549" t="s">
        <v>530</v>
      </c>
      <c r="L8" s="549" t="s">
        <v>531</v>
      </c>
      <c r="M8" s="549" t="s">
        <v>532</v>
      </c>
      <c r="N8" s="573" t="s">
        <v>533</v>
      </c>
      <c r="O8" s="573" t="s">
        <v>534</v>
      </c>
      <c r="P8" s="573" t="s">
        <v>535</v>
      </c>
      <c r="Q8" s="573" t="s">
        <v>536</v>
      </c>
      <c r="R8" s="573" t="s">
        <v>537</v>
      </c>
      <c r="S8" s="573" t="s">
        <v>538</v>
      </c>
      <c r="T8" s="573" t="s">
        <v>539</v>
      </c>
      <c r="U8" s="573" t="s">
        <v>540</v>
      </c>
      <c r="V8" s="573" t="s">
        <v>540</v>
      </c>
      <c r="W8" s="573" t="s">
        <v>541</v>
      </c>
      <c r="X8" s="573" t="s">
        <v>541</v>
      </c>
      <c r="Y8" s="573" t="s">
        <v>542</v>
      </c>
      <c r="Z8" s="573" t="s">
        <v>543</v>
      </c>
      <c r="AA8" s="573" t="s">
        <v>544</v>
      </c>
      <c r="AB8" s="573" t="s">
        <v>541</v>
      </c>
      <c r="AC8" s="573" t="s">
        <v>542</v>
      </c>
      <c r="AD8" s="573" t="s">
        <v>543</v>
      </c>
      <c r="AE8" s="573" t="s">
        <v>544</v>
      </c>
      <c r="AF8" s="573" t="s">
        <v>543</v>
      </c>
      <c r="AG8" s="573" t="s">
        <v>544</v>
      </c>
      <c r="AH8" s="573" t="s">
        <v>545</v>
      </c>
      <c r="AI8" s="573" t="s">
        <v>546</v>
      </c>
      <c r="AJ8" s="573" t="s">
        <v>547</v>
      </c>
      <c r="AK8" s="573" t="s">
        <v>548</v>
      </c>
      <c r="AL8" s="573" t="s">
        <v>549</v>
      </c>
      <c r="AM8" s="573" t="s">
        <v>548</v>
      </c>
      <c r="AN8" s="573" t="s">
        <v>543</v>
      </c>
      <c r="AO8" s="573" t="s">
        <v>547</v>
      </c>
      <c r="AP8" s="573" t="s">
        <v>549</v>
      </c>
      <c r="AQ8" s="573" t="s">
        <v>543</v>
      </c>
      <c r="AR8" s="573" t="s">
        <v>549</v>
      </c>
      <c r="AS8" s="573" t="s">
        <v>548</v>
      </c>
      <c r="AT8" s="573" t="s">
        <v>550</v>
      </c>
      <c r="AU8" s="573" t="s">
        <v>550</v>
      </c>
      <c r="AV8" s="573" t="s">
        <v>551</v>
      </c>
      <c r="AW8" s="573" t="s">
        <v>552</v>
      </c>
      <c r="AX8" s="573" t="s">
        <v>553</v>
      </c>
      <c r="AY8" s="573" t="s">
        <v>551</v>
      </c>
      <c r="AZ8" s="573" t="s">
        <v>554</v>
      </c>
      <c r="BA8" s="573" t="s">
        <v>553</v>
      </c>
      <c r="BB8" s="573" t="s">
        <v>555</v>
      </c>
      <c r="BC8" s="573" t="s">
        <v>556</v>
      </c>
      <c r="BD8" s="573" t="s">
        <v>557</v>
      </c>
      <c r="BE8" s="573" t="s">
        <v>558</v>
      </c>
      <c r="BF8" s="573" t="s">
        <v>559</v>
      </c>
      <c r="BG8" s="573" t="s">
        <v>560</v>
      </c>
      <c r="BH8" s="573" t="s">
        <v>561</v>
      </c>
      <c r="BI8" s="573" t="s">
        <v>562</v>
      </c>
      <c r="BJ8" s="573" t="s">
        <v>563</v>
      </c>
      <c r="BK8" s="573" t="s">
        <v>564</v>
      </c>
      <c r="BL8" s="573" t="s">
        <v>565</v>
      </c>
      <c r="BM8" s="573" t="s">
        <v>566</v>
      </c>
      <c r="BN8" s="573" t="s">
        <v>567</v>
      </c>
      <c r="BO8" s="573" t="s">
        <v>568</v>
      </c>
      <c r="BP8" s="573" t="s">
        <v>569</v>
      </c>
      <c r="BQ8" s="573" t="s">
        <v>570</v>
      </c>
      <c r="BR8" s="573" t="s">
        <v>571</v>
      </c>
      <c r="BS8" s="573" t="s">
        <v>569</v>
      </c>
      <c r="BT8" s="573" t="s">
        <v>572</v>
      </c>
      <c r="BU8" s="573" t="s">
        <v>573</v>
      </c>
      <c r="BV8" s="573" t="s">
        <v>574</v>
      </c>
      <c r="BW8" s="573" t="s">
        <v>561</v>
      </c>
      <c r="BX8" s="573" t="s">
        <v>575</v>
      </c>
      <c r="BY8" s="573" t="s">
        <v>576</v>
      </c>
      <c r="BZ8" s="573" t="s">
        <v>577</v>
      </c>
      <c r="CA8" s="573" t="s">
        <v>578</v>
      </c>
      <c r="CB8" s="573" t="s">
        <v>579</v>
      </c>
      <c r="CC8" s="860" t="s">
        <v>570</v>
      </c>
      <c r="CD8" s="573" t="s">
        <v>569</v>
      </c>
      <c r="CE8" s="573" t="s">
        <v>580</v>
      </c>
      <c r="CF8" s="573" t="s">
        <v>581</v>
      </c>
      <c r="CG8" s="573" t="s">
        <v>582</v>
      </c>
      <c r="CH8" s="573" t="s">
        <v>583</v>
      </c>
      <c r="CI8" s="573" t="s">
        <v>584</v>
      </c>
      <c r="CJ8" s="573" t="s">
        <v>585</v>
      </c>
      <c r="CK8" s="573" t="s">
        <v>586</v>
      </c>
      <c r="CL8" s="573" t="s">
        <v>583</v>
      </c>
      <c r="CM8" s="573" t="s">
        <v>584</v>
      </c>
      <c r="CN8" s="573" t="s">
        <v>587</v>
      </c>
      <c r="CO8" s="573" t="s">
        <v>585</v>
      </c>
      <c r="CP8" s="573" t="s">
        <v>588</v>
      </c>
      <c r="CQ8" s="573" t="s">
        <v>589</v>
      </c>
      <c r="CR8" s="573" t="s">
        <v>590</v>
      </c>
      <c r="CS8" s="573" t="s">
        <v>591</v>
      </c>
      <c r="CT8" s="573" t="s">
        <v>592</v>
      </c>
      <c r="CU8" s="573" t="s">
        <v>589</v>
      </c>
      <c r="CV8" s="573" t="s">
        <v>591</v>
      </c>
      <c r="CW8" s="573" t="s">
        <v>590</v>
      </c>
      <c r="CX8" s="573" t="s">
        <v>588</v>
      </c>
      <c r="CY8" s="573" t="s">
        <v>592</v>
      </c>
      <c r="CZ8" s="573" t="s">
        <v>593</v>
      </c>
      <c r="DA8" s="573" t="s">
        <v>594</v>
      </c>
      <c r="DB8" s="573" t="s">
        <v>595</v>
      </c>
      <c r="DC8" s="573" t="s">
        <v>596</v>
      </c>
      <c r="DD8" s="573" t="s">
        <v>597</v>
      </c>
      <c r="DE8" s="573" t="s">
        <v>598</v>
      </c>
      <c r="DF8" s="573" t="s">
        <v>597</v>
      </c>
      <c r="DG8" s="573" t="s">
        <v>593</v>
      </c>
      <c r="DH8" s="573" t="s">
        <v>594</v>
      </c>
      <c r="DI8" s="573" t="s">
        <v>595</v>
      </c>
      <c r="DJ8" s="573" t="s">
        <v>599</v>
      </c>
      <c r="DK8" s="573" t="s">
        <v>600</v>
      </c>
      <c r="DL8" s="573" t="s">
        <v>596</v>
      </c>
      <c r="DM8" s="573" t="s">
        <v>601</v>
      </c>
      <c r="DN8" s="573" t="s">
        <v>602</v>
      </c>
      <c r="DO8" s="573" t="s">
        <v>597</v>
      </c>
      <c r="DP8" s="573" t="s">
        <v>597</v>
      </c>
      <c r="DQ8" s="573" t="s">
        <v>603</v>
      </c>
      <c r="DR8" s="420" t="s">
        <v>603</v>
      </c>
      <c r="DS8" s="508"/>
      <c r="DT8" s="666" t="s">
        <v>604</v>
      </c>
      <c r="DU8" s="574" t="s">
        <v>605</v>
      </c>
      <c r="DV8" s="550" t="s">
        <v>606</v>
      </c>
      <c r="DW8" s="550" t="s">
        <v>607</v>
      </c>
      <c r="DX8" s="550" t="s">
        <v>607</v>
      </c>
      <c r="DY8" s="550" t="s">
        <v>607</v>
      </c>
      <c r="DZ8" s="594"/>
      <c r="EA8" s="550" t="s">
        <v>608</v>
      </c>
      <c r="EB8" s="550" t="s">
        <v>609</v>
      </c>
      <c r="EC8" s="594"/>
      <c r="ED8" s="550" t="s">
        <v>610</v>
      </c>
      <c r="EE8" s="550" t="s">
        <v>611</v>
      </c>
      <c r="EF8" s="550" t="s">
        <v>610</v>
      </c>
      <c r="EG8" s="550" t="s">
        <v>611</v>
      </c>
      <c r="EH8" s="550" t="s">
        <v>610</v>
      </c>
      <c r="EI8" s="550" t="s">
        <v>611</v>
      </c>
      <c r="EJ8" s="550" t="s">
        <v>612</v>
      </c>
      <c r="EK8" s="550" t="s">
        <v>613</v>
      </c>
      <c r="EL8" s="594"/>
      <c r="EM8" s="550" t="s">
        <v>610</v>
      </c>
      <c r="EN8" s="550" t="s">
        <v>611</v>
      </c>
      <c r="EO8" s="550" t="s">
        <v>611</v>
      </c>
      <c r="EP8" s="571" t="s">
        <v>614</v>
      </c>
      <c r="EQ8" s="571" t="s">
        <v>615</v>
      </c>
      <c r="ER8" s="571" t="s">
        <v>614</v>
      </c>
      <c r="ES8" s="550" t="s">
        <v>616</v>
      </c>
      <c r="ET8" s="550" t="s">
        <v>617</v>
      </c>
      <c r="EU8" s="550" t="s">
        <v>617</v>
      </c>
      <c r="EV8" s="550" t="s">
        <v>617</v>
      </c>
      <c r="EW8" s="550" t="s">
        <v>617</v>
      </c>
      <c r="EX8" s="550" t="s">
        <v>617</v>
      </c>
      <c r="EY8" s="550" t="s">
        <v>617</v>
      </c>
      <c r="EZ8" s="550" t="s">
        <v>617</v>
      </c>
      <c r="FA8" s="571" t="s">
        <v>617</v>
      </c>
      <c r="FB8" s="550" t="s">
        <v>618</v>
      </c>
      <c r="FC8" s="550" t="s">
        <v>619</v>
      </c>
      <c r="FD8" s="550" t="s">
        <v>619</v>
      </c>
      <c r="FE8" s="594"/>
      <c r="FF8" s="550" t="s">
        <v>620</v>
      </c>
      <c r="FG8" s="550" t="s">
        <v>621</v>
      </c>
      <c r="FH8" s="550" t="s">
        <v>622</v>
      </c>
      <c r="FI8" s="550" t="s">
        <v>623</v>
      </c>
      <c r="FJ8" s="550" t="s">
        <v>624</v>
      </c>
      <c r="FK8" s="550" t="s">
        <v>625</v>
      </c>
      <c r="FL8" s="550" t="s">
        <v>626</v>
      </c>
      <c r="FM8" s="550" t="s">
        <v>627</v>
      </c>
      <c r="FN8" s="550" t="s">
        <v>628</v>
      </c>
      <c r="FO8" s="550" t="s">
        <v>629</v>
      </c>
      <c r="FP8" s="550" t="s">
        <v>624</v>
      </c>
      <c r="FQ8" s="550" t="s">
        <v>626</v>
      </c>
      <c r="FR8" s="550" t="s">
        <v>627</v>
      </c>
      <c r="FS8" s="550" t="s">
        <v>628</v>
      </c>
      <c r="FT8" s="550" t="s">
        <v>624</v>
      </c>
      <c r="FU8" s="550" t="s">
        <v>630</v>
      </c>
      <c r="FV8" s="550" t="s">
        <v>626</v>
      </c>
      <c r="FW8" s="550" t="s">
        <v>631</v>
      </c>
      <c r="FX8" s="550" t="s">
        <v>624</v>
      </c>
      <c r="FY8" s="550" t="s">
        <v>630</v>
      </c>
      <c r="FZ8" s="550" t="s">
        <v>627</v>
      </c>
      <c r="GA8" s="550" t="s">
        <v>626</v>
      </c>
      <c r="GB8" s="550" t="s">
        <v>631</v>
      </c>
      <c r="GC8" s="550" t="s">
        <v>621</v>
      </c>
      <c r="GD8" s="550" t="s">
        <v>626</v>
      </c>
      <c r="GE8" s="550" t="s">
        <v>623</v>
      </c>
      <c r="GF8" s="550" t="s">
        <v>626</v>
      </c>
      <c r="GG8" s="550" t="s">
        <v>623</v>
      </c>
      <c r="GH8" s="550" t="s">
        <v>629</v>
      </c>
      <c r="GI8" s="550" t="s">
        <v>632</v>
      </c>
      <c r="GJ8" s="550" t="s">
        <v>622</v>
      </c>
      <c r="GK8" s="550" t="s">
        <v>623</v>
      </c>
      <c r="GL8" s="550" t="s">
        <v>633</v>
      </c>
      <c r="GM8" s="550" t="s">
        <v>634</v>
      </c>
      <c r="GN8" s="550" t="s">
        <v>635</v>
      </c>
      <c r="GO8" s="550" t="s">
        <v>633</v>
      </c>
      <c r="GP8" s="550" t="s">
        <v>634</v>
      </c>
      <c r="GQ8" s="550" t="s">
        <v>635</v>
      </c>
      <c r="GR8" s="550" t="s">
        <v>633</v>
      </c>
      <c r="GS8" s="550" t="s">
        <v>634</v>
      </c>
      <c r="GT8" s="550" t="s">
        <v>635</v>
      </c>
      <c r="GU8" s="550" t="s">
        <v>636</v>
      </c>
      <c r="GV8" s="550" t="s">
        <v>637</v>
      </c>
      <c r="GW8" s="550" t="s">
        <v>638</v>
      </c>
      <c r="GX8" s="550" t="s">
        <v>636</v>
      </c>
      <c r="GY8" s="550" t="s">
        <v>637</v>
      </c>
      <c r="GZ8" s="550" t="s">
        <v>638</v>
      </c>
      <c r="HA8" s="550" t="s">
        <v>633</v>
      </c>
      <c r="HB8" s="550" t="s">
        <v>639</v>
      </c>
      <c r="HC8" s="550" t="s">
        <v>639</v>
      </c>
      <c r="HD8" s="594"/>
      <c r="HE8" s="550" t="s">
        <v>640</v>
      </c>
      <c r="HF8" s="550" t="s">
        <v>641</v>
      </c>
      <c r="HG8" s="550" t="s">
        <v>641</v>
      </c>
      <c r="HH8" s="550" t="s">
        <v>642</v>
      </c>
      <c r="HI8" s="550" t="s">
        <v>643</v>
      </c>
      <c r="HJ8" s="594"/>
      <c r="HK8" s="550" t="s">
        <v>644</v>
      </c>
      <c r="HL8" s="550" t="s">
        <v>645</v>
      </c>
      <c r="HM8" s="550" t="s">
        <v>644</v>
      </c>
      <c r="HN8" s="550" t="s">
        <v>646</v>
      </c>
      <c r="HO8" s="550" t="s">
        <v>644</v>
      </c>
      <c r="HP8" s="550" t="s">
        <v>647</v>
      </c>
      <c r="HQ8" s="550" t="s">
        <v>648</v>
      </c>
      <c r="HR8" s="550" t="s">
        <v>647</v>
      </c>
      <c r="HS8" s="550" t="s">
        <v>637</v>
      </c>
      <c r="HT8" s="550" t="s">
        <v>646</v>
      </c>
      <c r="HU8" s="550" t="s">
        <v>649</v>
      </c>
      <c r="HV8" s="550" t="s">
        <v>637</v>
      </c>
      <c r="HW8" s="594"/>
      <c r="HX8" s="550" t="s">
        <v>650</v>
      </c>
      <c r="HY8" s="550" t="s">
        <v>650</v>
      </c>
      <c r="HZ8" s="550" t="s">
        <v>651</v>
      </c>
      <c r="IA8" s="550" t="s">
        <v>652</v>
      </c>
      <c r="IB8" s="550" t="s">
        <v>653</v>
      </c>
      <c r="IC8" s="550" t="s">
        <v>654</v>
      </c>
      <c r="ID8" s="550" t="s">
        <v>655</v>
      </c>
      <c r="IE8" s="550" t="s">
        <v>656</v>
      </c>
      <c r="IF8" s="550" t="s">
        <v>657</v>
      </c>
      <c r="IG8" s="550" t="s">
        <v>658</v>
      </c>
      <c r="IH8" s="550" t="s">
        <v>659</v>
      </c>
      <c r="II8" s="550" t="s">
        <v>658</v>
      </c>
      <c r="IJ8" s="594"/>
      <c r="IK8" s="550" t="s">
        <v>660</v>
      </c>
      <c r="IL8" s="550" t="s">
        <v>661</v>
      </c>
      <c r="IM8" s="550" t="s">
        <v>662</v>
      </c>
      <c r="IN8" s="570"/>
      <c r="IO8" s="572" t="s">
        <v>663</v>
      </c>
      <c r="IP8" s="572" t="s">
        <v>663</v>
      </c>
      <c r="IQ8" s="572" t="s">
        <v>663</v>
      </c>
      <c r="IR8" s="572" t="s">
        <v>663</v>
      </c>
      <c r="IS8" s="712" t="s">
        <v>664</v>
      </c>
      <c r="IT8" s="712" t="s">
        <v>664</v>
      </c>
      <c r="IU8" s="713" t="s">
        <v>665</v>
      </c>
      <c r="IV8" s="713" t="s">
        <v>666</v>
      </c>
      <c r="IW8" s="568" t="s">
        <v>667</v>
      </c>
      <c r="IX8" s="568" t="s">
        <v>667</v>
      </c>
      <c r="IY8" s="568" t="s">
        <v>668</v>
      </c>
      <c r="IZ8" s="568" t="s">
        <v>668</v>
      </c>
      <c r="JA8" s="568" t="s">
        <v>668</v>
      </c>
      <c r="JB8" s="568" t="s">
        <v>669</v>
      </c>
      <c r="JC8" s="568" t="s">
        <v>670</v>
      </c>
      <c r="JD8" s="568" t="s">
        <v>671</v>
      </c>
      <c r="JE8" s="568" t="s">
        <v>672</v>
      </c>
      <c r="JF8" s="568" t="s">
        <v>663</v>
      </c>
      <c r="JG8" s="568" t="s">
        <v>673</v>
      </c>
      <c r="JH8" s="568" t="s">
        <v>674</v>
      </c>
      <c r="JI8" s="568" t="s">
        <v>675</v>
      </c>
      <c r="JJ8" s="456"/>
      <c r="JK8" s="569" t="s">
        <v>676</v>
      </c>
      <c r="JL8" s="552" t="s">
        <v>677</v>
      </c>
      <c r="JM8" s="552" t="s">
        <v>678</v>
      </c>
      <c r="JN8" s="552" t="s">
        <v>678</v>
      </c>
      <c r="JO8" s="566" t="s">
        <v>678</v>
      </c>
      <c r="JP8" s="566" t="s">
        <v>678</v>
      </c>
      <c r="JQ8" s="566" t="s">
        <v>679</v>
      </c>
      <c r="JR8" s="566" t="s">
        <v>680</v>
      </c>
      <c r="JS8" s="566" t="s">
        <v>680</v>
      </c>
      <c r="JT8" s="566" t="s">
        <v>681</v>
      </c>
      <c r="JU8" s="566" t="s">
        <v>680</v>
      </c>
      <c r="JV8" s="566" t="s">
        <v>680</v>
      </c>
      <c r="JW8" s="566" t="s">
        <v>680</v>
      </c>
      <c r="JX8" s="566" t="s">
        <v>680</v>
      </c>
      <c r="JY8" s="566" t="s">
        <v>682</v>
      </c>
      <c r="JZ8" s="566" t="s">
        <v>682</v>
      </c>
      <c r="KA8" s="566" t="s">
        <v>683</v>
      </c>
      <c r="KB8" s="566" t="s">
        <v>684</v>
      </c>
      <c r="KC8" s="566" t="s">
        <v>684</v>
      </c>
      <c r="KD8" s="566" t="s">
        <v>684</v>
      </c>
      <c r="KE8" s="566" t="s">
        <v>684</v>
      </c>
      <c r="KF8" s="566" t="s">
        <v>685</v>
      </c>
      <c r="KG8" s="566" t="s">
        <v>685</v>
      </c>
      <c r="KH8" s="566" t="s">
        <v>685</v>
      </c>
      <c r="KI8" s="566" t="s">
        <v>685</v>
      </c>
      <c r="KJ8" s="565"/>
      <c r="KK8" s="567" t="s">
        <v>686</v>
      </c>
      <c r="KL8" s="553" t="s">
        <v>687</v>
      </c>
      <c r="KM8" s="553" t="s">
        <v>687</v>
      </c>
      <c r="KN8" s="553" t="s">
        <v>687</v>
      </c>
      <c r="KO8" s="553"/>
      <c r="KP8" s="563"/>
      <c r="KQ8" s="562"/>
      <c r="KR8" s="554" t="s">
        <v>688</v>
      </c>
      <c r="KS8" s="554" t="s">
        <v>688</v>
      </c>
      <c r="KT8" s="554" t="s">
        <v>688</v>
      </c>
      <c r="KU8" s="554" t="s">
        <v>689</v>
      </c>
      <c r="KV8" s="554" t="s">
        <v>690</v>
      </c>
      <c r="KW8" s="554" t="s">
        <v>691</v>
      </c>
      <c r="KX8" s="554" t="s">
        <v>692</v>
      </c>
      <c r="KY8" s="554" t="s">
        <v>693</v>
      </c>
      <c r="KZ8" s="554" t="s">
        <v>694</v>
      </c>
      <c r="LA8" s="554" t="s">
        <v>695</v>
      </c>
      <c r="LB8" s="554" t="s">
        <v>696</v>
      </c>
      <c r="LC8" s="554" t="s">
        <v>689</v>
      </c>
      <c r="LD8" s="554" t="s">
        <v>690</v>
      </c>
      <c r="LE8" s="554" t="s">
        <v>691</v>
      </c>
      <c r="LF8" s="554" t="s">
        <v>692</v>
      </c>
      <c r="LG8" s="554" t="s">
        <v>697</v>
      </c>
      <c r="LH8" s="554" t="s">
        <v>697</v>
      </c>
      <c r="LI8" s="554" t="s">
        <v>697</v>
      </c>
      <c r="LJ8" s="554" t="s">
        <v>698</v>
      </c>
      <c r="LK8" s="554" t="s">
        <v>698</v>
      </c>
      <c r="LL8" s="554" t="s">
        <v>699</v>
      </c>
      <c r="LM8" s="554" t="s">
        <v>699</v>
      </c>
      <c r="LN8" s="554" t="s">
        <v>700</v>
      </c>
      <c r="LO8" s="554" t="s">
        <v>701</v>
      </c>
      <c r="LP8" s="554"/>
      <c r="LQ8" s="554"/>
      <c r="LR8" s="554" t="s">
        <v>702</v>
      </c>
      <c r="LS8" s="554"/>
      <c r="LT8" s="560"/>
      <c r="LU8" s="611" t="s">
        <v>703</v>
      </c>
      <c r="LV8" s="740" t="s">
        <v>703</v>
      </c>
      <c r="LW8" s="613" t="s">
        <v>703</v>
      </c>
      <c r="LX8" s="613" t="s">
        <v>704</v>
      </c>
      <c r="LY8" s="613" t="s">
        <v>704</v>
      </c>
      <c r="LZ8" s="613" t="s">
        <v>605</v>
      </c>
      <c r="MA8" s="613" t="s">
        <v>705</v>
      </c>
      <c r="MB8" s="613" t="s">
        <v>705</v>
      </c>
      <c r="MC8" s="613" t="s">
        <v>705</v>
      </c>
      <c r="MD8" s="613" t="s">
        <v>604</v>
      </c>
      <c r="ME8" s="613" t="s">
        <v>604</v>
      </c>
      <c r="MF8" s="606" t="s">
        <v>604</v>
      </c>
      <c r="MG8" s="613" t="s">
        <v>604</v>
      </c>
      <c r="MH8" s="606" t="s">
        <v>604</v>
      </c>
      <c r="MI8" s="613" t="s">
        <v>604</v>
      </c>
      <c r="MJ8" s="613" t="s">
        <v>604</v>
      </c>
      <c r="MK8" s="613" t="s">
        <v>604</v>
      </c>
      <c r="ML8" s="613" t="s">
        <v>706</v>
      </c>
      <c r="MM8" s="613" t="s">
        <v>706</v>
      </c>
      <c r="MN8" s="613" t="s">
        <v>706</v>
      </c>
      <c r="MO8" s="613" t="s">
        <v>607</v>
      </c>
      <c r="MP8" s="613" t="s">
        <v>707</v>
      </c>
      <c r="MQ8" s="613" t="s">
        <v>707</v>
      </c>
      <c r="MR8" s="613" t="s">
        <v>707</v>
      </c>
      <c r="MS8" s="613" t="s">
        <v>707</v>
      </c>
      <c r="MT8" s="613" t="s">
        <v>707</v>
      </c>
      <c r="MU8" s="613" t="s">
        <v>707</v>
      </c>
      <c r="MV8" s="613" t="s">
        <v>708</v>
      </c>
      <c r="MW8" s="613" t="s">
        <v>708</v>
      </c>
      <c r="MX8" s="613" t="s">
        <v>708</v>
      </c>
      <c r="MY8" s="613" t="s">
        <v>708</v>
      </c>
      <c r="MZ8" s="613" t="s">
        <v>708</v>
      </c>
      <c r="NA8" s="555" t="s">
        <v>708</v>
      </c>
      <c r="NB8" s="555" t="s">
        <v>611</v>
      </c>
      <c r="NC8" s="555" t="s">
        <v>611</v>
      </c>
      <c r="ND8" s="555" t="s">
        <v>708</v>
      </c>
      <c r="NE8" s="555" t="s">
        <v>708</v>
      </c>
      <c r="NF8" s="555" t="s">
        <v>610</v>
      </c>
      <c r="NG8" s="555" t="s">
        <v>611</v>
      </c>
      <c r="NH8" s="555" t="s">
        <v>611</v>
      </c>
      <c r="NI8" s="555" t="s">
        <v>611</v>
      </c>
      <c r="NJ8" s="555" t="s">
        <v>613</v>
      </c>
      <c r="NK8" s="555" t="s">
        <v>709</v>
      </c>
      <c r="NL8" s="555" t="s">
        <v>709</v>
      </c>
      <c r="NM8" s="555" t="s">
        <v>709</v>
      </c>
      <c r="NN8" s="555" t="s">
        <v>710</v>
      </c>
      <c r="NO8" s="555" t="s">
        <v>711</v>
      </c>
      <c r="NP8" s="555" t="s">
        <v>544</v>
      </c>
      <c r="NQ8" s="555" t="s">
        <v>541</v>
      </c>
      <c r="NR8" s="555" t="s">
        <v>541</v>
      </c>
      <c r="NS8" s="555" t="s">
        <v>711</v>
      </c>
      <c r="NT8" s="555" t="s">
        <v>544</v>
      </c>
      <c r="NU8" s="555" t="s">
        <v>712</v>
      </c>
      <c r="NV8" s="555" t="s">
        <v>713</v>
      </c>
      <c r="NW8" s="555" t="s">
        <v>713</v>
      </c>
      <c r="NX8" s="577" t="s">
        <v>711</v>
      </c>
      <c r="NY8" s="577" t="s">
        <v>714</v>
      </c>
      <c r="NZ8" s="611" t="s">
        <v>715</v>
      </c>
      <c r="OA8" s="635"/>
      <c r="OB8" s="638" t="s">
        <v>716</v>
      </c>
      <c r="OC8" s="638" t="s">
        <v>716</v>
      </c>
      <c r="OD8" s="638" t="s">
        <v>716</v>
      </c>
      <c r="OE8" s="638" t="s">
        <v>717</v>
      </c>
      <c r="OF8" s="638" t="s">
        <v>718</v>
      </c>
      <c r="OG8" s="638" t="s">
        <v>719</v>
      </c>
      <c r="OH8" s="638" t="s">
        <v>720</v>
      </c>
      <c r="OI8" s="638" t="s">
        <v>720</v>
      </c>
      <c r="OJ8" s="638" t="s">
        <v>721</v>
      </c>
      <c r="OK8" s="638" t="s">
        <v>721</v>
      </c>
      <c r="OL8" s="638" t="s">
        <v>722</v>
      </c>
      <c r="OM8" s="638" t="s">
        <v>722</v>
      </c>
      <c r="ON8" s="635"/>
      <c r="OO8" s="638" t="s">
        <v>723</v>
      </c>
      <c r="OP8" s="638" t="s">
        <v>723</v>
      </c>
      <c r="OQ8" s="638" t="s">
        <v>724</v>
      </c>
      <c r="OR8" s="638" t="s">
        <v>724</v>
      </c>
      <c r="OS8" s="638" t="s">
        <v>612</v>
      </c>
      <c r="OT8" s="638" t="s">
        <v>725</v>
      </c>
      <c r="OU8" s="638" t="s">
        <v>725</v>
      </c>
      <c r="OV8" s="638" t="s">
        <v>725</v>
      </c>
      <c r="OW8" s="638" t="s">
        <v>726</v>
      </c>
      <c r="OX8" s="638" t="s">
        <v>726</v>
      </c>
      <c r="OY8" s="638" t="s">
        <v>726</v>
      </c>
      <c r="OZ8" s="638" t="s">
        <v>727</v>
      </c>
      <c r="PA8" s="638" t="s">
        <v>728</v>
      </c>
      <c r="PB8" s="638" t="s">
        <v>729</v>
      </c>
      <c r="PC8" s="638" t="s">
        <v>729</v>
      </c>
      <c r="PD8" s="638" t="s">
        <v>729</v>
      </c>
      <c r="PE8" s="638" t="s">
        <v>729</v>
      </c>
      <c r="PF8" s="638" t="s">
        <v>729</v>
      </c>
      <c r="PG8" s="638" t="s">
        <v>729</v>
      </c>
      <c r="PH8" s="640" t="s">
        <v>729</v>
      </c>
      <c r="PI8" s="666" t="s">
        <v>730</v>
      </c>
      <c r="PJ8" s="666" t="s">
        <v>730</v>
      </c>
      <c r="PK8" s="666" t="s">
        <v>730</v>
      </c>
      <c r="PL8" s="420" t="s">
        <v>731</v>
      </c>
      <c r="PM8" s="420" t="s">
        <v>732</v>
      </c>
      <c r="PN8" s="420" t="s">
        <v>733</v>
      </c>
      <c r="PO8" s="550" t="s">
        <v>619</v>
      </c>
    </row>
    <row r="9" spans="1:431" ht="138" customHeight="1">
      <c r="A9" s="418" t="s">
        <v>734</v>
      </c>
      <c r="B9" s="623" t="s">
        <v>17</v>
      </c>
      <c r="C9" s="380" t="s">
        <v>438</v>
      </c>
      <c r="D9" s="380" t="s">
        <v>529</v>
      </c>
      <c r="E9" s="380" t="s">
        <v>735</v>
      </c>
      <c r="G9" s="576"/>
      <c r="H9" s="575" t="s">
        <v>736</v>
      </c>
      <c r="I9" s="549" t="s">
        <v>737</v>
      </c>
      <c r="J9" s="549"/>
      <c r="K9" s="549"/>
      <c r="L9" s="549"/>
      <c r="M9" s="549"/>
      <c r="N9" s="573" t="s">
        <v>533</v>
      </c>
      <c r="O9" s="573" t="s">
        <v>534</v>
      </c>
      <c r="P9" s="573" t="s">
        <v>535</v>
      </c>
      <c r="Q9" s="573" t="s">
        <v>536</v>
      </c>
      <c r="R9" s="573" t="s">
        <v>537</v>
      </c>
      <c r="S9" s="573" t="s">
        <v>538</v>
      </c>
      <c r="T9" s="573"/>
      <c r="U9" s="573" t="s">
        <v>541</v>
      </c>
      <c r="V9" s="573"/>
      <c r="W9" s="573" t="s">
        <v>738</v>
      </c>
      <c r="X9" s="573" t="s">
        <v>738</v>
      </c>
      <c r="Y9" s="573"/>
      <c r="Z9" s="573" t="s">
        <v>739</v>
      </c>
      <c r="AA9" s="573"/>
      <c r="AB9" s="573" t="s">
        <v>738</v>
      </c>
      <c r="AC9" s="573"/>
      <c r="AD9" s="573" t="s">
        <v>739</v>
      </c>
      <c r="AE9" s="573"/>
      <c r="AF9" s="573" t="s">
        <v>739</v>
      </c>
      <c r="AG9" s="573"/>
      <c r="AH9" s="573"/>
      <c r="AI9" s="573"/>
      <c r="AJ9" s="573"/>
      <c r="AK9" s="573"/>
      <c r="AL9" s="573" t="s">
        <v>740</v>
      </c>
      <c r="AM9" s="573"/>
      <c r="AN9" s="573"/>
      <c r="AO9" s="573"/>
      <c r="AP9" s="573"/>
      <c r="AQ9" s="573"/>
      <c r="AR9" s="573" t="s">
        <v>741</v>
      </c>
      <c r="AS9" s="573"/>
      <c r="AT9" s="573"/>
      <c r="AU9" s="573"/>
      <c r="AV9" s="573"/>
      <c r="AW9" s="573"/>
      <c r="AX9" s="573"/>
      <c r="AY9" s="573"/>
      <c r="AZ9" s="573" t="s">
        <v>551</v>
      </c>
      <c r="BA9" s="573"/>
      <c r="BB9" s="573"/>
      <c r="BC9" s="573"/>
      <c r="BD9" s="573" t="s">
        <v>742</v>
      </c>
      <c r="BE9" s="573" t="s">
        <v>743</v>
      </c>
      <c r="BF9" s="573"/>
      <c r="BG9" s="573"/>
      <c r="BH9" s="573" t="s">
        <v>744</v>
      </c>
      <c r="BI9" s="573" t="s">
        <v>745</v>
      </c>
      <c r="BJ9" s="573" t="s">
        <v>746</v>
      </c>
      <c r="BK9" s="573" t="s">
        <v>747</v>
      </c>
      <c r="BL9" s="573" t="s">
        <v>748</v>
      </c>
      <c r="BM9" s="573"/>
      <c r="BN9" s="573"/>
      <c r="BO9" s="573"/>
      <c r="BP9" s="573"/>
      <c r="BQ9" s="573"/>
      <c r="BR9" s="573"/>
      <c r="BS9" s="573" t="s">
        <v>749</v>
      </c>
      <c r="BT9" s="573" t="s">
        <v>750</v>
      </c>
      <c r="BU9" s="573"/>
      <c r="BV9" s="573" t="s">
        <v>751</v>
      </c>
      <c r="BW9" s="573" t="s">
        <v>752</v>
      </c>
      <c r="BX9" s="573" t="s">
        <v>753</v>
      </c>
      <c r="BY9" s="573"/>
      <c r="BZ9" s="573"/>
      <c r="CA9" s="573"/>
      <c r="CB9" s="573" t="s">
        <v>754</v>
      </c>
      <c r="CC9" s="860"/>
      <c r="CD9" s="573"/>
      <c r="CE9" s="573"/>
      <c r="CF9" s="573"/>
      <c r="CG9" s="573"/>
      <c r="CH9" s="573" t="s">
        <v>755</v>
      </c>
      <c r="CI9" s="573" t="s">
        <v>756</v>
      </c>
      <c r="CJ9" s="573"/>
      <c r="CK9" s="573" t="s">
        <v>757</v>
      </c>
      <c r="CL9" s="573" t="s">
        <v>755</v>
      </c>
      <c r="CM9" s="573" t="s">
        <v>756</v>
      </c>
      <c r="CN9" s="573"/>
      <c r="CO9" s="573"/>
      <c r="CP9" s="573" t="s">
        <v>758</v>
      </c>
      <c r="CQ9" s="573"/>
      <c r="CR9" s="573" t="s">
        <v>759</v>
      </c>
      <c r="CS9" s="573"/>
      <c r="CT9" s="573"/>
      <c r="CU9" s="573"/>
      <c r="CV9" s="573"/>
      <c r="CW9" s="573" t="s">
        <v>759</v>
      </c>
      <c r="CX9" s="573" t="s">
        <v>758</v>
      </c>
      <c r="CY9" s="573"/>
      <c r="CZ9" s="573"/>
      <c r="DA9" s="573"/>
      <c r="DB9" s="573"/>
      <c r="DC9" s="573" t="s">
        <v>760</v>
      </c>
      <c r="DD9" s="573"/>
      <c r="DE9" s="573" t="s">
        <v>761</v>
      </c>
      <c r="DF9" s="573"/>
      <c r="DG9" s="573"/>
      <c r="DH9" s="573"/>
      <c r="DI9" s="573"/>
      <c r="DJ9" s="573" t="s">
        <v>762</v>
      </c>
      <c r="DK9" s="573" t="s">
        <v>763</v>
      </c>
      <c r="DL9" s="573" t="s">
        <v>764</v>
      </c>
      <c r="DM9" s="573"/>
      <c r="DN9" s="573"/>
      <c r="DO9" s="573"/>
      <c r="DP9" s="573"/>
      <c r="DQ9" s="573"/>
      <c r="DR9" s="420"/>
      <c r="DS9" s="508"/>
      <c r="DT9" s="666" t="s">
        <v>765</v>
      </c>
      <c r="DU9" s="718" t="s">
        <v>766</v>
      </c>
      <c r="DV9" s="550" t="s">
        <v>767</v>
      </c>
      <c r="DW9" s="550" t="s">
        <v>706</v>
      </c>
      <c r="DX9" s="642" t="s">
        <v>706</v>
      </c>
      <c r="DY9" s="550" t="s">
        <v>706</v>
      </c>
      <c r="DZ9" s="594"/>
      <c r="EA9" s="550"/>
      <c r="EB9" s="550"/>
      <c r="EC9" s="594"/>
      <c r="ED9" s="550" t="s">
        <v>768</v>
      </c>
      <c r="EE9" s="550" t="s">
        <v>769</v>
      </c>
      <c r="EF9" s="550" t="s">
        <v>770</v>
      </c>
      <c r="EG9" s="550" t="s">
        <v>769</v>
      </c>
      <c r="EH9" s="550" t="s">
        <v>771</v>
      </c>
      <c r="EI9" s="550" t="s">
        <v>772</v>
      </c>
      <c r="EJ9" s="550" t="s">
        <v>773</v>
      </c>
      <c r="EK9" s="550" t="s">
        <v>774</v>
      </c>
      <c r="EL9" s="594"/>
      <c r="EM9" s="550" t="s">
        <v>775</v>
      </c>
      <c r="EN9" s="550" t="s">
        <v>776</v>
      </c>
      <c r="EO9" s="550" t="s">
        <v>777</v>
      </c>
      <c r="EP9" s="571" t="s">
        <v>778</v>
      </c>
      <c r="EQ9" s="571" t="s">
        <v>779</v>
      </c>
      <c r="ER9" s="571" t="s">
        <v>614</v>
      </c>
      <c r="ES9" s="550" t="s">
        <v>780</v>
      </c>
      <c r="ET9" s="550" t="s">
        <v>781</v>
      </c>
      <c r="EU9" s="550"/>
      <c r="EV9" s="550"/>
      <c r="EW9" s="550" t="s">
        <v>782</v>
      </c>
      <c r="EX9" s="550" t="s">
        <v>782</v>
      </c>
      <c r="EY9" s="550" t="s">
        <v>783</v>
      </c>
      <c r="EZ9" s="550" t="s">
        <v>784</v>
      </c>
      <c r="FA9" s="571" t="s">
        <v>785</v>
      </c>
      <c r="FB9" s="550"/>
      <c r="FC9" s="550"/>
      <c r="FD9" s="574"/>
      <c r="FE9" s="594"/>
      <c r="FF9" s="550" t="s">
        <v>786</v>
      </c>
      <c r="FG9" s="550" t="s">
        <v>787</v>
      </c>
      <c r="FH9" s="550" t="s">
        <v>788</v>
      </c>
      <c r="FI9" s="550" t="s">
        <v>789</v>
      </c>
      <c r="FJ9" s="550" t="s">
        <v>790</v>
      </c>
      <c r="FK9" s="550"/>
      <c r="FL9" s="550" t="s">
        <v>791</v>
      </c>
      <c r="FM9" s="550" t="s">
        <v>792</v>
      </c>
      <c r="FN9" s="550" t="s">
        <v>792</v>
      </c>
      <c r="FO9" s="550"/>
      <c r="FP9" s="550" t="s">
        <v>625</v>
      </c>
      <c r="FQ9" s="550"/>
      <c r="FR9" s="550"/>
      <c r="FS9" s="550"/>
      <c r="FT9" s="550" t="s">
        <v>793</v>
      </c>
      <c r="FU9" s="550" t="s">
        <v>793</v>
      </c>
      <c r="FV9" s="550" t="s">
        <v>793</v>
      </c>
      <c r="FW9" s="550" t="s">
        <v>793</v>
      </c>
      <c r="FX9" s="550" t="s">
        <v>793</v>
      </c>
      <c r="FY9" s="550" t="s">
        <v>793</v>
      </c>
      <c r="FZ9" s="550" t="s">
        <v>793</v>
      </c>
      <c r="GA9" s="550" t="s">
        <v>793</v>
      </c>
      <c r="GB9" s="550" t="s">
        <v>793</v>
      </c>
      <c r="GC9" s="550"/>
      <c r="GD9" s="550"/>
      <c r="GE9" s="550"/>
      <c r="GF9" s="550" t="s">
        <v>623</v>
      </c>
      <c r="GG9" s="550" t="s">
        <v>626</v>
      </c>
      <c r="GH9" s="550" t="s">
        <v>794</v>
      </c>
      <c r="GI9" s="550" t="s">
        <v>794</v>
      </c>
      <c r="GJ9" s="550" t="s">
        <v>794</v>
      </c>
      <c r="GK9" s="550" t="s">
        <v>794</v>
      </c>
      <c r="GL9" s="550" t="s">
        <v>795</v>
      </c>
      <c r="GM9" s="550" t="s">
        <v>796</v>
      </c>
      <c r="GN9" s="550" t="s">
        <v>797</v>
      </c>
      <c r="GO9" s="550" t="s">
        <v>798</v>
      </c>
      <c r="GP9" s="550" t="s">
        <v>796</v>
      </c>
      <c r="GQ9" s="550" t="s">
        <v>797</v>
      </c>
      <c r="GR9" s="550" t="s">
        <v>799</v>
      </c>
      <c r="GS9" s="550" t="s">
        <v>800</v>
      </c>
      <c r="GT9" s="550" t="s">
        <v>801</v>
      </c>
      <c r="GU9" s="550" t="s">
        <v>802</v>
      </c>
      <c r="GV9" s="550" t="s">
        <v>802</v>
      </c>
      <c r="GW9" s="550" t="s">
        <v>802</v>
      </c>
      <c r="GX9" s="550" t="s">
        <v>802</v>
      </c>
      <c r="GY9" s="550" t="s">
        <v>802</v>
      </c>
      <c r="GZ9" s="550" t="s">
        <v>802</v>
      </c>
      <c r="HA9" s="550"/>
      <c r="HB9" s="550" t="s">
        <v>803</v>
      </c>
      <c r="HC9" s="550" t="s">
        <v>803</v>
      </c>
      <c r="HD9" s="594"/>
      <c r="HE9" s="550" t="s">
        <v>804</v>
      </c>
      <c r="HF9" s="644" t="s">
        <v>805</v>
      </c>
      <c r="HG9" s="550" t="s">
        <v>806</v>
      </c>
      <c r="HH9" s="550" t="s">
        <v>807</v>
      </c>
      <c r="HI9" s="550" t="s">
        <v>808</v>
      </c>
      <c r="HJ9" s="594"/>
      <c r="HK9" s="550" t="s">
        <v>809</v>
      </c>
      <c r="HL9" s="550" t="s">
        <v>810</v>
      </c>
      <c r="HM9" s="550" t="s">
        <v>811</v>
      </c>
      <c r="HN9" s="550" t="s">
        <v>812</v>
      </c>
      <c r="HO9" s="550" t="s">
        <v>813</v>
      </c>
      <c r="HP9" s="550" t="s">
        <v>814</v>
      </c>
      <c r="HQ9" s="550" t="s">
        <v>815</v>
      </c>
      <c r="HR9" s="550" t="s">
        <v>816</v>
      </c>
      <c r="HS9" s="550" t="s">
        <v>817</v>
      </c>
      <c r="HT9" s="550" t="s">
        <v>818</v>
      </c>
      <c r="HU9" s="550" t="s">
        <v>819</v>
      </c>
      <c r="HV9" s="550"/>
      <c r="HW9" s="594"/>
      <c r="HX9" s="550"/>
      <c r="HY9" s="550"/>
      <c r="HZ9" s="550" t="s">
        <v>820</v>
      </c>
      <c r="IA9" s="550" t="s">
        <v>821</v>
      </c>
      <c r="IB9" s="550" t="s">
        <v>822</v>
      </c>
      <c r="IC9" s="550" t="s">
        <v>823</v>
      </c>
      <c r="ID9" s="550" t="s">
        <v>824</v>
      </c>
      <c r="IE9" s="550" t="s">
        <v>825</v>
      </c>
      <c r="IF9" s="550" t="s">
        <v>826</v>
      </c>
      <c r="IG9" s="550" t="s">
        <v>827</v>
      </c>
      <c r="IH9" s="550"/>
      <c r="II9" s="550" t="s">
        <v>659</v>
      </c>
      <c r="IJ9" s="594"/>
      <c r="IK9" s="550" t="s">
        <v>828</v>
      </c>
      <c r="IL9" s="550" t="s">
        <v>829</v>
      </c>
      <c r="IM9" s="550" t="s">
        <v>830</v>
      </c>
      <c r="IN9" s="570"/>
      <c r="IO9" s="572" t="s">
        <v>664</v>
      </c>
      <c r="IP9" s="572"/>
      <c r="IQ9" s="551"/>
      <c r="IR9" s="572" t="s">
        <v>664</v>
      </c>
      <c r="IS9" s="551"/>
      <c r="IT9" s="551"/>
      <c r="IU9" s="568"/>
      <c r="IV9" s="568" t="s">
        <v>831</v>
      </c>
      <c r="IW9" s="568" t="s">
        <v>832</v>
      </c>
      <c r="IX9" s="568" t="s">
        <v>832</v>
      </c>
      <c r="IY9" s="568" t="s">
        <v>833</v>
      </c>
      <c r="IZ9" s="568" t="s">
        <v>833</v>
      </c>
      <c r="JA9" s="568" t="s">
        <v>834</v>
      </c>
      <c r="JB9" s="568"/>
      <c r="JC9" s="568" t="s">
        <v>835</v>
      </c>
      <c r="JD9" s="568" t="s">
        <v>836</v>
      </c>
      <c r="JE9" s="568" t="s">
        <v>837</v>
      </c>
      <c r="JF9" s="568"/>
      <c r="JG9" s="568"/>
      <c r="JH9" s="568"/>
      <c r="JI9" s="568" t="s">
        <v>838</v>
      </c>
      <c r="JJ9" s="456"/>
      <c r="JK9" s="569" t="s">
        <v>839</v>
      </c>
      <c r="JL9" s="552" t="s">
        <v>840</v>
      </c>
      <c r="JM9" s="552" t="s">
        <v>841</v>
      </c>
      <c r="JN9" s="552" t="s">
        <v>841</v>
      </c>
      <c r="JO9" s="566" t="s">
        <v>841</v>
      </c>
      <c r="JP9" s="566" t="s">
        <v>841</v>
      </c>
      <c r="JQ9" s="566" t="s">
        <v>679</v>
      </c>
      <c r="JR9" s="566" t="s">
        <v>842</v>
      </c>
      <c r="JS9" s="566" t="s">
        <v>842</v>
      </c>
      <c r="JT9" s="566" t="s">
        <v>843</v>
      </c>
      <c r="JU9" s="566" t="s">
        <v>842</v>
      </c>
      <c r="JV9" s="566" t="s">
        <v>844</v>
      </c>
      <c r="JW9" s="566" t="s">
        <v>845</v>
      </c>
      <c r="JX9" s="566" t="s">
        <v>845</v>
      </c>
      <c r="JY9" s="566" t="s">
        <v>846</v>
      </c>
      <c r="JZ9" s="566" t="s">
        <v>846</v>
      </c>
      <c r="KA9" s="566" t="s">
        <v>847</v>
      </c>
      <c r="KB9" s="566" t="s">
        <v>848</v>
      </c>
      <c r="KC9" s="566" t="s">
        <v>849</v>
      </c>
      <c r="KD9" s="566" t="s">
        <v>849</v>
      </c>
      <c r="KE9" s="566" t="s">
        <v>849</v>
      </c>
      <c r="KF9" s="566" t="s">
        <v>848</v>
      </c>
      <c r="KG9" s="566" t="s">
        <v>850</v>
      </c>
      <c r="KH9" s="566" t="s">
        <v>848</v>
      </c>
      <c r="KI9" s="566" t="s">
        <v>848</v>
      </c>
      <c r="KJ9" s="565"/>
      <c r="KK9" s="567" t="s">
        <v>686</v>
      </c>
      <c r="KL9" s="553"/>
      <c r="KM9" s="553"/>
      <c r="KN9" s="553"/>
      <c r="KO9" s="553"/>
      <c r="KP9" s="563"/>
      <c r="KQ9" s="562"/>
      <c r="KR9" s="564"/>
      <c r="KS9" s="554" t="s">
        <v>688</v>
      </c>
      <c r="KT9" s="554" t="s">
        <v>851</v>
      </c>
      <c r="KU9" s="554" t="s">
        <v>852</v>
      </c>
      <c r="KV9" s="554" t="s">
        <v>853</v>
      </c>
      <c r="KW9" s="554" t="s">
        <v>854</v>
      </c>
      <c r="KX9" s="554" t="s">
        <v>692</v>
      </c>
      <c r="KY9" s="554" t="s">
        <v>693</v>
      </c>
      <c r="KZ9" s="554" t="s">
        <v>855</v>
      </c>
      <c r="LA9" s="554" t="s">
        <v>856</v>
      </c>
      <c r="LB9" s="554" t="s">
        <v>696</v>
      </c>
      <c r="LC9" s="554" t="s">
        <v>852</v>
      </c>
      <c r="LD9" s="554" t="s">
        <v>853</v>
      </c>
      <c r="LE9" s="554" t="s">
        <v>854</v>
      </c>
      <c r="LF9" s="554" t="s">
        <v>692</v>
      </c>
      <c r="LG9" s="554" t="s">
        <v>697</v>
      </c>
      <c r="LH9" s="554" t="s">
        <v>857</v>
      </c>
      <c r="LI9" s="554" t="s">
        <v>697</v>
      </c>
      <c r="LJ9" s="554" t="s">
        <v>698</v>
      </c>
      <c r="LK9" s="554" t="s">
        <v>698</v>
      </c>
      <c r="LL9" s="554" t="s">
        <v>699</v>
      </c>
      <c r="LM9" s="554" t="s">
        <v>699</v>
      </c>
      <c r="LN9" s="554" t="s">
        <v>858</v>
      </c>
      <c r="LO9" s="554" t="s">
        <v>859</v>
      </c>
      <c r="LP9" s="554"/>
      <c r="LQ9" s="554"/>
      <c r="LR9" s="554"/>
      <c r="LS9" s="554"/>
      <c r="LT9" s="560"/>
      <c r="LU9" s="611"/>
      <c r="LV9" s="606"/>
      <c r="LW9" s="613" t="s">
        <v>860</v>
      </c>
      <c r="LX9" s="613" t="s">
        <v>861</v>
      </c>
      <c r="LY9" s="613" t="s">
        <v>862</v>
      </c>
      <c r="LZ9" s="613" t="s">
        <v>863</v>
      </c>
      <c r="MA9" s="613"/>
      <c r="MB9" s="613"/>
      <c r="MC9" s="613"/>
      <c r="MD9" s="606" t="s">
        <v>864</v>
      </c>
      <c r="ME9" s="613" t="s">
        <v>865</v>
      </c>
      <c r="MF9" s="606" t="s">
        <v>866</v>
      </c>
      <c r="MG9" s="613" t="s">
        <v>864</v>
      </c>
      <c r="MH9" s="613" t="s">
        <v>864</v>
      </c>
      <c r="MI9" s="613" t="s">
        <v>867</v>
      </c>
      <c r="MJ9" s="613" t="s">
        <v>867</v>
      </c>
      <c r="MK9" s="613" t="s">
        <v>864</v>
      </c>
      <c r="ML9" s="613" t="s">
        <v>607</v>
      </c>
      <c r="MM9" s="613" t="s">
        <v>607</v>
      </c>
      <c r="MN9" s="613" t="s">
        <v>607</v>
      </c>
      <c r="MO9" s="613" t="s">
        <v>706</v>
      </c>
      <c r="MP9" s="613" t="s">
        <v>868</v>
      </c>
      <c r="MQ9" s="613" t="s">
        <v>868</v>
      </c>
      <c r="MR9" s="613" t="s">
        <v>869</v>
      </c>
      <c r="MS9" s="613" t="s">
        <v>869</v>
      </c>
      <c r="MT9" s="613" t="s">
        <v>868</v>
      </c>
      <c r="MU9" s="613" t="s">
        <v>868</v>
      </c>
      <c r="MV9" s="613" t="s">
        <v>870</v>
      </c>
      <c r="MW9" s="561" t="s">
        <v>870</v>
      </c>
      <c r="MX9" s="555" t="s">
        <v>870</v>
      </c>
      <c r="MY9" s="555" t="s">
        <v>870</v>
      </c>
      <c r="MZ9" s="555" t="s">
        <v>870</v>
      </c>
      <c r="NA9" s="555" t="s">
        <v>870</v>
      </c>
      <c r="NB9" s="555" t="s">
        <v>871</v>
      </c>
      <c r="NC9" s="555" t="s">
        <v>872</v>
      </c>
      <c r="ND9" s="555" t="s">
        <v>870</v>
      </c>
      <c r="NE9" s="555" t="s">
        <v>873</v>
      </c>
      <c r="NF9" s="555" t="s">
        <v>874</v>
      </c>
      <c r="NG9" s="555" t="s">
        <v>875</v>
      </c>
      <c r="NH9" s="555" t="s">
        <v>875</v>
      </c>
      <c r="NI9" s="555" t="s">
        <v>875</v>
      </c>
      <c r="NJ9" s="555" t="s">
        <v>876</v>
      </c>
      <c r="NK9" s="555" t="s">
        <v>877</v>
      </c>
      <c r="NL9" s="555" t="s">
        <v>878</v>
      </c>
      <c r="NM9" s="555" t="s">
        <v>877</v>
      </c>
      <c r="NN9" s="555" t="s">
        <v>879</v>
      </c>
      <c r="NO9" s="555" t="s">
        <v>880</v>
      </c>
      <c r="NP9" s="555" t="s">
        <v>881</v>
      </c>
      <c r="NQ9" s="555" t="s">
        <v>882</v>
      </c>
      <c r="NR9" s="555" t="s">
        <v>882</v>
      </c>
      <c r="NS9" s="555" t="s">
        <v>880</v>
      </c>
      <c r="NT9" s="555"/>
      <c r="NU9" s="555"/>
      <c r="NV9" s="555" t="s">
        <v>883</v>
      </c>
      <c r="NW9" s="555" t="s">
        <v>883</v>
      </c>
      <c r="NX9" s="577" t="s">
        <v>884</v>
      </c>
      <c r="NY9" s="577" t="s">
        <v>885</v>
      </c>
      <c r="NZ9" s="611" t="s">
        <v>886</v>
      </c>
      <c r="OA9" s="635"/>
      <c r="OB9" s="638" t="s">
        <v>887</v>
      </c>
      <c r="OC9" s="638" t="s">
        <v>888</v>
      </c>
      <c r="OD9" s="638" t="s">
        <v>889</v>
      </c>
      <c r="OE9" s="638" t="s">
        <v>890</v>
      </c>
      <c r="OF9" s="638"/>
      <c r="OG9" s="638"/>
      <c r="OH9" s="638"/>
      <c r="OI9" s="638"/>
      <c r="OJ9" s="638"/>
      <c r="OK9" s="638"/>
      <c r="OL9" s="638"/>
      <c r="OM9" s="638"/>
      <c r="ON9" s="635"/>
      <c r="OO9" s="638"/>
      <c r="OP9" s="638"/>
      <c r="OQ9" s="638"/>
      <c r="OR9" s="638"/>
      <c r="OS9" s="638"/>
      <c r="OT9" s="638" t="s">
        <v>891</v>
      </c>
      <c r="OU9" s="638" t="s">
        <v>891</v>
      </c>
      <c r="OV9" s="638" t="s">
        <v>891</v>
      </c>
      <c r="OW9" s="638"/>
      <c r="OX9" s="638"/>
      <c r="OY9" s="638"/>
      <c r="OZ9" s="638" t="s">
        <v>729</v>
      </c>
      <c r="PA9" s="638"/>
      <c r="PB9" s="638" t="s">
        <v>892</v>
      </c>
      <c r="PC9" s="638" t="s">
        <v>893</v>
      </c>
      <c r="PD9" s="638"/>
      <c r="PE9" s="638" t="s">
        <v>894</v>
      </c>
      <c r="PF9" s="638"/>
      <c r="PG9" s="638"/>
      <c r="PH9" s="640"/>
      <c r="PI9" s="666"/>
      <c r="PJ9" s="666"/>
      <c r="PK9" s="666"/>
      <c r="PL9" s="420" t="s">
        <v>895</v>
      </c>
      <c r="PM9" s="420" t="s">
        <v>896</v>
      </c>
      <c r="PN9" s="420"/>
      <c r="PO9" s="550"/>
    </row>
    <row r="10" spans="1:431">
      <c r="A10" s="399" t="s">
        <v>897</v>
      </c>
      <c r="B10" s="623" t="s">
        <v>898</v>
      </c>
      <c r="C10" s="380" t="s">
        <v>438</v>
      </c>
      <c r="D10" s="380" t="s">
        <v>529</v>
      </c>
      <c r="E10" s="380" t="s">
        <v>899</v>
      </c>
      <c r="G10" s="493"/>
      <c r="H10" s="400">
        <v>4</v>
      </c>
      <c r="I10" s="401">
        <v>4</v>
      </c>
      <c r="J10" s="401">
        <v>4</v>
      </c>
      <c r="K10" s="400">
        <v>4</v>
      </c>
      <c r="L10" s="401">
        <v>4</v>
      </c>
      <c r="M10" s="401">
        <v>4</v>
      </c>
      <c r="N10" s="401">
        <v>4</v>
      </c>
      <c r="O10" s="401">
        <v>4</v>
      </c>
      <c r="P10" s="401">
        <v>4</v>
      </c>
      <c r="Q10" s="401">
        <v>4</v>
      </c>
      <c r="R10" s="401">
        <v>2</v>
      </c>
      <c r="S10" s="401">
        <v>2</v>
      </c>
      <c r="T10" s="401">
        <v>2</v>
      </c>
      <c r="U10" s="401">
        <v>2</v>
      </c>
      <c r="V10" s="401">
        <v>2</v>
      </c>
      <c r="W10" s="401">
        <v>2</v>
      </c>
      <c r="X10" s="401">
        <v>2</v>
      </c>
      <c r="Y10" s="401">
        <v>2</v>
      </c>
      <c r="Z10" s="401">
        <v>2</v>
      </c>
      <c r="AA10" s="401">
        <v>2</v>
      </c>
      <c r="AB10" s="401">
        <v>2</v>
      </c>
      <c r="AC10" s="401">
        <v>2</v>
      </c>
      <c r="AD10" s="401">
        <v>2</v>
      </c>
      <c r="AE10" s="401">
        <v>2</v>
      </c>
      <c r="AF10" s="401">
        <v>2</v>
      </c>
      <c r="AG10" s="401">
        <v>2</v>
      </c>
      <c r="AH10" s="401">
        <v>2</v>
      </c>
      <c r="AI10" s="401">
        <v>2</v>
      </c>
      <c r="AJ10" s="401">
        <v>2</v>
      </c>
      <c r="AK10" s="401">
        <v>2</v>
      </c>
      <c r="AL10" s="401">
        <v>2</v>
      </c>
      <c r="AM10" s="401">
        <v>2</v>
      </c>
      <c r="AN10" s="401">
        <v>2</v>
      </c>
      <c r="AO10" s="401">
        <v>2</v>
      </c>
      <c r="AP10" s="401">
        <v>2</v>
      </c>
      <c r="AQ10" s="401">
        <v>2</v>
      </c>
      <c r="AR10" s="401">
        <v>2</v>
      </c>
      <c r="AS10" s="401">
        <v>2</v>
      </c>
      <c r="AT10" s="401">
        <v>2</v>
      </c>
      <c r="AU10" s="401">
        <v>2</v>
      </c>
      <c r="AV10" s="401">
        <v>2</v>
      </c>
      <c r="AW10" s="401">
        <v>2</v>
      </c>
      <c r="AX10" s="401">
        <v>2</v>
      </c>
      <c r="AY10" s="401">
        <v>2</v>
      </c>
      <c r="AZ10" s="401">
        <v>2</v>
      </c>
      <c r="BA10" s="401">
        <v>2</v>
      </c>
      <c r="BB10" s="401">
        <v>2</v>
      </c>
      <c r="BC10" s="401">
        <v>2</v>
      </c>
      <c r="BD10" s="401">
        <v>2</v>
      </c>
      <c r="BE10" s="401">
        <v>2</v>
      </c>
      <c r="BF10" s="401">
        <v>2</v>
      </c>
      <c r="BG10" s="401">
        <v>2</v>
      </c>
      <c r="BH10" s="401">
        <v>2</v>
      </c>
      <c r="BI10" s="401">
        <v>2</v>
      </c>
      <c r="BJ10" s="401">
        <v>2</v>
      </c>
      <c r="BK10" s="401">
        <v>2</v>
      </c>
      <c r="BL10" s="401">
        <v>2</v>
      </c>
      <c r="BM10" s="401">
        <v>2</v>
      </c>
      <c r="BN10" s="401">
        <v>2</v>
      </c>
      <c r="BO10" s="401">
        <v>2</v>
      </c>
      <c r="BP10" s="401">
        <v>2</v>
      </c>
      <c r="BQ10" s="401">
        <v>2</v>
      </c>
      <c r="BR10" s="401">
        <v>2</v>
      </c>
      <c r="BS10" s="401">
        <v>2</v>
      </c>
      <c r="BT10" s="401">
        <v>2</v>
      </c>
      <c r="BU10" s="401">
        <v>2</v>
      </c>
      <c r="BV10" s="401">
        <v>2</v>
      </c>
      <c r="BW10" s="401">
        <v>2</v>
      </c>
      <c r="BX10" s="401">
        <v>2</v>
      </c>
      <c r="BY10" s="401">
        <v>2</v>
      </c>
      <c r="BZ10" s="401">
        <v>2</v>
      </c>
      <c r="CA10" s="401">
        <v>2</v>
      </c>
      <c r="CB10" s="401">
        <v>2</v>
      </c>
      <c r="CC10" s="857">
        <v>2</v>
      </c>
      <c r="CD10" s="401">
        <v>2</v>
      </c>
      <c r="CE10" s="401">
        <v>2</v>
      </c>
      <c r="CF10" s="401">
        <v>2</v>
      </c>
      <c r="CG10" s="401">
        <v>2</v>
      </c>
      <c r="CH10" s="401">
        <v>2</v>
      </c>
      <c r="CI10" s="401">
        <v>2</v>
      </c>
      <c r="CJ10" s="401">
        <v>2</v>
      </c>
      <c r="CK10" s="401">
        <v>2</v>
      </c>
      <c r="CL10" s="401">
        <v>2</v>
      </c>
      <c r="CM10" s="401">
        <v>2</v>
      </c>
      <c r="CN10" s="401">
        <v>2</v>
      </c>
      <c r="CO10" s="401">
        <v>2</v>
      </c>
      <c r="CP10" s="401">
        <v>2</v>
      </c>
      <c r="CQ10" s="401">
        <v>2</v>
      </c>
      <c r="CR10" s="401">
        <v>2</v>
      </c>
      <c r="CS10" s="401">
        <v>2</v>
      </c>
      <c r="CT10" s="401">
        <v>2</v>
      </c>
      <c r="CU10" s="401">
        <v>2</v>
      </c>
      <c r="CV10" s="401">
        <v>2</v>
      </c>
      <c r="CW10" s="401">
        <v>2</v>
      </c>
      <c r="CX10" s="401">
        <v>2</v>
      </c>
      <c r="CY10" s="401">
        <v>2</v>
      </c>
      <c r="CZ10" s="401">
        <v>2</v>
      </c>
      <c r="DA10" s="401">
        <v>2</v>
      </c>
      <c r="DB10" s="401">
        <v>2</v>
      </c>
      <c r="DC10" s="401">
        <v>2</v>
      </c>
      <c r="DD10" s="401">
        <v>2</v>
      </c>
      <c r="DE10" s="401">
        <v>2</v>
      </c>
      <c r="DF10" s="401">
        <v>2</v>
      </c>
      <c r="DG10" s="401">
        <v>2</v>
      </c>
      <c r="DH10" s="401">
        <v>2</v>
      </c>
      <c r="DI10" s="401">
        <v>2</v>
      </c>
      <c r="DJ10" s="401">
        <v>2</v>
      </c>
      <c r="DK10" s="401">
        <v>2</v>
      </c>
      <c r="DL10" s="401">
        <v>2</v>
      </c>
      <c r="DM10" s="401">
        <v>2</v>
      </c>
      <c r="DN10" s="401">
        <v>2</v>
      </c>
      <c r="DO10" s="401">
        <v>2</v>
      </c>
      <c r="DP10" s="401">
        <v>2</v>
      </c>
      <c r="DQ10" s="401">
        <v>2</v>
      </c>
      <c r="DR10" s="401">
        <v>2</v>
      </c>
      <c r="DS10" s="498"/>
      <c r="DT10" s="666">
        <v>4</v>
      </c>
      <c r="DU10" s="719">
        <v>4</v>
      </c>
      <c r="DV10" s="402">
        <v>4</v>
      </c>
      <c r="DW10" s="403"/>
      <c r="DX10" s="655">
        <v>4</v>
      </c>
      <c r="DY10" s="402">
        <v>4</v>
      </c>
      <c r="DZ10" s="595"/>
      <c r="EA10" s="403">
        <v>2</v>
      </c>
      <c r="EB10" s="403">
        <v>2</v>
      </c>
      <c r="EC10" s="595"/>
      <c r="ED10" s="403">
        <v>3</v>
      </c>
      <c r="EE10" s="403">
        <v>3</v>
      </c>
      <c r="EF10" s="403">
        <v>3</v>
      </c>
      <c r="EG10" s="403">
        <v>3</v>
      </c>
      <c r="EH10" s="403">
        <v>3</v>
      </c>
      <c r="EI10" s="403">
        <v>3</v>
      </c>
      <c r="EJ10" s="403">
        <v>3</v>
      </c>
      <c r="EK10" s="403">
        <v>3</v>
      </c>
      <c r="EL10" s="595"/>
      <c r="EM10" s="403">
        <v>2</v>
      </c>
      <c r="EN10" s="403">
        <v>2</v>
      </c>
      <c r="EO10" s="403">
        <v>2</v>
      </c>
      <c r="EP10" s="403">
        <v>2</v>
      </c>
      <c r="EQ10" s="403">
        <v>2</v>
      </c>
      <c r="ER10" s="403">
        <v>2</v>
      </c>
      <c r="ES10" s="403">
        <v>2</v>
      </c>
      <c r="ET10" s="403">
        <v>2</v>
      </c>
      <c r="EU10" s="403">
        <v>2</v>
      </c>
      <c r="EV10" s="403">
        <v>2</v>
      </c>
      <c r="EW10" s="403">
        <v>2</v>
      </c>
      <c r="EX10" s="403">
        <v>2</v>
      </c>
      <c r="EY10" s="403">
        <v>2</v>
      </c>
      <c r="EZ10" s="403">
        <v>2</v>
      </c>
      <c r="FA10" s="403">
        <v>2</v>
      </c>
      <c r="FB10" s="550">
        <v>2</v>
      </c>
      <c r="FC10" s="550">
        <v>2</v>
      </c>
      <c r="FD10" s="574">
        <v>2</v>
      </c>
      <c r="FE10" s="595"/>
      <c r="FF10" s="403">
        <v>4</v>
      </c>
      <c r="FG10" s="403">
        <v>4</v>
      </c>
      <c r="FH10" s="403">
        <v>4</v>
      </c>
      <c r="FI10" s="403">
        <v>4</v>
      </c>
      <c r="FJ10" s="403">
        <v>4</v>
      </c>
      <c r="FK10" s="403">
        <v>4</v>
      </c>
      <c r="FL10" s="403">
        <v>4</v>
      </c>
      <c r="FM10" s="403">
        <v>4</v>
      </c>
      <c r="FN10" s="403">
        <v>4</v>
      </c>
      <c r="FO10" s="403">
        <v>4</v>
      </c>
      <c r="FP10" s="403">
        <v>4</v>
      </c>
      <c r="FQ10" s="403">
        <v>4</v>
      </c>
      <c r="FR10" s="403">
        <v>4</v>
      </c>
      <c r="FS10" s="403">
        <v>4</v>
      </c>
      <c r="FT10" s="403">
        <v>4</v>
      </c>
      <c r="FU10" s="403">
        <v>4</v>
      </c>
      <c r="FV10" s="403">
        <v>4</v>
      </c>
      <c r="FW10" s="403">
        <v>4</v>
      </c>
      <c r="FX10" s="403">
        <v>4</v>
      </c>
      <c r="FY10" s="403">
        <v>4</v>
      </c>
      <c r="FZ10" s="403">
        <v>4</v>
      </c>
      <c r="GA10" s="403">
        <v>4</v>
      </c>
      <c r="GB10" s="403">
        <v>4</v>
      </c>
      <c r="GC10" s="403">
        <v>4</v>
      </c>
      <c r="GD10" s="403">
        <v>4</v>
      </c>
      <c r="GE10" s="403">
        <v>4</v>
      </c>
      <c r="GF10" s="403">
        <v>4</v>
      </c>
      <c r="GG10" s="403">
        <v>4</v>
      </c>
      <c r="GH10" s="403">
        <v>4</v>
      </c>
      <c r="GI10" s="403">
        <v>4</v>
      </c>
      <c r="GJ10" s="403">
        <v>4</v>
      </c>
      <c r="GK10" s="403">
        <v>4</v>
      </c>
      <c r="GL10" s="403">
        <v>4</v>
      </c>
      <c r="GM10" s="403">
        <v>4</v>
      </c>
      <c r="GN10" s="403">
        <v>4</v>
      </c>
      <c r="GO10" s="403">
        <v>4</v>
      </c>
      <c r="GP10" s="403">
        <v>4</v>
      </c>
      <c r="GQ10" s="403">
        <v>4</v>
      </c>
      <c r="GR10" s="403">
        <v>4</v>
      </c>
      <c r="GS10" s="403">
        <v>4</v>
      </c>
      <c r="GT10" s="403">
        <v>4</v>
      </c>
      <c r="GU10" s="403">
        <v>4</v>
      </c>
      <c r="GV10" s="403">
        <v>4</v>
      </c>
      <c r="GW10" s="403">
        <v>4</v>
      </c>
      <c r="GX10" s="403">
        <v>4</v>
      </c>
      <c r="GY10" s="403">
        <v>4</v>
      </c>
      <c r="GZ10" s="403">
        <v>4</v>
      </c>
      <c r="HA10" s="403">
        <v>4</v>
      </c>
      <c r="HB10" s="403">
        <v>4</v>
      </c>
      <c r="HC10" s="403">
        <v>4</v>
      </c>
      <c r="HD10" s="595"/>
      <c r="HE10" s="403">
        <v>2</v>
      </c>
      <c r="HF10" s="403">
        <v>2</v>
      </c>
      <c r="HG10" s="403">
        <v>2</v>
      </c>
      <c r="HH10" s="403">
        <v>2</v>
      </c>
      <c r="HI10" s="403">
        <v>2</v>
      </c>
      <c r="HJ10" s="595"/>
      <c r="HK10" s="403">
        <v>2</v>
      </c>
      <c r="HL10" s="403">
        <v>2</v>
      </c>
      <c r="HM10" s="403">
        <v>2</v>
      </c>
      <c r="HN10" s="403">
        <v>2</v>
      </c>
      <c r="HO10" s="403">
        <v>2</v>
      </c>
      <c r="HP10" s="403">
        <v>2</v>
      </c>
      <c r="HQ10" s="403">
        <v>2</v>
      </c>
      <c r="HR10" s="403">
        <v>2</v>
      </c>
      <c r="HS10" s="403">
        <v>2</v>
      </c>
      <c r="HT10" s="403">
        <v>2</v>
      </c>
      <c r="HU10" s="403">
        <v>2</v>
      </c>
      <c r="HV10" s="403">
        <v>2</v>
      </c>
      <c r="HW10" s="595"/>
      <c r="HX10" s="403">
        <v>2</v>
      </c>
      <c r="HY10" s="403">
        <v>2</v>
      </c>
      <c r="HZ10" s="403">
        <v>2</v>
      </c>
      <c r="IA10" s="403">
        <v>2</v>
      </c>
      <c r="IB10" s="403">
        <v>2</v>
      </c>
      <c r="IC10" s="403">
        <v>2</v>
      </c>
      <c r="ID10" s="403">
        <v>2</v>
      </c>
      <c r="IE10" s="403">
        <v>2</v>
      </c>
      <c r="IF10" s="403">
        <v>2</v>
      </c>
      <c r="IG10" s="403">
        <v>2</v>
      </c>
      <c r="IH10" s="403">
        <v>2</v>
      </c>
      <c r="II10" s="403">
        <v>2</v>
      </c>
      <c r="IJ10" s="595"/>
      <c r="IK10" s="403">
        <v>2</v>
      </c>
      <c r="IL10" s="403">
        <v>2</v>
      </c>
      <c r="IM10" s="403">
        <v>2</v>
      </c>
      <c r="IN10" s="404"/>
      <c r="IO10" s="405">
        <v>2</v>
      </c>
      <c r="IP10" s="619">
        <v>2</v>
      </c>
      <c r="IQ10" s="406">
        <v>2</v>
      </c>
      <c r="IR10" s="406">
        <v>2</v>
      </c>
      <c r="IS10" s="406">
        <v>2</v>
      </c>
      <c r="IT10" s="406">
        <v>2</v>
      </c>
      <c r="IU10" s="406">
        <v>2</v>
      </c>
      <c r="IV10" s="406">
        <v>2</v>
      </c>
      <c r="IW10" s="406">
        <v>2</v>
      </c>
      <c r="IX10" s="406">
        <v>2</v>
      </c>
      <c r="IY10" s="406">
        <v>2</v>
      </c>
      <c r="IZ10" s="406">
        <v>2</v>
      </c>
      <c r="JA10" s="406">
        <v>2</v>
      </c>
      <c r="JB10" s="406">
        <v>2</v>
      </c>
      <c r="JC10" s="406">
        <v>2</v>
      </c>
      <c r="JD10" s="406">
        <v>2</v>
      </c>
      <c r="JE10" s="406">
        <v>2</v>
      </c>
      <c r="JF10" s="406">
        <v>2</v>
      </c>
      <c r="JG10" s="406">
        <v>2</v>
      </c>
      <c r="JH10" s="406">
        <v>2</v>
      </c>
      <c r="JI10" s="406">
        <v>2</v>
      </c>
      <c r="JJ10" s="407"/>
      <c r="JK10" s="408">
        <v>2</v>
      </c>
      <c r="JL10" s="409">
        <v>2</v>
      </c>
      <c r="JM10" s="409">
        <v>2</v>
      </c>
      <c r="JN10" s="409">
        <v>2</v>
      </c>
      <c r="JO10" s="409">
        <v>2</v>
      </c>
      <c r="JP10" s="409">
        <v>2</v>
      </c>
      <c r="JQ10" s="409">
        <v>2</v>
      </c>
      <c r="JR10" s="409">
        <v>2</v>
      </c>
      <c r="JS10" s="409">
        <v>2</v>
      </c>
      <c r="JT10" s="409">
        <v>2</v>
      </c>
      <c r="JU10" s="409">
        <v>2</v>
      </c>
      <c r="JV10" s="409">
        <v>2</v>
      </c>
      <c r="JW10" s="409">
        <v>2</v>
      </c>
      <c r="JX10" s="409">
        <v>2</v>
      </c>
      <c r="JY10" s="409">
        <v>2</v>
      </c>
      <c r="JZ10" s="409">
        <v>2</v>
      </c>
      <c r="KA10" s="409">
        <v>2</v>
      </c>
      <c r="KB10" s="409">
        <v>2</v>
      </c>
      <c r="KC10" s="409">
        <v>2</v>
      </c>
      <c r="KD10" s="409">
        <v>2</v>
      </c>
      <c r="KE10" s="409">
        <v>2</v>
      </c>
      <c r="KF10" s="409">
        <v>2</v>
      </c>
      <c r="KG10" s="409">
        <v>2</v>
      </c>
      <c r="KH10" s="409">
        <v>2</v>
      </c>
      <c r="KI10" s="409">
        <v>2</v>
      </c>
      <c r="KJ10" s="410"/>
      <c r="KK10" s="411">
        <v>2</v>
      </c>
      <c r="KL10" s="547"/>
      <c r="KM10" s="412">
        <v>2</v>
      </c>
      <c r="KN10" s="412"/>
      <c r="KO10" s="412"/>
      <c r="KP10" s="412"/>
      <c r="KQ10" s="398"/>
      <c r="KR10" s="729"/>
      <c r="KS10" s="730">
        <v>2</v>
      </c>
      <c r="KT10" s="731">
        <v>2</v>
      </c>
      <c r="KU10" s="731">
        <v>2</v>
      </c>
      <c r="KV10" s="731">
        <v>2</v>
      </c>
      <c r="KW10" s="731">
        <v>2</v>
      </c>
      <c r="KX10" s="731">
        <v>2</v>
      </c>
      <c r="KY10" s="731">
        <v>2</v>
      </c>
      <c r="KZ10" s="731">
        <v>2</v>
      </c>
      <c r="LA10" s="731">
        <v>2</v>
      </c>
      <c r="LB10" s="731">
        <v>2</v>
      </c>
      <c r="LC10" s="731">
        <v>2</v>
      </c>
      <c r="LD10" s="731">
        <v>2</v>
      </c>
      <c r="LE10" s="731">
        <v>2</v>
      </c>
      <c r="LF10" s="731">
        <v>2</v>
      </c>
      <c r="LG10" s="731">
        <v>2</v>
      </c>
      <c r="LH10" s="731">
        <v>2</v>
      </c>
      <c r="LI10" s="731">
        <v>2</v>
      </c>
      <c r="LJ10" s="731">
        <v>2</v>
      </c>
      <c r="LK10" s="731">
        <v>2</v>
      </c>
      <c r="LL10" s="731">
        <v>2</v>
      </c>
      <c r="LM10" s="731">
        <v>2</v>
      </c>
      <c r="LN10" s="731"/>
      <c r="LO10" s="731"/>
      <c r="LP10" s="731"/>
      <c r="LQ10" s="731"/>
      <c r="LR10" s="731"/>
      <c r="LS10" s="731"/>
      <c r="LT10" s="737"/>
      <c r="LU10" s="611"/>
      <c r="LV10" s="586"/>
      <c r="LW10" s="610">
        <v>4</v>
      </c>
      <c r="LX10" s="610">
        <v>4</v>
      </c>
      <c r="LY10" s="610">
        <v>4</v>
      </c>
      <c r="LZ10" s="610">
        <v>4</v>
      </c>
      <c r="MA10" s="610">
        <v>4</v>
      </c>
      <c r="MB10" s="610">
        <v>4</v>
      </c>
      <c r="MC10" s="610">
        <v>4</v>
      </c>
      <c r="MD10" s="586">
        <v>4</v>
      </c>
      <c r="ME10" s="610">
        <v>4</v>
      </c>
      <c r="MF10" s="586">
        <v>4</v>
      </c>
      <c r="MG10" s="610">
        <v>4</v>
      </c>
      <c r="MH10" s="586">
        <v>4</v>
      </c>
      <c r="MI10" s="610">
        <v>4</v>
      </c>
      <c r="MJ10" s="586">
        <v>4</v>
      </c>
      <c r="MK10" s="610">
        <v>4</v>
      </c>
      <c r="ML10" s="610">
        <v>4</v>
      </c>
      <c r="MM10" s="610">
        <v>4</v>
      </c>
      <c r="MN10" s="610">
        <v>4</v>
      </c>
      <c r="MO10" s="610">
        <v>4</v>
      </c>
      <c r="MP10" s="610">
        <v>4</v>
      </c>
      <c r="MQ10" s="610">
        <v>4</v>
      </c>
      <c r="MR10" s="610">
        <v>4</v>
      </c>
      <c r="MS10" s="610">
        <v>4</v>
      </c>
      <c r="MT10" s="610">
        <v>4</v>
      </c>
      <c r="MU10" s="610">
        <v>4</v>
      </c>
      <c r="MV10" s="610">
        <v>2</v>
      </c>
      <c r="MW10" s="586">
        <v>2</v>
      </c>
      <c r="MX10" s="417">
        <v>2</v>
      </c>
      <c r="MY10" s="417">
        <v>2</v>
      </c>
      <c r="MZ10" s="417">
        <v>2</v>
      </c>
      <c r="NA10" s="417">
        <v>2</v>
      </c>
      <c r="NB10" s="417">
        <v>2</v>
      </c>
      <c r="NC10" s="417">
        <v>2</v>
      </c>
      <c r="ND10" s="417">
        <v>2</v>
      </c>
      <c r="NE10" s="417">
        <v>2</v>
      </c>
      <c r="NF10" s="417">
        <v>2</v>
      </c>
      <c r="NG10" s="417">
        <v>2</v>
      </c>
      <c r="NH10" s="417">
        <v>2</v>
      </c>
      <c r="NI10" s="417">
        <v>2</v>
      </c>
      <c r="NJ10" s="417">
        <v>2</v>
      </c>
      <c r="NK10" s="417">
        <v>2</v>
      </c>
      <c r="NL10" s="417">
        <v>2</v>
      </c>
      <c r="NM10" s="417">
        <v>2</v>
      </c>
      <c r="NN10" s="417">
        <v>2</v>
      </c>
      <c r="NO10" s="417">
        <v>3</v>
      </c>
      <c r="NP10" s="417">
        <v>3</v>
      </c>
      <c r="NQ10" s="417">
        <v>3</v>
      </c>
      <c r="NR10" s="417">
        <v>3</v>
      </c>
      <c r="NS10" s="417">
        <v>3</v>
      </c>
      <c r="NT10" s="417">
        <v>3</v>
      </c>
      <c r="NU10" s="417">
        <v>3</v>
      </c>
      <c r="NV10" s="417">
        <v>3</v>
      </c>
      <c r="NW10" s="417">
        <v>3</v>
      </c>
      <c r="NX10" s="417">
        <v>3</v>
      </c>
      <c r="NY10" s="417">
        <v>2</v>
      </c>
      <c r="NZ10" s="611">
        <v>2</v>
      </c>
      <c r="OA10" s="635"/>
      <c r="OB10" s="638">
        <v>3</v>
      </c>
      <c r="OC10" s="638">
        <v>3</v>
      </c>
      <c r="OD10" s="638">
        <v>3</v>
      </c>
      <c r="OE10" s="638">
        <v>3</v>
      </c>
      <c r="OF10" s="638"/>
      <c r="OG10" s="638"/>
      <c r="OH10" s="638"/>
      <c r="OI10" s="638"/>
      <c r="OJ10" s="638"/>
      <c r="OK10" s="638"/>
      <c r="OL10" s="638"/>
      <c r="OM10" s="638"/>
      <c r="ON10" s="635"/>
      <c r="OO10" s="638">
        <v>2</v>
      </c>
      <c r="OP10" s="638">
        <v>2</v>
      </c>
      <c r="OQ10" s="638">
        <v>2</v>
      </c>
      <c r="OR10" s="638">
        <v>2</v>
      </c>
      <c r="OS10" s="638"/>
      <c r="OT10" s="638">
        <v>4</v>
      </c>
      <c r="OU10" s="638">
        <v>4</v>
      </c>
      <c r="OV10" s="638">
        <v>4</v>
      </c>
      <c r="OW10" s="638">
        <v>4</v>
      </c>
      <c r="OX10" s="638">
        <v>4</v>
      </c>
      <c r="OY10" s="638">
        <v>4</v>
      </c>
      <c r="OZ10" s="638"/>
      <c r="PA10" s="638"/>
      <c r="PB10" s="638">
        <v>2</v>
      </c>
      <c r="PC10" s="638">
        <v>2</v>
      </c>
      <c r="PD10" s="638"/>
      <c r="PE10" s="638">
        <v>2</v>
      </c>
      <c r="PF10" s="638"/>
      <c r="PG10" s="638"/>
      <c r="PH10" s="640"/>
      <c r="PI10" s="666">
        <v>2</v>
      </c>
      <c r="PJ10" s="666">
        <v>2</v>
      </c>
      <c r="PK10" s="666">
        <v>2</v>
      </c>
      <c r="PL10" s="420">
        <v>4</v>
      </c>
      <c r="PM10" s="420">
        <v>4</v>
      </c>
      <c r="PN10" s="420">
        <v>4</v>
      </c>
      <c r="PO10" s="550">
        <v>2</v>
      </c>
    </row>
    <row r="11" spans="1:431" s="380" customFormat="1" ht="101.25">
      <c r="A11" s="418" t="s">
        <v>900</v>
      </c>
      <c r="B11" s="623" t="s">
        <v>901</v>
      </c>
      <c r="C11" s="380" t="s">
        <v>420</v>
      </c>
      <c r="D11" s="380" t="s">
        <v>900</v>
      </c>
      <c r="G11" s="495"/>
      <c r="H11" s="475" t="s">
        <v>902</v>
      </c>
      <c r="I11" s="475" t="s">
        <v>902</v>
      </c>
      <c r="J11" s="475" t="s">
        <v>902</v>
      </c>
      <c r="K11" s="475" t="s">
        <v>902</v>
      </c>
      <c r="L11" s="475" t="s">
        <v>902</v>
      </c>
      <c r="M11" s="475" t="s">
        <v>902</v>
      </c>
      <c r="N11" s="475" t="s">
        <v>902</v>
      </c>
      <c r="O11" s="475" t="s">
        <v>902</v>
      </c>
      <c r="P11" s="475" t="s">
        <v>902</v>
      </c>
      <c r="Q11" s="475" t="s">
        <v>902</v>
      </c>
      <c r="R11" s="475" t="s">
        <v>903</v>
      </c>
      <c r="S11" s="475" t="s">
        <v>903</v>
      </c>
      <c r="T11" s="476" t="s">
        <v>903</v>
      </c>
      <c r="U11" s="476" t="s">
        <v>904</v>
      </c>
      <c r="V11" s="476" t="s">
        <v>904</v>
      </c>
      <c r="W11" s="476" t="s">
        <v>904</v>
      </c>
      <c r="X11" s="476" t="s">
        <v>904</v>
      </c>
      <c r="Y11" s="476" t="s">
        <v>904</v>
      </c>
      <c r="Z11" s="476" t="s">
        <v>904</v>
      </c>
      <c r="AA11" s="476" t="s">
        <v>904</v>
      </c>
      <c r="AB11" s="476" t="s">
        <v>905</v>
      </c>
      <c r="AC11" s="476" t="s">
        <v>905</v>
      </c>
      <c r="AD11" s="476" t="s">
        <v>905</v>
      </c>
      <c r="AE11" s="476" t="s">
        <v>905</v>
      </c>
      <c r="AF11" s="476" t="s">
        <v>905</v>
      </c>
      <c r="AG11" s="476" t="s">
        <v>905</v>
      </c>
      <c r="AH11" s="476" t="s">
        <v>905</v>
      </c>
      <c r="AI11" s="476" t="s">
        <v>905</v>
      </c>
      <c r="AJ11" s="476" t="s">
        <v>905</v>
      </c>
      <c r="AK11" s="476" t="s">
        <v>905</v>
      </c>
      <c r="AL11" s="476" t="s">
        <v>906</v>
      </c>
      <c r="AM11" s="476" t="s">
        <v>906</v>
      </c>
      <c r="AN11" s="476" t="s">
        <v>905</v>
      </c>
      <c r="AO11" s="476" t="s">
        <v>905</v>
      </c>
      <c r="AP11" s="476" t="s">
        <v>906</v>
      </c>
      <c r="AQ11" s="476" t="s">
        <v>907</v>
      </c>
      <c r="AR11" s="476" t="s">
        <v>908</v>
      </c>
      <c r="AS11" s="476" t="s">
        <v>908</v>
      </c>
      <c r="AT11" s="476" t="s">
        <v>909</v>
      </c>
      <c r="AU11" s="476" t="s">
        <v>910</v>
      </c>
      <c r="AV11" s="476" t="s">
        <v>909</v>
      </c>
      <c r="AW11" s="476" t="s">
        <v>909</v>
      </c>
      <c r="AX11" s="476" t="s">
        <v>909</v>
      </c>
      <c r="AY11" s="476" t="s">
        <v>911</v>
      </c>
      <c r="AZ11" s="476" t="s">
        <v>911</v>
      </c>
      <c r="BA11" s="476" t="s">
        <v>911</v>
      </c>
      <c r="BB11" s="476" t="s">
        <v>911</v>
      </c>
      <c r="BC11" s="476" t="s">
        <v>911</v>
      </c>
      <c r="BD11" s="476" t="s">
        <v>912</v>
      </c>
      <c r="BE11" s="476" t="s">
        <v>912</v>
      </c>
      <c r="BF11" s="476" t="s">
        <v>912</v>
      </c>
      <c r="BG11" s="476" t="s">
        <v>912</v>
      </c>
      <c r="BH11" s="476" t="s">
        <v>912</v>
      </c>
      <c r="BI11" s="476" t="s">
        <v>912</v>
      </c>
      <c r="BJ11" s="476" t="s">
        <v>912</v>
      </c>
      <c r="BK11" s="476" t="s">
        <v>912</v>
      </c>
      <c r="BL11" s="476" t="s">
        <v>912</v>
      </c>
      <c r="BM11" s="476" t="s">
        <v>912</v>
      </c>
      <c r="BN11" s="476" t="s">
        <v>912</v>
      </c>
      <c r="BO11" s="476" t="s">
        <v>912</v>
      </c>
      <c r="BP11" s="476" t="s">
        <v>912</v>
      </c>
      <c r="BQ11" s="476" t="s">
        <v>912</v>
      </c>
      <c r="BR11" s="476" t="s">
        <v>912</v>
      </c>
      <c r="BS11" s="476" t="s">
        <v>913</v>
      </c>
      <c r="BT11" s="476" t="s">
        <v>912</v>
      </c>
      <c r="BU11" s="476" t="s">
        <v>912</v>
      </c>
      <c r="BV11" s="476" t="s">
        <v>912</v>
      </c>
      <c r="BW11" s="476" t="s">
        <v>912</v>
      </c>
      <c r="BX11" s="476" t="s">
        <v>912</v>
      </c>
      <c r="BY11" s="476" t="s">
        <v>912</v>
      </c>
      <c r="BZ11" s="476" t="s">
        <v>912</v>
      </c>
      <c r="CA11" s="476" t="s">
        <v>912</v>
      </c>
      <c r="CB11" s="476" t="s">
        <v>914</v>
      </c>
      <c r="CC11" s="861" t="s">
        <v>914</v>
      </c>
      <c r="CD11" s="476" t="s">
        <v>914</v>
      </c>
      <c r="CE11" s="476" t="s">
        <v>914</v>
      </c>
      <c r="CF11" s="476" t="s">
        <v>914</v>
      </c>
      <c r="CG11" s="476" t="s">
        <v>914</v>
      </c>
      <c r="CH11" s="476" t="s">
        <v>912</v>
      </c>
      <c r="CI11" s="476" t="s">
        <v>912</v>
      </c>
      <c r="CJ11" s="476" t="s">
        <v>912</v>
      </c>
      <c r="CK11" s="476" t="s">
        <v>912</v>
      </c>
      <c r="CL11" s="476" t="s">
        <v>912</v>
      </c>
      <c r="CM11" s="476" t="s">
        <v>912</v>
      </c>
      <c r="CN11" s="476" t="s">
        <v>912</v>
      </c>
      <c r="CO11" s="476" t="s">
        <v>912</v>
      </c>
      <c r="CP11" s="476" t="s">
        <v>914</v>
      </c>
      <c r="CQ11" s="476" t="s">
        <v>914</v>
      </c>
      <c r="CR11" s="476" t="s">
        <v>914</v>
      </c>
      <c r="CS11" s="476" t="s">
        <v>914</v>
      </c>
      <c r="CT11" s="476" t="s">
        <v>914</v>
      </c>
      <c r="CU11" s="476" t="s">
        <v>915</v>
      </c>
      <c r="CV11" s="476" t="s">
        <v>915</v>
      </c>
      <c r="CW11" s="476" t="s">
        <v>915</v>
      </c>
      <c r="CX11" s="476" t="s">
        <v>915</v>
      </c>
      <c r="CY11" s="476" t="s">
        <v>915</v>
      </c>
      <c r="CZ11" s="476" t="s">
        <v>916</v>
      </c>
      <c r="DA11" s="476" t="s">
        <v>916</v>
      </c>
      <c r="DB11" s="476" t="s">
        <v>916</v>
      </c>
      <c r="DC11" s="476" t="s">
        <v>916</v>
      </c>
      <c r="DD11" s="476" t="s">
        <v>916</v>
      </c>
      <c r="DE11" s="476" t="s">
        <v>916</v>
      </c>
      <c r="DF11" s="476" t="s">
        <v>916</v>
      </c>
      <c r="DG11" s="476" t="s">
        <v>916</v>
      </c>
      <c r="DH11" s="476" t="s">
        <v>916</v>
      </c>
      <c r="DI11" s="476" t="s">
        <v>916</v>
      </c>
      <c r="DJ11" s="476" t="s">
        <v>916</v>
      </c>
      <c r="DK11" s="476" t="s">
        <v>916</v>
      </c>
      <c r="DL11" s="476" t="s">
        <v>916</v>
      </c>
      <c r="DM11" s="476" t="s">
        <v>916</v>
      </c>
      <c r="DN11" s="476" t="s">
        <v>916</v>
      </c>
      <c r="DO11" s="476" t="s">
        <v>916</v>
      </c>
      <c r="DP11" s="476"/>
      <c r="DQ11" s="476" t="s">
        <v>916</v>
      </c>
      <c r="DR11" s="476" t="s">
        <v>916</v>
      </c>
      <c r="DS11" s="500"/>
      <c r="DT11" s="667" t="s">
        <v>917</v>
      </c>
      <c r="DU11" s="604" t="s">
        <v>918</v>
      </c>
      <c r="DV11" s="477" t="s">
        <v>919</v>
      </c>
      <c r="DW11" s="477" t="s">
        <v>920</v>
      </c>
      <c r="DX11" s="477" t="s">
        <v>920</v>
      </c>
      <c r="DY11" s="477" t="s">
        <v>920</v>
      </c>
      <c r="DZ11" s="598"/>
      <c r="EA11" s="477" t="s">
        <v>921</v>
      </c>
      <c r="EB11" s="477" t="s">
        <v>921</v>
      </c>
      <c r="EC11" s="598"/>
      <c r="ED11" s="477" t="s">
        <v>922</v>
      </c>
      <c r="EE11" s="477" t="s">
        <v>922</v>
      </c>
      <c r="EF11" s="477" t="s">
        <v>923</v>
      </c>
      <c r="EG11" s="477" t="s">
        <v>923</v>
      </c>
      <c r="EH11" s="477" t="s">
        <v>924</v>
      </c>
      <c r="EI11" s="477" t="s">
        <v>924</v>
      </c>
      <c r="EJ11" s="477" t="s">
        <v>924</v>
      </c>
      <c r="EK11" s="477" t="s">
        <v>924</v>
      </c>
      <c r="EL11" s="598"/>
      <c r="EM11" s="477" t="s">
        <v>925</v>
      </c>
      <c r="EN11" s="477" t="s">
        <v>925</v>
      </c>
      <c r="EO11" s="477" t="s">
        <v>925</v>
      </c>
      <c r="EP11" s="477" t="s">
        <v>925</v>
      </c>
      <c r="EQ11" s="477" t="s">
        <v>925</v>
      </c>
      <c r="ER11" s="477" t="s">
        <v>926</v>
      </c>
      <c r="ES11" s="477" t="s">
        <v>927</v>
      </c>
      <c r="ET11" s="477" t="s">
        <v>925</v>
      </c>
      <c r="EU11" s="477" t="s">
        <v>928</v>
      </c>
      <c r="EV11" s="477" t="s">
        <v>929</v>
      </c>
      <c r="EW11" s="477" t="s">
        <v>925</v>
      </c>
      <c r="EX11" s="477" t="s">
        <v>930</v>
      </c>
      <c r="EY11" s="477" t="s">
        <v>925</v>
      </c>
      <c r="EZ11" s="477" t="s">
        <v>925</v>
      </c>
      <c r="FA11" s="477" t="s">
        <v>925</v>
      </c>
      <c r="FB11" s="603" t="s">
        <v>931</v>
      </c>
      <c r="FC11" s="603"/>
      <c r="FD11" s="604"/>
      <c r="FE11" s="598"/>
      <c r="FF11" s="477" t="s">
        <v>932</v>
      </c>
      <c r="FG11" s="477" t="s">
        <v>932</v>
      </c>
      <c r="FH11" s="477" t="s">
        <v>933</v>
      </c>
      <c r="FI11" s="477" t="s">
        <v>933</v>
      </c>
      <c r="FJ11" s="477" t="s">
        <v>934</v>
      </c>
      <c r="FK11" s="477" t="s">
        <v>934</v>
      </c>
      <c r="FL11" s="477" t="s">
        <v>934</v>
      </c>
      <c r="FM11" s="477" t="s">
        <v>934</v>
      </c>
      <c r="FN11" s="477" t="s">
        <v>934</v>
      </c>
      <c r="FO11" s="477" t="s">
        <v>935</v>
      </c>
      <c r="FP11" s="477" t="s">
        <v>935</v>
      </c>
      <c r="FQ11" s="477" t="s">
        <v>935</v>
      </c>
      <c r="FR11" s="477" t="s">
        <v>935</v>
      </c>
      <c r="FS11" s="477" t="s">
        <v>935</v>
      </c>
      <c r="FT11" s="477" t="s">
        <v>936</v>
      </c>
      <c r="FU11" s="477" t="s">
        <v>936</v>
      </c>
      <c r="FV11" s="477" t="s">
        <v>936</v>
      </c>
      <c r="FW11" s="477" t="s">
        <v>936</v>
      </c>
      <c r="FX11" s="477" t="s">
        <v>937</v>
      </c>
      <c r="FY11" s="477" t="s">
        <v>937</v>
      </c>
      <c r="FZ11" s="477" t="s">
        <v>937</v>
      </c>
      <c r="GA11" s="477" t="s">
        <v>937</v>
      </c>
      <c r="GB11" s="477" t="s">
        <v>937</v>
      </c>
      <c r="GC11" s="477" t="s">
        <v>938</v>
      </c>
      <c r="GD11" s="477" t="s">
        <v>938</v>
      </c>
      <c r="GE11" s="477" t="s">
        <v>938</v>
      </c>
      <c r="GF11" s="477" t="s">
        <v>939</v>
      </c>
      <c r="GG11" s="477" t="s">
        <v>939</v>
      </c>
      <c r="GH11" s="477" t="s">
        <v>940</v>
      </c>
      <c r="GI11" s="477" t="s">
        <v>940</v>
      </c>
      <c r="GJ11" s="477" t="s">
        <v>940</v>
      </c>
      <c r="GK11" s="477" t="s">
        <v>940</v>
      </c>
      <c r="GL11" s="477" t="s">
        <v>2717</v>
      </c>
      <c r="GM11" s="477" t="s">
        <v>2717</v>
      </c>
      <c r="GN11" s="477" t="s">
        <v>2717</v>
      </c>
      <c r="GO11" s="477" t="s">
        <v>941</v>
      </c>
      <c r="GP11" s="477" t="s">
        <v>941</v>
      </c>
      <c r="GQ11" s="477" t="s">
        <v>941</v>
      </c>
      <c r="GR11" s="477" t="s">
        <v>942</v>
      </c>
      <c r="GS11" s="477" t="s">
        <v>942</v>
      </c>
      <c r="GT11" s="477" t="s">
        <v>942</v>
      </c>
      <c r="GU11" s="477" t="s">
        <v>943</v>
      </c>
      <c r="GV11" s="477" t="s">
        <v>943</v>
      </c>
      <c r="GW11" s="477" t="s">
        <v>943</v>
      </c>
      <c r="GX11" s="477" t="s">
        <v>944</v>
      </c>
      <c r="GY11" s="477" t="s">
        <v>944</v>
      </c>
      <c r="GZ11" s="477" t="s">
        <v>944</v>
      </c>
      <c r="HA11" s="477" t="s">
        <v>2718</v>
      </c>
      <c r="HB11" s="477" t="s">
        <v>2712</v>
      </c>
      <c r="HC11" s="477" t="s">
        <v>945</v>
      </c>
      <c r="HD11" s="598"/>
      <c r="HE11" s="477"/>
      <c r="HF11" s="477"/>
      <c r="HG11" s="477"/>
      <c r="HH11" s="477"/>
      <c r="HI11" s="477"/>
      <c r="HJ11" s="598"/>
      <c r="HK11" s="477"/>
      <c r="HL11" s="477"/>
      <c r="HM11" s="477"/>
      <c r="HN11" s="477"/>
      <c r="HO11" s="477"/>
      <c r="HP11" s="477"/>
      <c r="HQ11" s="477"/>
      <c r="HR11" s="477"/>
      <c r="HS11" s="477"/>
      <c r="HT11" s="477"/>
      <c r="HU11" s="477"/>
      <c r="HV11" s="477"/>
      <c r="HW11" s="598"/>
      <c r="HX11" s="477"/>
      <c r="HY11" s="477"/>
      <c r="HZ11" s="477"/>
      <c r="IA11" s="477"/>
      <c r="IB11" s="477"/>
      <c r="IC11" s="477"/>
      <c r="ID11" s="477"/>
      <c r="IE11" s="477"/>
      <c r="IF11" s="477"/>
      <c r="IG11" s="477"/>
      <c r="IH11" s="477"/>
      <c r="II11" s="477"/>
      <c r="IJ11" s="598"/>
      <c r="IK11" s="477" t="s">
        <v>2713</v>
      </c>
      <c r="IL11" s="477" t="s">
        <v>2713</v>
      </c>
      <c r="IM11" s="477" t="s">
        <v>2713</v>
      </c>
      <c r="IN11" s="478"/>
      <c r="IO11" s="479" t="s">
        <v>946</v>
      </c>
      <c r="IP11" s="479" t="s">
        <v>946</v>
      </c>
      <c r="IQ11" s="479" t="s">
        <v>946</v>
      </c>
      <c r="IR11" s="479" t="s">
        <v>946</v>
      </c>
      <c r="IS11" s="479" t="s">
        <v>946</v>
      </c>
      <c r="IT11" s="479" t="s">
        <v>946</v>
      </c>
      <c r="IU11" s="480" t="s">
        <v>947</v>
      </c>
      <c r="IV11" s="480" t="s">
        <v>948</v>
      </c>
      <c r="IW11" s="480" t="s">
        <v>949</v>
      </c>
      <c r="IX11" s="480" t="s">
        <v>949</v>
      </c>
      <c r="IY11" s="480" t="s">
        <v>949</v>
      </c>
      <c r="IZ11" s="480" t="s">
        <v>949</v>
      </c>
      <c r="JA11" s="480" t="s">
        <v>949</v>
      </c>
      <c r="JB11" s="480" t="s">
        <v>947</v>
      </c>
      <c r="JC11" s="480" t="s">
        <v>950</v>
      </c>
      <c r="JD11" s="480" t="s">
        <v>950</v>
      </c>
      <c r="JE11" s="480" t="s">
        <v>950</v>
      </c>
      <c r="JF11" s="480" t="s">
        <v>950</v>
      </c>
      <c r="JG11" s="480" t="s">
        <v>950</v>
      </c>
      <c r="JH11" s="480" t="s">
        <v>951</v>
      </c>
      <c r="JI11" s="480" t="s">
        <v>951</v>
      </c>
      <c r="JJ11" s="481"/>
      <c r="JK11" s="482" t="s">
        <v>952</v>
      </c>
      <c r="JL11" s="483" t="s">
        <v>952</v>
      </c>
      <c r="JM11" s="483" t="s">
        <v>953</v>
      </c>
      <c r="JN11" s="483" t="s">
        <v>953</v>
      </c>
      <c r="JO11" s="483" t="s">
        <v>954</v>
      </c>
      <c r="JP11" s="483" t="s">
        <v>953</v>
      </c>
      <c r="JQ11" s="483" t="s">
        <v>955</v>
      </c>
      <c r="JR11" s="483" t="s">
        <v>956</v>
      </c>
      <c r="JS11" s="483" t="s">
        <v>956</v>
      </c>
      <c r="JT11" s="483" t="s">
        <v>956</v>
      </c>
      <c r="JU11" s="483" t="s">
        <v>956</v>
      </c>
      <c r="JV11" s="483" t="s">
        <v>956</v>
      </c>
      <c r="JW11" s="483" t="s">
        <v>956</v>
      </c>
      <c r="JX11" s="483" t="s">
        <v>956</v>
      </c>
      <c r="JY11" s="483" t="s">
        <v>957</v>
      </c>
      <c r="JZ11" s="483" t="s">
        <v>958</v>
      </c>
      <c r="KA11" s="483" t="s">
        <v>958</v>
      </c>
      <c r="KB11" s="483" t="s">
        <v>958</v>
      </c>
      <c r="KC11" s="483" t="s">
        <v>958</v>
      </c>
      <c r="KD11" s="483" t="s">
        <v>958</v>
      </c>
      <c r="KE11" s="483" t="s">
        <v>958</v>
      </c>
      <c r="KF11" s="483" t="s">
        <v>958</v>
      </c>
      <c r="KG11" s="483" t="s">
        <v>958</v>
      </c>
      <c r="KH11" s="483" t="s">
        <v>958</v>
      </c>
      <c r="KI11" s="483" t="s">
        <v>958</v>
      </c>
      <c r="KJ11" s="484"/>
      <c r="KK11" s="485" t="s">
        <v>959</v>
      </c>
      <c r="KL11" s="546"/>
      <c r="KM11" s="486"/>
      <c r="KN11" s="486"/>
      <c r="KO11" s="486"/>
      <c r="KP11" s="486"/>
      <c r="KQ11" s="727"/>
      <c r="KR11" s="732" t="s">
        <v>960</v>
      </c>
      <c r="KS11" s="732" t="s">
        <v>961</v>
      </c>
      <c r="KT11" s="732" t="s">
        <v>961</v>
      </c>
      <c r="KU11" s="732" t="s">
        <v>961</v>
      </c>
      <c r="KV11" s="732" t="s">
        <v>961</v>
      </c>
      <c r="KW11" s="732" t="s">
        <v>961</v>
      </c>
      <c r="KX11" s="732" t="s">
        <v>961</v>
      </c>
      <c r="KY11" s="732" t="s">
        <v>961</v>
      </c>
      <c r="KZ11" s="732" t="s">
        <v>961</v>
      </c>
      <c r="LA11" s="732" t="s">
        <v>961</v>
      </c>
      <c r="LB11" s="732" t="s">
        <v>961</v>
      </c>
      <c r="LC11" s="732" t="s">
        <v>962</v>
      </c>
      <c r="LD11" s="732" t="s">
        <v>962</v>
      </c>
      <c r="LE11" s="732" t="s">
        <v>962</v>
      </c>
      <c r="LF11" s="732" t="s">
        <v>962</v>
      </c>
      <c r="LG11" s="732" t="s">
        <v>962</v>
      </c>
      <c r="LH11" s="732" t="s">
        <v>962</v>
      </c>
      <c r="LI11" s="732" t="s">
        <v>963</v>
      </c>
      <c r="LJ11" s="732" t="s">
        <v>964</v>
      </c>
      <c r="LK11" s="732" t="s">
        <v>964</v>
      </c>
      <c r="LL11" s="732" t="s">
        <v>965</v>
      </c>
      <c r="LM11" s="732" t="s">
        <v>965</v>
      </c>
      <c r="LN11" s="732" t="s">
        <v>965</v>
      </c>
      <c r="LO11" s="732" t="s">
        <v>2719</v>
      </c>
      <c r="LP11" s="733" t="s">
        <v>966</v>
      </c>
      <c r="LQ11" s="733" t="s">
        <v>967</v>
      </c>
      <c r="LR11" s="732"/>
      <c r="LS11" s="733" t="s">
        <v>968</v>
      </c>
      <c r="LT11" s="738"/>
      <c r="LU11" s="632" t="s">
        <v>969</v>
      </c>
      <c r="LV11" s="488" t="s">
        <v>969</v>
      </c>
      <c r="LW11" s="614" t="s">
        <v>970</v>
      </c>
      <c r="LX11" s="614" t="s">
        <v>970</v>
      </c>
      <c r="LY11" s="614" t="s">
        <v>970</v>
      </c>
      <c r="LZ11" s="614" t="s">
        <v>970</v>
      </c>
      <c r="MA11" s="614" t="s">
        <v>970</v>
      </c>
      <c r="MB11" s="614" t="s">
        <v>970</v>
      </c>
      <c r="MC11" s="614" t="s">
        <v>970</v>
      </c>
      <c r="MD11" s="614" t="s">
        <v>970</v>
      </c>
      <c r="ME11" s="614" t="s">
        <v>970</v>
      </c>
      <c r="MF11" s="614" t="s">
        <v>970</v>
      </c>
      <c r="MG11" s="614" t="s">
        <v>970</v>
      </c>
      <c r="MH11" s="614" t="s">
        <v>970</v>
      </c>
      <c r="MI11" s="614" t="s">
        <v>970</v>
      </c>
      <c r="MJ11" s="614" t="s">
        <v>970</v>
      </c>
      <c r="MK11" s="614" t="s">
        <v>970</v>
      </c>
      <c r="ML11" s="614" t="s">
        <v>970</v>
      </c>
      <c r="MM11" s="614" t="s">
        <v>970</v>
      </c>
      <c r="MN11" s="614" t="s">
        <v>970</v>
      </c>
      <c r="MO11" s="614" t="s">
        <v>970</v>
      </c>
      <c r="MP11" s="614" t="s">
        <v>970</v>
      </c>
      <c r="MQ11" s="614" t="s">
        <v>970</v>
      </c>
      <c r="MR11" s="614" t="s">
        <v>970</v>
      </c>
      <c r="MS11" s="614" t="s">
        <v>970</v>
      </c>
      <c r="MT11" s="614" t="s">
        <v>970</v>
      </c>
      <c r="MU11" s="614" t="s">
        <v>970</v>
      </c>
      <c r="MV11" s="614" t="s">
        <v>971</v>
      </c>
      <c r="MW11" s="590" t="s">
        <v>971</v>
      </c>
      <c r="MX11" s="489" t="s">
        <v>971</v>
      </c>
      <c r="MY11" s="489" t="s">
        <v>971</v>
      </c>
      <c r="MZ11" s="489" t="s">
        <v>971</v>
      </c>
      <c r="NA11" s="614" t="s">
        <v>971</v>
      </c>
      <c r="NB11" s="590" t="s">
        <v>971</v>
      </c>
      <c r="NC11" s="489" t="s">
        <v>971</v>
      </c>
      <c r="ND11" s="489" t="s">
        <v>971</v>
      </c>
      <c r="NE11" s="489" t="s">
        <v>971</v>
      </c>
      <c r="NF11" s="489" t="s">
        <v>971</v>
      </c>
      <c r="NG11" s="614" t="s">
        <v>971</v>
      </c>
      <c r="NH11" s="590" t="s">
        <v>971</v>
      </c>
      <c r="NI11" s="489" t="s">
        <v>971</v>
      </c>
      <c r="NJ11" s="489" t="s">
        <v>971</v>
      </c>
      <c r="NK11" s="489" t="s">
        <v>972</v>
      </c>
      <c r="NL11" s="489" t="s">
        <v>972</v>
      </c>
      <c r="NM11" s="489" t="s">
        <v>972</v>
      </c>
      <c r="NN11" s="489" t="s">
        <v>972</v>
      </c>
      <c r="NO11" s="489" t="s">
        <v>973</v>
      </c>
      <c r="NP11" s="489" t="s">
        <v>973</v>
      </c>
      <c r="NQ11" s="489" t="s">
        <v>973</v>
      </c>
      <c r="NR11" s="489" t="s">
        <v>973</v>
      </c>
      <c r="NS11" s="489" t="s">
        <v>973</v>
      </c>
      <c r="NT11" s="489" t="s">
        <v>973</v>
      </c>
      <c r="NU11" s="489" t="s">
        <v>973</v>
      </c>
      <c r="NV11" s="489" t="s">
        <v>974</v>
      </c>
      <c r="NW11" s="489" t="s">
        <v>974</v>
      </c>
      <c r="NX11" s="489" t="s">
        <v>973</v>
      </c>
      <c r="NY11" s="489" t="s">
        <v>972</v>
      </c>
      <c r="NZ11" s="632" t="s">
        <v>975</v>
      </c>
      <c r="OA11" s="635"/>
      <c r="OB11" s="639" t="s">
        <v>976</v>
      </c>
      <c r="OC11" s="639" t="s">
        <v>977</v>
      </c>
      <c r="OD11" s="639" t="s">
        <v>978</v>
      </c>
      <c r="OE11" s="639" t="s">
        <v>979</v>
      </c>
      <c r="OF11" s="639"/>
      <c r="OG11" s="639"/>
      <c r="OH11" s="639"/>
      <c r="OI11" s="639"/>
      <c r="OJ11" s="639"/>
      <c r="OK11" s="639"/>
      <c r="OL11" s="639"/>
      <c r="OM11" s="639"/>
      <c r="ON11" s="635"/>
      <c r="OO11" s="639" t="s">
        <v>980</v>
      </c>
      <c r="OP11" s="639" t="s">
        <v>430</v>
      </c>
      <c r="OQ11" s="639" t="s">
        <v>430</v>
      </c>
      <c r="OR11" s="639" t="s">
        <v>430</v>
      </c>
      <c r="OS11" s="639"/>
      <c r="OT11" s="639"/>
      <c r="OU11" s="639"/>
      <c r="OV11" s="639"/>
      <c r="OW11" s="639"/>
      <c r="OX11" s="639"/>
      <c r="OY11" s="639"/>
      <c r="OZ11" s="639"/>
      <c r="PA11" s="639"/>
      <c r="PB11" s="639" t="s">
        <v>981</v>
      </c>
      <c r="PC11" s="639" t="s">
        <v>981</v>
      </c>
      <c r="PD11" s="639"/>
      <c r="PE11" s="639" t="s">
        <v>981</v>
      </c>
      <c r="PF11" s="639"/>
      <c r="PG11" s="639"/>
      <c r="PH11" s="749"/>
      <c r="PI11" s="667" t="s">
        <v>2709</v>
      </c>
      <c r="PJ11" s="667" t="s">
        <v>2709</v>
      </c>
      <c r="PK11" s="667" t="s">
        <v>982</v>
      </c>
      <c r="PL11" s="476" t="s">
        <v>983</v>
      </c>
      <c r="PM11" s="476" t="s">
        <v>983</v>
      </c>
      <c r="PN11" s="476" t="s">
        <v>983</v>
      </c>
      <c r="PO11" s="603"/>
    </row>
    <row r="12" spans="1:431" s="380" customFormat="1" ht="43.5" customHeight="1">
      <c r="A12" s="418" t="s">
        <v>984</v>
      </c>
      <c r="B12" s="623" t="s">
        <v>901</v>
      </c>
      <c r="C12" s="380" t="s">
        <v>420</v>
      </c>
      <c r="D12" s="380" t="s">
        <v>985</v>
      </c>
      <c r="G12" s="495"/>
      <c r="H12" s="475" t="s">
        <v>986</v>
      </c>
      <c r="I12" s="475" t="s">
        <v>902</v>
      </c>
      <c r="J12" s="475" t="s">
        <v>902</v>
      </c>
      <c r="K12" s="475" t="s">
        <v>986</v>
      </c>
      <c r="L12" s="475" t="s">
        <v>902</v>
      </c>
      <c r="M12" s="475" t="s">
        <v>902</v>
      </c>
      <c r="N12" s="475" t="s">
        <v>986</v>
      </c>
      <c r="O12" s="475" t="s">
        <v>902</v>
      </c>
      <c r="P12" s="475" t="s">
        <v>986</v>
      </c>
      <c r="Q12" s="475" t="s">
        <v>902</v>
      </c>
      <c r="R12" s="475" t="s">
        <v>987</v>
      </c>
      <c r="S12" s="475" t="s">
        <v>903</v>
      </c>
      <c r="T12" s="476" t="s">
        <v>987</v>
      </c>
      <c r="U12" s="476" t="s">
        <v>988</v>
      </c>
      <c r="V12" s="476" t="s">
        <v>989</v>
      </c>
      <c r="W12" s="476" t="s">
        <v>990</v>
      </c>
      <c r="X12" s="476" t="s">
        <v>990</v>
      </c>
      <c r="Y12" s="476" t="s">
        <v>990</v>
      </c>
      <c r="Z12" s="476" t="s">
        <v>990</v>
      </c>
      <c r="AA12" s="476" t="s">
        <v>990</v>
      </c>
      <c r="AB12" s="476" t="s">
        <v>991</v>
      </c>
      <c r="AC12" s="476" t="s">
        <v>990</v>
      </c>
      <c r="AD12" s="476" t="s">
        <v>990</v>
      </c>
      <c r="AE12" s="476" t="s">
        <v>990</v>
      </c>
      <c r="AF12" s="476" t="s">
        <v>990</v>
      </c>
      <c r="AG12" s="476" t="s">
        <v>990</v>
      </c>
      <c r="AH12" s="476" t="s">
        <v>990</v>
      </c>
      <c r="AI12" s="476" t="s">
        <v>990</v>
      </c>
      <c r="AJ12" s="476" t="s">
        <v>990</v>
      </c>
      <c r="AK12" s="476" t="s">
        <v>990</v>
      </c>
      <c r="AL12" s="476" t="s">
        <v>990</v>
      </c>
      <c r="AM12" s="476" t="s">
        <v>990</v>
      </c>
      <c r="AN12" s="476" t="s">
        <v>989</v>
      </c>
      <c r="AO12" s="476" t="s">
        <v>990</v>
      </c>
      <c r="AP12" s="476" t="s">
        <v>990</v>
      </c>
      <c r="AQ12" s="476" t="s">
        <v>989</v>
      </c>
      <c r="AR12" s="476" t="s">
        <v>990</v>
      </c>
      <c r="AS12" s="476" t="s">
        <v>990</v>
      </c>
      <c r="AT12" s="476" t="s">
        <v>992</v>
      </c>
      <c r="AU12" s="476" t="s">
        <v>993</v>
      </c>
      <c r="AV12" s="476" t="s">
        <v>993</v>
      </c>
      <c r="AW12" s="476" t="s">
        <v>993</v>
      </c>
      <c r="AX12" s="476" t="s">
        <v>993</v>
      </c>
      <c r="AY12" s="476" t="s">
        <v>994</v>
      </c>
      <c r="AZ12" s="476" t="s">
        <v>994</v>
      </c>
      <c r="BA12" s="476" t="s">
        <v>995</v>
      </c>
      <c r="BB12" s="476" t="s">
        <v>994</v>
      </c>
      <c r="BC12" s="476" t="s">
        <v>994</v>
      </c>
      <c r="BD12" s="476" t="s">
        <v>996</v>
      </c>
      <c r="BE12" s="476" t="s">
        <v>997</v>
      </c>
      <c r="BF12" s="476" t="s">
        <v>997</v>
      </c>
      <c r="BG12" s="476" t="s">
        <v>997</v>
      </c>
      <c r="BH12" s="476" t="s">
        <v>997</v>
      </c>
      <c r="BI12" s="476" t="s">
        <v>998</v>
      </c>
      <c r="BJ12" s="476" t="s">
        <v>999</v>
      </c>
      <c r="BK12" s="476" t="s">
        <v>999</v>
      </c>
      <c r="BL12" s="476" t="s">
        <v>999</v>
      </c>
      <c r="BM12" s="476" t="s">
        <v>999</v>
      </c>
      <c r="BN12" s="476" t="s">
        <v>999</v>
      </c>
      <c r="BO12" s="476" t="s">
        <v>999</v>
      </c>
      <c r="BP12" s="476" t="s">
        <v>998</v>
      </c>
      <c r="BQ12" s="476" t="s">
        <v>999</v>
      </c>
      <c r="BR12" s="476" t="s">
        <v>999</v>
      </c>
      <c r="BS12" s="476" t="s">
        <v>1000</v>
      </c>
      <c r="BT12" s="476" t="s">
        <v>1001</v>
      </c>
      <c r="BU12" s="476" t="s">
        <v>1002</v>
      </c>
      <c r="BV12" s="476" t="s">
        <v>1002</v>
      </c>
      <c r="BW12" s="476" t="s">
        <v>1002</v>
      </c>
      <c r="BX12" s="476" t="s">
        <v>1002</v>
      </c>
      <c r="BY12" s="476" t="s">
        <v>1002</v>
      </c>
      <c r="BZ12" s="476" t="s">
        <v>1002</v>
      </c>
      <c r="CA12" s="476" t="s">
        <v>1002</v>
      </c>
      <c r="CB12" s="476" t="s">
        <v>1003</v>
      </c>
      <c r="CC12" s="861" t="s">
        <v>1002</v>
      </c>
      <c r="CD12" s="476" t="s">
        <v>1002</v>
      </c>
      <c r="CE12" s="476" t="s">
        <v>1002</v>
      </c>
      <c r="CF12" s="476" t="s">
        <v>1002</v>
      </c>
      <c r="CG12" s="476" t="s">
        <v>1002</v>
      </c>
      <c r="CH12" s="476" t="s">
        <v>1003</v>
      </c>
      <c r="CI12" s="476" t="s">
        <v>1002</v>
      </c>
      <c r="CJ12" s="476" t="s">
        <v>1002</v>
      </c>
      <c r="CK12" s="476" t="s">
        <v>1003</v>
      </c>
      <c r="CL12" s="476" t="s">
        <v>1002</v>
      </c>
      <c r="CM12" s="476" t="s">
        <v>1002</v>
      </c>
      <c r="CN12" s="476" t="s">
        <v>1002</v>
      </c>
      <c r="CO12" s="476" t="s">
        <v>1002</v>
      </c>
      <c r="CP12" s="476" t="s">
        <v>1003</v>
      </c>
      <c r="CQ12" s="476" t="s">
        <v>1002</v>
      </c>
      <c r="CR12" s="476" t="s">
        <v>1002</v>
      </c>
      <c r="CS12" s="476" t="s">
        <v>1002</v>
      </c>
      <c r="CT12" s="476" t="s">
        <v>1002</v>
      </c>
      <c r="CU12" s="476" t="s">
        <v>1002</v>
      </c>
      <c r="CV12" s="476" t="s">
        <v>1002</v>
      </c>
      <c r="CW12" s="476" t="s">
        <v>1002</v>
      </c>
      <c r="CX12" s="476" t="s">
        <v>1002</v>
      </c>
      <c r="CY12" s="476" t="s">
        <v>1002</v>
      </c>
      <c r="CZ12" s="476" t="s">
        <v>916</v>
      </c>
      <c r="DA12" s="476" t="s">
        <v>1004</v>
      </c>
      <c r="DB12" s="476" t="s">
        <v>916</v>
      </c>
      <c r="DC12" s="476" t="s">
        <v>916</v>
      </c>
      <c r="DD12" s="476" t="s">
        <v>916</v>
      </c>
      <c r="DE12" s="476" t="s">
        <v>916</v>
      </c>
      <c r="DF12" s="476" t="s">
        <v>916</v>
      </c>
      <c r="DG12" s="476" t="s">
        <v>1004</v>
      </c>
      <c r="DH12" s="476" t="s">
        <v>916</v>
      </c>
      <c r="DI12" s="476" t="s">
        <v>916</v>
      </c>
      <c r="DJ12" s="476" t="s">
        <v>916</v>
      </c>
      <c r="DK12" s="476" t="s">
        <v>916</v>
      </c>
      <c r="DL12" s="476" t="s">
        <v>916</v>
      </c>
      <c r="DM12" s="476" t="s">
        <v>916</v>
      </c>
      <c r="DN12" s="476" t="s">
        <v>916</v>
      </c>
      <c r="DO12" s="476" t="s">
        <v>916</v>
      </c>
      <c r="DP12" s="476" t="s">
        <v>1005</v>
      </c>
      <c r="DQ12" s="476" t="s">
        <v>1006</v>
      </c>
      <c r="DR12" s="476" t="s">
        <v>1007</v>
      </c>
      <c r="DS12" s="500"/>
      <c r="DT12" s="667" t="s">
        <v>1008</v>
      </c>
      <c r="DU12" s="604" t="s">
        <v>1009</v>
      </c>
      <c r="DV12" s="477" t="s">
        <v>1010</v>
      </c>
      <c r="DW12" s="477" t="s">
        <v>1010</v>
      </c>
      <c r="DX12" s="477" t="s">
        <v>1010</v>
      </c>
      <c r="DY12" s="477" t="s">
        <v>1010</v>
      </c>
      <c r="DZ12" s="598"/>
      <c r="EA12" s="477" t="s">
        <v>1011</v>
      </c>
      <c r="EB12" s="477" t="s">
        <v>1012</v>
      </c>
      <c r="EC12" s="598"/>
      <c r="ED12" s="477" t="s">
        <v>1011</v>
      </c>
      <c r="EE12" s="477" t="s">
        <v>1013</v>
      </c>
      <c r="EF12" s="477" t="s">
        <v>1013</v>
      </c>
      <c r="EG12" s="477" t="s">
        <v>1013</v>
      </c>
      <c r="EH12" s="477" t="s">
        <v>1014</v>
      </c>
      <c r="EI12" s="477" t="s">
        <v>1015</v>
      </c>
      <c r="EJ12" s="477" t="s">
        <v>1014</v>
      </c>
      <c r="EK12" s="477" t="s">
        <v>1016</v>
      </c>
      <c r="EL12" s="598"/>
      <c r="EM12" s="477" t="s">
        <v>1011</v>
      </c>
      <c r="EN12" s="477" t="s">
        <v>1011</v>
      </c>
      <c r="EO12" s="477" t="s">
        <v>1014</v>
      </c>
      <c r="EP12" s="477" t="s">
        <v>1011</v>
      </c>
      <c r="EQ12" s="477" t="s">
        <v>1011</v>
      </c>
      <c r="ER12" s="477" t="s">
        <v>1014</v>
      </c>
      <c r="ES12" s="477" t="s">
        <v>1017</v>
      </c>
      <c r="ET12" s="477" t="s">
        <v>1018</v>
      </c>
      <c r="EU12" s="477" t="s">
        <v>1019</v>
      </c>
      <c r="EV12" s="477" t="s">
        <v>1019</v>
      </c>
      <c r="EW12" s="477" t="s">
        <v>1018</v>
      </c>
      <c r="EX12" s="477" t="s">
        <v>1019</v>
      </c>
      <c r="EY12" s="477" t="s">
        <v>1018</v>
      </c>
      <c r="EZ12" s="477" t="s">
        <v>1019</v>
      </c>
      <c r="FA12" s="477" t="s">
        <v>1020</v>
      </c>
      <c r="FB12" s="477" t="s">
        <v>1021</v>
      </c>
      <c r="FC12" s="477" t="s">
        <v>1018</v>
      </c>
      <c r="FD12" s="477" t="s">
        <v>1019</v>
      </c>
      <c r="FE12" s="598"/>
      <c r="FF12" s="477" t="s">
        <v>1022</v>
      </c>
      <c r="FG12" s="477" t="s">
        <v>1023</v>
      </c>
      <c r="FH12" s="477" t="s">
        <v>1024</v>
      </c>
      <c r="FI12" s="477" t="s">
        <v>1024</v>
      </c>
      <c r="FJ12" s="477" t="s">
        <v>1025</v>
      </c>
      <c r="FK12" s="477" t="s">
        <v>1025</v>
      </c>
      <c r="FL12" s="477" t="s">
        <v>1025</v>
      </c>
      <c r="FM12" s="477" t="s">
        <v>1025</v>
      </c>
      <c r="FN12" s="477" t="s">
        <v>1025</v>
      </c>
      <c r="FO12" s="477" t="s">
        <v>1025</v>
      </c>
      <c r="FP12" s="477" t="s">
        <v>1025</v>
      </c>
      <c r="FQ12" s="477" t="s">
        <v>1025</v>
      </c>
      <c r="FR12" s="477" t="s">
        <v>1025</v>
      </c>
      <c r="FS12" s="477" t="s">
        <v>1025</v>
      </c>
      <c r="FT12" s="477" t="s">
        <v>1025</v>
      </c>
      <c r="FU12" s="477" t="s">
        <v>1025</v>
      </c>
      <c r="FV12" s="477" t="s">
        <v>1025</v>
      </c>
      <c r="FW12" s="477" t="s">
        <v>1025</v>
      </c>
      <c r="FX12" s="477" t="s">
        <v>1025</v>
      </c>
      <c r="FY12" s="477" t="s">
        <v>1025</v>
      </c>
      <c r="FZ12" s="477" t="s">
        <v>1025</v>
      </c>
      <c r="GA12" s="477" t="s">
        <v>1025</v>
      </c>
      <c r="GB12" s="477" t="s">
        <v>1025</v>
      </c>
      <c r="GC12" s="477" t="s">
        <v>1026</v>
      </c>
      <c r="GD12" s="477" t="s">
        <v>1025</v>
      </c>
      <c r="GE12" s="477" t="s">
        <v>1027</v>
      </c>
      <c r="GF12" s="477" t="s">
        <v>1028</v>
      </c>
      <c r="GG12" s="477" t="s">
        <v>1028</v>
      </c>
      <c r="GH12" s="477" t="s">
        <v>1029</v>
      </c>
      <c r="GI12" s="477" t="s">
        <v>1029</v>
      </c>
      <c r="GJ12" s="477" t="s">
        <v>1029</v>
      </c>
      <c r="GK12" s="477" t="s">
        <v>1029</v>
      </c>
      <c r="GL12" s="477" t="s">
        <v>1027</v>
      </c>
      <c r="GM12" s="477" t="s">
        <v>1027</v>
      </c>
      <c r="GN12" s="477" t="s">
        <v>1027</v>
      </c>
      <c r="GO12" s="477" t="s">
        <v>1027</v>
      </c>
      <c r="GP12" s="477" t="s">
        <v>1027</v>
      </c>
      <c r="GQ12" s="477" t="s">
        <v>1027</v>
      </c>
      <c r="GR12" s="477" t="s">
        <v>1027</v>
      </c>
      <c r="GS12" s="477" t="s">
        <v>1027</v>
      </c>
      <c r="GT12" s="477" t="s">
        <v>1027</v>
      </c>
      <c r="GU12" s="477" t="s">
        <v>1030</v>
      </c>
      <c r="GV12" s="477" t="s">
        <v>1030</v>
      </c>
      <c r="GW12" s="477" t="s">
        <v>1030</v>
      </c>
      <c r="GX12" s="477" t="s">
        <v>1030</v>
      </c>
      <c r="GY12" s="477" t="s">
        <v>1030</v>
      </c>
      <c r="GZ12" s="477" t="s">
        <v>1030</v>
      </c>
      <c r="HA12" s="477" t="s">
        <v>1031</v>
      </c>
      <c r="HB12" s="477" t="s">
        <v>1027</v>
      </c>
      <c r="HC12" s="477" t="s">
        <v>1027</v>
      </c>
      <c r="HD12" s="598"/>
      <c r="HE12" s="477" t="s">
        <v>1017</v>
      </c>
      <c r="HF12" s="477" t="s">
        <v>1013</v>
      </c>
      <c r="HG12" s="477" t="s">
        <v>1019</v>
      </c>
      <c r="HH12" s="477" t="s">
        <v>1018</v>
      </c>
      <c r="HI12" s="477" t="s">
        <v>1019</v>
      </c>
      <c r="HJ12" s="598"/>
      <c r="HK12" s="477" t="s">
        <v>1032</v>
      </c>
      <c r="HL12" s="477" t="s">
        <v>1033</v>
      </c>
      <c r="HM12" s="477" t="s">
        <v>1034</v>
      </c>
      <c r="HN12" s="477" t="s">
        <v>1034</v>
      </c>
      <c r="HO12" s="477" t="s">
        <v>1035</v>
      </c>
      <c r="HP12" s="477" t="s">
        <v>1034</v>
      </c>
      <c r="HQ12" s="477" t="s">
        <v>1034</v>
      </c>
      <c r="HR12" s="477" t="s">
        <v>1034</v>
      </c>
      <c r="HS12" s="477" t="s">
        <v>1034</v>
      </c>
      <c r="HT12" s="477" t="s">
        <v>1034</v>
      </c>
      <c r="HU12" s="477" t="s">
        <v>1036</v>
      </c>
      <c r="HV12" s="477" t="s">
        <v>1034</v>
      </c>
      <c r="HW12" s="598"/>
      <c r="HX12" s="477" t="s">
        <v>1037</v>
      </c>
      <c r="HY12" s="477" t="s">
        <v>1038</v>
      </c>
      <c r="HZ12" s="477" t="s">
        <v>1039</v>
      </c>
      <c r="IA12" s="477" t="s">
        <v>1038</v>
      </c>
      <c r="IB12" s="477" t="s">
        <v>1039</v>
      </c>
      <c r="IC12" s="477" t="s">
        <v>1038</v>
      </c>
      <c r="ID12" s="477" t="s">
        <v>1037</v>
      </c>
      <c r="IE12" s="477" t="s">
        <v>1039</v>
      </c>
      <c r="IF12" s="477" t="s">
        <v>1039</v>
      </c>
      <c r="IG12" s="477" t="s">
        <v>1040</v>
      </c>
      <c r="IH12" s="477" t="s">
        <v>1038</v>
      </c>
      <c r="II12" s="477" t="s">
        <v>1041</v>
      </c>
      <c r="IJ12" s="598"/>
      <c r="IK12" s="477" t="s">
        <v>1042</v>
      </c>
      <c r="IL12" s="477" t="s">
        <v>1042</v>
      </c>
      <c r="IM12" s="477" t="s">
        <v>1043</v>
      </c>
      <c r="IN12" s="478"/>
      <c r="IO12" s="711" t="s">
        <v>1044</v>
      </c>
      <c r="IP12" s="711" t="s">
        <v>1044</v>
      </c>
      <c r="IQ12" s="711" t="s">
        <v>1045</v>
      </c>
      <c r="IR12" s="711" t="s">
        <v>1046</v>
      </c>
      <c r="IS12" s="711" t="s">
        <v>1044</v>
      </c>
      <c r="IT12" s="711" t="s">
        <v>1047</v>
      </c>
      <c r="IU12" s="711" t="s">
        <v>1048</v>
      </c>
      <c r="IV12" s="711" t="s">
        <v>1048</v>
      </c>
      <c r="IW12" s="711"/>
      <c r="IX12" s="711"/>
      <c r="IY12" s="711"/>
      <c r="IZ12" s="711"/>
      <c r="JA12" s="711"/>
      <c r="JB12" s="711" t="s">
        <v>1049</v>
      </c>
      <c r="JC12" s="711" t="s">
        <v>1050</v>
      </c>
      <c r="JD12" s="711" t="s">
        <v>1050</v>
      </c>
      <c r="JE12" s="711" t="s">
        <v>1050</v>
      </c>
      <c r="JF12" s="711" t="s">
        <v>1050</v>
      </c>
      <c r="JG12" s="711" t="s">
        <v>1050</v>
      </c>
      <c r="JH12" s="711" t="s">
        <v>1051</v>
      </c>
      <c r="JI12" s="711"/>
      <c r="JJ12" s="481"/>
      <c r="JK12" s="482" t="s">
        <v>952</v>
      </c>
      <c r="JL12" s="483" t="s">
        <v>952</v>
      </c>
      <c r="JM12" s="483" t="s">
        <v>953</v>
      </c>
      <c r="JN12" s="483" t="s">
        <v>953</v>
      </c>
      <c r="JO12" s="483" t="s">
        <v>954</v>
      </c>
      <c r="JP12" s="483" t="s">
        <v>953</v>
      </c>
      <c r="JQ12" s="483" t="s">
        <v>955</v>
      </c>
      <c r="JR12" s="483" t="s">
        <v>956</v>
      </c>
      <c r="JS12" s="483" t="s">
        <v>956</v>
      </c>
      <c r="JT12" s="483" t="s">
        <v>956</v>
      </c>
      <c r="JU12" s="483" t="s">
        <v>956</v>
      </c>
      <c r="JV12" s="483" t="s">
        <v>956</v>
      </c>
      <c r="JW12" s="483" t="s">
        <v>956</v>
      </c>
      <c r="JX12" s="483" t="s">
        <v>956</v>
      </c>
      <c r="JY12" s="483" t="s">
        <v>957</v>
      </c>
      <c r="JZ12" s="483" t="s">
        <v>958</v>
      </c>
      <c r="KA12" s="483" t="s">
        <v>958</v>
      </c>
      <c r="KB12" s="483" t="s">
        <v>958</v>
      </c>
      <c r="KC12" s="483" t="s">
        <v>958</v>
      </c>
      <c r="KD12" s="483" t="s">
        <v>958</v>
      </c>
      <c r="KE12" s="483" t="s">
        <v>958</v>
      </c>
      <c r="KF12" s="483" t="s">
        <v>958</v>
      </c>
      <c r="KG12" s="483" t="s">
        <v>958</v>
      </c>
      <c r="KH12" s="483" t="s">
        <v>958</v>
      </c>
      <c r="KI12" s="483" t="s">
        <v>958</v>
      </c>
      <c r="KJ12" s="484"/>
      <c r="KK12" s="485" t="s">
        <v>959</v>
      </c>
      <c r="KL12" s="546" t="s">
        <v>965</v>
      </c>
      <c r="KM12" s="486" t="s">
        <v>965</v>
      </c>
      <c r="KN12" s="486" t="s">
        <v>965</v>
      </c>
      <c r="KO12" s="486"/>
      <c r="KP12" s="486"/>
      <c r="KQ12" s="727"/>
      <c r="KR12" s="732" t="s">
        <v>960</v>
      </c>
      <c r="KS12" s="732" t="s">
        <v>961</v>
      </c>
      <c r="KT12" s="732" t="s">
        <v>961</v>
      </c>
      <c r="KU12" s="732" t="s">
        <v>961</v>
      </c>
      <c r="KV12" s="732" t="s">
        <v>961</v>
      </c>
      <c r="KW12" s="732" t="s">
        <v>961</v>
      </c>
      <c r="KX12" s="732" t="s">
        <v>961</v>
      </c>
      <c r="KY12" s="732" t="s">
        <v>961</v>
      </c>
      <c r="KZ12" s="732" t="s">
        <v>961</v>
      </c>
      <c r="LA12" s="732" t="s">
        <v>961</v>
      </c>
      <c r="LB12" s="732" t="s">
        <v>961</v>
      </c>
      <c r="LC12" s="732" t="s">
        <v>962</v>
      </c>
      <c r="LD12" s="732" t="s">
        <v>962</v>
      </c>
      <c r="LE12" s="732" t="s">
        <v>962</v>
      </c>
      <c r="LF12" s="732" t="s">
        <v>962</v>
      </c>
      <c r="LG12" s="732" t="s">
        <v>962</v>
      </c>
      <c r="LH12" s="732" t="s">
        <v>962</v>
      </c>
      <c r="LI12" s="732" t="s">
        <v>963</v>
      </c>
      <c r="LJ12" s="732" t="s">
        <v>964</v>
      </c>
      <c r="LK12" s="732" t="s">
        <v>964</v>
      </c>
      <c r="LL12" s="732"/>
      <c r="LM12" s="732"/>
      <c r="LN12" s="732"/>
      <c r="LO12" s="732" t="s">
        <v>2719</v>
      </c>
      <c r="LP12" s="732"/>
      <c r="LQ12" s="732"/>
      <c r="LR12" s="732"/>
      <c r="LS12" s="732"/>
      <c r="LT12" s="738"/>
      <c r="LU12" s="632" t="s">
        <v>1051</v>
      </c>
      <c r="LV12" s="633"/>
      <c r="LW12" s="632" t="s">
        <v>1052</v>
      </c>
      <c r="LX12" s="632" t="s">
        <v>1053</v>
      </c>
      <c r="LY12" s="632" t="s">
        <v>1054</v>
      </c>
      <c r="LZ12" s="632" t="s">
        <v>1055</v>
      </c>
      <c r="MA12" s="632" t="s">
        <v>1056</v>
      </c>
      <c r="MB12" s="632" t="s">
        <v>1055</v>
      </c>
      <c r="MC12" s="632" t="s">
        <v>1055</v>
      </c>
      <c r="MD12" s="632" t="s">
        <v>1056</v>
      </c>
      <c r="ME12" s="632" t="s">
        <v>1057</v>
      </c>
      <c r="MF12" s="632" t="s">
        <v>1055</v>
      </c>
      <c r="MG12" s="632" t="s">
        <v>1055</v>
      </c>
      <c r="MH12" s="632" t="s">
        <v>1055</v>
      </c>
      <c r="MI12" s="632" t="s">
        <v>1055</v>
      </c>
      <c r="MJ12" s="633" t="s">
        <v>1058</v>
      </c>
      <c r="MK12" s="632" t="s">
        <v>1059</v>
      </c>
      <c r="ML12" s="632" t="s">
        <v>1060</v>
      </c>
      <c r="MM12" s="632" t="s">
        <v>1060</v>
      </c>
      <c r="MN12" s="632" t="s">
        <v>1060</v>
      </c>
      <c r="MO12" s="632" t="s">
        <v>1059</v>
      </c>
      <c r="MP12" s="634" t="s">
        <v>1061</v>
      </c>
      <c r="MQ12" s="632" t="s">
        <v>1060</v>
      </c>
      <c r="MR12" s="632" t="s">
        <v>1060</v>
      </c>
      <c r="MS12" s="632" t="s">
        <v>1060</v>
      </c>
      <c r="MT12" s="632" t="s">
        <v>1060</v>
      </c>
      <c r="MU12" s="632" t="s">
        <v>1060</v>
      </c>
      <c r="MV12" s="614" t="s">
        <v>1062</v>
      </c>
      <c r="MW12" s="614" t="s">
        <v>1063</v>
      </c>
      <c r="MX12" s="614" t="s">
        <v>1063</v>
      </c>
      <c r="MY12" s="614" t="s">
        <v>1063</v>
      </c>
      <c r="MZ12" s="614" t="s">
        <v>1063</v>
      </c>
      <c r="NA12" s="614" t="s">
        <v>1063</v>
      </c>
      <c r="NB12" s="614" t="s">
        <v>1062</v>
      </c>
      <c r="NC12" s="614" t="s">
        <v>1062</v>
      </c>
      <c r="ND12" s="614" t="s">
        <v>1063</v>
      </c>
      <c r="NE12" s="614" t="s">
        <v>1063</v>
      </c>
      <c r="NF12" s="614" t="s">
        <v>1063</v>
      </c>
      <c r="NG12" s="614" t="s">
        <v>1063</v>
      </c>
      <c r="NH12" s="614" t="s">
        <v>1063</v>
      </c>
      <c r="NI12" s="614" t="s">
        <v>1062</v>
      </c>
      <c r="NJ12" s="614" t="s">
        <v>1062</v>
      </c>
      <c r="NK12" s="489" t="s">
        <v>1064</v>
      </c>
      <c r="NL12" s="489" t="s">
        <v>1065</v>
      </c>
      <c r="NM12" s="489" t="s">
        <v>1065</v>
      </c>
      <c r="NN12" s="489" t="s">
        <v>1065</v>
      </c>
      <c r="NO12" s="489" t="s">
        <v>1066</v>
      </c>
      <c r="NP12" s="489" t="s">
        <v>1066</v>
      </c>
      <c r="NQ12" s="489" t="s">
        <v>1066</v>
      </c>
      <c r="NR12" s="489" t="s">
        <v>1067</v>
      </c>
      <c r="NS12" s="489" t="s">
        <v>1067</v>
      </c>
      <c r="NT12" s="489" t="s">
        <v>1067</v>
      </c>
      <c r="NU12" s="489" t="s">
        <v>1067</v>
      </c>
      <c r="NV12" s="489" t="s">
        <v>1068</v>
      </c>
      <c r="NW12" s="489" t="s">
        <v>1069</v>
      </c>
      <c r="NX12" s="489" t="s">
        <v>1070</v>
      </c>
      <c r="NY12" s="489" t="s">
        <v>1064</v>
      </c>
      <c r="NZ12" s="632" t="s">
        <v>1071</v>
      </c>
      <c r="OA12" s="635"/>
      <c r="OB12" s="639" t="s">
        <v>1072</v>
      </c>
      <c r="OC12" s="639" t="s">
        <v>1067</v>
      </c>
      <c r="OD12" s="639" t="s">
        <v>1067</v>
      </c>
      <c r="OE12" s="639" t="s">
        <v>1073</v>
      </c>
      <c r="OF12" s="639"/>
      <c r="OG12" s="639"/>
      <c r="OH12" s="639"/>
      <c r="OI12" s="639"/>
      <c r="OJ12" s="639"/>
      <c r="OK12" s="639"/>
      <c r="OL12" s="639"/>
      <c r="OM12" s="639"/>
      <c r="ON12" s="635"/>
      <c r="OO12" s="639" t="s">
        <v>1074</v>
      </c>
      <c r="OP12" s="639" t="s">
        <v>1074</v>
      </c>
      <c r="OQ12" s="639" t="s">
        <v>1075</v>
      </c>
      <c r="OR12" s="639" t="s">
        <v>1075</v>
      </c>
      <c r="OS12" s="639"/>
      <c r="OT12" s="639" t="s">
        <v>1076</v>
      </c>
      <c r="OU12" s="639" t="s">
        <v>1076</v>
      </c>
      <c r="OV12" s="639" t="s">
        <v>1076</v>
      </c>
      <c r="OW12" s="639" t="s">
        <v>1076</v>
      </c>
      <c r="OX12" s="639" t="s">
        <v>1076</v>
      </c>
      <c r="OY12" s="639" t="s">
        <v>1076</v>
      </c>
      <c r="OZ12" s="639"/>
      <c r="PA12" s="639"/>
      <c r="PB12" s="639"/>
      <c r="PC12" s="639"/>
      <c r="PD12" s="639"/>
      <c r="PE12" s="639"/>
      <c r="PF12" s="639"/>
      <c r="PG12" s="639"/>
      <c r="PH12" s="749"/>
      <c r="PI12" s="667" t="s">
        <v>1077</v>
      </c>
      <c r="PJ12" s="667" t="s">
        <v>1077</v>
      </c>
      <c r="PK12" s="667" t="s">
        <v>1077</v>
      </c>
      <c r="PL12" s="476" t="s">
        <v>1078</v>
      </c>
      <c r="PM12" s="476" t="s">
        <v>1079</v>
      </c>
      <c r="PN12" s="476" t="s">
        <v>1079</v>
      </c>
      <c r="PO12" s="603" t="s">
        <v>1018</v>
      </c>
    </row>
    <row r="13" spans="1:431" s="380" customFormat="1" ht="43.5" customHeight="1">
      <c r="A13" s="418" t="s">
        <v>1080</v>
      </c>
      <c r="B13" s="623" t="s">
        <v>17</v>
      </c>
      <c r="C13" s="380" t="s">
        <v>420</v>
      </c>
      <c r="D13" s="380" t="s">
        <v>1080</v>
      </c>
      <c r="G13" s="495"/>
      <c r="H13" s="475" t="s">
        <v>1081</v>
      </c>
      <c r="I13" s="475" t="s">
        <v>1081</v>
      </c>
      <c r="J13" s="475" t="s">
        <v>1081</v>
      </c>
      <c r="K13" s="475" t="s">
        <v>1081</v>
      </c>
      <c r="L13" s="475" t="s">
        <v>1081</v>
      </c>
      <c r="M13" s="475" t="s">
        <v>1081</v>
      </c>
      <c r="N13" s="475" t="s">
        <v>1081</v>
      </c>
      <c r="O13" s="475" t="s">
        <v>1081</v>
      </c>
      <c r="P13" s="475" t="s">
        <v>1081</v>
      </c>
      <c r="Q13" s="475" t="s">
        <v>1081</v>
      </c>
      <c r="R13" s="475" t="s">
        <v>1082</v>
      </c>
      <c r="S13" s="475" t="s">
        <v>1082</v>
      </c>
      <c r="T13" s="725" t="s">
        <v>1082</v>
      </c>
      <c r="U13" s="725" t="s">
        <v>1083</v>
      </c>
      <c r="V13" s="725" t="s">
        <v>1083</v>
      </c>
      <c r="W13" s="725" t="s">
        <v>1083</v>
      </c>
      <c r="X13" s="725" t="s">
        <v>1083</v>
      </c>
      <c r="Y13" s="725" t="s">
        <v>1083</v>
      </c>
      <c r="Z13" s="725" t="s">
        <v>1083</v>
      </c>
      <c r="AA13" s="725" t="s">
        <v>1083</v>
      </c>
      <c r="AB13" s="725" t="s">
        <v>1083</v>
      </c>
      <c r="AC13" s="725" t="s">
        <v>1083</v>
      </c>
      <c r="AD13" s="725" t="s">
        <v>1083</v>
      </c>
      <c r="AE13" s="725" t="s">
        <v>1083</v>
      </c>
      <c r="AF13" s="725" t="s">
        <v>1083</v>
      </c>
      <c r="AG13" s="725" t="s">
        <v>1083</v>
      </c>
      <c r="AH13" s="725" t="s">
        <v>1083</v>
      </c>
      <c r="AI13" s="725" t="s">
        <v>1083</v>
      </c>
      <c r="AJ13" s="725" t="s">
        <v>1083</v>
      </c>
      <c r="AK13" s="725" t="s">
        <v>1083</v>
      </c>
      <c r="AL13" s="725" t="s">
        <v>1083</v>
      </c>
      <c r="AM13" s="725" t="s">
        <v>1083</v>
      </c>
      <c r="AN13" s="725" t="s">
        <v>1083</v>
      </c>
      <c r="AO13" s="725" t="s">
        <v>1083</v>
      </c>
      <c r="AP13" s="725" t="s">
        <v>1083</v>
      </c>
      <c r="AQ13" s="725" t="s">
        <v>1083</v>
      </c>
      <c r="AR13" s="725" t="s">
        <v>1083</v>
      </c>
      <c r="AS13" s="725" t="s">
        <v>1083</v>
      </c>
      <c r="AT13" s="476" t="s">
        <v>1084</v>
      </c>
      <c r="AU13" s="476" t="s">
        <v>1084</v>
      </c>
      <c r="AV13" s="476" t="s">
        <v>1084</v>
      </c>
      <c r="AW13" s="476" t="s">
        <v>1084</v>
      </c>
      <c r="AX13" s="476" t="s">
        <v>1084</v>
      </c>
      <c r="AY13" s="476" t="s">
        <v>1084</v>
      </c>
      <c r="AZ13" s="476" t="s">
        <v>1084</v>
      </c>
      <c r="BA13" s="476" t="s">
        <v>1084</v>
      </c>
      <c r="BB13" s="476" t="s">
        <v>1084</v>
      </c>
      <c r="BC13" s="476" t="s">
        <v>1084</v>
      </c>
      <c r="BD13" s="476" t="s">
        <v>1085</v>
      </c>
      <c r="BE13" s="476" t="s">
        <v>1085</v>
      </c>
      <c r="BF13" s="476" t="s">
        <v>1085</v>
      </c>
      <c r="BG13" s="476" t="s">
        <v>1085</v>
      </c>
      <c r="BH13" s="476" t="s">
        <v>1085</v>
      </c>
      <c r="BI13" s="476" t="s">
        <v>1085</v>
      </c>
      <c r="BJ13" s="476" t="s">
        <v>1085</v>
      </c>
      <c r="BK13" s="476" t="s">
        <v>1085</v>
      </c>
      <c r="BL13" s="476" t="s">
        <v>1085</v>
      </c>
      <c r="BM13" s="476" t="s">
        <v>1085</v>
      </c>
      <c r="BN13" s="476" t="s">
        <v>1085</v>
      </c>
      <c r="BO13" s="476" t="s">
        <v>1085</v>
      </c>
      <c r="BP13" s="476" t="s">
        <v>1086</v>
      </c>
      <c r="BQ13" s="476" t="s">
        <v>1086</v>
      </c>
      <c r="BR13" s="476" t="s">
        <v>1086</v>
      </c>
      <c r="BS13" s="476" t="s">
        <v>1087</v>
      </c>
      <c r="BT13" s="476" t="s">
        <v>1085</v>
      </c>
      <c r="BU13" s="476" t="s">
        <v>1085</v>
      </c>
      <c r="BV13" s="476" t="s">
        <v>1085</v>
      </c>
      <c r="BW13" s="476" t="s">
        <v>1085</v>
      </c>
      <c r="BX13" s="476" t="s">
        <v>1085</v>
      </c>
      <c r="BY13" s="476" t="s">
        <v>1085</v>
      </c>
      <c r="BZ13" s="476" t="s">
        <v>1085</v>
      </c>
      <c r="CA13" s="476" t="s">
        <v>1085</v>
      </c>
      <c r="CB13" s="476" t="s">
        <v>1086</v>
      </c>
      <c r="CC13" s="861" t="s">
        <v>1086</v>
      </c>
      <c r="CD13" s="476" t="s">
        <v>1086</v>
      </c>
      <c r="CE13" s="476" t="s">
        <v>1086</v>
      </c>
      <c r="CF13" s="476" t="s">
        <v>1086</v>
      </c>
      <c r="CG13" s="476" t="s">
        <v>1086</v>
      </c>
      <c r="CH13" s="476" t="s">
        <v>1085</v>
      </c>
      <c r="CI13" s="476" t="s">
        <v>1085</v>
      </c>
      <c r="CJ13" s="476" t="s">
        <v>1085</v>
      </c>
      <c r="CK13" s="476" t="s">
        <v>1085</v>
      </c>
      <c r="CL13" s="476" t="s">
        <v>1085</v>
      </c>
      <c r="CM13" s="476" t="s">
        <v>1085</v>
      </c>
      <c r="CN13" s="476" t="s">
        <v>1085</v>
      </c>
      <c r="CO13" s="476" t="s">
        <v>1085</v>
      </c>
      <c r="CP13" s="476" t="s">
        <v>1086</v>
      </c>
      <c r="CQ13" s="476" t="s">
        <v>1086</v>
      </c>
      <c r="CR13" s="476" t="s">
        <v>1086</v>
      </c>
      <c r="CS13" s="476" t="s">
        <v>1086</v>
      </c>
      <c r="CT13" s="476" t="s">
        <v>1086</v>
      </c>
      <c r="CU13" s="476" t="s">
        <v>1086</v>
      </c>
      <c r="CV13" s="476" t="s">
        <v>1086</v>
      </c>
      <c r="CW13" s="476" t="s">
        <v>1086</v>
      </c>
      <c r="CX13" s="476" t="s">
        <v>1086</v>
      </c>
      <c r="CY13" s="476" t="s">
        <v>1086</v>
      </c>
      <c r="CZ13" s="476" t="s">
        <v>1088</v>
      </c>
      <c r="DA13" s="476" t="s">
        <v>1088</v>
      </c>
      <c r="DB13" s="476" t="s">
        <v>1088</v>
      </c>
      <c r="DC13" s="476" t="s">
        <v>1088</v>
      </c>
      <c r="DD13" s="476" t="s">
        <v>1088</v>
      </c>
      <c r="DE13" s="476" t="s">
        <v>1088</v>
      </c>
      <c r="DF13" s="476" t="s">
        <v>1088</v>
      </c>
      <c r="DG13" s="476" t="s">
        <v>1088</v>
      </c>
      <c r="DH13" s="476" t="s">
        <v>1088</v>
      </c>
      <c r="DI13" s="476" t="s">
        <v>1088</v>
      </c>
      <c r="DJ13" s="476" t="s">
        <v>1088</v>
      </c>
      <c r="DK13" s="476" t="s">
        <v>1088</v>
      </c>
      <c r="DL13" s="476" t="s">
        <v>1088</v>
      </c>
      <c r="DM13" s="476" t="s">
        <v>1088</v>
      </c>
      <c r="DN13" s="476" t="s">
        <v>1088</v>
      </c>
      <c r="DO13" s="476" t="s">
        <v>1088</v>
      </c>
      <c r="DP13" s="476" t="s">
        <v>1088</v>
      </c>
      <c r="DQ13" s="476" t="s">
        <v>1088</v>
      </c>
      <c r="DR13" s="476" t="s">
        <v>1088</v>
      </c>
      <c r="DS13" s="500"/>
      <c r="DT13" s="667" t="s">
        <v>1089</v>
      </c>
      <c r="DU13" s="667" t="s">
        <v>1089</v>
      </c>
      <c r="DV13" s="667" t="s">
        <v>1089</v>
      </c>
      <c r="DW13" s="667" t="s">
        <v>1089</v>
      </c>
      <c r="DX13" s="667" t="s">
        <v>1089</v>
      </c>
      <c r="DY13" s="667" t="s">
        <v>1089</v>
      </c>
      <c r="DZ13" s="598"/>
      <c r="EA13" s="667" t="s">
        <v>1090</v>
      </c>
      <c r="EB13" s="667" t="s">
        <v>1090</v>
      </c>
      <c r="EC13" s="598"/>
      <c r="ED13" s="477" t="s">
        <v>1091</v>
      </c>
      <c r="EE13" s="477" t="s">
        <v>1091</v>
      </c>
      <c r="EF13" s="477" t="s">
        <v>1091</v>
      </c>
      <c r="EG13" s="477" t="s">
        <v>1091</v>
      </c>
      <c r="EH13" s="477" t="s">
        <v>1091</v>
      </c>
      <c r="EI13" s="477" t="s">
        <v>1091</v>
      </c>
      <c r="EJ13" s="477" t="s">
        <v>1091</v>
      </c>
      <c r="EK13" s="477" t="s">
        <v>1091</v>
      </c>
      <c r="EL13" s="598"/>
      <c r="EM13" s="477" t="s">
        <v>1092</v>
      </c>
      <c r="EN13" s="477" t="s">
        <v>1092</v>
      </c>
      <c r="EO13" s="477" t="s">
        <v>1092</v>
      </c>
      <c r="EP13" s="477" t="s">
        <v>1092</v>
      </c>
      <c r="EQ13" s="477" t="s">
        <v>1092</v>
      </c>
      <c r="ER13" s="477" t="s">
        <v>1092</v>
      </c>
      <c r="ES13" s="477" t="s">
        <v>1092</v>
      </c>
      <c r="ET13" s="477" t="s">
        <v>1092</v>
      </c>
      <c r="EU13" s="477" t="s">
        <v>1092</v>
      </c>
      <c r="EV13" s="477" t="s">
        <v>1092</v>
      </c>
      <c r="EW13" s="477" t="s">
        <v>1092</v>
      </c>
      <c r="EX13" s="477" t="s">
        <v>1092</v>
      </c>
      <c r="EY13" s="477" t="s">
        <v>1092</v>
      </c>
      <c r="EZ13" s="477" t="s">
        <v>1092</v>
      </c>
      <c r="FA13" s="477" t="s">
        <v>1092</v>
      </c>
      <c r="FB13" s="477" t="s">
        <v>1092</v>
      </c>
      <c r="FC13" s="477" t="s">
        <v>1092</v>
      </c>
      <c r="FD13" s="477" t="s">
        <v>1092</v>
      </c>
      <c r="FE13" s="598"/>
      <c r="FF13" s="477" t="s">
        <v>1093</v>
      </c>
      <c r="FG13" s="477" t="s">
        <v>1093</v>
      </c>
      <c r="FH13" s="477" t="s">
        <v>1093</v>
      </c>
      <c r="FI13" s="477" t="s">
        <v>1093</v>
      </c>
      <c r="FJ13" s="477" t="s">
        <v>1093</v>
      </c>
      <c r="FK13" s="477" t="s">
        <v>1093</v>
      </c>
      <c r="FL13" s="477" t="s">
        <v>1093</v>
      </c>
      <c r="FM13" s="477" t="s">
        <v>1093</v>
      </c>
      <c r="FN13" s="477" t="s">
        <v>1093</v>
      </c>
      <c r="FO13" s="477" t="s">
        <v>1093</v>
      </c>
      <c r="FP13" s="477" t="s">
        <v>1093</v>
      </c>
      <c r="FQ13" s="477" t="s">
        <v>1093</v>
      </c>
      <c r="FR13" s="477" t="s">
        <v>1093</v>
      </c>
      <c r="FS13" s="477" t="s">
        <v>1093</v>
      </c>
      <c r="FT13" s="477" t="s">
        <v>1093</v>
      </c>
      <c r="FU13" s="477" t="s">
        <v>1093</v>
      </c>
      <c r="FV13" s="477" t="s">
        <v>1093</v>
      </c>
      <c r="FW13" s="477" t="s">
        <v>1093</v>
      </c>
      <c r="FX13" s="477" t="s">
        <v>1093</v>
      </c>
      <c r="FY13" s="477" t="s">
        <v>1093</v>
      </c>
      <c r="FZ13" s="477" t="s">
        <v>1093</v>
      </c>
      <c r="GA13" s="477" t="s">
        <v>1093</v>
      </c>
      <c r="GB13" s="477" t="s">
        <v>1093</v>
      </c>
      <c r="GC13" s="477" t="s">
        <v>1093</v>
      </c>
      <c r="GD13" s="477" t="s">
        <v>1093</v>
      </c>
      <c r="GE13" s="477" t="s">
        <v>1093</v>
      </c>
      <c r="GF13" s="477" t="s">
        <v>1093</v>
      </c>
      <c r="GG13" s="477" t="s">
        <v>1093</v>
      </c>
      <c r="GH13" s="477" t="s">
        <v>1093</v>
      </c>
      <c r="GI13" s="477" t="s">
        <v>1093</v>
      </c>
      <c r="GJ13" s="477" t="s">
        <v>1093</v>
      </c>
      <c r="GK13" s="477" t="s">
        <v>1093</v>
      </c>
      <c r="GL13" s="477" t="s">
        <v>1093</v>
      </c>
      <c r="GM13" s="477" t="s">
        <v>1093</v>
      </c>
      <c r="GN13" s="477" t="s">
        <v>1093</v>
      </c>
      <c r="GO13" s="477" t="s">
        <v>1093</v>
      </c>
      <c r="GP13" s="477" t="s">
        <v>1093</v>
      </c>
      <c r="GQ13" s="477" t="s">
        <v>1093</v>
      </c>
      <c r="GR13" s="477" t="s">
        <v>1093</v>
      </c>
      <c r="GS13" s="477" t="s">
        <v>1093</v>
      </c>
      <c r="GT13" s="477" t="s">
        <v>1093</v>
      </c>
      <c r="GU13" s="477" t="s">
        <v>1093</v>
      </c>
      <c r="GV13" s="477" t="s">
        <v>1093</v>
      </c>
      <c r="GW13" s="477" t="s">
        <v>1093</v>
      </c>
      <c r="GX13" s="477" t="s">
        <v>1093</v>
      </c>
      <c r="GY13" s="477" t="s">
        <v>1093</v>
      </c>
      <c r="GZ13" s="477" t="s">
        <v>1093</v>
      </c>
      <c r="HA13" s="477" t="s">
        <v>1093</v>
      </c>
      <c r="HB13" s="477" t="s">
        <v>1093</v>
      </c>
      <c r="HC13" s="477" t="s">
        <v>1093</v>
      </c>
      <c r="HD13" s="598"/>
      <c r="HE13" s="477" t="s">
        <v>1094</v>
      </c>
      <c r="HF13" s="477" t="s">
        <v>1094</v>
      </c>
      <c r="HG13" s="477" t="s">
        <v>1094</v>
      </c>
      <c r="HH13" s="477" t="s">
        <v>1094</v>
      </c>
      <c r="HI13" s="477" t="s">
        <v>1094</v>
      </c>
      <c r="HJ13" s="598"/>
      <c r="HK13" s="477" t="s">
        <v>1095</v>
      </c>
      <c r="HL13" s="477" t="s">
        <v>1095</v>
      </c>
      <c r="HM13" s="477" t="s">
        <v>1095</v>
      </c>
      <c r="HN13" s="477" t="s">
        <v>1095</v>
      </c>
      <c r="HO13" s="477" t="s">
        <v>1095</v>
      </c>
      <c r="HP13" s="477" t="s">
        <v>1095</v>
      </c>
      <c r="HQ13" s="477" t="s">
        <v>1095</v>
      </c>
      <c r="HR13" s="477" t="s">
        <v>1095</v>
      </c>
      <c r="HS13" s="477" t="s">
        <v>1095</v>
      </c>
      <c r="HT13" s="477" t="s">
        <v>1095</v>
      </c>
      <c r="HU13" s="477" t="s">
        <v>1095</v>
      </c>
      <c r="HV13" s="477" t="s">
        <v>1095</v>
      </c>
      <c r="HW13" s="598"/>
      <c r="HX13" s="477" t="s">
        <v>1096</v>
      </c>
      <c r="HY13" s="477" t="s">
        <v>1096</v>
      </c>
      <c r="HZ13" s="477" t="s">
        <v>1096</v>
      </c>
      <c r="IA13" s="477" t="s">
        <v>1096</v>
      </c>
      <c r="IB13" s="477" t="s">
        <v>1096</v>
      </c>
      <c r="IC13" s="477" t="s">
        <v>1096</v>
      </c>
      <c r="ID13" s="477" t="s">
        <v>1096</v>
      </c>
      <c r="IE13" s="477" t="s">
        <v>1096</v>
      </c>
      <c r="IF13" s="477" t="s">
        <v>1096</v>
      </c>
      <c r="IG13" s="477" t="s">
        <v>1096</v>
      </c>
      <c r="IH13" s="477" t="s">
        <v>1096</v>
      </c>
      <c r="II13" s="477" t="s">
        <v>1096</v>
      </c>
      <c r="IJ13" s="598"/>
      <c r="IK13" s="477" t="s">
        <v>1097</v>
      </c>
      <c r="IL13" s="477" t="s">
        <v>1097</v>
      </c>
      <c r="IM13" s="477" t="s">
        <v>1097</v>
      </c>
      <c r="IN13" s="478"/>
      <c r="IO13" s="711" t="s">
        <v>1098</v>
      </c>
      <c r="IP13" s="711" t="s">
        <v>1098</v>
      </c>
      <c r="IQ13" s="711" t="s">
        <v>1098</v>
      </c>
      <c r="IR13" s="711" t="s">
        <v>1098</v>
      </c>
      <c r="IS13" s="711" t="s">
        <v>1098</v>
      </c>
      <c r="IT13" s="711" t="s">
        <v>1098</v>
      </c>
      <c r="IU13" s="711" t="s">
        <v>1099</v>
      </c>
      <c r="IV13" s="711" t="s">
        <v>1100</v>
      </c>
      <c r="IW13" s="711" t="s">
        <v>1098</v>
      </c>
      <c r="IX13" s="711" t="s">
        <v>1098</v>
      </c>
      <c r="IY13" s="711" t="s">
        <v>1098</v>
      </c>
      <c r="IZ13" s="711" t="s">
        <v>1098</v>
      </c>
      <c r="JA13" s="711" t="s">
        <v>1098</v>
      </c>
      <c r="JB13" s="711" t="s">
        <v>1099</v>
      </c>
      <c r="JC13" s="711" t="s">
        <v>1100</v>
      </c>
      <c r="JD13" s="711" t="s">
        <v>1100</v>
      </c>
      <c r="JE13" s="711" t="s">
        <v>1100</v>
      </c>
      <c r="JF13" s="711" t="s">
        <v>1100</v>
      </c>
      <c r="JG13" s="711" t="s">
        <v>1100</v>
      </c>
      <c r="JH13" s="711" t="s">
        <v>1101</v>
      </c>
      <c r="JI13" s="711" t="s">
        <v>1101</v>
      </c>
      <c r="JJ13" s="481"/>
      <c r="JK13" s="482" t="s">
        <v>1102</v>
      </c>
      <c r="JL13" s="482" t="s">
        <v>1102</v>
      </c>
      <c r="JM13" s="482" t="s">
        <v>1102</v>
      </c>
      <c r="JN13" s="482" t="s">
        <v>1102</v>
      </c>
      <c r="JO13" s="482" t="s">
        <v>1102</v>
      </c>
      <c r="JP13" s="482" t="s">
        <v>1102</v>
      </c>
      <c r="JQ13" s="482" t="s">
        <v>1102</v>
      </c>
      <c r="JR13" s="482" t="s">
        <v>1102</v>
      </c>
      <c r="JS13" s="482" t="s">
        <v>1102</v>
      </c>
      <c r="JT13" s="482" t="s">
        <v>1102</v>
      </c>
      <c r="JU13" s="482" t="s">
        <v>1102</v>
      </c>
      <c r="JV13" s="482" t="s">
        <v>1102</v>
      </c>
      <c r="JW13" s="482" t="s">
        <v>1102</v>
      </c>
      <c r="JX13" s="482" t="s">
        <v>1102</v>
      </c>
      <c r="JY13" s="483" t="s">
        <v>1103</v>
      </c>
      <c r="JZ13" s="483" t="s">
        <v>1103</v>
      </c>
      <c r="KA13" s="483" t="s">
        <v>1103</v>
      </c>
      <c r="KB13" s="483" t="s">
        <v>1103</v>
      </c>
      <c r="KC13" s="483" t="s">
        <v>1103</v>
      </c>
      <c r="KD13" s="483" t="s">
        <v>1103</v>
      </c>
      <c r="KE13" s="483" t="s">
        <v>1103</v>
      </c>
      <c r="KF13" s="483" t="s">
        <v>1103</v>
      </c>
      <c r="KG13" s="483" t="s">
        <v>1103</v>
      </c>
      <c r="KH13" s="483" t="s">
        <v>1103</v>
      </c>
      <c r="KI13" s="483" t="s">
        <v>1103</v>
      </c>
      <c r="KJ13" s="484"/>
      <c r="KK13" s="485"/>
      <c r="KL13" s="546"/>
      <c r="KM13" s="486"/>
      <c r="KN13" s="486"/>
      <c r="KO13" s="486"/>
      <c r="KP13" s="486"/>
      <c r="KQ13" s="727"/>
      <c r="KR13" s="732"/>
      <c r="KS13" s="732"/>
      <c r="KT13" s="732"/>
      <c r="KU13" s="732"/>
      <c r="KV13" s="732"/>
      <c r="KW13" s="732"/>
      <c r="KX13" s="732"/>
      <c r="KY13" s="732"/>
      <c r="KZ13" s="732"/>
      <c r="LA13" s="732"/>
      <c r="LB13" s="732"/>
      <c r="LC13" s="732"/>
      <c r="LD13" s="732"/>
      <c r="LE13" s="732"/>
      <c r="LF13" s="732"/>
      <c r="LG13" s="732"/>
      <c r="LH13" s="732"/>
      <c r="LI13" s="732"/>
      <c r="LJ13" s="732"/>
      <c r="LK13" s="732"/>
      <c r="LL13" s="732"/>
      <c r="LM13" s="732"/>
      <c r="LN13" s="732"/>
      <c r="LO13" s="732"/>
      <c r="LP13" s="732"/>
      <c r="LQ13" s="732"/>
      <c r="LR13" s="732"/>
      <c r="LS13" s="732"/>
      <c r="LT13" s="738"/>
      <c r="LU13" s="632" t="s">
        <v>1104</v>
      </c>
      <c r="LV13" s="632" t="s">
        <v>1104</v>
      </c>
      <c r="LW13" s="632" t="s">
        <v>1104</v>
      </c>
      <c r="LX13" s="632" t="s">
        <v>1104</v>
      </c>
      <c r="LY13" s="632" t="s">
        <v>1104</v>
      </c>
      <c r="LZ13" s="632" t="s">
        <v>1104</v>
      </c>
      <c r="MA13" s="632" t="s">
        <v>1104</v>
      </c>
      <c r="MB13" s="632" t="s">
        <v>1104</v>
      </c>
      <c r="MC13" s="632" t="s">
        <v>1104</v>
      </c>
      <c r="MD13" s="632" t="s">
        <v>1104</v>
      </c>
      <c r="ME13" s="632" t="s">
        <v>1104</v>
      </c>
      <c r="MF13" s="632" t="s">
        <v>1104</v>
      </c>
      <c r="MG13" s="632" t="s">
        <v>1104</v>
      </c>
      <c r="MH13" s="632" t="s">
        <v>1104</v>
      </c>
      <c r="MI13" s="632" t="s">
        <v>1104</v>
      </c>
      <c r="MJ13" s="632" t="s">
        <v>1104</v>
      </c>
      <c r="MK13" s="632" t="s">
        <v>1104</v>
      </c>
      <c r="ML13" s="632" t="s">
        <v>1104</v>
      </c>
      <c r="MM13" s="632" t="s">
        <v>1104</v>
      </c>
      <c r="MN13" s="632" t="s">
        <v>1104</v>
      </c>
      <c r="MO13" s="632" t="s">
        <v>1104</v>
      </c>
      <c r="MP13" s="632" t="s">
        <v>1104</v>
      </c>
      <c r="MQ13" s="632" t="s">
        <v>1104</v>
      </c>
      <c r="MR13" s="632" t="s">
        <v>1104</v>
      </c>
      <c r="MS13" s="632" t="s">
        <v>1104</v>
      </c>
      <c r="MT13" s="632" t="s">
        <v>1104</v>
      </c>
      <c r="MU13" s="632" t="s">
        <v>1104</v>
      </c>
      <c r="MV13" s="632" t="s">
        <v>1105</v>
      </c>
      <c r="MW13" s="632" t="s">
        <v>1105</v>
      </c>
      <c r="MX13" s="632" t="s">
        <v>1105</v>
      </c>
      <c r="MY13" s="632" t="s">
        <v>1105</v>
      </c>
      <c r="MZ13" s="632" t="s">
        <v>1105</v>
      </c>
      <c r="NA13" s="632" t="s">
        <v>1105</v>
      </c>
      <c r="NB13" s="632" t="s">
        <v>1105</v>
      </c>
      <c r="NC13" s="632" t="s">
        <v>1105</v>
      </c>
      <c r="ND13" s="632" t="s">
        <v>1105</v>
      </c>
      <c r="NE13" s="632" t="s">
        <v>1105</v>
      </c>
      <c r="NF13" s="632" t="s">
        <v>1105</v>
      </c>
      <c r="NG13" s="632" t="s">
        <v>1105</v>
      </c>
      <c r="NH13" s="632" t="s">
        <v>1105</v>
      </c>
      <c r="NI13" s="632" t="s">
        <v>1105</v>
      </c>
      <c r="NJ13" s="632" t="s">
        <v>1105</v>
      </c>
      <c r="NK13" s="632" t="s">
        <v>1105</v>
      </c>
      <c r="NL13" s="632" t="s">
        <v>1105</v>
      </c>
      <c r="NM13" s="632" t="s">
        <v>1105</v>
      </c>
      <c r="NN13" s="632" t="s">
        <v>1105</v>
      </c>
      <c r="NO13" s="632" t="s">
        <v>1106</v>
      </c>
      <c r="NP13" s="632" t="s">
        <v>1106</v>
      </c>
      <c r="NQ13" s="632" t="s">
        <v>1106</v>
      </c>
      <c r="NR13" s="632" t="s">
        <v>1106</v>
      </c>
      <c r="NS13" s="632" t="s">
        <v>1106</v>
      </c>
      <c r="NT13" s="632" t="s">
        <v>1106</v>
      </c>
      <c r="NU13" s="632" t="s">
        <v>1106</v>
      </c>
      <c r="NV13" s="632" t="s">
        <v>1107</v>
      </c>
      <c r="NW13" s="632" t="s">
        <v>1107</v>
      </c>
      <c r="NX13" s="632" t="s">
        <v>1108</v>
      </c>
      <c r="NY13" s="489" t="s">
        <v>1105</v>
      </c>
      <c r="NZ13" s="632" t="s">
        <v>1105</v>
      </c>
      <c r="OA13" s="635"/>
      <c r="OB13" s="639"/>
      <c r="OC13" s="639"/>
      <c r="OD13" s="639"/>
      <c r="OE13" s="639"/>
      <c r="OF13" s="639"/>
      <c r="OG13" s="639"/>
      <c r="OH13" s="639"/>
      <c r="OI13" s="639"/>
      <c r="OJ13" s="639"/>
      <c r="OK13" s="639"/>
      <c r="OL13" s="639"/>
      <c r="OM13" s="639"/>
      <c r="ON13" s="635"/>
      <c r="OO13" s="639"/>
      <c r="OP13" s="639"/>
      <c r="OQ13" s="639"/>
      <c r="OR13" s="639"/>
      <c r="OS13" s="639"/>
      <c r="OT13" s="639"/>
      <c r="OU13" s="639"/>
      <c r="OV13" s="639"/>
      <c r="OW13" s="639"/>
      <c r="OX13" s="639"/>
      <c r="OY13" s="639"/>
      <c r="OZ13" s="639"/>
      <c r="PA13" s="639"/>
      <c r="PB13" s="639" t="s">
        <v>1109</v>
      </c>
      <c r="PC13" s="639" t="s">
        <v>1109</v>
      </c>
      <c r="PD13" s="639"/>
      <c r="PE13" s="639" t="s">
        <v>1109</v>
      </c>
      <c r="PF13" s="639"/>
      <c r="PG13" s="639"/>
      <c r="PH13" s="749"/>
      <c r="PI13" s="667"/>
      <c r="PJ13" s="667"/>
      <c r="PK13" s="667"/>
      <c r="PL13" s="476" t="s">
        <v>1110</v>
      </c>
      <c r="PM13" s="476" t="s">
        <v>1110</v>
      </c>
      <c r="PN13" s="476" t="s">
        <v>1110</v>
      </c>
      <c r="PO13" s="603" t="s">
        <v>1092</v>
      </c>
    </row>
    <row r="14" spans="1:431" s="380" customFormat="1" ht="43.5" customHeight="1">
      <c r="A14" s="418" t="s">
        <v>1111</v>
      </c>
      <c r="B14" s="623" t="s">
        <v>17</v>
      </c>
      <c r="C14" s="380" t="s">
        <v>420</v>
      </c>
      <c r="D14" s="380" t="s">
        <v>1111</v>
      </c>
      <c r="G14" s="495"/>
      <c r="H14" s="475" t="s">
        <v>1112</v>
      </c>
      <c r="I14" s="475" t="s">
        <v>1112</v>
      </c>
      <c r="J14" s="475" t="s">
        <v>1112</v>
      </c>
      <c r="K14" s="475" t="s">
        <v>1113</v>
      </c>
      <c r="L14" s="475" t="s">
        <v>1113</v>
      </c>
      <c r="M14" s="475" t="s">
        <v>1113</v>
      </c>
      <c r="N14" s="475" t="s">
        <v>1114</v>
      </c>
      <c r="O14" s="475" t="s">
        <v>1114</v>
      </c>
      <c r="P14" s="475" t="s">
        <v>1115</v>
      </c>
      <c r="Q14" s="475" t="s">
        <v>1115</v>
      </c>
      <c r="R14" s="475" t="s">
        <v>1116</v>
      </c>
      <c r="S14" s="475" t="s">
        <v>1116</v>
      </c>
      <c r="T14" s="475" t="s">
        <v>1117</v>
      </c>
      <c r="U14" s="725" t="s">
        <v>1118</v>
      </c>
      <c r="V14" s="476" t="s">
        <v>1119</v>
      </c>
      <c r="W14" s="476" t="s">
        <v>1119</v>
      </c>
      <c r="X14" s="476" t="s">
        <v>1119</v>
      </c>
      <c r="Y14" s="476" t="s">
        <v>1119</v>
      </c>
      <c r="Z14" s="476" t="s">
        <v>1119</v>
      </c>
      <c r="AA14" s="476" t="s">
        <v>1119</v>
      </c>
      <c r="AB14" s="476" t="s">
        <v>1120</v>
      </c>
      <c r="AC14" s="476" t="s">
        <v>1120</v>
      </c>
      <c r="AD14" s="476" t="s">
        <v>1120</v>
      </c>
      <c r="AE14" s="476" t="s">
        <v>1120</v>
      </c>
      <c r="AF14" s="476" t="s">
        <v>1120</v>
      </c>
      <c r="AG14" s="476" t="s">
        <v>1120</v>
      </c>
      <c r="AH14" s="476" t="s">
        <v>1120</v>
      </c>
      <c r="AI14" s="476" t="s">
        <v>1120</v>
      </c>
      <c r="AJ14" s="476" t="s">
        <v>1120</v>
      </c>
      <c r="AK14" s="476" t="s">
        <v>1120</v>
      </c>
      <c r="AL14" s="476" t="s">
        <v>1120</v>
      </c>
      <c r="AM14" s="476" t="s">
        <v>1120</v>
      </c>
      <c r="AN14" s="476" t="s">
        <v>1121</v>
      </c>
      <c r="AO14" s="476" t="s">
        <v>1121</v>
      </c>
      <c r="AP14" s="476" t="s">
        <v>1121</v>
      </c>
      <c r="AQ14" s="476" t="s">
        <v>1122</v>
      </c>
      <c r="AR14" s="476" t="s">
        <v>1122</v>
      </c>
      <c r="AS14" s="476" t="s">
        <v>1122</v>
      </c>
      <c r="AT14" s="476" t="s">
        <v>1123</v>
      </c>
      <c r="AU14" s="476" t="s">
        <v>1123</v>
      </c>
      <c r="AV14" s="476" t="s">
        <v>1123</v>
      </c>
      <c r="AW14" s="476" t="s">
        <v>1123</v>
      </c>
      <c r="AX14" s="476" t="s">
        <v>1123</v>
      </c>
      <c r="AY14" s="476" t="s">
        <v>1124</v>
      </c>
      <c r="AZ14" s="476" t="s">
        <v>1124</v>
      </c>
      <c r="BA14" s="476" t="s">
        <v>1124</v>
      </c>
      <c r="BB14" s="476" t="s">
        <v>1124</v>
      </c>
      <c r="BC14" s="476" t="s">
        <v>1124</v>
      </c>
      <c r="BD14" s="476" t="s">
        <v>1125</v>
      </c>
      <c r="BE14" s="476" t="s">
        <v>1125</v>
      </c>
      <c r="BF14" s="476" t="s">
        <v>1125</v>
      </c>
      <c r="BG14" s="476" t="s">
        <v>1125</v>
      </c>
      <c r="BH14" s="476" t="s">
        <v>1126</v>
      </c>
      <c r="BI14" s="476" t="s">
        <v>1126</v>
      </c>
      <c r="BJ14" s="476" t="s">
        <v>1126</v>
      </c>
      <c r="BK14" s="476" t="s">
        <v>1126</v>
      </c>
      <c r="BL14" s="476" t="s">
        <v>1126</v>
      </c>
      <c r="BM14" s="476" t="s">
        <v>1126</v>
      </c>
      <c r="BN14" s="476" t="s">
        <v>1126</v>
      </c>
      <c r="BO14" s="476" t="s">
        <v>1126</v>
      </c>
      <c r="BP14" s="476" t="s">
        <v>1127</v>
      </c>
      <c r="BQ14" s="476" t="s">
        <v>1127</v>
      </c>
      <c r="BR14" s="476" t="s">
        <v>1127</v>
      </c>
      <c r="BS14" s="476" t="s">
        <v>1128</v>
      </c>
      <c r="BT14" s="476" t="s">
        <v>1129</v>
      </c>
      <c r="BU14" s="476" t="s">
        <v>1129</v>
      </c>
      <c r="BV14" s="476" t="s">
        <v>1129</v>
      </c>
      <c r="BW14" s="476" t="s">
        <v>1129</v>
      </c>
      <c r="BX14" s="476" t="s">
        <v>1129</v>
      </c>
      <c r="BY14" s="476" t="s">
        <v>1129</v>
      </c>
      <c r="BZ14" s="476" t="s">
        <v>1129</v>
      </c>
      <c r="CA14" s="476" t="s">
        <v>1129</v>
      </c>
      <c r="CB14" s="476" t="s">
        <v>1130</v>
      </c>
      <c r="CC14" s="861" t="s">
        <v>1130</v>
      </c>
      <c r="CD14" s="476" t="s">
        <v>1130</v>
      </c>
      <c r="CE14" s="476" t="s">
        <v>1130</v>
      </c>
      <c r="CF14" s="476" t="s">
        <v>1130</v>
      </c>
      <c r="CG14" s="476" t="s">
        <v>1130</v>
      </c>
      <c r="CH14" s="476" t="s">
        <v>1131</v>
      </c>
      <c r="CI14" s="476" t="s">
        <v>1131</v>
      </c>
      <c r="CJ14" s="476" t="s">
        <v>1131</v>
      </c>
      <c r="CK14" s="476" t="s">
        <v>1132</v>
      </c>
      <c r="CL14" s="476" t="s">
        <v>1132</v>
      </c>
      <c r="CM14" s="476" t="s">
        <v>1132</v>
      </c>
      <c r="CN14" s="476" t="s">
        <v>1132</v>
      </c>
      <c r="CO14" s="476" t="s">
        <v>1132</v>
      </c>
      <c r="CP14" s="476" t="s">
        <v>1133</v>
      </c>
      <c r="CQ14" s="476" t="s">
        <v>1133</v>
      </c>
      <c r="CR14" s="476" t="s">
        <v>1133</v>
      </c>
      <c r="CS14" s="476" t="s">
        <v>1133</v>
      </c>
      <c r="CT14" s="476" t="s">
        <v>1133</v>
      </c>
      <c r="CU14" s="476" t="s">
        <v>1133</v>
      </c>
      <c r="CV14" s="476" t="s">
        <v>1133</v>
      </c>
      <c r="CW14" s="476" t="s">
        <v>1133</v>
      </c>
      <c r="CX14" s="476" t="s">
        <v>1133</v>
      </c>
      <c r="CY14" s="476" t="s">
        <v>1133</v>
      </c>
      <c r="CZ14" s="476" t="s">
        <v>1134</v>
      </c>
      <c r="DA14" s="476" t="s">
        <v>1134</v>
      </c>
      <c r="DB14" s="476" t="s">
        <v>1134</v>
      </c>
      <c r="DC14" s="476" t="s">
        <v>1134</v>
      </c>
      <c r="DD14" s="476" t="s">
        <v>1134</v>
      </c>
      <c r="DE14" s="476" t="s">
        <v>1134</v>
      </c>
      <c r="DF14" s="476" t="s">
        <v>1134</v>
      </c>
      <c r="DG14" s="476" t="s">
        <v>1135</v>
      </c>
      <c r="DH14" s="476" t="s">
        <v>1135</v>
      </c>
      <c r="DI14" s="476" t="s">
        <v>1135</v>
      </c>
      <c r="DJ14" s="476" t="s">
        <v>1135</v>
      </c>
      <c r="DK14" s="476" t="s">
        <v>1135</v>
      </c>
      <c r="DL14" s="476" t="s">
        <v>1135</v>
      </c>
      <c r="DM14" s="476" t="s">
        <v>1135</v>
      </c>
      <c r="DN14" s="476" t="s">
        <v>1135</v>
      </c>
      <c r="DO14" s="476" t="s">
        <v>1135</v>
      </c>
      <c r="DP14" s="476" t="s">
        <v>1136</v>
      </c>
      <c r="DQ14" s="476" t="s">
        <v>1137</v>
      </c>
      <c r="DR14" s="476" t="s">
        <v>1138</v>
      </c>
      <c r="DS14" s="500"/>
      <c r="DT14" s="667" t="s">
        <v>1139</v>
      </c>
      <c r="DU14" s="667" t="s">
        <v>1140</v>
      </c>
      <c r="DV14" s="667" t="s">
        <v>1140</v>
      </c>
      <c r="DW14" s="667" t="s">
        <v>1140</v>
      </c>
      <c r="DX14" s="667" t="s">
        <v>1140</v>
      </c>
      <c r="DY14" s="667" t="s">
        <v>1140</v>
      </c>
      <c r="DZ14" s="598"/>
      <c r="EA14" s="477" t="s">
        <v>1141</v>
      </c>
      <c r="EB14" s="477" t="s">
        <v>1141</v>
      </c>
      <c r="EC14" s="598"/>
      <c r="ED14" s="477" t="s">
        <v>1142</v>
      </c>
      <c r="EE14" s="477" t="s">
        <v>1142</v>
      </c>
      <c r="EF14" s="477" t="s">
        <v>1142</v>
      </c>
      <c r="EG14" s="477" t="s">
        <v>1142</v>
      </c>
      <c r="EH14" s="477" t="s">
        <v>1143</v>
      </c>
      <c r="EI14" s="477" t="s">
        <v>1143</v>
      </c>
      <c r="EJ14" s="477" t="s">
        <v>1143</v>
      </c>
      <c r="EK14" s="477" t="s">
        <v>1143</v>
      </c>
      <c r="EL14" s="598"/>
      <c r="EM14" s="477" t="s">
        <v>1144</v>
      </c>
      <c r="EN14" s="477" t="s">
        <v>1145</v>
      </c>
      <c r="EO14" s="477" t="s">
        <v>1145</v>
      </c>
      <c r="EP14" s="477" t="s">
        <v>1146</v>
      </c>
      <c r="EQ14" s="477" t="s">
        <v>1147</v>
      </c>
      <c r="ER14" s="477" t="s">
        <v>1148</v>
      </c>
      <c r="ES14" s="477" t="s">
        <v>1149</v>
      </c>
      <c r="ET14" s="477" t="s">
        <v>1150</v>
      </c>
      <c r="EU14" s="477" t="s">
        <v>1150</v>
      </c>
      <c r="EV14" s="477" t="s">
        <v>1150</v>
      </c>
      <c r="EW14" s="477" t="s">
        <v>1151</v>
      </c>
      <c r="EX14" s="477" t="s">
        <v>1151</v>
      </c>
      <c r="EY14" s="477" t="s">
        <v>1152</v>
      </c>
      <c r="EZ14" s="477" t="s">
        <v>1152</v>
      </c>
      <c r="FA14" s="477" t="s">
        <v>1152</v>
      </c>
      <c r="FB14" s="477" t="s">
        <v>1153</v>
      </c>
      <c r="FC14" s="477" t="s">
        <v>1154</v>
      </c>
      <c r="FD14" s="477" t="s">
        <v>1154</v>
      </c>
      <c r="FE14" s="598"/>
      <c r="FF14" s="477" t="s">
        <v>1155</v>
      </c>
      <c r="FG14" s="477" t="s">
        <v>1155</v>
      </c>
      <c r="FH14" s="477" t="s">
        <v>1155</v>
      </c>
      <c r="FI14" s="477" t="s">
        <v>1155</v>
      </c>
      <c r="FJ14" s="477" t="s">
        <v>1156</v>
      </c>
      <c r="FK14" s="477" t="s">
        <v>1156</v>
      </c>
      <c r="FL14" s="477" t="s">
        <v>1156</v>
      </c>
      <c r="FM14" s="477" t="s">
        <v>1156</v>
      </c>
      <c r="FN14" s="477" t="s">
        <v>1156</v>
      </c>
      <c r="FO14" s="477" t="s">
        <v>1156</v>
      </c>
      <c r="FP14" s="477" t="s">
        <v>1156</v>
      </c>
      <c r="FQ14" s="477" t="s">
        <v>1156</v>
      </c>
      <c r="FR14" s="477" t="s">
        <v>1156</v>
      </c>
      <c r="FS14" s="477" t="s">
        <v>1156</v>
      </c>
      <c r="FT14" s="477" t="s">
        <v>1156</v>
      </c>
      <c r="FU14" s="477" t="s">
        <v>1156</v>
      </c>
      <c r="FV14" s="477" t="s">
        <v>1156</v>
      </c>
      <c r="FW14" s="477" t="s">
        <v>1156</v>
      </c>
      <c r="FX14" s="477" t="s">
        <v>1156</v>
      </c>
      <c r="FY14" s="477" t="s">
        <v>1156</v>
      </c>
      <c r="FZ14" s="477" t="s">
        <v>1156</v>
      </c>
      <c r="GA14" s="477" t="s">
        <v>1156</v>
      </c>
      <c r="GB14" s="477" t="s">
        <v>1156</v>
      </c>
      <c r="GC14" s="477" t="s">
        <v>1157</v>
      </c>
      <c r="GD14" s="477" t="s">
        <v>1157</v>
      </c>
      <c r="GE14" s="477" t="s">
        <v>1157</v>
      </c>
      <c r="GF14" s="477" t="s">
        <v>1157</v>
      </c>
      <c r="GG14" s="477" t="s">
        <v>1157</v>
      </c>
      <c r="GH14" s="477" t="s">
        <v>1158</v>
      </c>
      <c r="GI14" s="477" t="s">
        <v>1158</v>
      </c>
      <c r="GJ14" s="477" t="s">
        <v>1158</v>
      </c>
      <c r="GK14" s="477" t="s">
        <v>1158</v>
      </c>
      <c r="GL14" s="477" t="s">
        <v>1159</v>
      </c>
      <c r="GM14" s="477" t="s">
        <v>1159</v>
      </c>
      <c r="GN14" s="477" t="s">
        <v>1159</v>
      </c>
      <c r="GO14" s="477" t="s">
        <v>1159</v>
      </c>
      <c r="GP14" s="477" t="s">
        <v>1159</v>
      </c>
      <c r="GQ14" s="477" t="s">
        <v>1159</v>
      </c>
      <c r="GR14" s="477" t="s">
        <v>1159</v>
      </c>
      <c r="GS14" s="477" t="s">
        <v>1159</v>
      </c>
      <c r="GT14" s="477" t="s">
        <v>1159</v>
      </c>
      <c r="GU14" s="477" t="s">
        <v>1159</v>
      </c>
      <c r="GV14" s="477" t="s">
        <v>1159</v>
      </c>
      <c r="GW14" s="477" t="s">
        <v>1159</v>
      </c>
      <c r="GX14" s="477" t="s">
        <v>1159</v>
      </c>
      <c r="GY14" s="477" t="s">
        <v>1159</v>
      </c>
      <c r="GZ14" s="477" t="s">
        <v>1159</v>
      </c>
      <c r="HA14" s="477" t="s">
        <v>1159</v>
      </c>
      <c r="HB14" s="477" t="s">
        <v>1160</v>
      </c>
      <c r="HC14" s="477" t="s">
        <v>1160</v>
      </c>
      <c r="HD14" s="598"/>
      <c r="HE14" s="477" t="s">
        <v>1161</v>
      </c>
      <c r="HF14" s="477" t="s">
        <v>1161</v>
      </c>
      <c r="HG14" s="477" t="s">
        <v>1161</v>
      </c>
      <c r="HH14" s="477" t="s">
        <v>1162</v>
      </c>
      <c r="HI14" s="477" t="s">
        <v>1162</v>
      </c>
      <c r="HJ14" s="598"/>
      <c r="HK14" s="477" t="s">
        <v>1163</v>
      </c>
      <c r="HL14" s="477" t="s">
        <v>1163</v>
      </c>
      <c r="HM14" s="477" t="s">
        <v>1163</v>
      </c>
      <c r="HN14" s="477" t="s">
        <v>1163</v>
      </c>
      <c r="HO14" s="477" t="s">
        <v>1164</v>
      </c>
      <c r="HP14" s="477" t="s">
        <v>1164</v>
      </c>
      <c r="HQ14" s="477" t="s">
        <v>1164</v>
      </c>
      <c r="HR14" s="477" t="s">
        <v>1164</v>
      </c>
      <c r="HS14" s="477" t="s">
        <v>1164</v>
      </c>
      <c r="HT14" s="477" t="s">
        <v>1164</v>
      </c>
      <c r="HU14" s="477" t="s">
        <v>1165</v>
      </c>
      <c r="HV14" s="477" t="s">
        <v>1165</v>
      </c>
      <c r="HW14" s="598"/>
      <c r="HX14" s="477" t="s">
        <v>1166</v>
      </c>
      <c r="HY14" s="477" t="s">
        <v>1166</v>
      </c>
      <c r="HZ14" s="477" t="s">
        <v>1166</v>
      </c>
      <c r="IA14" s="477" t="s">
        <v>1166</v>
      </c>
      <c r="IB14" s="477" t="s">
        <v>1166</v>
      </c>
      <c r="IC14" s="477" t="s">
        <v>1166</v>
      </c>
      <c r="ID14" s="477" t="s">
        <v>1167</v>
      </c>
      <c r="IE14" s="477" t="s">
        <v>1167</v>
      </c>
      <c r="IF14" s="477" t="s">
        <v>1167</v>
      </c>
      <c r="IG14" s="477" t="s">
        <v>1166</v>
      </c>
      <c r="IH14" s="477" t="s">
        <v>1167</v>
      </c>
      <c r="II14" s="477" t="s">
        <v>1168</v>
      </c>
      <c r="IJ14" s="598"/>
      <c r="IK14" s="477" t="s">
        <v>1169</v>
      </c>
      <c r="IL14" s="477" t="s">
        <v>1170</v>
      </c>
      <c r="IM14" s="477" t="s">
        <v>1171</v>
      </c>
      <c r="IN14" s="478"/>
      <c r="IO14" s="711" t="s">
        <v>1172</v>
      </c>
      <c r="IP14" s="711" t="s">
        <v>1173</v>
      </c>
      <c r="IQ14" s="711" t="s">
        <v>1173</v>
      </c>
      <c r="IR14" s="711" t="s">
        <v>1173</v>
      </c>
      <c r="IS14" s="711" t="s">
        <v>1173</v>
      </c>
      <c r="IT14" s="711" t="s">
        <v>1173</v>
      </c>
      <c r="IU14" s="711" t="s">
        <v>1174</v>
      </c>
      <c r="IV14" s="711" t="s">
        <v>1175</v>
      </c>
      <c r="IW14" s="711" t="s">
        <v>1176</v>
      </c>
      <c r="IX14" s="711" t="s">
        <v>1176</v>
      </c>
      <c r="IY14" s="711" t="s">
        <v>1177</v>
      </c>
      <c r="IZ14" s="711" t="s">
        <v>1176</v>
      </c>
      <c r="JA14" s="711" t="s">
        <v>1178</v>
      </c>
      <c r="JB14" s="711" t="s">
        <v>1179</v>
      </c>
      <c r="JC14" s="711" t="s">
        <v>1180</v>
      </c>
      <c r="JD14" s="711" t="s">
        <v>1180</v>
      </c>
      <c r="JE14" s="711" t="s">
        <v>1180</v>
      </c>
      <c r="JF14" s="711" t="s">
        <v>1180</v>
      </c>
      <c r="JG14" s="711" t="s">
        <v>1180</v>
      </c>
      <c r="JH14" s="711" t="s">
        <v>1181</v>
      </c>
      <c r="JI14" s="711" t="s">
        <v>1182</v>
      </c>
      <c r="JJ14" s="481"/>
      <c r="JK14" s="483" t="s">
        <v>1183</v>
      </c>
      <c r="JL14" s="483" t="s">
        <v>1184</v>
      </c>
      <c r="JM14" s="483" t="s">
        <v>1185</v>
      </c>
      <c r="JN14" s="483" t="s">
        <v>1185</v>
      </c>
      <c r="JO14" s="483" t="s">
        <v>1186</v>
      </c>
      <c r="JP14" s="483" t="s">
        <v>1186</v>
      </c>
      <c r="JQ14" s="483" t="s">
        <v>1187</v>
      </c>
      <c r="JR14" s="483" t="s">
        <v>1187</v>
      </c>
      <c r="JS14" s="483" t="s">
        <v>1187</v>
      </c>
      <c r="JT14" s="483" t="s">
        <v>1187</v>
      </c>
      <c r="JU14" s="483" t="s">
        <v>1187</v>
      </c>
      <c r="JV14" s="483" t="s">
        <v>1188</v>
      </c>
      <c r="JW14" s="483" t="s">
        <v>1188</v>
      </c>
      <c r="JX14" s="483" t="s">
        <v>1188</v>
      </c>
      <c r="JY14" s="483" t="s">
        <v>1189</v>
      </c>
      <c r="JZ14" s="483" t="s">
        <v>1189</v>
      </c>
      <c r="KA14" s="483" t="s">
        <v>1189</v>
      </c>
      <c r="KB14" s="483" t="s">
        <v>1190</v>
      </c>
      <c r="KC14" s="483" t="s">
        <v>1190</v>
      </c>
      <c r="KD14" s="483" t="s">
        <v>1190</v>
      </c>
      <c r="KE14" s="483" t="s">
        <v>1190</v>
      </c>
      <c r="KF14" s="483" t="s">
        <v>1190</v>
      </c>
      <c r="KG14" s="483" t="s">
        <v>1190</v>
      </c>
      <c r="KH14" s="483" t="s">
        <v>1190</v>
      </c>
      <c r="KI14" s="483" t="s">
        <v>1190</v>
      </c>
      <c r="KJ14" s="484"/>
      <c r="KK14" s="485"/>
      <c r="KL14" s="546"/>
      <c r="KM14" s="486"/>
      <c r="KN14" s="486"/>
      <c r="KO14" s="486"/>
      <c r="KP14" s="486"/>
      <c r="KQ14" s="727"/>
      <c r="KR14" s="732"/>
      <c r="KS14" s="732"/>
      <c r="KT14" s="732"/>
      <c r="KU14" s="732"/>
      <c r="KV14" s="732"/>
      <c r="KW14" s="732"/>
      <c r="KX14" s="732"/>
      <c r="KY14" s="732"/>
      <c r="KZ14" s="732"/>
      <c r="LA14" s="732"/>
      <c r="LB14" s="732"/>
      <c r="LC14" s="732"/>
      <c r="LD14" s="732"/>
      <c r="LE14" s="732"/>
      <c r="LF14" s="732"/>
      <c r="LG14" s="732"/>
      <c r="LH14" s="732"/>
      <c r="LI14" s="732"/>
      <c r="LJ14" s="732"/>
      <c r="LK14" s="732"/>
      <c r="LL14" s="732"/>
      <c r="LM14" s="732"/>
      <c r="LN14" s="732"/>
      <c r="LO14" s="732"/>
      <c r="LP14" s="732"/>
      <c r="LQ14" s="732"/>
      <c r="LR14" s="732"/>
      <c r="LS14" s="732"/>
      <c r="LT14" s="738"/>
      <c r="LU14" s="632" t="s">
        <v>1191</v>
      </c>
      <c r="LV14" s="726" t="s">
        <v>1191</v>
      </c>
      <c r="LW14" s="632" t="s">
        <v>1192</v>
      </c>
      <c r="LX14" s="632" t="s">
        <v>1193</v>
      </c>
      <c r="LY14" s="632" t="s">
        <v>1193</v>
      </c>
      <c r="LZ14" s="632" t="s">
        <v>1193</v>
      </c>
      <c r="MA14" s="632" t="s">
        <v>1194</v>
      </c>
      <c r="MB14" s="632" t="s">
        <v>1194</v>
      </c>
      <c r="MC14" s="634" t="s">
        <v>1194</v>
      </c>
      <c r="MD14" s="632" t="s">
        <v>1195</v>
      </c>
      <c r="ME14" s="632" t="s">
        <v>1195</v>
      </c>
      <c r="MF14" s="632" t="s">
        <v>1195</v>
      </c>
      <c r="MG14" s="632" t="s">
        <v>1195</v>
      </c>
      <c r="MH14" s="632" t="s">
        <v>1195</v>
      </c>
      <c r="MI14" s="632" t="s">
        <v>1195</v>
      </c>
      <c r="MJ14" s="632" t="s">
        <v>1196</v>
      </c>
      <c r="MK14" s="633" t="s">
        <v>1196</v>
      </c>
      <c r="ML14" s="632" t="s">
        <v>1196</v>
      </c>
      <c r="MM14" s="632" t="s">
        <v>1196</v>
      </c>
      <c r="MN14" s="632" t="s">
        <v>1196</v>
      </c>
      <c r="MO14" s="632" t="s">
        <v>1196</v>
      </c>
      <c r="MP14" s="632" t="s">
        <v>1197</v>
      </c>
      <c r="MQ14" s="632" t="s">
        <v>1197</v>
      </c>
      <c r="MR14" s="632" t="s">
        <v>1197</v>
      </c>
      <c r="MS14" s="632" t="s">
        <v>1197</v>
      </c>
      <c r="MT14" s="632" t="s">
        <v>1197</v>
      </c>
      <c r="MU14" s="632" t="s">
        <v>1197</v>
      </c>
      <c r="MV14" s="614" t="s">
        <v>1198</v>
      </c>
      <c r="MW14" s="614" t="s">
        <v>1198</v>
      </c>
      <c r="MX14" s="614" t="s">
        <v>1198</v>
      </c>
      <c r="MY14" s="614" t="s">
        <v>1198</v>
      </c>
      <c r="MZ14" s="614" t="s">
        <v>1198</v>
      </c>
      <c r="NA14" s="614" t="s">
        <v>1198</v>
      </c>
      <c r="NB14" s="614" t="s">
        <v>1199</v>
      </c>
      <c r="NC14" s="614" t="s">
        <v>1200</v>
      </c>
      <c r="ND14" s="614" t="s">
        <v>1200</v>
      </c>
      <c r="NE14" s="614" t="s">
        <v>1200</v>
      </c>
      <c r="NF14" s="614" t="s">
        <v>1200</v>
      </c>
      <c r="NG14" s="614" t="s">
        <v>1200</v>
      </c>
      <c r="NH14" s="614" t="s">
        <v>1200</v>
      </c>
      <c r="NI14" s="614" t="s">
        <v>1201</v>
      </c>
      <c r="NJ14" s="489" t="s">
        <v>1202</v>
      </c>
      <c r="NK14" s="489" t="s">
        <v>1203</v>
      </c>
      <c r="NL14" s="489" t="s">
        <v>1203</v>
      </c>
      <c r="NM14" s="489" t="s">
        <v>1203</v>
      </c>
      <c r="NN14" s="489" t="s">
        <v>1203</v>
      </c>
      <c r="NO14" s="489" t="s">
        <v>1204</v>
      </c>
      <c r="NP14" s="489" t="s">
        <v>1205</v>
      </c>
      <c r="NQ14" s="489" t="s">
        <v>1206</v>
      </c>
      <c r="NR14" s="489" t="s">
        <v>1206</v>
      </c>
      <c r="NS14" s="489" t="s">
        <v>1204</v>
      </c>
      <c r="NT14" s="489" t="s">
        <v>1205</v>
      </c>
      <c r="NU14" s="489" t="s">
        <v>1204</v>
      </c>
      <c r="NV14" s="632" t="s">
        <v>1107</v>
      </c>
      <c r="NW14" s="632" t="s">
        <v>1107</v>
      </c>
      <c r="NX14" s="632" t="s">
        <v>1207</v>
      </c>
      <c r="NY14" s="489" t="s">
        <v>1208</v>
      </c>
      <c r="NZ14" s="632" t="s">
        <v>1208</v>
      </c>
      <c r="OA14" s="635"/>
      <c r="OB14" s="639"/>
      <c r="OC14" s="639"/>
      <c r="OD14" s="639"/>
      <c r="OE14" s="639"/>
      <c r="OF14" s="639"/>
      <c r="OG14" s="639"/>
      <c r="OH14" s="639"/>
      <c r="OI14" s="639"/>
      <c r="OJ14" s="639"/>
      <c r="OK14" s="639"/>
      <c r="OL14" s="639"/>
      <c r="OM14" s="639"/>
      <c r="ON14" s="635"/>
      <c r="OO14" s="639"/>
      <c r="OP14" s="639"/>
      <c r="OQ14" s="639"/>
      <c r="OR14" s="639"/>
      <c r="OS14" s="639"/>
      <c r="OT14" s="639"/>
      <c r="OU14" s="639"/>
      <c r="OV14" s="639"/>
      <c r="OW14" s="639"/>
      <c r="OX14" s="639"/>
      <c r="OY14" s="639"/>
      <c r="OZ14" s="639"/>
      <c r="PA14" s="639"/>
      <c r="PB14" s="639" t="s">
        <v>1209</v>
      </c>
      <c r="PC14" s="639" t="s">
        <v>1209</v>
      </c>
      <c r="PD14" s="639"/>
      <c r="PE14" s="639" t="s">
        <v>1210</v>
      </c>
      <c r="PF14" s="639"/>
      <c r="PG14" s="639"/>
      <c r="PH14" s="749"/>
      <c r="PI14" s="667"/>
      <c r="PJ14" s="667"/>
      <c r="PK14" s="667"/>
      <c r="PL14" s="476" t="s">
        <v>1211</v>
      </c>
      <c r="PM14" s="476" t="s">
        <v>1211</v>
      </c>
      <c r="PN14" s="476" t="s">
        <v>1211</v>
      </c>
      <c r="PO14" s="603" t="s">
        <v>1154</v>
      </c>
    </row>
    <row r="15" spans="1:431" ht="39" customHeight="1">
      <c r="A15" s="418" t="s">
        <v>1212</v>
      </c>
      <c r="B15" s="623" t="s">
        <v>1213</v>
      </c>
      <c r="C15" s="380" t="s">
        <v>420</v>
      </c>
      <c r="D15" s="380" t="s">
        <v>1214</v>
      </c>
      <c r="G15" s="494"/>
      <c r="H15" s="419" t="s">
        <v>1215</v>
      </c>
      <c r="I15" s="419" t="s">
        <v>1215</v>
      </c>
      <c r="J15" s="419" t="s">
        <v>1215</v>
      </c>
      <c r="K15" s="419" t="s">
        <v>1215</v>
      </c>
      <c r="L15" s="419" t="s">
        <v>1215</v>
      </c>
      <c r="M15" s="419" t="s">
        <v>1215</v>
      </c>
      <c r="N15" s="419" t="s">
        <v>1215</v>
      </c>
      <c r="O15" s="419" t="s">
        <v>1215</v>
      </c>
      <c r="P15" s="419" t="s">
        <v>1215</v>
      </c>
      <c r="Q15" s="419" t="s">
        <v>1215</v>
      </c>
      <c r="R15" s="419" t="s">
        <v>1215</v>
      </c>
      <c r="S15" s="419" t="s">
        <v>1215</v>
      </c>
      <c r="T15" s="419" t="s">
        <v>1215</v>
      </c>
      <c r="U15" s="419" t="s">
        <v>1215</v>
      </c>
      <c r="V15" s="420" t="s">
        <v>1215</v>
      </c>
      <c r="W15" s="420" t="s">
        <v>1215</v>
      </c>
      <c r="X15" s="420" t="s">
        <v>1215</v>
      </c>
      <c r="Y15" s="420" t="s">
        <v>1215</v>
      </c>
      <c r="Z15" s="420" t="s">
        <v>1215</v>
      </c>
      <c r="AA15" s="420" t="s">
        <v>1215</v>
      </c>
      <c r="AB15" s="420" t="s">
        <v>1215</v>
      </c>
      <c r="AC15" s="420" t="s">
        <v>1215</v>
      </c>
      <c r="AD15" s="420" t="s">
        <v>1215</v>
      </c>
      <c r="AE15" s="420" t="s">
        <v>1215</v>
      </c>
      <c r="AF15" s="420" t="s">
        <v>1215</v>
      </c>
      <c r="AG15" s="420" t="s">
        <v>1215</v>
      </c>
      <c r="AH15" s="420" t="s">
        <v>1215</v>
      </c>
      <c r="AI15" s="420" t="s">
        <v>1215</v>
      </c>
      <c r="AJ15" s="420" t="s">
        <v>1215</v>
      </c>
      <c r="AK15" s="420" t="s">
        <v>1215</v>
      </c>
      <c r="AL15" s="420" t="s">
        <v>1215</v>
      </c>
      <c r="AM15" s="420" t="s">
        <v>1215</v>
      </c>
      <c r="AN15" s="420" t="s">
        <v>14</v>
      </c>
      <c r="AO15" s="420" t="s">
        <v>14</v>
      </c>
      <c r="AP15" s="420" t="s">
        <v>14</v>
      </c>
      <c r="AQ15" s="420" t="s">
        <v>1216</v>
      </c>
      <c r="AR15" s="420" t="s">
        <v>1216</v>
      </c>
      <c r="AS15" s="420" t="s">
        <v>1216</v>
      </c>
      <c r="AT15" s="420" t="s">
        <v>1215</v>
      </c>
      <c r="AU15" s="420" t="s">
        <v>14</v>
      </c>
      <c r="AV15" s="420" t="s">
        <v>1215</v>
      </c>
      <c r="AW15" s="420" t="s">
        <v>1215</v>
      </c>
      <c r="AX15" s="420" t="s">
        <v>1215</v>
      </c>
      <c r="AY15" s="420" t="s">
        <v>1215</v>
      </c>
      <c r="AZ15" s="420" t="s">
        <v>1215</v>
      </c>
      <c r="BA15" s="420" t="s">
        <v>1215</v>
      </c>
      <c r="BB15" s="420" t="s">
        <v>1215</v>
      </c>
      <c r="BC15" s="420" t="s">
        <v>1215</v>
      </c>
      <c r="BD15" s="420" t="s">
        <v>1215</v>
      </c>
      <c r="BE15" s="420" t="s">
        <v>1215</v>
      </c>
      <c r="BF15" s="420" t="s">
        <v>1215</v>
      </c>
      <c r="BG15" s="420" t="s">
        <v>1215</v>
      </c>
      <c r="BH15" s="420" t="s">
        <v>1215</v>
      </c>
      <c r="BI15" s="420" t="s">
        <v>1215</v>
      </c>
      <c r="BJ15" s="420" t="s">
        <v>1215</v>
      </c>
      <c r="BK15" s="420" t="s">
        <v>1215</v>
      </c>
      <c r="BL15" s="420" t="s">
        <v>1215</v>
      </c>
      <c r="BM15" s="420" t="s">
        <v>1215</v>
      </c>
      <c r="BN15" s="420" t="s">
        <v>1215</v>
      </c>
      <c r="BO15" s="420" t="s">
        <v>1215</v>
      </c>
      <c r="BP15" s="420" t="s">
        <v>1215</v>
      </c>
      <c r="BQ15" s="420" t="s">
        <v>1215</v>
      </c>
      <c r="BR15" s="420" t="s">
        <v>1215</v>
      </c>
      <c r="BS15" s="420" t="s">
        <v>1215</v>
      </c>
      <c r="BT15" s="420" t="s">
        <v>1215</v>
      </c>
      <c r="BU15" s="420" t="s">
        <v>1215</v>
      </c>
      <c r="BV15" s="420" t="s">
        <v>1215</v>
      </c>
      <c r="BW15" s="420" t="s">
        <v>1215</v>
      </c>
      <c r="BX15" s="420" t="s">
        <v>1215</v>
      </c>
      <c r="BY15" s="420" t="s">
        <v>1215</v>
      </c>
      <c r="BZ15" s="420" t="s">
        <v>1215</v>
      </c>
      <c r="CA15" s="420" t="s">
        <v>1215</v>
      </c>
      <c r="CB15" s="420" t="s">
        <v>1215</v>
      </c>
      <c r="CC15" s="858" t="s">
        <v>1215</v>
      </c>
      <c r="CD15" s="420" t="s">
        <v>1215</v>
      </c>
      <c r="CE15" s="420" t="s">
        <v>1215</v>
      </c>
      <c r="CF15" s="420" t="s">
        <v>1215</v>
      </c>
      <c r="CG15" s="420" t="s">
        <v>1215</v>
      </c>
      <c r="CH15" s="420" t="s">
        <v>1215</v>
      </c>
      <c r="CI15" s="420" t="s">
        <v>1215</v>
      </c>
      <c r="CJ15" s="420" t="s">
        <v>1215</v>
      </c>
      <c r="CK15" s="420" t="s">
        <v>1215</v>
      </c>
      <c r="CL15" s="420" t="s">
        <v>1215</v>
      </c>
      <c r="CM15" s="420" t="s">
        <v>1215</v>
      </c>
      <c r="CN15" s="420" t="s">
        <v>1215</v>
      </c>
      <c r="CO15" s="420" t="s">
        <v>1215</v>
      </c>
      <c r="CP15" s="420" t="s">
        <v>1215</v>
      </c>
      <c r="CQ15" s="420" t="s">
        <v>1215</v>
      </c>
      <c r="CR15" s="420" t="s">
        <v>1215</v>
      </c>
      <c r="CS15" s="420" t="s">
        <v>1215</v>
      </c>
      <c r="CT15" s="420" t="s">
        <v>1215</v>
      </c>
      <c r="CU15" s="420" t="s">
        <v>1215</v>
      </c>
      <c r="CV15" s="420" t="s">
        <v>1215</v>
      </c>
      <c r="CW15" s="420" t="s">
        <v>1215</v>
      </c>
      <c r="CX15" s="420" t="s">
        <v>1215</v>
      </c>
      <c r="CY15" s="420" t="s">
        <v>1215</v>
      </c>
      <c r="CZ15" s="420" t="s">
        <v>1215</v>
      </c>
      <c r="DA15" s="420" t="s">
        <v>1215</v>
      </c>
      <c r="DB15" s="420" t="s">
        <v>1215</v>
      </c>
      <c r="DC15" s="420" t="s">
        <v>1215</v>
      </c>
      <c r="DD15" s="420" t="s">
        <v>1215</v>
      </c>
      <c r="DE15" s="420" t="s">
        <v>1216</v>
      </c>
      <c r="DF15" s="420" t="s">
        <v>1216</v>
      </c>
      <c r="DG15" s="420" t="s">
        <v>1215</v>
      </c>
      <c r="DH15" s="420" t="s">
        <v>1215</v>
      </c>
      <c r="DI15" s="420" t="s">
        <v>1215</v>
      </c>
      <c r="DJ15" s="420" t="s">
        <v>1215</v>
      </c>
      <c r="DK15" s="420" t="s">
        <v>1215</v>
      </c>
      <c r="DL15" s="420" t="s">
        <v>1215</v>
      </c>
      <c r="DM15" s="420" t="s">
        <v>1215</v>
      </c>
      <c r="DN15" s="420" t="s">
        <v>1215</v>
      </c>
      <c r="DO15" s="420" t="s">
        <v>1215</v>
      </c>
      <c r="DP15" s="420" t="s">
        <v>1216</v>
      </c>
      <c r="DQ15" s="420" t="s">
        <v>1215</v>
      </c>
      <c r="DR15" s="420" t="s">
        <v>1215</v>
      </c>
      <c r="DS15" s="499"/>
      <c r="DT15" s="666" t="s">
        <v>1215</v>
      </c>
      <c r="DU15" s="421" t="s">
        <v>1215</v>
      </c>
      <c r="DV15" s="421" t="s">
        <v>1215</v>
      </c>
      <c r="DW15" s="422" t="s">
        <v>14</v>
      </c>
      <c r="DX15" s="422" t="s">
        <v>1216</v>
      </c>
      <c r="DY15" s="422" t="s">
        <v>1216</v>
      </c>
      <c r="DZ15" s="596"/>
      <c r="EA15" s="422" t="s">
        <v>1215</v>
      </c>
      <c r="EB15" s="422" t="s">
        <v>1215</v>
      </c>
      <c r="EC15" s="596"/>
      <c r="ED15" s="422" t="s">
        <v>1215</v>
      </c>
      <c r="EE15" s="422" t="s">
        <v>1215</v>
      </c>
      <c r="EF15" s="422" t="s">
        <v>1215</v>
      </c>
      <c r="EG15" s="422" t="s">
        <v>1216</v>
      </c>
      <c r="EH15" s="422" t="s">
        <v>1215</v>
      </c>
      <c r="EI15" s="422" t="s">
        <v>1215</v>
      </c>
      <c r="EJ15" s="422" t="s">
        <v>1215</v>
      </c>
      <c r="EK15" s="422" t="s">
        <v>1215</v>
      </c>
      <c r="EL15" s="596"/>
      <c r="EM15" s="422" t="s">
        <v>1215</v>
      </c>
      <c r="EN15" s="422" t="s">
        <v>1215</v>
      </c>
      <c r="EO15" s="422" t="s">
        <v>1215</v>
      </c>
      <c r="EP15" s="422" t="s">
        <v>1215</v>
      </c>
      <c r="EQ15" s="422" t="s">
        <v>1215</v>
      </c>
      <c r="ER15" s="422" t="s">
        <v>1215</v>
      </c>
      <c r="ES15" s="422" t="s">
        <v>1215</v>
      </c>
      <c r="ET15" s="422" t="s">
        <v>1215</v>
      </c>
      <c r="EU15" s="422" t="s">
        <v>1215</v>
      </c>
      <c r="EV15" s="422" t="s">
        <v>14</v>
      </c>
      <c r="EW15" s="422" t="s">
        <v>1215</v>
      </c>
      <c r="EX15" s="422" t="s">
        <v>1215</v>
      </c>
      <c r="EY15" s="422" t="s">
        <v>1215</v>
      </c>
      <c r="EZ15" s="422" t="s">
        <v>1215</v>
      </c>
      <c r="FA15" s="422" t="s">
        <v>1215</v>
      </c>
      <c r="FB15" s="422" t="s">
        <v>1215</v>
      </c>
      <c r="FC15" s="422" t="s">
        <v>1215</v>
      </c>
      <c r="FD15" s="422" t="s">
        <v>1215</v>
      </c>
      <c r="FE15" s="596"/>
      <c r="FF15" s="422" t="s">
        <v>1215</v>
      </c>
      <c r="FG15" s="422" t="s">
        <v>1215</v>
      </c>
      <c r="FH15" s="422" t="s">
        <v>1215</v>
      </c>
      <c r="FI15" s="422" t="s">
        <v>1215</v>
      </c>
      <c r="FJ15" s="422" t="s">
        <v>1215</v>
      </c>
      <c r="FK15" s="422" t="s">
        <v>1215</v>
      </c>
      <c r="FL15" s="422" t="s">
        <v>1215</v>
      </c>
      <c r="FM15" s="422" t="s">
        <v>1215</v>
      </c>
      <c r="FN15" s="422" t="s">
        <v>1215</v>
      </c>
      <c r="FO15" s="422" t="s">
        <v>1215</v>
      </c>
      <c r="FP15" s="422" t="s">
        <v>1215</v>
      </c>
      <c r="FQ15" s="422" t="s">
        <v>14</v>
      </c>
      <c r="FR15" s="422" t="s">
        <v>14</v>
      </c>
      <c r="FS15" s="422" t="s">
        <v>14</v>
      </c>
      <c r="FT15" s="422" t="s">
        <v>1215</v>
      </c>
      <c r="FU15" s="422" t="s">
        <v>1216</v>
      </c>
      <c r="FV15" s="422" t="s">
        <v>1216</v>
      </c>
      <c r="FW15" s="422" t="s">
        <v>1216</v>
      </c>
      <c r="FX15" s="422" t="s">
        <v>1216</v>
      </c>
      <c r="FY15" s="422" t="s">
        <v>1216</v>
      </c>
      <c r="FZ15" s="422" t="s">
        <v>1216</v>
      </c>
      <c r="GA15" s="422" t="s">
        <v>1216</v>
      </c>
      <c r="GB15" s="422" t="s">
        <v>1216</v>
      </c>
      <c r="GC15" s="422" t="s">
        <v>1215</v>
      </c>
      <c r="GD15" s="422" t="s">
        <v>1215</v>
      </c>
      <c r="GE15" s="422" t="s">
        <v>1215</v>
      </c>
      <c r="GF15" s="422" t="s">
        <v>1215</v>
      </c>
      <c r="GG15" s="422" t="s">
        <v>1215</v>
      </c>
      <c r="GH15" s="422" t="s">
        <v>1215</v>
      </c>
      <c r="GI15" s="422" t="s">
        <v>1215</v>
      </c>
      <c r="GJ15" s="422" t="s">
        <v>1215</v>
      </c>
      <c r="GK15" s="422" t="s">
        <v>1215</v>
      </c>
      <c r="GL15" s="422" t="s">
        <v>1215</v>
      </c>
      <c r="GM15" s="422" t="s">
        <v>1215</v>
      </c>
      <c r="GN15" s="422" t="s">
        <v>1215</v>
      </c>
      <c r="GO15" s="422" t="s">
        <v>14</v>
      </c>
      <c r="GP15" s="422" t="s">
        <v>14</v>
      </c>
      <c r="GQ15" s="422" t="s">
        <v>14</v>
      </c>
      <c r="GR15" s="422" t="s">
        <v>1216</v>
      </c>
      <c r="GS15" s="422" t="s">
        <v>1216</v>
      </c>
      <c r="GT15" s="422" t="s">
        <v>1216</v>
      </c>
      <c r="GU15" s="422" t="s">
        <v>1215</v>
      </c>
      <c r="GV15" s="422" t="s">
        <v>1215</v>
      </c>
      <c r="GW15" s="422" t="s">
        <v>1215</v>
      </c>
      <c r="GX15" s="422" t="s">
        <v>1216</v>
      </c>
      <c r="GY15" s="422" t="s">
        <v>1216</v>
      </c>
      <c r="GZ15" s="422" t="s">
        <v>1216</v>
      </c>
      <c r="HA15" s="422" t="s">
        <v>1215</v>
      </c>
      <c r="HB15" s="422" t="s">
        <v>1215</v>
      </c>
      <c r="HC15" s="422" t="s">
        <v>1216</v>
      </c>
      <c r="HD15" s="596"/>
      <c r="HE15" s="422" t="s">
        <v>1215</v>
      </c>
      <c r="HF15" s="422" t="s">
        <v>1215</v>
      </c>
      <c r="HG15" s="422" t="s">
        <v>1216</v>
      </c>
      <c r="HH15" s="422" t="s">
        <v>1215</v>
      </c>
      <c r="HI15" s="422" t="s">
        <v>1215</v>
      </c>
      <c r="HJ15" s="596"/>
      <c r="HK15" s="422" t="s">
        <v>1215</v>
      </c>
      <c r="HL15" s="422" t="s">
        <v>1215</v>
      </c>
      <c r="HM15" s="422" t="s">
        <v>1215</v>
      </c>
      <c r="HN15" s="422" t="s">
        <v>1215</v>
      </c>
      <c r="HO15" s="422" t="s">
        <v>1215</v>
      </c>
      <c r="HP15" s="422" t="s">
        <v>1215</v>
      </c>
      <c r="HQ15" s="422" t="s">
        <v>1215</v>
      </c>
      <c r="HR15" s="422" t="s">
        <v>1216</v>
      </c>
      <c r="HS15" s="422" t="s">
        <v>1216</v>
      </c>
      <c r="HT15" s="422" t="s">
        <v>1216</v>
      </c>
      <c r="HU15" s="422" t="s">
        <v>1215</v>
      </c>
      <c r="HV15" s="422" t="s">
        <v>1215</v>
      </c>
      <c r="HW15" s="596"/>
      <c r="HX15" s="422" t="s">
        <v>1215</v>
      </c>
      <c r="HY15" s="422" t="s">
        <v>1215</v>
      </c>
      <c r="HZ15" s="422" t="s">
        <v>1215</v>
      </c>
      <c r="IA15" s="422" t="s">
        <v>1215</v>
      </c>
      <c r="IB15" s="422" t="s">
        <v>1215</v>
      </c>
      <c r="IC15" s="422" t="s">
        <v>1215</v>
      </c>
      <c r="ID15" s="422" t="s">
        <v>1215</v>
      </c>
      <c r="IE15" s="422" t="s">
        <v>1215</v>
      </c>
      <c r="IF15" s="422" t="s">
        <v>1215</v>
      </c>
      <c r="IG15" s="422" t="s">
        <v>1215</v>
      </c>
      <c r="IH15" s="422" t="s">
        <v>1215</v>
      </c>
      <c r="II15" s="422" t="s">
        <v>1216</v>
      </c>
      <c r="IJ15" s="596"/>
      <c r="IK15" s="422" t="s">
        <v>1215</v>
      </c>
      <c r="IL15" s="422" t="s">
        <v>1215</v>
      </c>
      <c r="IM15" s="422" t="s">
        <v>1215</v>
      </c>
      <c r="IN15" s="423"/>
      <c r="IO15" s="706" t="s">
        <v>1215</v>
      </c>
      <c r="IP15" s="706" t="s">
        <v>1215</v>
      </c>
      <c r="IQ15" s="706" t="s">
        <v>1215</v>
      </c>
      <c r="IR15" s="706" t="s">
        <v>1215</v>
      </c>
      <c r="IS15" s="706" t="s">
        <v>1215</v>
      </c>
      <c r="IT15" s="706" t="s">
        <v>1215</v>
      </c>
      <c r="IU15" s="706" t="s">
        <v>1215</v>
      </c>
      <c r="IV15" s="706" t="s">
        <v>1215</v>
      </c>
      <c r="IW15" s="706" t="s">
        <v>1215</v>
      </c>
      <c r="IX15" s="706" t="s">
        <v>1215</v>
      </c>
      <c r="IY15" s="706" t="s">
        <v>1215</v>
      </c>
      <c r="IZ15" s="706" t="s">
        <v>1215</v>
      </c>
      <c r="JA15" s="706" t="s">
        <v>1215</v>
      </c>
      <c r="JB15" s="706" t="s">
        <v>1215</v>
      </c>
      <c r="JC15" s="706" t="s">
        <v>1215</v>
      </c>
      <c r="JD15" s="706" t="s">
        <v>1215</v>
      </c>
      <c r="JE15" s="706" t="s">
        <v>1215</v>
      </c>
      <c r="JF15" s="706" t="s">
        <v>1215</v>
      </c>
      <c r="JG15" s="706" t="s">
        <v>1215</v>
      </c>
      <c r="JH15" s="706" t="s">
        <v>1215</v>
      </c>
      <c r="JI15" s="706" t="s">
        <v>1215</v>
      </c>
      <c r="JJ15" s="426"/>
      <c r="JK15" s="427" t="s">
        <v>1215</v>
      </c>
      <c r="JL15" s="428" t="s">
        <v>1215</v>
      </c>
      <c r="JM15" s="428" t="s">
        <v>1215</v>
      </c>
      <c r="JN15" s="428" t="s">
        <v>1215</v>
      </c>
      <c r="JO15" s="428" t="s">
        <v>1215</v>
      </c>
      <c r="JP15" s="428" t="s">
        <v>1215</v>
      </c>
      <c r="JQ15" s="428" t="s">
        <v>1215</v>
      </c>
      <c r="JR15" s="428" t="s">
        <v>1215</v>
      </c>
      <c r="JS15" s="428" t="s">
        <v>1215</v>
      </c>
      <c r="JT15" s="428" t="s">
        <v>1215</v>
      </c>
      <c r="JU15" s="428" t="s">
        <v>1215</v>
      </c>
      <c r="JV15" s="428" t="s">
        <v>1215</v>
      </c>
      <c r="JW15" s="428" t="s">
        <v>1215</v>
      </c>
      <c r="JX15" s="428" t="s">
        <v>1215</v>
      </c>
      <c r="JY15" s="428" t="s">
        <v>1215</v>
      </c>
      <c r="JZ15" s="428" t="s">
        <v>1215</v>
      </c>
      <c r="KA15" s="428" t="s">
        <v>1215</v>
      </c>
      <c r="KB15" s="428" t="s">
        <v>1215</v>
      </c>
      <c r="KC15" s="428" t="s">
        <v>1215</v>
      </c>
      <c r="KD15" s="428" t="s">
        <v>1215</v>
      </c>
      <c r="KE15" s="428" t="s">
        <v>1215</v>
      </c>
      <c r="KF15" s="428" t="s">
        <v>1215</v>
      </c>
      <c r="KG15" s="428" t="s">
        <v>1215</v>
      </c>
      <c r="KH15" s="428" t="s">
        <v>1215</v>
      </c>
      <c r="KI15" s="428" t="s">
        <v>1215</v>
      </c>
      <c r="KJ15" s="429"/>
      <c r="KK15" s="430" t="s">
        <v>1215</v>
      </c>
      <c r="KL15" s="545" t="s">
        <v>1215</v>
      </c>
      <c r="KM15" s="431" t="s">
        <v>1215</v>
      </c>
      <c r="KN15" s="431" t="s">
        <v>1215</v>
      </c>
      <c r="KO15" s="431"/>
      <c r="KP15" s="431"/>
      <c r="KQ15" s="728"/>
      <c r="KR15" s="733" t="s">
        <v>1215</v>
      </c>
      <c r="KS15" s="733" t="s">
        <v>1215</v>
      </c>
      <c r="KT15" s="733" t="s">
        <v>1215</v>
      </c>
      <c r="KU15" s="733" t="s">
        <v>1215</v>
      </c>
      <c r="KV15" s="733" t="s">
        <v>1215</v>
      </c>
      <c r="KW15" s="733" t="s">
        <v>1215</v>
      </c>
      <c r="KX15" s="733" t="s">
        <v>1215</v>
      </c>
      <c r="KY15" s="733" t="s">
        <v>1215</v>
      </c>
      <c r="KZ15" s="733" t="s">
        <v>1215</v>
      </c>
      <c r="LA15" s="733" t="s">
        <v>1215</v>
      </c>
      <c r="LB15" s="733" t="s">
        <v>1215</v>
      </c>
      <c r="LC15" s="733" t="s">
        <v>1215</v>
      </c>
      <c r="LD15" s="733" t="s">
        <v>1215</v>
      </c>
      <c r="LE15" s="733" t="s">
        <v>1215</v>
      </c>
      <c r="LF15" s="733" t="s">
        <v>1215</v>
      </c>
      <c r="LG15" s="733" t="s">
        <v>1215</v>
      </c>
      <c r="LH15" s="733" t="s">
        <v>1215</v>
      </c>
      <c r="LI15" s="733" t="s">
        <v>1215</v>
      </c>
      <c r="LJ15" s="733" t="s">
        <v>1215</v>
      </c>
      <c r="LK15" s="733" t="s">
        <v>1215</v>
      </c>
      <c r="LL15" s="733" t="s">
        <v>1215</v>
      </c>
      <c r="LM15" s="733" t="s">
        <v>1215</v>
      </c>
      <c r="LN15" s="733" t="s">
        <v>1215</v>
      </c>
      <c r="LO15" s="733" t="s">
        <v>1215</v>
      </c>
      <c r="LP15" s="733" t="s">
        <v>1215</v>
      </c>
      <c r="LQ15" s="733" t="s">
        <v>1215</v>
      </c>
      <c r="LR15" s="733" t="s">
        <v>1215</v>
      </c>
      <c r="LS15" s="733" t="s">
        <v>1215</v>
      </c>
      <c r="LT15" s="734"/>
      <c r="LU15" s="611" t="s">
        <v>1215</v>
      </c>
      <c r="LV15" s="588" t="s">
        <v>1215</v>
      </c>
      <c r="LW15" s="611" t="s">
        <v>1215</v>
      </c>
      <c r="LX15" s="611" t="s">
        <v>1215</v>
      </c>
      <c r="LY15" s="611" t="s">
        <v>1215</v>
      </c>
      <c r="LZ15" s="611" t="s">
        <v>1215</v>
      </c>
      <c r="MA15" s="611" t="s">
        <v>1215</v>
      </c>
      <c r="MB15" s="611" t="s">
        <v>1215</v>
      </c>
      <c r="MC15" s="611" t="s">
        <v>1215</v>
      </c>
      <c r="MD15" s="588" t="s">
        <v>1215</v>
      </c>
      <c r="ME15" s="611" t="s">
        <v>1215</v>
      </c>
      <c r="MF15" s="588" t="s">
        <v>1215</v>
      </c>
      <c r="MG15" s="611" t="s">
        <v>1216</v>
      </c>
      <c r="MH15" s="588" t="s">
        <v>1216</v>
      </c>
      <c r="MI15" s="610" t="s">
        <v>1215</v>
      </c>
      <c r="MJ15" s="588" t="s">
        <v>1215</v>
      </c>
      <c r="MK15" s="611" t="s">
        <v>1216</v>
      </c>
      <c r="ML15" s="611" t="s">
        <v>1215</v>
      </c>
      <c r="MM15" s="611" t="s">
        <v>1216</v>
      </c>
      <c r="MN15" s="611" t="s">
        <v>1215</v>
      </c>
      <c r="MO15" s="611" t="s">
        <v>1216</v>
      </c>
      <c r="MP15" s="611" t="s">
        <v>1215</v>
      </c>
      <c r="MQ15" s="611" t="s">
        <v>1216</v>
      </c>
      <c r="MR15" s="611" t="s">
        <v>1215</v>
      </c>
      <c r="MS15" s="611" t="s">
        <v>1216</v>
      </c>
      <c r="MT15" s="611" t="s">
        <v>1215</v>
      </c>
      <c r="MU15" s="611" t="s">
        <v>1216</v>
      </c>
      <c r="MV15" s="611" t="s">
        <v>1215</v>
      </c>
      <c r="MW15" s="588" t="s">
        <v>1215</v>
      </c>
      <c r="MX15" s="436" t="s">
        <v>1215</v>
      </c>
      <c r="MY15" s="436" t="s">
        <v>1215</v>
      </c>
      <c r="MZ15" s="436" t="s">
        <v>1215</v>
      </c>
      <c r="NA15" s="436" t="s">
        <v>1216</v>
      </c>
      <c r="NB15" s="436" t="s">
        <v>1215</v>
      </c>
      <c r="NC15" s="436" t="s">
        <v>1215</v>
      </c>
      <c r="ND15" s="436" t="s">
        <v>1215</v>
      </c>
      <c r="NE15" s="436" t="s">
        <v>1216</v>
      </c>
      <c r="NF15" s="436" t="s">
        <v>1216</v>
      </c>
      <c r="NG15" s="436" t="s">
        <v>1215</v>
      </c>
      <c r="NH15" s="436" t="s">
        <v>1216</v>
      </c>
      <c r="NI15" s="436" t="s">
        <v>1215</v>
      </c>
      <c r="NJ15" s="436" t="s">
        <v>1215</v>
      </c>
      <c r="NK15" s="436" t="s">
        <v>1215</v>
      </c>
      <c r="NL15" s="436" t="s">
        <v>1215</v>
      </c>
      <c r="NM15" s="436" t="s">
        <v>1215</v>
      </c>
      <c r="NN15" s="436" t="s">
        <v>1215</v>
      </c>
      <c r="NO15" s="436" t="s">
        <v>1215</v>
      </c>
      <c r="NP15" s="436" t="s">
        <v>1215</v>
      </c>
      <c r="NQ15" s="436" t="s">
        <v>1215</v>
      </c>
      <c r="NR15" s="436" t="s">
        <v>14</v>
      </c>
      <c r="NS15" s="436" t="s">
        <v>14</v>
      </c>
      <c r="NT15" s="436" t="s">
        <v>14</v>
      </c>
      <c r="NU15" s="436" t="s">
        <v>1215</v>
      </c>
      <c r="NV15" s="436" t="s">
        <v>1215</v>
      </c>
      <c r="NW15" s="436" t="s">
        <v>1216</v>
      </c>
      <c r="NX15" s="436" t="s">
        <v>1216</v>
      </c>
      <c r="NY15" s="436" t="s">
        <v>1215</v>
      </c>
      <c r="NZ15" s="611" t="s">
        <v>1215</v>
      </c>
      <c r="OA15" s="635"/>
      <c r="OB15" s="638" t="s">
        <v>1215</v>
      </c>
      <c r="OC15" s="638" t="s">
        <v>1215</v>
      </c>
      <c r="OD15" s="638" t="s">
        <v>1215</v>
      </c>
      <c r="OE15" s="638" t="s">
        <v>1215</v>
      </c>
      <c r="OF15" s="638" t="s">
        <v>1215</v>
      </c>
      <c r="OG15" s="638" t="s">
        <v>1215</v>
      </c>
      <c r="OH15" s="638" t="s">
        <v>1215</v>
      </c>
      <c r="OI15" s="638" t="s">
        <v>1215</v>
      </c>
      <c r="OJ15" s="638" t="s">
        <v>1215</v>
      </c>
      <c r="OK15" s="638" t="s">
        <v>1215</v>
      </c>
      <c r="OL15" s="638" t="s">
        <v>1215</v>
      </c>
      <c r="OM15" s="638" t="s">
        <v>1215</v>
      </c>
      <c r="ON15" s="635"/>
      <c r="OO15" s="638" t="s">
        <v>1215</v>
      </c>
      <c r="OP15" s="638" t="s">
        <v>1215</v>
      </c>
      <c r="OQ15" s="638" t="s">
        <v>1215</v>
      </c>
      <c r="OR15" s="638" t="s">
        <v>1215</v>
      </c>
      <c r="OS15" s="638" t="s">
        <v>1215</v>
      </c>
      <c r="OT15" s="638" t="s">
        <v>1215</v>
      </c>
      <c r="OU15" s="638" t="s">
        <v>1215</v>
      </c>
      <c r="OV15" s="638" t="s">
        <v>1215</v>
      </c>
      <c r="OW15" s="638" t="s">
        <v>1215</v>
      </c>
      <c r="OX15" s="638" t="s">
        <v>1215</v>
      </c>
      <c r="OY15" s="638" t="s">
        <v>1215</v>
      </c>
      <c r="OZ15" s="638" t="s">
        <v>1215</v>
      </c>
      <c r="PA15" s="638" t="s">
        <v>1215</v>
      </c>
      <c r="PB15" s="638" t="s">
        <v>1215</v>
      </c>
      <c r="PC15" s="638" t="s">
        <v>1215</v>
      </c>
      <c r="PD15" s="638" t="s">
        <v>1215</v>
      </c>
      <c r="PE15" s="638" t="s">
        <v>1215</v>
      </c>
      <c r="PF15" s="638" t="s">
        <v>1215</v>
      </c>
      <c r="PG15" s="638" t="s">
        <v>1215</v>
      </c>
      <c r="PH15" s="640" t="s">
        <v>1215</v>
      </c>
      <c r="PI15" s="666" t="s">
        <v>1216</v>
      </c>
      <c r="PJ15" s="666" t="s">
        <v>1215</v>
      </c>
      <c r="PK15" s="666" t="s">
        <v>1215</v>
      </c>
      <c r="PL15" s="420" t="s">
        <v>1215</v>
      </c>
      <c r="PM15" s="420" t="s">
        <v>1215</v>
      </c>
      <c r="PN15" s="420" t="s">
        <v>1215</v>
      </c>
      <c r="PO15" s="550" t="s">
        <v>1215</v>
      </c>
    </row>
    <row r="16" spans="1:431" s="380" customFormat="1" ht="23.25" customHeight="1">
      <c r="A16" s="418" t="s">
        <v>1217</v>
      </c>
      <c r="B16" s="623" t="s">
        <v>898</v>
      </c>
      <c r="C16" s="380" t="s">
        <v>420</v>
      </c>
      <c r="D16" s="380" t="s">
        <v>1218</v>
      </c>
      <c r="G16" s="536"/>
      <c r="H16" s="419">
        <v>28</v>
      </c>
      <c r="I16" s="419">
        <v>28</v>
      </c>
      <c r="J16" s="419">
        <v>28</v>
      </c>
      <c r="K16" s="420">
        <v>218</v>
      </c>
      <c r="L16" s="420">
        <v>218</v>
      </c>
      <c r="M16" s="420">
        <v>218</v>
      </c>
      <c r="N16" s="420">
        <v>34</v>
      </c>
      <c r="O16" s="420">
        <v>34</v>
      </c>
      <c r="P16" s="420">
        <v>97</v>
      </c>
      <c r="Q16" s="420">
        <v>97</v>
      </c>
      <c r="R16" s="420">
        <v>763</v>
      </c>
      <c r="S16" s="420">
        <v>763</v>
      </c>
      <c r="T16" s="420">
        <v>224</v>
      </c>
      <c r="U16" s="420"/>
      <c r="V16" s="420"/>
      <c r="W16" s="420"/>
      <c r="X16" s="420"/>
      <c r="Y16" s="420"/>
      <c r="Z16" s="420"/>
      <c r="AA16" s="420"/>
      <c r="AB16" s="420"/>
      <c r="AC16" s="420"/>
      <c r="AD16" s="420"/>
      <c r="AE16" s="420"/>
      <c r="AF16" s="420"/>
      <c r="AG16" s="420"/>
      <c r="AH16" s="420"/>
      <c r="AI16" s="420"/>
      <c r="AJ16" s="420"/>
      <c r="AK16" s="420"/>
      <c r="AL16" s="420"/>
      <c r="AM16" s="420"/>
      <c r="AN16" s="420"/>
      <c r="AO16" s="420"/>
      <c r="AP16" s="420"/>
      <c r="AQ16" s="420"/>
      <c r="AR16" s="420"/>
      <c r="AS16" s="420"/>
      <c r="AT16" s="420">
        <v>255</v>
      </c>
      <c r="AU16" s="420">
        <v>255</v>
      </c>
      <c r="AV16" s="420">
        <v>255</v>
      </c>
      <c r="AW16" s="420">
        <v>255</v>
      </c>
      <c r="AX16" s="420">
        <v>255</v>
      </c>
      <c r="AY16" s="420">
        <v>255</v>
      </c>
      <c r="AZ16" s="420">
        <v>255</v>
      </c>
      <c r="BA16" s="420">
        <v>255</v>
      </c>
      <c r="BB16" s="420">
        <v>255</v>
      </c>
      <c r="BC16" s="420">
        <v>255</v>
      </c>
      <c r="BD16" s="420">
        <v>80</v>
      </c>
      <c r="BE16" s="420">
        <v>80</v>
      </c>
      <c r="BF16" s="420">
        <v>80</v>
      </c>
      <c r="BG16" s="420">
        <v>80</v>
      </c>
      <c r="BH16" s="420">
        <v>1497</v>
      </c>
      <c r="BI16" s="420">
        <v>1497</v>
      </c>
      <c r="BJ16" s="420">
        <v>1497</v>
      </c>
      <c r="BK16" s="420">
        <v>1497</v>
      </c>
      <c r="BL16" s="420">
        <v>1497</v>
      </c>
      <c r="BM16" s="420">
        <v>1497</v>
      </c>
      <c r="BN16" s="420">
        <v>1497</v>
      </c>
      <c r="BO16" s="420">
        <v>1497</v>
      </c>
      <c r="BP16" s="420">
        <v>1497</v>
      </c>
      <c r="BQ16" s="420">
        <v>1497</v>
      </c>
      <c r="BR16" s="420">
        <v>1497</v>
      </c>
      <c r="BS16" s="420">
        <v>28</v>
      </c>
      <c r="BT16" s="420">
        <v>4763</v>
      </c>
      <c r="BU16" s="420">
        <v>4763</v>
      </c>
      <c r="BV16" s="420">
        <v>4763</v>
      </c>
      <c r="BW16" s="420">
        <v>4763</v>
      </c>
      <c r="BX16" s="420">
        <v>4763</v>
      </c>
      <c r="BY16" s="420">
        <v>4763</v>
      </c>
      <c r="BZ16" s="420">
        <v>4763</v>
      </c>
      <c r="CA16" s="420">
        <v>4763</v>
      </c>
      <c r="CB16" s="420">
        <v>4297</v>
      </c>
      <c r="CC16" s="858">
        <v>4297</v>
      </c>
      <c r="CD16" s="420">
        <v>4297</v>
      </c>
      <c r="CE16" s="420">
        <v>4297</v>
      </c>
      <c r="CF16" s="420">
        <v>4297</v>
      </c>
      <c r="CG16" s="420">
        <v>4297</v>
      </c>
      <c r="CH16" s="420">
        <v>1971</v>
      </c>
      <c r="CI16" s="420">
        <v>1971</v>
      </c>
      <c r="CJ16" s="420">
        <v>1971</v>
      </c>
      <c r="CK16" s="420">
        <v>1971</v>
      </c>
      <c r="CL16" s="420">
        <v>1971</v>
      </c>
      <c r="CM16" s="420">
        <v>1971</v>
      </c>
      <c r="CN16" s="420">
        <v>1971</v>
      </c>
      <c r="CO16" s="420">
        <v>1971</v>
      </c>
      <c r="CP16" s="420">
        <v>5259</v>
      </c>
      <c r="CQ16" s="420">
        <v>5259</v>
      </c>
      <c r="CR16" s="420">
        <v>5259</v>
      </c>
      <c r="CS16" s="420">
        <v>5259</v>
      </c>
      <c r="CT16" s="420">
        <v>5259</v>
      </c>
      <c r="CU16" s="420">
        <v>5259</v>
      </c>
      <c r="CV16" s="420">
        <v>5259</v>
      </c>
      <c r="CW16" s="420">
        <v>5259</v>
      </c>
      <c r="CX16" s="420">
        <v>5259</v>
      </c>
      <c r="CY16" s="420">
        <v>5259</v>
      </c>
      <c r="CZ16" s="420"/>
      <c r="DA16" s="420"/>
      <c r="DB16" s="420"/>
      <c r="DC16" s="420"/>
      <c r="DD16" s="420"/>
      <c r="DE16" s="420"/>
      <c r="DF16" s="420"/>
      <c r="DG16" s="420"/>
      <c r="DH16" s="420"/>
      <c r="DI16" s="420"/>
      <c r="DJ16" s="420"/>
      <c r="DK16" s="420"/>
      <c r="DL16" s="420"/>
      <c r="DM16" s="420"/>
      <c r="DN16" s="420"/>
      <c r="DO16" s="420"/>
      <c r="DP16" s="420"/>
      <c r="DQ16" s="420"/>
      <c r="DR16" s="420"/>
      <c r="DS16" s="537"/>
      <c r="DT16" s="666">
        <v>72</v>
      </c>
      <c r="DU16" s="584">
        <v>69</v>
      </c>
      <c r="DV16" s="422">
        <v>174</v>
      </c>
      <c r="DW16" s="422">
        <v>337</v>
      </c>
      <c r="DX16" s="422">
        <v>337</v>
      </c>
      <c r="DY16" s="422">
        <v>337</v>
      </c>
      <c r="DZ16" s="596"/>
      <c r="EA16" s="422">
        <v>155</v>
      </c>
      <c r="EB16" s="422">
        <v>155</v>
      </c>
      <c r="EC16" s="596"/>
      <c r="ED16" s="422">
        <v>407</v>
      </c>
      <c r="EE16" s="422">
        <v>407</v>
      </c>
      <c r="EF16" s="422">
        <v>164</v>
      </c>
      <c r="EG16" s="422">
        <v>164</v>
      </c>
      <c r="EH16" s="422">
        <v>1245</v>
      </c>
      <c r="EI16" s="422">
        <v>1245</v>
      </c>
      <c r="EJ16" s="422">
        <v>1245</v>
      </c>
      <c r="EK16" s="422">
        <v>1245</v>
      </c>
      <c r="EL16" s="596"/>
      <c r="EM16" s="422">
        <v>30</v>
      </c>
      <c r="EN16" s="422">
        <v>991</v>
      </c>
      <c r="EO16" s="422">
        <v>104</v>
      </c>
      <c r="EP16" s="422">
        <v>1113</v>
      </c>
      <c r="EQ16" s="422">
        <v>486</v>
      </c>
      <c r="ER16" s="422">
        <v>389</v>
      </c>
      <c r="ES16" s="422">
        <v>69</v>
      </c>
      <c r="ET16" s="422">
        <v>1128</v>
      </c>
      <c r="EU16" s="422">
        <v>1128</v>
      </c>
      <c r="EV16" s="422">
        <v>22</v>
      </c>
      <c r="EW16" s="422">
        <v>4989</v>
      </c>
      <c r="EX16" s="422"/>
      <c r="EY16" s="422">
        <v>52</v>
      </c>
      <c r="EZ16" s="422">
        <v>52</v>
      </c>
      <c r="FA16" s="422">
        <v>505</v>
      </c>
      <c r="FB16" s="422">
        <v>122</v>
      </c>
      <c r="FC16" s="422" t="s">
        <v>1219</v>
      </c>
      <c r="FD16" s="422" t="s">
        <v>1219</v>
      </c>
      <c r="FE16" s="596"/>
      <c r="FF16" s="422">
        <v>167</v>
      </c>
      <c r="FG16" s="422">
        <v>9</v>
      </c>
      <c r="FH16" s="422">
        <v>29</v>
      </c>
      <c r="FI16" s="422">
        <v>29</v>
      </c>
      <c r="FJ16" s="422">
        <v>225</v>
      </c>
      <c r="FK16" s="422">
        <v>225</v>
      </c>
      <c r="FL16" s="422">
        <v>225</v>
      </c>
      <c r="FM16" s="422">
        <v>225</v>
      </c>
      <c r="FN16" s="422">
        <v>225</v>
      </c>
      <c r="FO16" s="422">
        <v>78</v>
      </c>
      <c r="FP16" s="422">
        <v>78</v>
      </c>
      <c r="FQ16" s="422">
        <v>78</v>
      </c>
      <c r="FR16" s="422">
        <v>78</v>
      </c>
      <c r="FS16" s="422">
        <v>78</v>
      </c>
      <c r="FT16" s="422">
        <v>13</v>
      </c>
      <c r="FU16" s="422">
        <v>13</v>
      </c>
      <c r="FV16" s="422">
        <v>13</v>
      </c>
      <c r="FW16" s="422">
        <v>13</v>
      </c>
      <c r="FX16" s="422">
        <v>73</v>
      </c>
      <c r="FY16" s="422">
        <v>73</v>
      </c>
      <c r="FZ16" s="422">
        <v>73</v>
      </c>
      <c r="GA16" s="422">
        <v>73</v>
      </c>
      <c r="GB16" s="422">
        <v>73</v>
      </c>
      <c r="GC16" s="422">
        <v>56</v>
      </c>
      <c r="GD16" s="422">
        <v>56</v>
      </c>
      <c r="GE16" s="422">
        <v>56</v>
      </c>
      <c r="GF16" s="422">
        <v>4</v>
      </c>
      <c r="GG16" s="422">
        <v>4</v>
      </c>
      <c r="GH16" s="422">
        <v>45</v>
      </c>
      <c r="GI16" s="422">
        <v>45</v>
      </c>
      <c r="GJ16" s="422">
        <v>45</v>
      </c>
      <c r="GK16" s="422">
        <v>45</v>
      </c>
      <c r="GL16" s="422">
        <v>442</v>
      </c>
      <c r="GM16" s="422">
        <v>442</v>
      </c>
      <c r="GN16" s="422">
        <v>442</v>
      </c>
      <c r="GO16" s="422">
        <v>61</v>
      </c>
      <c r="GP16" s="422">
        <v>61</v>
      </c>
      <c r="GQ16" s="422">
        <v>61</v>
      </c>
      <c r="GR16" s="422">
        <v>126</v>
      </c>
      <c r="GS16" s="422">
        <v>126</v>
      </c>
      <c r="GT16" s="422">
        <v>126</v>
      </c>
      <c r="GU16" s="422">
        <v>6</v>
      </c>
      <c r="GV16" s="422">
        <v>6</v>
      </c>
      <c r="GW16" s="422">
        <v>40</v>
      </c>
      <c r="GX16" s="422">
        <v>40</v>
      </c>
      <c r="GY16" s="422">
        <v>40</v>
      </c>
      <c r="GZ16" s="422">
        <v>40</v>
      </c>
      <c r="HA16" s="422">
        <v>19</v>
      </c>
      <c r="HB16" s="422">
        <v>48</v>
      </c>
      <c r="HC16" s="422">
        <v>107</v>
      </c>
      <c r="HD16" s="596"/>
      <c r="HE16" s="422">
        <v>913</v>
      </c>
      <c r="HF16" s="422">
        <v>913</v>
      </c>
      <c r="HG16" s="422">
        <v>80</v>
      </c>
      <c r="HH16" s="422">
        <v>55</v>
      </c>
      <c r="HI16" s="422">
        <v>55</v>
      </c>
      <c r="HJ16" s="596"/>
      <c r="HK16" s="422">
        <v>128</v>
      </c>
      <c r="HL16" s="422">
        <v>128</v>
      </c>
      <c r="HM16" s="422">
        <v>121</v>
      </c>
      <c r="HN16" s="422">
        <v>121</v>
      </c>
      <c r="HO16" s="422">
        <v>104</v>
      </c>
      <c r="HP16" s="422">
        <v>583</v>
      </c>
      <c r="HQ16" s="422">
        <v>583</v>
      </c>
      <c r="HR16" s="422">
        <v>280</v>
      </c>
      <c r="HS16" s="422">
        <v>280</v>
      </c>
      <c r="HT16" s="422">
        <v>280</v>
      </c>
      <c r="HU16" s="422">
        <v>38</v>
      </c>
      <c r="HV16" s="422">
        <v>38</v>
      </c>
      <c r="HW16" s="596"/>
      <c r="HX16" s="422">
        <v>88</v>
      </c>
      <c r="HY16" s="422">
        <v>422</v>
      </c>
      <c r="HZ16" s="422">
        <v>88</v>
      </c>
      <c r="IA16" s="422">
        <v>422</v>
      </c>
      <c r="IB16" s="422">
        <v>88</v>
      </c>
      <c r="IC16" s="422">
        <v>88</v>
      </c>
      <c r="ID16" s="422">
        <v>60</v>
      </c>
      <c r="IE16" s="422">
        <v>60</v>
      </c>
      <c r="IF16" s="422">
        <v>60</v>
      </c>
      <c r="IG16" s="422">
        <v>61</v>
      </c>
      <c r="IH16" s="422">
        <v>837</v>
      </c>
      <c r="II16" s="422">
        <v>318</v>
      </c>
      <c r="IJ16" s="596"/>
      <c r="IK16" s="422">
        <v>329</v>
      </c>
      <c r="IL16" s="422">
        <v>592</v>
      </c>
      <c r="IM16" s="422">
        <v>84</v>
      </c>
      <c r="IN16" s="478"/>
      <c r="IO16" s="424">
        <v>226</v>
      </c>
      <c r="IP16" s="617"/>
      <c r="IQ16" s="425"/>
      <c r="IR16" s="425">
        <v>709</v>
      </c>
      <c r="IS16" s="425"/>
      <c r="IT16" s="425"/>
      <c r="IU16" s="425"/>
      <c r="IV16" s="425"/>
      <c r="IW16" s="425"/>
      <c r="IX16" s="425"/>
      <c r="IY16" s="425"/>
      <c r="IZ16" s="425"/>
      <c r="JA16" s="425"/>
      <c r="JB16" s="425"/>
      <c r="JC16" s="425"/>
      <c r="JD16" s="425"/>
      <c r="JE16" s="425"/>
      <c r="JF16" s="425"/>
      <c r="JG16" s="425"/>
      <c r="JH16" s="425"/>
      <c r="JI16" s="425"/>
      <c r="JJ16" s="538"/>
      <c r="JK16" s="427">
        <v>25</v>
      </c>
      <c r="JL16" s="428">
        <v>245</v>
      </c>
      <c r="JM16" s="428">
        <v>191</v>
      </c>
      <c r="JN16" s="428">
        <v>191</v>
      </c>
      <c r="JO16" s="428">
        <v>815</v>
      </c>
      <c r="JP16" s="428">
        <v>815</v>
      </c>
      <c r="JQ16" s="428">
        <v>568</v>
      </c>
      <c r="JR16" s="428">
        <v>568</v>
      </c>
      <c r="JS16" s="428">
        <v>568</v>
      </c>
      <c r="JT16" s="428">
        <v>568</v>
      </c>
      <c r="JU16" s="428">
        <v>568</v>
      </c>
      <c r="JV16" s="428">
        <v>172</v>
      </c>
      <c r="JW16" s="428">
        <v>172</v>
      </c>
      <c r="JX16" s="428">
        <v>172</v>
      </c>
      <c r="JY16" s="428"/>
      <c r="JZ16" s="428"/>
      <c r="KA16" s="428"/>
      <c r="KB16" s="428"/>
      <c r="KC16" s="428"/>
      <c r="KD16" s="428"/>
      <c r="KE16" s="428"/>
      <c r="KF16" s="428"/>
      <c r="KG16" s="428"/>
      <c r="KH16" s="428"/>
      <c r="KI16" s="428">
        <v>797</v>
      </c>
      <c r="KJ16" s="484"/>
      <c r="KK16" s="430">
        <v>32</v>
      </c>
      <c r="KL16" s="545"/>
      <c r="KM16" s="431">
        <v>58</v>
      </c>
      <c r="KN16" s="431"/>
      <c r="KO16" s="431"/>
      <c r="KP16" s="431"/>
      <c r="KQ16" s="487"/>
      <c r="KR16" s="413"/>
      <c r="KS16" s="559">
        <v>259</v>
      </c>
      <c r="KT16" s="414">
        <v>259</v>
      </c>
      <c r="KU16" s="414">
        <v>259</v>
      </c>
      <c r="KV16" s="414">
        <v>259</v>
      </c>
      <c r="KW16" s="414">
        <v>259</v>
      </c>
      <c r="KX16" s="414">
        <v>259</v>
      </c>
      <c r="KY16" s="414">
        <v>259</v>
      </c>
      <c r="KZ16" s="414">
        <v>259</v>
      </c>
      <c r="LA16" s="414">
        <v>259</v>
      </c>
      <c r="LB16" s="414">
        <v>259</v>
      </c>
      <c r="LC16" s="414">
        <v>369</v>
      </c>
      <c r="LD16" s="414">
        <v>369</v>
      </c>
      <c r="LE16" s="414">
        <v>369</v>
      </c>
      <c r="LF16" s="414">
        <v>369</v>
      </c>
      <c r="LG16" s="414">
        <v>369</v>
      </c>
      <c r="LH16" s="414">
        <v>369</v>
      </c>
      <c r="LI16" s="414">
        <v>9</v>
      </c>
      <c r="LJ16" s="414"/>
      <c r="LK16" s="414"/>
      <c r="LL16" s="414"/>
      <c r="LM16" s="414"/>
      <c r="LN16" s="414"/>
      <c r="LO16" s="414"/>
      <c r="LP16" s="414"/>
      <c r="LQ16" s="414"/>
      <c r="LR16" s="414"/>
      <c r="LS16" s="414"/>
      <c r="LT16" s="738"/>
      <c r="LU16" s="611">
        <v>556</v>
      </c>
      <c r="LV16" s="435">
        <v>556</v>
      </c>
      <c r="LW16" s="435">
        <v>556</v>
      </c>
      <c r="LX16" s="435">
        <v>556</v>
      </c>
      <c r="LY16" s="435">
        <v>556</v>
      </c>
      <c r="LZ16" s="435">
        <v>556</v>
      </c>
      <c r="MA16" s="435">
        <v>556</v>
      </c>
      <c r="MB16" s="435">
        <v>556</v>
      </c>
      <c r="MC16" s="435">
        <v>556</v>
      </c>
      <c r="MD16" s="435">
        <v>556</v>
      </c>
      <c r="ME16" s="435">
        <v>556</v>
      </c>
      <c r="MF16" s="435">
        <v>556</v>
      </c>
      <c r="MG16" s="435">
        <v>556</v>
      </c>
      <c r="MH16" s="435">
        <v>556</v>
      </c>
      <c r="MI16" s="435">
        <v>556</v>
      </c>
      <c r="MJ16" s="435">
        <v>556</v>
      </c>
      <c r="MK16" s="435">
        <v>556</v>
      </c>
      <c r="ML16" s="435">
        <v>556</v>
      </c>
      <c r="MM16" s="435">
        <v>556</v>
      </c>
      <c r="MN16" s="435">
        <v>556</v>
      </c>
      <c r="MO16" s="435">
        <v>556</v>
      </c>
      <c r="MP16" s="435">
        <v>556</v>
      </c>
      <c r="MQ16" s="435">
        <v>556</v>
      </c>
      <c r="MR16" s="435">
        <v>556</v>
      </c>
      <c r="MS16" s="435">
        <v>556</v>
      </c>
      <c r="MT16" s="435">
        <v>556</v>
      </c>
      <c r="MU16" s="435">
        <v>556</v>
      </c>
      <c r="MV16" s="611">
        <v>976</v>
      </c>
      <c r="MW16" s="588">
        <v>976</v>
      </c>
      <c r="MX16" s="436">
        <v>976</v>
      </c>
      <c r="MY16" s="436">
        <v>976</v>
      </c>
      <c r="MZ16" s="436">
        <v>976</v>
      </c>
      <c r="NA16" s="436">
        <v>976</v>
      </c>
      <c r="NB16" s="436">
        <v>976</v>
      </c>
      <c r="NC16" s="436">
        <v>976</v>
      </c>
      <c r="ND16" s="436">
        <v>976</v>
      </c>
      <c r="NE16" s="436">
        <v>976</v>
      </c>
      <c r="NF16" s="436">
        <v>976</v>
      </c>
      <c r="NG16" s="436">
        <v>976</v>
      </c>
      <c r="NH16" s="436">
        <v>976</v>
      </c>
      <c r="NI16" s="436">
        <v>976</v>
      </c>
      <c r="NJ16" s="436">
        <v>976</v>
      </c>
      <c r="NK16" s="436">
        <v>976</v>
      </c>
      <c r="NL16" s="436">
        <v>976</v>
      </c>
      <c r="NM16" s="436">
        <v>976</v>
      </c>
      <c r="NN16" s="436">
        <v>976</v>
      </c>
      <c r="NO16" s="436">
        <v>386</v>
      </c>
      <c r="NP16" s="436">
        <v>386</v>
      </c>
      <c r="NQ16" s="436">
        <v>386</v>
      </c>
      <c r="NR16" s="436">
        <v>386</v>
      </c>
      <c r="NS16" s="436">
        <v>386</v>
      </c>
      <c r="NT16" s="436">
        <v>386</v>
      </c>
      <c r="NU16" s="436">
        <v>386</v>
      </c>
      <c r="NV16" s="436">
        <v>200</v>
      </c>
      <c r="NW16" s="436">
        <v>200</v>
      </c>
      <c r="NX16" s="436">
        <v>386</v>
      </c>
      <c r="NY16" s="436"/>
      <c r="NZ16" s="611"/>
      <c r="OA16" s="635"/>
      <c r="OB16" s="639">
        <v>249</v>
      </c>
      <c r="OC16" s="639"/>
      <c r="OD16" s="639"/>
      <c r="OE16" s="639"/>
      <c r="OF16" s="639"/>
      <c r="OG16" s="639"/>
      <c r="OH16" s="639"/>
      <c r="OI16" s="639"/>
      <c r="OJ16" s="639"/>
      <c r="OK16" s="639"/>
      <c r="OL16" s="639"/>
      <c r="OM16" s="639"/>
      <c r="ON16" s="635"/>
      <c r="OO16" s="639"/>
      <c r="OP16" s="639"/>
      <c r="OQ16" s="639"/>
      <c r="OR16" s="639"/>
      <c r="OS16" s="639"/>
      <c r="OT16" s="639"/>
      <c r="OU16" s="639"/>
      <c r="OV16" s="639"/>
      <c r="OW16" s="639"/>
      <c r="OX16" s="639"/>
      <c r="OY16" s="639"/>
      <c r="OZ16" s="639"/>
      <c r="PA16" s="639"/>
      <c r="PB16" s="639"/>
      <c r="PC16" s="639"/>
      <c r="PD16" s="639"/>
      <c r="PE16" s="639"/>
      <c r="PF16" s="639"/>
      <c r="PG16" s="639"/>
      <c r="PH16" s="749"/>
      <c r="PI16" s="666"/>
      <c r="PJ16" s="666"/>
      <c r="PK16" s="666"/>
      <c r="PL16" s="420">
        <v>251</v>
      </c>
      <c r="PM16" s="420"/>
      <c r="PN16" s="420"/>
      <c r="PO16" s="550" t="s">
        <v>1219</v>
      </c>
    </row>
    <row r="17" spans="1:431" ht="15" customHeight="1">
      <c r="A17" s="510" t="s">
        <v>1220</v>
      </c>
      <c r="B17" s="624"/>
      <c r="C17" s="620"/>
      <c r="D17" s="620"/>
      <c r="E17" s="620"/>
      <c r="F17" s="620"/>
      <c r="G17" s="493"/>
      <c r="H17" s="452"/>
      <c r="I17" s="453"/>
      <c r="J17" s="453"/>
      <c r="K17" s="453"/>
      <c r="L17" s="453"/>
      <c r="M17" s="453"/>
      <c r="N17" s="453"/>
      <c r="O17" s="453"/>
      <c r="P17" s="453"/>
      <c r="Q17" s="453"/>
      <c r="R17" s="453"/>
      <c r="S17" s="453"/>
      <c r="T17" s="453"/>
      <c r="U17" s="453"/>
      <c r="V17" s="453"/>
      <c r="W17" s="453"/>
      <c r="X17" s="453"/>
      <c r="Y17" s="453"/>
      <c r="Z17" s="453"/>
      <c r="AA17" s="453"/>
      <c r="AB17" s="453"/>
      <c r="AC17" s="453"/>
      <c r="AD17" s="453"/>
      <c r="AE17" s="453"/>
      <c r="AF17" s="453"/>
      <c r="AG17" s="453"/>
      <c r="AH17" s="453"/>
      <c r="AI17" s="453"/>
      <c r="AJ17" s="453"/>
      <c r="AK17" s="453"/>
      <c r="AL17" s="453"/>
      <c r="AM17" s="453"/>
      <c r="AN17" s="453"/>
      <c r="AO17" s="453"/>
      <c r="AP17" s="453"/>
      <c r="AQ17" s="453"/>
      <c r="AR17" s="453"/>
      <c r="AS17" s="453"/>
      <c r="AT17" s="453"/>
      <c r="AU17" s="453"/>
      <c r="AV17" s="453"/>
      <c r="AW17" s="453"/>
      <c r="AX17" s="453"/>
      <c r="AY17" s="453"/>
      <c r="AZ17" s="453"/>
      <c r="BA17" s="453"/>
      <c r="BB17" s="453"/>
      <c r="BC17" s="453"/>
      <c r="BD17" s="453"/>
      <c r="BE17" s="453"/>
      <c r="BF17" s="453"/>
      <c r="BG17" s="453"/>
      <c r="BH17" s="453"/>
      <c r="BI17" s="453"/>
      <c r="BJ17" s="453"/>
      <c r="BK17" s="453"/>
      <c r="BL17" s="453"/>
      <c r="BM17" s="453"/>
      <c r="BN17" s="453"/>
      <c r="BO17" s="453"/>
      <c r="BP17" s="453"/>
      <c r="BQ17" s="453"/>
      <c r="BR17" s="453"/>
      <c r="BS17" s="453"/>
      <c r="BT17" s="453"/>
      <c r="BU17" s="453"/>
      <c r="BV17" s="453"/>
      <c r="BW17" s="453"/>
      <c r="BX17" s="453"/>
      <c r="BY17" s="453"/>
      <c r="BZ17" s="453"/>
      <c r="CA17" s="453"/>
      <c r="CB17" s="453"/>
      <c r="CC17" s="862"/>
      <c r="CD17" s="453"/>
      <c r="CE17" s="453"/>
      <c r="CF17" s="453"/>
      <c r="CG17" s="453"/>
      <c r="CH17" s="453"/>
      <c r="CI17" s="453"/>
      <c r="CJ17" s="453"/>
      <c r="CK17" s="453"/>
      <c r="CL17" s="453"/>
      <c r="CM17" s="453"/>
      <c r="CN17" s="453"/>
      <c r="CO17" s="453"/>
      <c r="CP17" s="453"/>
      <c r="CQ17" s="453"/>
      <c r="CR17" s="453"/>
      <c r="CS17" s="453"/>
      <c r="CT17" s="453"/>
      <c r="CU17" s="453"/>
      <c r="CV17" s="453"/>
      <c r="CW17" s="453"/>
      <c r="CX17" s="453"/>
      <c r="CY17" s="453"/>
      <c r="CZ17" s="453"/>
      <c r="DA17" s="453"/>
      <c r="DB17" s="453"/>
      <c r="DC17" s="453"/>
      <c r="DD17" s="453"/>
      <c r="DE17" s="453"/>
      <c r="DF17" s="453"/>
      <c r="DG17" s="453"/>
      <c r="DH17" s="453"/>
      <c r="DI17" s="453"/>
      <c r="DJ17" s="453"/>
      <c r="DK17" s="453"/>
      <c r="DL17" s="453"/>
      <c r="DM17" s="453"/>
      <c r="DN17" s="453"/>
      <c r="DO17" s="453"/>
      <c r="DP17" s="453"/>
      <c r="DQ17" s="453"/>
      <c r="DR17" s="453"/>
      <c r="DS17" s="498"/>
      <c r="DT17" s="668"/>
      <c r="DU17" s="453"/>
      <c r="DV17" s="453"/>
      <c r="DW17" s="453"/>
      <c r="DX17" s="453"/>
      <c r="DY17" s="453"/>
      <c r="DZ17" s="541"/>
      <c r="EA17" s="453"/>
      <c r="EB17" s="453"/>
      <c r="EC17" s="541"/>
      <c r="ED17" s="453"/>
      <c r="EE17" s="453"/>
      <c r="EF17" s="453"/>
      <c r="EG17" s="453"/>
      <c r="EH17" s="453"/>
      <c r="EI17" s="453"/>
      <c r="EJ17" s="453"/>
      <c r="EK17" s="453"/>
      <c r="EL17" s="541"/>
      <c r="EM17" s="453"/>
      <c r="EN17" s="453"/>
      <c r="EO17" s="453"/>
      <c r="EP17" s="453"/>
      <c r="EQ17" s="453"/>
      <c r="ER17" s="453"/>
      <c r="ES17" s="453"/>
      <c r="ET17" s="453"/>
      <c r="EU17" s="453"/>
      <c r="EV17" s="453"/>
      <c r="EW17" s="453"/>
      <c r="EX17" s="453"/>
      <c r="EY17" s="453"/>
      <c r="EZ17" s="453"/>
      <c r="FA17" s="453"/>
      <c r="FB17" s="453"/>
      <c r="FC17" s="453"/>
      <c r="FD17" s="453"/>
      <c r="FE17" s="541"/>
      <c r="FF17" s="453"/>
      <c r="FG17" s="453"/>
      <c r="FH17" s="453"/>
      <c r="FI17" s="453"/>
      <c r="FJ17" s="453"/>
      <c r="FK17" s="453"/>
      <c r="FL17" s="453"/>
      <c r="FM17" s="453"/>
      <c r="FN17" s="453"/>
      <c r="FO17" s="453"/>
      <c r="FP17" s="453"/>
      <c r="FQ17" s="453"/>
      <c r="FR17" s="453"/>
      <c r="FS17" s="453"/>
      <c r="FT17" s="453"/>
      <c r="FU17" s="453"/>
      <c r="FV17" s="453"/>
      <c r="FW17" s="453"/>
      <c r="FX17" s="453"/>
      <c r="FY17" s="453"/>
      <c r="FZ17" s="453"/>
      <c r="GA17" s="453"/>
      <c r="GB17" s="453"/>
      <c r="GC17" s="453"/>
      <c r="GD17" s="453"/>
      <c r="GE17" s="453"/>
      <c r="GF17" s="453"/>
      <c r="GG17" s="453"/>
      <c r="GH17" s="453"/>
      <c r="GI17" s="453"/>
      <c r="GJ17" s="453"/>
      <c r="GK17" s="453"/>
      <c r="GL17" s="453"/>
      <c r="GM17" s="453"/>
      <c r="GN17" s="453"/>
      <c r="GO17" s="453"/>
      <c r="GP17" s="453"/>
      <c r="GQ17" s="453"/>
      <c r="GR17" s="453"/>
      <c r="GS17" s="453"/>
      <c r="GT17" s="453"/>
      <c r="GU17" s="453"/>
      <c r="GV17" s="453"/>
      <c r="GW17" s="453"/>
      <c r="GX17" s="453"/>
      <c r="GY17" s="453"/>
      <c r="GZ17" s="453"/>
      <c r="HA17" s="453"/>
      <c r="HB17" s="453"/>
      <c r="HC17" s="453"/>
      <c r="HD17" s="541"/>
      <c r="HE17" s="453"/>
      <c r="HF17" s="453"/>
      <c r="HG17" s="453"/>
      <c r="HH17" s="453"/>
      <c r="HI17" s="453"/>
      <c r="HJ17" s="541"/>
      <c r="HK17" s="453"/>
      <c r="HL17" s="453"/>
      <c r="HM17" s="453"/>
      <c r="HN17" s="453"/>
      <c r="HO17" s="453"/>
      <c r="HP17" s="453"/>
      <c r="HQ17" s="453"/>
      <c r="HR17" s="453"/>
      <c r="HS17" s="453"/>
      <c r="HT17" s="453"/>
      <c r="HU17" s="453"/>
      <c r="HV17" s="453"/>
      <c r="HW17" s="541"/>
      <c r="HX17" s="453"/>
      <c r="HY17" s="453"/>
      <c r="HZ17" s="453"/>
      <c r="IA17" s="453"/>
      <c r="IB17" s="453"/>
      <c r="IC17" s="453"/>
      <c r="ID17" s="453"/>
      <c r="IE17" s="453"/>
      <c r="IF17" s="453"/>
      <c r="IG17" s="453"/>
      <c r="IH17" s="453"/>
      <c r="II17" s="453"/>
      <c r="IJ17" s="541"/>
      <c r="IK17" s="453"/>
      <c r="IL17" s="453"/>
      <c r="IM17" s="453"/>
      <c r="IN17" s="441"/>
      <c r="IO17" s="454"/>
      <c r="IP17" s="455"/>
      <c r="IQ17" s="455"/>
      <c r="IR17" s="455"/>
      <c r="IS17" s="455"/>
      <c r="IT17" s="455"/>
      <c r="IU17" s="455"/>
      <c r="IV17" s="455"/>
      <c r="IW17" s="455"/>
      <c r="IX17" s="455"/>
      <c r="IY17" s="455"/>
      <c r="IZ17" s="455"/>
      <c r="JA17" s="455"/>
      <c r="JB17" s="455"/>
      <c r="JC17" s="455"/>
      <c r="JD17" s="455"/>
      <c r="JE17" s="455"/>
      <c r="JF17" s="455"/>
      <c r="JG17" s="455"/>
      <c r="JH17" s="455"/>
      <c r="JI17" s="455"/>
      <c r="JJ17" s="456"/>
      <c r="JK17" s="454"/>
      <c r="JL17" s="455"/>
      <c r="JM17" s="455"/>
      <c r="JN17" s="455"/>
      <c r="JO17" s="455"/>
      <c r="JP17" s="455"/>
      <c r="JQ17" s="455"/>
      <c r="JR17" s="455"/>
      <c r="JS17" s="455"/>
      <c r="JT17" s="455"/>
      <c r="JU17" s="455"/>
      <c r="JV17" s="455"/>
      <c r="JW17" s="455"/>
      <c r="JX17" s="455"/>
      <c r="JY17" s="455"/>
      <c r="JZ17" s="455"/>
      <c r="KA17" s="455"/>
      <c r="KB17" s="455"/>
      <c r="KC17" s="455"/>
      <c r="KD17" s="455"/>
      <c r="KE17" s="455"/>
      <c r="KF17" s="455"/>
      <c r="KG17" s="455"/>
      <c r="KH17" s="455"/>
      <c r="KI17" s="455"/>
      <c r="KJ17" s="429"/>
      <c r="KK17" s="457"/>
      <c r="KL17" s="455"/>
      <c r="KM17" s="455"/>
      <c r="KN17" s="455"/>
      <c r="KO17" s="455"/>
      <c r="KP17" s="455"/>
      <c r="KQ17" s="458"/>
      <c r="KR17" s="459"/>
      <c r="KS17" s="455"/>
      <c r="KT17" s="455"/>
      <c r="KU17" s="455"/>
      <c r="KV17" s="455"/>
      <c r="KW17" s="455"/>
      <c r="KX17" s="455"/>
      <c r="KY17" s="455"/>
      <c r="KZ17" s="455"/>
      <c r="LA17" s="455"/>
      <c r="LB17" s="455"/>
      <c r="LC17" s="455"/>
      <c r="LD17" s="455"/>
      <c r="LE17" s="455"/>
      <c r="LF17" s="455"/>
      <c r="LG17" s="455"/>
      <c r="LH17" s="455"/>
      <c r="LI17" s="455"/>
      <c r="LJ17" s="455"/>
      <c r="LK17" s="455"/>
      <c r="LL17" s="455"/>
      <c r="LM17" s="455"/>
      <c r="LN17" s="455"/>
      <c r="LO17" s="455"/>
      <c r="LP17" s="455"/>
      <c r="LQ17" s="455"/>
      <c r="LR17" s="455"/>
      <c r="LS17" s="455"/>
      <c r="LT17" s="734"/>
      <c r="LU17" s="512"/>
      <c r="LV17" s="455"/>
      <c r="LW17" s="615"/>
      <c r="LX17" s="615"/>
      <c r="LY17" s="615"/>
      <c r="LZ17" s="615"/>
      <c r="MA17" s="615"/>
      <c r="MB17" s="615"/>
      <c r="MC17" s="615"/>
      <c r="MD17" s="455"/>
      <c r="ME17" s="615"/>
      <c r="MF17" s="455"/>
      <c r="MG17" s="615"/>
      <c r="MH17" s="455"/>
      <c r="MI17" s="615"/>
      <c r="MJ17" s="455"/>
      <c r="MK17" s="615"/>
      <c r="ML17" s="615"/>
      <c r="MM17" s="615"/>
      <c r="MN17" s="615"/>
      <c r="MO17" s="615"/>
      <c r="MP17" s="615"/>
      <c r="MQ17" s="615"/>
      <c r="MR17" s="615"/>
      <c r="MS17" s="615"/>
      <c r="MT17" s="615"/>
      <c r="MU17" s="615"/>
      <c r="MV17" s="615"/>
      <c r="MW17" s="455"/>
      <c r="MX17" s="455"/>
      <c r="MY17" s="455"/>
      <c r="MZ17" s="455"/>
      <c r="NA17" s="455"/>
      <c r="NB17" s="455"/>
      <c r="NC17" s="455"/>
      <c r="ND17" s="455"/>
      <c r="NE17" s="455"/>
      <c r="NF17" s="455"/>
      <c r="NG17" s="455"/>
      <c r="NH17" s="455"/>
      <c r="NI17" s="455"/>
      <c r="NJ17" s="455"/>
      <c r="NK17" s="455"/>
      <c r="NL17" s="455"/>
      <c r="NM17" s="455"/>
      <c r="NN17" s="455"/>
      <c r="NO17" s="455"/>
      <c r="NP17" s="455"/>
      <c r="NQ17" s="455"/>
      <c r="NR17" s="455"/>
      <c r="NS17" s="455"/>
      <c r="NT17" s="455"/>
      <c r="NU17" s="455"/>
      <c r="NV17" s="455"/>
      <c r="NW17" s="455"/>
      <c r="NX17" s="455"/>
      <c r="NY17" s="455"/>
      <c r="NZ17" s="512"/>
      <c r="OA17" s="635"/>
      <c r="OB17" s="637"/>
      <c r="OC17" s="637"/>
      <c r="OD17" s="637"/>
      <c r="OE17" s="637"/>
      <c r="OF17" s="637"/>
      <c r="OG17" s="637"/>
      <c r="OH17" s="637"/>
      <c r="OI17" s="637"/>
      <c r="OJ17" s="637"/>
      <c r="OK17" s="637"/>
      <c r="OL17" s="637"/>
      <c r="OM17" s="637"/>
      <c r="ON17" s="635"/>
      <c r="OO17" s="637"/>
      <c r="OP17" s="637"/>
      <c r="OQ17" s="637"/>
      <c r="OR17" s="637"/>
      <c r="OS17" s="637"/>
      <c r="OT17" s="637"/>
      <c r="OU17" s="637"/>
      <c r="OV17" s="637"/>
      <c r="OW17" s="637"/>
      <c r="OX17" s="637"/>
      <c r="OY17" s="637"/>
      <c r="OZ17" s="637"/>
      <c r="PA17" s="637"/>
      <c r="PB17" s="637"/>
      <c r="PC17" s="637"/>
      <c r="PD17" s="637"/>
      <c r="PE17" s="637"/>
      <c r="PF17" s="637"/>
      <c r="PG17" s="637"/>
      <c r="PH17" s="641"/>
      <c r="PI17" s="668"/>
      <c r="PJ17" s="668"/>
      <c r="PK17" s="668"/>
      <c r="PL17" s="668"/>
      <c r="PM17" s="668"/>
      <c r="PN17" s="668"/>
      <c r="PO17" s="756"/>
    </row>
    <row r="18" spans="1:431">
      <c r="A18" s="418" t="s">
        <v>1221</v>
      </c>
      <c r="B18" s="623" t="s">
        <v>898</v>
      </c>
      <c r="C18" s="380" t="s">
        <v>438</v>
      </c>
      <c r="D18" s="380" t="s">
        <v>439</v>
      </c>
      <c r="E18" s="380" t="s">
        <v>1222</v>
      </c>
      <c r="G18" s="493"/>
      <c r="H18" s="400">
        <v>375</v>
      </c>
      <c r="I18" s="401">
        <v>375</v>
      </c>
      <c r="J18" s="401">
        <v>375</v>
      </c>
      <c r="K18" s="400">
        <v>375</v>
      </c>
      <c r="L18" s="401">
        <v>375</v>
      </c>
      <c r="M18" s="401">
        <v>375</v>
      </c>
      <c r="N18" s="401">
        <v>375</v>
      </c>
      <c r="O18" s="401">
        <v>375</v>
      </c>
      <c r="P18" s="401">
        <v>440</v>
      </c>
      <c r="Q18" s="401">
        <v>440</v>
      </c>
      <c r="R18" s="401">
        <v>440</v>
      </c>
      <c r="S18" s="401">
        <v>440</v>
      </c>
      <c r="T18" s="401">
        <v>440</v>
      </c>
      <c r="U18" s="401">
        <v>323</v>
      </c>
      <c r="V18" s="401">
        <v>345</v>
      </c>
      <c r="W18" s="401">
        <v>345</v>
      </c>
      <c r="X18" s="401">
        <v>345</v>
      </c>
      <c r="Y18" s="401">
        <v>345</v>
      </c>
      <c r="Z18" s="401">
        <v>345</v>
      </c>
      <c r="AA18" s="401">
        <v>345</v>
      </c>
      <c r="AB18" s="401">
        <v>345</v>
      </c>
      <c r="AC18" s="401">
        <v>345</v>
      </c>
      <c r="AD18" s="401">
        <v>345</v>
      </c>
      <c r="AE18" s="401">
        <v>345</v>
      </c>
      <c r="AF18" s="401">
        <v>345</v>
      </c>
      <c r="AG18" s="401">
        <v>345</v>
      </c>
      <c r="AH18" s="401">
        <v>361</v>
      </c>
      <c r="AI18" s="401">
        <v>361</v>
      </c>
      <c r="AJ18" s="401">
        <v>361</v>
      </c>
      <c r="AK18" s="401">
        <v>361</v>
      </c>
      <c r="AL18" s="401">
        <v>361</v>
      </c>
      <c r="AM18" s="401">
        <v>361</v>
      </c>
      <c r="AN18" s="401">
        <v>145</v>
      </c>
      <c r="AO18" s="401"/>
      <c r="AP18" s="401"/>
      <c r="AQ18" s="401"/>
      <c r="AR18" s="401"/>
      <c r="AS18" s="401"/>
      <c r="AT18" s="401">
        <v>275</v>
      </c>
      <c r="AU18" s="401">
        <v>155</v>
      </c>
      <c r="AV18" s="401">
        <v>275</v>
      </c>
      <c r="AW18" s="401">
        <v>275</v>
      </c>
      <c r="AX18" s="401">
        <v>275</v>
      </c>
      <c r="AY18" s="401">
        <v>275</v>
      </c>
      <c r="AZ18" s="401">
        <v>275</v>
      </c>
      <c r="BA18" s="401">
        <v>275</v>
      </c>
      <c r="BB18" s="401">
        <v>275</v>
      </c>
      <c r="BC18" s="401">
        <v>275</v>
      </c>
      <c r="BD18" s="401">
        <v>136</v>
      </c>
      <c r="BE18" s="401">
        <v>136</v>
      </c>
      <c r="BF18" s="401">
        <v>136</v>
      </c>
      <c r="BG18" s="401">
        <v>136</v>
      </c>
      <c r="BH18" s="401">
        <v>145</v>
      </c>
      <c r="BI18" s="401">
        <v>145</v>
      </c>
      <c r="BJ18" s="401">
        <v>145</v>
      </c>
      <c r="BK18" s="401">
        <v>145</v>
      </c>
      <c r="BL18" s="401">
        <v>145</v>
      </c>
      <c r="BM18" s="401">
        <v>145</v>
      </c>
      <c r="BN18" s="401">
        <v>145</v>
      </c>
      <c r="BO18" s="401">
        <v>145</v>
      </c>
      <c r="BP18" s="401">
        <v>145</v>
      </c>
      <c r="BQ18" s="401">
        <v>145</v>
      </c>
      <c r="BR18" s="401">
        <v>145</v>
      </c>
      <c r="BS18" s="401">
        <v>50</v>
      </c>
      <c r="BT18" s="401">
        <v>180</v>
      </c>
      <c r="BU18" s="401">
        <v>180</v>
      </c>
      <c r="BV18" s="401">
        <v>180</v>
      </c>
      <c r="BW18" s="401">
        <v>180</v>
      </c>
      <c r="BX18" s="401">
        <v>180</v>
      </c>
      <c r="BY18" s="401">
        <v>180</v>
      </c>
      <c r="BZ18" s="401">
        <v>180</v>
      </c>
      <c r="CA18" s="401">
        <v>180</v>
      </c>
      <c r="CB18" s="401">
        <v>180</v>
      </c>
      <c r="CC18" s="857">
        <v>180</v>
      </c>
      <c r="CD18" s="401">
        <v>180</v>
      </c>
      <c r="CE18" s="401">
        <v>180</v>
      </c>
      <c r="CF18" s="401">
        <v>180</v>
      </c>
      <c r="CG18" s="401">
        <v>180</v>
      </c>
      <c r="CH18" s="401">
        <v>220</v>
      </c>
      <c r="CI18" s="401">
        <v>220</v>
      </c>
      <c r="CJ18" s="401">
        <v>220</v>
      </c>
      <c r="CK18" s="401">
        <v>220</v>
      </c>
      <c r="CL18" s="401">
        <v>220</v>
      </c>
      <c r="CM18" s="401">
        <v>220</v>
      </c>
      <c r="CN18" s="401">
        <v>220</v>
      </c>
      <c r="CO18" s="401">
        <v>220</v>
      </c>
      <c r="CP18" s="401">
        <v>244</v>
      </c>
      <c r="CQ18" s="401">
        <v>244</v>
      </c>
      <c r="CR18" s="401">
        <v>244</v>
      </c>
      <c r="CS18" s="401">
        <v>244</v>
      </c>
      <c r="CT18" s="401">
        <v>244</v>
      </c>
      <c r="CU18" s="401">
        <v>244</v>
      </c>
      <c r="CV18" s="401">
        <v>244</v>
      </c>
      <c r="CW18" s="401">
        <v>244</v>
      </c>
      <c r="CX18" s="401">
        <v>244</v>
      </c>
      <c r="CY18" s="401">
        <v>244</v>
      </c>
      <c r="CZ18" s="401">
        <v>375</v>
      </c>
      <c r="DA18" s="401">
        <v>375</v>
      </c>
      <c r="DB18" s="401">
        <v>375</v>
      </c>
      <c r="DC18" s="401">
        <v>375</v>
      </c>
      <c r="DD18" s="401">
        <v>375</v>
      </c>
      <c r="DE18" s="401">
        <v>375</v>
      </c>
      <c r="DF18" s="401">
        <v>375</v>
      </c>
      <c r="DG18" s="401">
        <v>375</v>
      </c>
      <c r="DH18" s="401">
        <v>375</v>
      </c>
      <c r="DI18" s="401">
        <v>375</v>
      </c>
      <c r="DJ18" s="401">
        <v>375</v>
      </c>
      <c r="DK18" s="401">
        <v>375</v>
      </c>
      <c r="DL18" s="401">
        <v>375</v>
      </c>
      <c r="DM18" s="401">
        <v>375</v>
      </c>
      <c r="DN18" s="401">
        <v>375</v>
      </c>
      <c r="DO18" s="401">
        <v>375</v>
      </c>
      <c r="DP18" s="401"/>
      <c r="DQ18" s="401">
        <v>406</v>
      </c>
      <c r="DR18" s="401">
        <v>440</v>
      </c>
      <c r="DS18" s="498"/>
      <c r="DT18" s="666">
        <v>174</v>
      </c>
      <c r="DU18" s="581">
        <v>189</v>
      </c>
      <c r="DV18" s="403">
        <v>189</v>
      </c>
      <c r="DW18" s="403">
        <v>194</v>
      </c>
      <c r="DX18" s="403"/>
      <c r="DY18" s="403"/>
      <c r="DZ18" s="595"/>
      <c r="EA18" s="403">
        <v>106</v>
      </c>
      <c r="EB18" s="403">
        <v>106</v>
      </c>
      <c r="EC18" s="595"/>
      <c r="ED18" s="403">
        <v>125</v>
      </c>
      <c r="EE18" s="403">
        <v>131</v>
      </c>
      <c r="EF18" s="403">
        <v>106</v>
      </c>
      <c r="EG18" s="403"/>
      <c r="EH18" s="403">
        <v>134</v>
      </c>
      <c r="EI18" s="403">
        <v>189</v>
      </c>
      <c r="EJ18" s="403">
        <v>155</v>
      </c>
      <c r="EK18" s="403">
        <v>189</v>
      </c>
      <c r="EL18" s="595"/>
      <c r="EM18" s="403">
        <v>124</v>
      </c>
      <c r="EN18" s="403">
        <v>136</v>
      </c>
      <c r="EO18" s="403">
        <v>136</v>
      </c>
      <c r="EP18" s="403">
        <v>149</v>
      </c>
      <c r="EQ18" s="403">
        <v>189</v>
      </c>
      <c r="ER18" s="403">
        <v>149</v>
      </c>
      <c r="ES18" s="403">
        <v>130</v>
      </c>
      <c r="ET18" s="403">
        <v>148</v>
      </c>
      <c r="EU18" s="403">
        <v>148</v>
      </c>
      <c r="EV18" s="403">
        <v>148</v>
      </c>
      <c r="EW18" s="403">
        <v>184</v>
      </c>
      <c r="EX18" s="403">
        <v>184</v>
      </c>
      <c r="EY18" s="403">
        <v>189</v>
      </c>
      <c r="EZ18" s="403">
        <v>189</v>
      </c>
      <c r="FA18" s="403">
        <v>215</v>
      </c>
      <c r="FB18" s="403">
        <v>50</v>
      </c>
      <c r="FC18" s="403">
        <v>189</v>
      </c>
      <c r="FD18" s="403">
        <v>220</v>
      </c>
      <c r="FE18" s="595"/>
      <c r="FF18" s="403">
        <v>480</v>
      </c>
      <c r="FG18" s="403">
        <v>480</v>
      </c>
      <c r="FH18" s="403">
        <v>550</v>
      </c>
      <c r="FI18" s="403">
        <v>624</v>
      </c>
      <c r="FJ18" s="403">
        <v>480</v>
      </c>
      <c r="FK18" s="403">
        <v>480</v>
      </c>
      <c r="FL18" s="403">
        <v>480</v>
      </c>
      <c r="FM18" s="403">
        <v>480</v>
      </c>
      <c r="FN18" s="403">
        <v>480</v>
      </c>
      <c r="FO18" s="403">
        <v>480</v>
      </c>
      <c r="FP18" s="403">
        <v>480</v>
      </c>
      <c r="FQ18" s="403">
        <v>344</v>
      </c>
      <c r="FR18" s="403">
        <v>344</v>
      </c>
      <c r="FS18" s="403">
        <v>266</v>
      </c>
      <c r="FT18" s="403">
        <v>480</v>
      </c>
      <c r="FU18" s="403">
        <v>0</v>
      </c>
      <c r="FV18" s="403">
        <v>0</v>
      </c>
      <c r="FW18" s="403">
        <v>0</v>
      </c>
      <c r="FX18" s="403">
        <v>0</v>
      </c>
      <c r="FY18" s="403">
        <v>0</v>
      </c>
      <c r="FZ18" s="403">
        <v>0</v>
      </c>
      <c r="GA18" s="403">
        <v>0</v>
      </c>
      <c r="GB18" s="403"/>
      <c r="GC18" s="403">
        <v>608</v>
      </c>
      <c r="GD18" s="403">
        <v>608</v>
      </c>
      <c r="GE18" s="403">
        <v>608</v>
      </c>
      <c r="GF18" s="403">
        <v>624</v>
      </c>
      <c r="GG18" s="403">
        <v>624</v>
      </c>
      <c r="GH18" s="403">
        <v>331</v>
      </c>
      <c r="GI18" s="403">
        <v>331</v>
      </c>
      <c r="GJ18" s="403">
        <v>331</v>
      </c>
      <c r="GK18" s="403">
        <v>331</v>
      </c>
      <c r="GL18" s="403">
        <v>660</v>
      </c>
      <c r="GM18" s="403">
        <v>660</v>
      </c>
      <c r="GN18" s="403">
        <v>660</v>
      </c>
      <c r="GO18" s="403">
        <v>345</v>
      </c>
      <c r="GP18" s="403">
        <v>345</v>
      </c>
      <c r="GQ18" s="403">
        <v>345</v>
      </c>
      <c r="GR18" s="403"/>
      <c r="GS18" s="403"/>
      <c r="GT18" s="403"/>
      <c r="GU18" s="403">
        <v>500</v>
      </c>
      <c r="GV18" s="403">
        <v>500</v>
      </c>
      <c r="GW18" s="403">
        <v>500</v>
      </c>
      <c r="GX18" s="403"/>
      <c r="GY18" s="403"/>
      <c r="GZ18" s="403"/>
      <c r="HA18" s="403">
        <v>660</v>
      </c>
      <c r="HB18" s="403">
        <v>605</v>
      </c>
      <c r="HC18" s="403">
        <v>0</v>
      </c>
      <c r="HD18" s="595"/>
      <c r="HE18" s="403">
        <v>224</v>
      </c>
      <c r="HF18" s="403">
        <v>224</v>
      </c>
      <c r="HG18" s="403">
        <v>0</v>
      </c>
      <c r="HH18" s="403">
        <v>279</v>
      </c>
      <c r="HI18" s="403">
        <v>279</v>
      </c>
      <c r="HJ18" s="595"/>
      <c r="HK18" s="403">
        <v>255</v>
      </c>
      <c r="HL18" s="403">
        <v>255</v>
      </c>
      <c r="HM18" s="403">
        <v>255</v>
      </c>
      <c r="HN18" s="403">
        <v>255</v>
      </c>
      <c r="HO18" s="403">
        <v>290</v>
      </c>
      <c r="HP18" s="403">
        <v>290</v>
      </c>
      <c r="HQ18" s="403">
        <v>290</v>
      </c>
      <c r="HR18" s="403">
        <v>0</v>
      </c>
      <c r="HS18" s="403">
        <v>0</v>
      </c>
      <c r="HT18" s="403"/>
      <c r="HU18" s="403">
        <v>409</v>
      </c>
      <c r="HV18" s="403">
        <v>409</v>
      </c>
      <c r="HW18" s="595"/>
      <c r="HX18" s="403">
        <v>440</v>
      </c>
      <c r="HY18" s="403">
        <v>440</v>
      </c>
      <c r="HZ18" s="403">
        <v>440</v>
      </c>
      <c r="IA18" s="403">
        <v>440</v>
      </c>
      <c r="IB18" s="403">
        <v>440</v>
      </c>
      <c r="IC18" s="403">
        <v>440</v>
      </c>
      <c r="ID18" s="403">
        <v>451</v>
      </c>
      <c r="IE18" s="403">
        <v>451</v>
      </c>
      <c r="IF18" s="403">
        <v>451</v>
      </c>
      <c r="IG18" s="403">
        <v>301</v>
      </c>
      <c r="IH18" s="403">
        <v>370</v>
      </c>
      <c r="II18" s="403"/>
      <c r="IJ18" s="595"/>
      <c r="IK18" s="403">
        <v>381</v>
      </c>
      <c r="IL18" s="403">
        <v>420</v>
      </c>
      <c r="IM18" s="403">
        <v>440</v>
      </c>
      <c r="IN18" s="404"/>
      <c r="IO18" s="405">
        <v>50</v>
      </c>
      <c r="IP18" s="619">
        <v>50</v>
      </c>
      <c r="IQ18" s="406">
        <v>50</v>
      </c>
      <c r="IR18" s="406">
        <v>50</v>
      </c>
      <c r="IS18" s="406">
        <v>50</v>
      </c>
      <c r="IT18" s="406">
        <v>50</v>
      </c>
      <c r="IU18" s="406">
        <v>19</v>
      </c>
      <c r="IV18" s="406">
        <v>19</v>
      </c>
      <c r="IW18" s="406">
        <v>78</v>
      </c>
      <c r="IX18" s="406">
        <v>50</v>
      </c>
      <c r="IY18" s="406">
        <v>90</v>
      </c>
      <c r="IZ18" s="406">
        <v>75</v>
      </c>
      <c r="JA18" s="406">
        <v>104</v>
      </c>
      <c r="JB18" s="406">
        <v>19</v>
      </c>
      <c r="JC18" s="406">
        <v>19</v>
      </c>
      <c r="JD18" s="406">
        <v>19</v>
      </c>
      <c r="JE18" s="406">
        <v>19</v>
      </c>
      <c r="JF18" s="406">
        <v>19</v>
      </c>
      <c r="JG18" s="406">
        <v>19</v>
      </c>
      <c r="JH18" s="406">
        <v>133</v>
      </c>
      <c r="JI18" s="406">
        <v>153</v>
      </c>
      <c r="JJ18" s="407"/>
      <c r="JK18" s="408">
        <v>114</v>
      </c>
      <c r="JL18" s="409">
        <v>146</v>
      </c>
      <c r="JM18" s="409">
        <v>80</v>
      </c>
      <c r="JN18" s="409">
        <v>80</v>
      </c>
      <c r="JO18" s="409">
        <v>88</v>
      </c>
      <c r="JP18" s="409">
        <v>88</v>
      </c>
      <c r="JQ18" s="409">
        <v>19</v>
      </c>
      <c r="JR18" s="409">
        <v>114</v>
      </c>
      <c r="JS18" s="409">
        <v>114</v>
      </c>
      <c r="JT18" s="409">
        <v>98</v>
      </c>
      <c r="JU18" s="409">
        <v>114</v>
      </c>
      <c r="JV18" s="409">
        <v>124</v>
      </c>
      <c r="JW18" s="409">
        <v>124</v>
      </c>
      <c r="JX18" s="409">
        <v>124</v>
      </c>
      <c r="JY18" s="409">
        <v>37</v>
      </c>
      <c r="JZ18" s="409">
        <v>37</v>
      </c>
      <c r="KA18" s="409">
        <v>19</v>
      </c>
      <c r="KB18" s="409">
        <v>50</v>
      </c>
      <c r="KC18" s="409">
        <v>50</v>
      </c>
      <c r="KD18" s="409">
        <v>50</v>
      </c>
      <c r="KE18" s="409">
        <v>50</v>
      </c>
      <c r="KF18" s="409">
        <v>50</v>
      </c>
      <c r="KG18" s="409">
        <v>50</v>
      </c>
      <c r="KH18" s="409">
        <v>50</v>
      </c>
      <c r="KI18" s="409">
        <v>50</v>
      </c>
      <c r="KJ18" s="429"/>
      <c r="KK18" s="411">
        <v>9</v>
      </c>
      <c r="KL18" s="547">
        <v>9</v>
      </c>
      <c r="KM18" s="412">
        <v>9</v>
      </c>
      <c r="KN18" s="412">
        <v>9</v>
      </c>
      <c r="KO18" s="412"/>
      <c r="KP18" s="412"/>
      <c r="KQ18" s="458"/>
      <c r="KR18" s="460">
        <v>8</v>
      </c>
      <c r="KS18" s="461">
        <v>6</v>
      </c>
      <c r="KT18" s="462">
        <v>6</v>
      </c>
      <c r="KU18" s="462">
        <v>6</v>
      </c>
      <c r="KV18" s="462">
        <v>6</v>
      </c>
      <c r="KW18" s="462">
        <v>6</v>
      </c>
      <c r="KX18" s="462">
        <v>6</v>
      </c>
      <c r="KY18" s="462">
        <v>6</v>
      </c>
      <c r="KZ18" s="462">
        <v>6</v>
      </c>
      <c r="LA18" s="462">
        <v>6</v>
      </c>
      <c r="LB18" s="462">
        <v>6</v>
      </c>
      <c r="LC18" s="462">
        <v>8</v>
      </c>
      <c r="LD18" s="462">
        <v>8</v>
      </c>
      <c r="LE18" s="462">
        <v>8</v>
      </c>
      <c r="LF18" s="462">
        <v>8</v>
      </c>
      <c r="LG18" s="462">
        <v>8</v>
      </c>
      <c r="LH18" s="462">
        <v>8</v>
      </c>
      <c r="LI18" s="462">
        <v>8</v>
      </c>
      <c r="LJ18" s="462">
        <v>8</v>
      </c>
      <c r="LK18" s="462">
        <v>8</v>
      </c>
      <c r="LL18" s="462">
        <v>8</v>
      </c>
      <c r="LM18" s="462">
        <v>8</v>
      </c>
      <c r="LN18" s="462"/>
      <c r="LO18" s="462">
        <v>9</v>
      </c>
      <c r="LP18" s="462"/>
      <c r="LQ18" s="462"/>
      <c r="LR18" s="462"/>
      <c r="LS18" s="462"/>
      <c r="LT18" s="734"/>
      <c r="LU18" s="611"/>
      <c r="LV18" s="586"/>
      <c r="LW18" s="610"/>
      <c r="LX18" s="610"/>
      <c r="LY18" s="610"/>
      <c r="LZ18" s="610"/>
      <c r="MA18" s="610"/>
      <c r="MB18" s="610"/>
      <c r="MC18" s="610">
        <v>177</v>
      </c>
      <c r="MD18" s="586"/>
      <c r="ME18" s="610"/>
      <c r="MF18" s="586"/>
      <c r="MG18" s="610"/>
      <c r="MH18" s="586"/>
      <c r="MI18" s="610">
        <v>189</v>
      </c>
      <c r="MJ18" s="586">
        <v>259</v>
      </c>
      <c r="MK18" s="610"/>
      <c r="ML18" s="610">
        <v>189</v>
      </c>
      <c r="MM18" s="610"/>
      <c r="MN18" s="610">
        <v>259</v>
      </c>
      <c r="MO18" s="610"/>
      <c r="MP18" s="610">
        <v>259</v>
      </c>
      <c r="MQ18" s="610"/>
      <c r="MR18" s="610">
        <v>189</v>
      </c>
      <c r="MS18" s="610"/>
      <c r="MT18" s="610">
        <v>259</v>
      </c>
      <c r="MU18" s="610"/>
      <c r="MV18" s="610">
        <v>109</v>
      </c>
      <c r="MW18" s="586">
        <v>109</v>
      </c>
      <c r="MX18" s="417">
        <v>109</v>
      </c>
      <c r="MY18" s="417">
        <v>109</v>
      </c>
      <c r="MZ18" s="417">
        <v>90</v>
      </c>
      <c r="NA18" s="417"/>
      <c r="NB18" s="417">
        <v>90</v>
      </c>
      <c r="NC18" s="417"/>
      <c r="ND18" s="417">
        <v>115</v>
      </c>
      <c r="NE18" s="417"/>
      <c r="NF18" s="417"/>
      <c r="NG18" s="417"/>
      <c r="NH18" s="417"/>
      <c r="NI18" s="417">
        <v>125</v>
      </c>
      <c r="NJ18" s="417">
        <v>135</v>
      </c>
      <c r="NK18" s="417">
        <v>172</v>
      </c>
      <c r="NL18" s="417">
        <v>172</v>
      </c>
      <c r="NM18" s="417">
        <v>172</v>
      </c>
      <c r="NN18" s="417">
        <v>139</v>
      </c>
      <c r="NO18" s="417">
        <v>399</v>
      </c>
      <c r="NP18" s="417">
        <v>399</v>
      </c>
      <c r="NQ18" s="417">
        <v>399</v>
      </c>
      <c r="NR18" s="417">
        <v>399</v>
      </c>
      <c r="NS18" s="417">
        <v>399</v>
      </c>
      <c r="NT18" s="417">
        <v>399</v>
      </c>
      <c r="NU18" s="417">
        <v>380</v>
      </c>
      <c r="NV18" s="417">
        <v>410</v>
      </c>
      <c r="NW18" s="417"/>
      <c r="NX18" s="417"/>
      <c r="NY18" s="417">
        <v>172</v>
      </c>
      <c r="NZ18" s="611">
        <v>153</v>
      </c>
      <c r="OA18" s="635"/>
      <c r="OB18" s="638">
        <v>345</v>
      </c>
      <c r="OC18" s="638">
        <v>345</v>
      </c>
      <c r="OD18" s="638">
        <v>345</v>
      </c>
      <c r="OE18" s="638">
        <v>315</v>
      </c>
      <c r="OF18" s="638"/>
      <c r="OG18" s="638"/>
      <c r="OH18" s="638"/>
      <c r="OI18" s="638"/>
      <c r="OJ18" s="638"/>
      <c r="OK18" s="638"/>
      <c r="OL18" s="638"/>
      <c r="OM18" s="638"/>
      <c r="ON18" s="635"/>
      <c r="OO18" s="638">
        <v>90</v>
      </c>
      <c r="OP18" s="638">
        <v>90</v>
      </c>
      <c r="OQ18" s="638">
        <v>174</v>
      </c>
      <c r="OR18" s="638">
        <v>174</v>
      </c>
      <c r="OS18" s="638"/>
      <c r="OT18" s="638">
        <v>100</v>
      </c>
      <c r="OU18" s="638">
        <v>118</v>
      </c>
      <c r="OV18" s="638">
        <v>118</v>
      </c>
      <c r="OW18" s="638">
        <v>100</v>
      </c>
      <c r="OX18" s="638">
        <v>118</v>
      </c>
      <c r="OY18" s="638">
        <v>124</v>
      </c>
      <c r="OZ18" s="638"/>
      <c r="PA18" s="638"/>
      <c r="PB18" s="638">
        <v>79</v>
      </c>
      <c r="PC18" s="638">
        <v>79</v>
      </c>
      <c r="PD18" s="638"/>
      <c r="PE18" s="638">
        <v>79</v>
      </c>
      <c r="PF18" s="638"/>
      <c r="PG18" s="638"/>
      <c r="PH18" s="640"/>
      <c r="PI18" s="666"/>
      <c r="PJ18" s="666"/>
      <c r="PK18" s="666"/>
      <c r="PL18" s="420">
        <v>868</v>
      </c>
      <c r="PM18" s="420">
        <v>868</v>
      </c>
      <c r="PN18" s="420">
        <v>868</v>
      </c>
      <c r="PO18" s="550">
        <v>200</v>
      </c>
    </row>
    <row r="19" spans="1:431">
      <c r="A19" s="418" t="s">
        <v>1223</v>
      </c>
      <c r="B19" s="623" t="s">
        <v>898</v>
      </c>
      <c r="C19" s="380" t="s">
        <v>438</v>
      </c>
      <c r="D19" s="380" t="s">
        <v>439</v>
      </c>
      <c r="E19" s="380" t="s">
        <v>1224</v>
      </c>
      <c r="G19" s="494"/>
      <c r="H19" s="419">
        <v>303</v>
      </c>
      <c r="I19" s="420">
        <v>303</v>
      </c>
      <c r="J19" s="420">
        <v>303</v>
      </c>
      <c r="K19" s="419">
        <v>335</v>
      </c>
      <c r="L19" s="420">
        <v>335</v>
      </c>
      <c r="M19" s="420">
        <v>335</v>
      </c>
      <c r="N19" s="420">
        <v>313</v>
      </c>
      <c r="O19" s="420">
        <v>313</v>
      </c>
      <c r="P19" s="420">
        <v>384</v>
      </c>
      <c r="Q19" s="420">
        <v>384</v>
      </c>
      <c r="R19" s="420">
        <v>315</v>
      </c>
      <c r="S19" s="420">
        <v>315</v>
      </c>
      <c r="T19" s="420">
        <v>366</v>
      </c>
      <c r="U19" s="420"/>
      <c r="V19" s="420">
        <v>269</v>
      </c>
      <c r="W19" s="420">
        <v>269</v>
      </c>
      <c r="X19" s="420">
        <v>269</v>
      </c>
      <c r="Y19" s="420">
        <v>269</v>
      </c>
      <c r="Z19" s="420">
        <v>269</v>
      </c>
      <c r="AA19" s="420">
        <v>269</v>
      </c>
      <c r="AB19" s="420">
        <v>269</v>
      </c>
      <c r="AC19" s="420">
        <v>269</v>
      </c>
      <c r="AD19" s="420">
        <v>269</v>
      </c>
      <c r="AE19" s="420">
        <v>269</v>
      </c>
      <c r="AF19" s="420"/>
      <c r="AG19" s="420"/>
      <c r="AH19" s="420"/>
      <c r="AI19" s="420"/>
      <c r="AJ19" s="420"/>
      <c r="AK19" s="420"/>
      <c r="AL19" s="420"/>
      <c r="AM19" s="420"/>
      <c r="AN19" s="420"/>
      <c r="AO19" s="420"/>
      <c r="AP19" s="420"/>
      <c r="AQ19" s="420">
        <v>4</v>
      </c>
      <c r="AR19" s="420"/>
      <c r="AS19" s="420"/>
      <c r="AT19" s="420">
        <v>237</v>
      </c>
      <c r="AU19" s="420"/>
      <c r="AV19" s="420">
        <v>237</v>
      </c>
      <c r="AW19" s="420">
        <v>237</v>
      </c>
      <c r="AX19" s="420">
        <v>237</v>
      </c>
      <c r="AY19" s="420">
        <v>243</v>
      </c>
      <c r="AZ19" s="420">
        <v>240</v>
      </c>
      <c r="BA19" s="420">
        <v>243</v>
      </c>
      <c r="BB19" s="420">
        <v>243</v>
      </c>
      <c r="BC19" s="420">
        <v>240</v>
      </c>
      <c r="BD19" s="420">
        <v>107</v>
      </c>
      <c r="BE19" s="420">
        <v>107</v>
      </c>
      <c r="BF19" s="420">
        <v>107</v>
      </c>
      <c r="BG19" s="420">
        <v>107</v>
      </c>
      <c r="BH19" s="420">
        <v>124</v>
      </c>
      <c r="BI19" s="420">
        <v>124</v>
      </c>
      <c r="BJ19" s="420">
        <v>124</v>
      </c>
      <c r="BK19" s="420">
        <v>124</v>
      </c>
      <c r="BL19" s="420">
        <v>124</v>
      </c>
      <c r="BM19" s="420">
        <v>124</v>
      </c>
      <c r="BN19" s="420">
        <v>124</v>
      </c>
      <c r="BO19" s="420">
        <v>124</v>
      </c>
      <c r="BP19" s="420">
        <v>124</v>
      </c>
      <c r="BQ19" s="420">
        <v>124</v>
      </c>
      <c r="BR19" s="420">
        <v>124</v>
      </c>
      <c r="BS19" s="420">
        <v>8</v>
      </c>
      <c r="BT19" s="420">
        <v>150</v>
      </c>
      <c r="BU19" s="420">
        <v>150</v>
      </c>
      <c r="BV19" s="420">
        <v>150</v>
      </c>
      <c r="BW19" s="420">
        <v>150</v>
      </c>
      <c r="BX19" s="420">
        <v>150</v>
      </c>
      <c r="BY19" s="420">
        <v>150</v>
      </c>
      <c r="BZ19" s="420">
        <v>150</v>
      </c>
      <c r="CA19" s="420">
        <v>150</v>
      </c>
      <c r="CB19" s="420">
        <v>150</v>
      </c>
      <c r="CC19" s="858">
        <v>150</v>
      </c>
      <c r="CD19" s="420">
        <v>150</v>
      </c>
      <c r="CE19" s="420">
        <v>150</v>
      </c>
      <c r="CF19" s="420">
        <v>150</v>
      </c>
      <c r="CG19" s="420">
        <v>150</v>
      </c>
      <c r="CH19" s="420">
        <v>185</v>
      </c>
      <c r="CI19" s="420">
        <v>185</v>
      </c>
      <c r="CJ19" s="420">
        <v>185</v>
      </c>
      <c r="CK19" s="420">
        <v>185</v>
      </c>
      <c r="CL19" s="420">
        <v>185</v>
      </c>
      <c r="CM19" s="420">
        <v>185</v>
      </c>
      <c r="CN19" s="420">
        <v>185</v>
      </c>
      <c r="CO19" s="420">
        <v>185</v>
      </c>
      <c r="CP19" s="420">
        <v>185</v>
      </c>
      <c r="CQ19" s="420">
        <v>185</v>
      </c>
      <c r="CR19" s="420">
        <v>185</v>
      </c>
      <c r="CS19" s="420">
        <v>185</v>
      </c>
      <c r="CT19" s="420">
        <v>185</v>
      </c>
      <c r="CU19" s="420">
        <v>185</v>
      </c>
      <c r="CV19" s="420">
        <v>185</v>
      </c>
      <c r="CW19" s="420">
        <v>185</v>
      </c>
      <c r="CX19" s="420">
        <v>185</v>
      </c>
      <c r="CY19" s="420">
        <v>185</v>
      </c>
      <c r="CZ19" s="420"/>
      <c r="DA19" s="420"/>
      <c r="DB19" s="420"/>
      <c r="DC19" s="420"/>
      <c r="DD19" s="420"/>
      <c r="DE19" s="420"/>
      <c r="DF19" s="420"/>
      <c r="DG19" s="420"/>
      <c r="DH19" s="420"/>
      <c r="DI19" s="420"/>
      <c r="DJ19" s="420"/>
      <c r="DK19" s="420"/>
      <c r="DL19" s="420"/>
      <c r="DM19" s="420"/>
      <c r="DN19" s="420"/>
      <c r="DO19" s="420"/>
      <c r="DP19" s="420"/>
      <c r="DQ19" s="420">
        <v>257</v>
      </c>
      <c r="DR19" s="420">
        <v>257</v>
      </c>
      <c r="DS19" s="499"/>
      <c r="DT19" s="666">
        <v>137</v>
      </c>
      <c r="DU19" s="584">
        <v>141</v>
      </c>
      <c r="DV19" s="422">
        <v>141</v>
      </c>
      <c r="DW19" s="422"/>
      <c r="DX19" s="422"/>
      <c r="DY19" s="422"/>
      <c r="DZ19" s="596"/>
      <c r="EA19" s="422"/>
      <c r="EB19" s="422"/>
      <c r="EC19" s="596"/>
      <c r="ED19" s="422"/>
      <c r="EE19" s="422"/>
      <c r="EF19" s="422"/>
      <c r="EG19" s="422"/>
      <c r="EH19" s="422"/>
      <c r="EI19" s="422"/>
      <c r="EJ19" s="422"/>
      <c r="EK19" s="422"/>
      <c r="EL19" s="596"/>
      <c r="EM19" s="422"/>
      <c r="EN19" s="422">
        <v>103</v>
      </c>
      <c r="EO19" s="422"/>
      <c r="EP19" s="422"/>
      <c r="EQ19" s="422"/>
      <c r="ER19" s="422"/>
      <c r="ES19" s="422"/>
      <c r="ET19" s="422"/>
      <c r="EU19" s="422"/>
      <c r="EV19" s="422"/>
      <c r="EW19" s="422"/>
      <c r="EX19" s="422">
        <v>160</v>
      </c>
      <c r="EY19" s="422"/>
      <c r="EZ19" s="422"/>
      <c r="FA19" s="422"/>
      <c r="FB19" s="422">
        <v>19</v>
      </c>
      <c r="FC19" s="422"/>
      <c r="FD19" s="422" t="s">
        <v>1225</v>
      </c>
      <c r="FE19" s="596"/>
      <c r="FF19" s="422">
        <v>385</v>
      </c>
      <c r="FG19" s="422">
        <v>452</v>
      </c>
      <c r="FH19" s="422"/>
      <c r="FI19" s="422"/>
      <c r="FJ19" s="422">
        <v>452</v>
      </c>
      <c r="FK19" s="422">
        <v>452</v>
      </c>
      <c r="FL19" s="422">
        <v>452</v>
      </c>
      <c r="FM19" s="422">
        <v>452</v>
      </c>
      <c r="FN19" s="422"/>
      <c r="FO19" s="422">
        <v>452</v>
      </c>
      <c r="FP19" s="422">
        <v>452</v>
      </c>
      <c r="FQ19" s="422"/>
      <c r="FR19" s="422"/>
      <c r="FS19" s="422"/>
      <c r="FT19" s="422">
        <v>452</v>
      </c>
      <c r="FU19" s="422"/>
      <c r="FV19" s="422"/>
      <c r="FW19" s="422"/>
      <c r="FX19" s="422"/>
      <c r="FY19" s="422"/>
      <c r="FZ19" s="422"/>
      <c r="GA19" s="422"/>
      <c r="GB19" s="422"/>
      <c r="GC19" s="422"/>
      <c r="GD19" s="422">
        <v>452</v>
      </c>
      <c r="GE19" s="422"/>
      <c r="GF19" s="422"/>
      <c r="GG19" s="422"/>
      <c r="GH19" s="422"/>
      <c r="GI19" s="422"/>
      <c r="GJ19" s="422"/>
      <c r="GK19" s="422"/>
      <c r="GL19" s="422">
        <v>420</v>
      </c>
      <c r="GM19" s="422">
        <v>420</v>
      </c>
      <c r="GN19" s="422">
        <v>420</v>
      </c>
      <c r="GO19" s="422"/>
      <c r="GP19" s="422"/>
      <c r="GQ19" s="422"/>
      <c r="GR19" s="422"/>
      <c r="GS19" s="422"/>
      <c r="GT19" s="422"/>
      <c r="GU19" s="422"/>
      <c r="GV19" s="422"/>
      <c r="GW19" s="422"/>
      <c r="GX19" s="422"/>
      <c r="GY19" s="422"/>
      <c r="GZ19" s="422"/>
      <c r="HA19" s="422"/>
      <c r="HB19" s="422">
        <v>515</v>
      </c>
      <c r="HC19" s="422"/>
      <c r="HD19" s="596"/>
      <c r="HE19" s="422"/>
      <c r="HF19" s="422"/>
      <c r="HG19" s="422"/>
      <c r="HH19" s="422">
        <v>243</v>
      </c>
      <c r="HI19" s="422">
        <v>243</v>
      </c>
      <c r="HJ19" s="596"/>
      <c r="HK19" s="422">
        <v>216</v>
      </c>
      <c r="HL19" s="422">
        <v>216</v>
      </c>
      <c r="HM19" s="422">
        <v>216</v>
      </c>
      <c r="HN19" s="422">
        <v>216</v>
      </c>
      <c r="HO19" s="422">
        <v>269</v>
      </c>
      <c r="HP19" s="422">
        <v>269</v>
      </c>
      <c r="HQ19" s="422">
        <v>269</v>
      </c>
      <c r="HR19" s="403">
        <v>0</v>
      </c>
      <c r="HS19" s="403">
        <v>0</v>
      </c>
      <c r="HT19" s="403">
        <v>0</v>
      </c>
      <c r="HU19" s="422"/>
      <c r="HV19" s="422"/>
      <c r="HW19" s="596"/>
      <c r="HX19" s="403">
        <v>375</v>
      </c>
      <c r="HY19" s="403">
        <v>375</v>
      </c>
      <c r="HZ19" s="403">
        <v>375</v>
      </c>
      <c r="IA19" s="403">
        <v>375</v>
      </c>
      <c r="IB19" s="403">
        <v>375</v>
      </c>
      <c r="IC19" s="403">
        <v>375</v>
      </c>
      <c r="ID19" s="422"/>
      <c r="IE19" s="422"/>
      <c r="IF19" s="422"/>
      <c r="IG19" s="422"/>
      <c r="IH19" s="422"/>
      <c r="II19" s="422"/>
      <c r="IJ19" s="596"/>
      <c r="IK19" s="422">
        <v>242</v>
      </c>
      <c r="IL19" s="422">
        <v>290</v>
      </c>
      <c r="IM19" s="422">
        <v>330</v>
      </c>
      <c r="IN19" s="423"/>
      <c r="IO19" s="424"/>
      <c r="IP19" s="617"/>
      <c r="IQ19" s="425"/>
      <c r="IR19" s="425"/>
      <c r="IS19" s="425"/>
      <c r="IT19" s="425"/>
      <c r="IU19" s="425"/>
      <c r="IV19" s="425"/>
      <c r="IW19" s="425"/>
      <c r="IX19" s="425"/>
      <c r="IY19" s="425"/>
      <c r="IZ19" s="425"/>
      <c r="JA19" s="425"/>
      <c r="JB19" s="425"/>
      <c r="JC19" s="425"/>
      <c r="JD19" s="425"/>
      <c r="JE19" s="425"/>
      <c r="JF19" s="425"/>
      <c r="JG19" s="425"/>
      <c r="JH19" s="425"/>
      <c r="JI19" s="425"/>
      <c r="JJ19" s="426"/>
      <c r="JK19" s="427">
        <v>97</v>
      </c>
      <c r="JL19" s="428">
        <v>120</v>
      </c>
      <c r="JM19" s="428"/>
      <c r="JN19" s="428"/>
      <c r="JO19" s="428">
        <v>76</v>
      </c>
      <c r="JP19" s="428"/>
      <c r="JQ19" s="428"/>
      <c r="JR19" s="428"/>
      <c r="JS19" s="428"/>
      <c r="JT19" s="428"/>
      <c r="JU19" s="428"/>
      <c r="JV19" s="428">
        <v>100</v>
      </c>
      <c r="JW19" s="428">
        <v>100</v>
      </c>
      <c r="JX19" s="428"/>
      <c r="JY19" s="428">
        <v>30</v>
      </c>
      <c r="JZ19" s="428">
        <v>30</v>
      </c>
      <c r="KA19" s="428"/>
      <c r="KB19" s="428"/>
      <c r="KC19" s="428"/>
      <c r="KD19" s="428"/>
      <c r="KE19" s="428">
        <v>50</v>
      </c>
      <c r="KF19" s="428">
        <v>50</v>
      </c>
      <c r="KG19" s="428"/>
      <c r="KH19" s="428"/>
      <c r="KI19" s="428"/>
      <c r="KJ19" s="429"/>
      <c r="KK19" s="430"/>
      <c r="KL19" s="545"/>
      <c r="KM19" s="431"/>
      <c r="KN19" s="431"/>
      <c r="KO19" s="431"/>
      <c r="KP19" s="431"/>
      <c r="KQ19" s="463"/>
      <c r="KR19" s="464"/>
      <c r="KS19" s="465"/>
      <c r="KT19" s="466"/>
      <c r="KU19" s="466"/>
      <c r="KV19" s="466"/>
      <c r="KW19" s="466"/>
      <c r="KX19" s="466"/>
      <c r="KY19" s="466"/>
      <c r="KZ19" s="466"/>
      <c r="LA19" s="466"/>
      <c r="LB19" s="466"/>
      <c r="LC19" s="466"/>
      <c r="LD19" s="466"/>
      <c r="LE19" s="466"/>
      <c r="LF19" s="466"/>
      <c r="LG19" s="466"/>
      <c r="LH19" s="466"/>
      <c r="LI19" s="466"/>
      <c r="LJ19" s="466"/>
      <c r="LK19" s="466"/>
      <c r="LL19" s="466"/>
      <c r="LM19" s="466"/>
      <c r="LN19" s="466"/>
      <c r="LO19" s="466"/>
      <c r="LP19" s="466"/>
      <c r="LQ19" s="466"/>
      <c r="LR19" s="466"/>
      <c r="LS19" s="466"/>
      <c r="LT19" s="734"/>
      <c r="LU19" s="611"/>
      <c r="LV19" s="588"/>
      <c r="LW19" s="611"/>
      <c r="LX19" s="611"/>
      <c r="LY19" s="611"/>
      <c r="LZ19" s="611"/>
      <c r="MA19" s="611"/>
      <c r="MB19" s="611"/>
      <c r="MC19" s="611"/>
      <c r="MD19" s="588"/>
      <c r="ME19" s="611"/>
      <c r="MF19" s="588"/>
      <c r="MG19" s="611"/>
      <c r="MH19" s="588"/>
      <c r="MI19" s="611"/>
      <c r="MJ19" s="588"/>
      <c r="MK19" s="611"/>
      <c r="ML19" s="611"/>
      <c r="MM19" s="611"/>
      <c r="MN19" s="611"/>
      <c r="MO19" s="611"/>
      <c r="MP19" s="611"/>
      <c r="MQ19" s="611"/>
      <c r="MR19" s="611"/>
      <c r="MS19" s="611"/>
      <c r="MT19" s="611"/>
      <c r="MU19" s="611"/>
      <c r="MV19" s="611"/>
      <c r="MW19" s="588"/>
      <c r="MX19" s="436"/>
      <c r="MY19" s="436"/>
      <c r="MZ19" s="436"/>
      <c r="NA19" s="436"/>
      <c r="NB19" s="436"/>
      <c r="NC19" s="436"/>
      <c r="ND19" s="436"/>
      <c r="NE19" s="436"/>
      <c r="NF19" s="436"/>
      <c r="NG19" s="436"/>
      <c r="NH19" s="436"/>
      <c r="NI19" s="436"/>
      <c r="NJ19" s="436"/>
      <c r="NK19" s="436"/>
      <c r="NL19" s="436"/>
      <c r="NM19" s="436"/>
      <c r="NN19" s="436"/>
      <c r="NO19" s="436">
        <v>270</v>
      </c>
      <c r="NP19" s="436">
        <v>255</v>
      </c>
      <c r="NQ19" s="436">
        <v>255</v>
      </c>
      <c r="NR19" s="436">
        <v>255</v>
      </c>
      <c r="NS19" s="436">
        <v>255</v>
      </c>
      <c r="NT19" s="436">
        <v>255</v>
      </c>
      <c r="NU19" s="436"/>
      <c r="NV19" s="436">
        <v>323</v>
      </c>
      <c r="NW19" s="436"/>
      <c r="NX19" s="436">
        <v>0</v>
      </c>
      <c r="NY19" s="436"/>
      <c r="NZ19" s="611"/>
      <c r="OA19" s="635"/>
      <c r="OB19" s="638">
        <v>256</v>
      </c>
      <c r="OC19" s="638">
        <v>256</v>
      </c>
      <c r="OD19" s="638">
        <v>256</v>
      </c>
      <c r="OE19" s="638">
        <v>246</v>
      </c>
      <c r="OF19" s="638"/>
      <c r="OG19" s="638"/>
      <c r="OH19" s="638"/>
      <c r="OI19" s="638"/>
      <c r="OJ19" s="638"/>
      <c r="OK19" s="638"/>
      <c r="OL19" s="638"/>
      <c r="OM19" s="638"/>
      <c r="ON19" s="635"/>
      <c r="OO19" s="638">
        <v>78</v>
      </c>
      <c r="OP19" s="638">
        <v>78</v>
      </c>
      <c r="OQ19" s="638">
        <v>158</v>
      </c>
      <c r="OR19" s="638">
        <v>158</v>
      </c>
      <c r="OS19" s="638"/>
      <c r="OT19" s="638"/>
      <c r="OU19" s="638"/>
      <c r="OV19" s="638"/>
      <c r="OW19" s="638"/>
      <c r="OX19" s="638"/>
      <c r="OY19" s="638"/>
      <c r="OZ19" s="638"/>
      <c r="PA19" s="638"/>
      <c r="PB19" s="638"/>
      <c r="PC19" s="638"/>
      <c r="PD19" s="638"/>
      <c r="PE19" s="638"/>
      <c r="PF19" s="638"/>
      <c r="PG19" s="638"/>
      <c r="PH19" s="640"/>
      <c r="PI19" s="666">
        <v>395</v>
      </c>
      <c r="PJ19" s="666">
        <v>395</v>
      </c>
      <c r="PK19" s="666">
        <v>426</v>
      </c>
      <c r="PL19" s="420">
        <v>545</v>
      </c>
      <c r="PM19" s="420">
        <v>545</v>
      </c>
      <c r="PN19" s="420">
        <v>545</v>
      </c>
      <c r="PO19" s="550"/>
    </row>
    <row r="20" spans="1:431">
      <c r="A20" s="418" t="s">
        <v>1226</v>
      </c>
      <c r="B20" s="623" t="s">
        <v>1227</v>
      </c>
      <c r="C20" s="380" t="s">
        <v>438</v>
      </c>
      <c r="D20" s="380" t="s">
        <v>1228</v>
      </c>
      <c r="E20" s="380" t="s">
        <v>1229</v>
      </c>
      <c r="G20" s="494"/>
      <c r="H20" s="419">
        <v>12400</v>
      </c>
      <c r="I20" s="419">
        <v>12400</v>
      </c>
      <c r="J20" s="419">
        <v>12400</v>
      </c>
      <c r="K20" s="420">
        <v>13500</v>
      </c>
      <c r="L20" s="420">
        <v>13500</v>
      </c>
      <c r="M20" s="420">
        <v>13500</v>
      </c>
      <c r="N20" s="420">
        <v>16670</v>
      </c>
      <c r="O20" s="420">
        <v>16670</v>
      </c>
      <c r="P20" s="420">
        <v>14450</v>
      </c>
      <c r="Q20" s="420">
        <v>14450</v>
      </c>
      <c r="R20" s="420">
        <v>15927</v>
      </c>
      <c r="S20" s="420"/>
      <c r="T20" s="420">
        <v>15387.443452560001</v>
      </c>
      <c r="U20" s="420"/>
      <c r="V20" s="420">
        <v>3700</v>
      </c>
      <c r="W20" s="420">
        <v>3700</v>
      </c>
      <c r="X20" s="420">
        <v>3500</v>
      </c>
      <c r="Y20" s="420">
        <v>3500</v>
      </c>
      <c r="Z20" s="420">
        <v>3500</v>
      </c>
      <c r="AA20" s="420">
        <v>3750</v>
      </c>
      <c r="AB20" s="420">
        <v>5125</v>
      </c>
      <c r="AC20" s="420">
        <v>5125</v>
      </c>
      <c r="AD20" s="420">
        <v>5125</v>
      </c>
      <c r="AE20" s="420">
        <v>5125</v>
      </c>
      <c r="AF20" s="420">
        <v>5000</v>
      </c>
      <c r="AG20" s="420">
        <v>5000</v>
      </c>
      <c r="AH20" s="420">
        <v>6500</v>
      </c>
      <c r="AI20" s="420">
        <v>6500</v>
      </c>
      <c r="AJ20" s="420">
        <v>5750</v>
      </c>
      <c r="AK20" s="420">
        <v>5750</v>
      </c>
      <c r="AL20" s="420">
        <v>6500</v>
      </c>
      <c r="AM20" s="420">
        <v>5750</v>
      </c>
      <c r="AN20" s="420">
        <v>6250</v>
      </c>
      <c r="AO20" s="420">
        <v>5750</v>
      </c>
      <c r="AP20" s="420">
        <v>6250</v>
      </c>
      <c r="AQ20" s="420">
        <v>6250</v>
      </c>
      <c r="AR20" s="420">
        <v>6250</v>
      </c>
      <c r="AS20" s="420">
        <v>5750</v>
      </c>
      <c r="AT20" s="420">
        <v>5130</v>
      </c>
      <c r="AU20" s="420">
        <v>6410</v>
      </c>
      <c r="AV20" s="420">
        <v>6410</v>
      </c>
      <c r="AW20" s="420">
        <v>5180</v>
      </c>
      <c r="AX20" s="420">
        <v>5180</v>
      </c>
      <c r="AY20" s="420">
        <v>8340</v>
      </c>
      <c r="AZ20" s="420">
        <v>7960</v>
      </c>
      <c r="BA20" s="420">
        <v>7790</v>
      </c>
      <c r="BB20" s="420">
        <v>7790</v>
      </c>
      <c r="BC20" s="420">
        <v>9540</v>
      </c>
      <c r="BD20" s="420">
        <v>5741.2</v>
      </c>
      <c r="BE20" s="420">
        <v>5741.2</v>
      </c>
      <c r="BF20" s="420">
        <v>5556</v>
      </c>
      <c r="BG20" s="420">
        <v>5556</v>
      </c>
      <c r="BH20" s="420">
        <v>6667.2</v>
      </c>
      <c r="BI20" s="420">
        <v>6667.2</v>
      </c>
      <c r="BJ20" s="420">
        <v>6667.2</v>
      </c>
      <c r="BK20" s="420">
        <v>6667.2</v>
      </c>
      <c r="BL20" s="420">
        <v>6667.2</v>
      </c>
      <c r="BM20" s="420">
        <v>6667.2</v>
      </c>
      <c r="BN20" s="420">
        <v>6667.2</v>
      </c>
      <c r="BO20" s="420">
        <v>6667.2</v>
      </c>
      <c r="BP20" s="420">
        <v>6667.2</v>
      </c>
      <c r="BQ20" s="420">
        <v>6667.2</v>
      </c>
      <c r="BR20" s="420">
        <v>6667.2</v>
      </c>
      <c r="BS20" s="420">
        <v>9817</v>
      </c>
      <c r="BT20" s="420">
        <v>4815</v>
      </c>
      <c r="BU20" s="420">
        <v>4815</v>
      </c>
      <c r="BV20" s="420">
        <v>4815</v>
      </c>
      <c r="BW20" s="420">
        <v>4815</v>
      </c>
      <c r="BX20" s="420">
        <v>4815</v>
      </c>
      <c r="BY20" s="420">
        <v>4815</v>
      </c>
      <c r="BZ20" s="420">
        <v>4815</v>
      </c>
      <c r="CA20" s="420">
        <v>4815</v>
      </c>
      <c r="CB20" s="420">
        <v>4815</v>
      </c>
      <c r="CC20" s="858">
        <v>4815</v>
      </c>
      <c r="CD20" s="420">
        <v>4815</v>
      </c>
      <c r="CE20" s="420">
        <v>4815</v>
      </c>
      <c r="CF20" s="420">
        <v>4815</v>
      </c>
      <c r="CG20" s="420">
        <v>4815</v>
      </c>
      <c r="CH20" s="420">
        <v>4444.8</v>
      </c>
      <c r="CI20" s="420">
        <v>4444.8</v>
      </c>
      <c r="CJ20" s="420">
        <v>4444.8</v>
      </c>
      <c r="CK20" s="420">
        <v>4444.8</v>
      </c>
      <c r="CL20" s="420">
        <v>4444.8</v>
      </c>
      <c r="CM20" s="420">
        <v>4444.8</v>
      </c>
      <c r="CN20" s="420">
        <v>4444.8</v>
      </c>
      <c r="CO20" s="420">
        <v>4444.8</v>
      </c>
      <c r="CP20" s="420">
        <v>4444.8</v>
      </c>
      <c r="CQ20" s="420">
        <v>4444.8</v>
      </c>
      <c r="CR20" s="420">
        <v>4444.8</v>
      </c>
      <c r="CS20" s="420">
        <v>4444.8</v>
      </c>
      <c r="CT20" s="420">
        <v>4444.8</v>
      </c>
      <c r="CU20" s="420">
        <v>4444.8</v>
      </c>
      <c r="CV20" s="420">
        <v>4444.8</v>
      </c>
      <c r="CW20" s="420">
        <v>4444.8</v>
      </c>
      <c r="CX20" s="420">
        <v>4444.8</v>
      </c>
      <c r="CY20" s="420">
        <v>4444.8</v>
      </c>
      <c r="CZ20" s="420">
        <v>13450</v>
      </c>
      <c r="DA20" s="420">
        <v>13450</v>
      </c>
      <c r="DB20" s="420">
        <v>13450</v>
      </c>
      <c r="DC20" s="420">
        <v>13450</v>
      </c>
      <c r="DD20" s="420">
        <v>13450</v>
      </c>
      <c r="DE20" s="420">
        <v>13450</v>
      </c>
      <c r="DF20" s="420">
        <v>13450</v>
      </c>
      <c r="DG20" s="420">
        <v>11750</v>
      </c>
      <c r="DH20" s="420">
        <v>11750</v>
      </c>
      <c r="DI20" s="420">
        <v>11750</v>
      </c>
      <c r="DJ20" s="420">
        <v>11750</v>
      </c>
      <c r="DK20" s="420">
        <v>11750</v>
      </c>
      <c r="DL20" s="420">
        <v>11750</v>
      </c>
      <c r="DM20" s="420">
        <v>11750</v>
      </c>
      <c r="DN20" s="420">
        <v>11750</v>
      </c>
      <c r="DO20" s="420">
        <v>11750</v>
      </c>
      <c r="DP20" s="420">
        <v>4000</v>
      </c>
      <c r="DQ20" s="420">
        <v>13900</v>
      </c>
      <c r="DR20" s="420">
        <v>12130</v>
      </c>
      <c r="DS20" s="499"/>
      <c r="DT20" s="666">
        <v>6667.2</v>
      </c>
      <c r="DU20" s="584">
        <v>7037.6</v>
      </c>
      <c r="DV20" s="422">
        <v>8519.2000000000007</v>
      </c>
      <c r="DW20" s="422"/>
      <c r="DX20" s="422">
        <v>5556</v>
      </c>
      <c r="DY20" s="422">
        <v>5556</v>
      </c>
      <c r="DZ20" s="596"/>
      <c r="EA20" s="422">
        <v>2645</v>
      </c>
      <c r="EB20" s="422">
        <v>3815</v>
      </c>
      <c r="EC20" s="596"/>
      <c r="ED20" s="422">
        <v>3055.8</v>
      </c>
      <c r="EE20" s="422">
        <v>3148.4</v>
      </c>
      <c r="EF20" s="422">
        <v>3518.8</v>
      </c>
      <c r="EG20" s="422">
        <v>3889.2</v>
      </c>
      <c r="EH20" s="422">
        <v>2778</v>
      </c>
      <c r="EI20" s="422">
        <v>2407.6</v>
      </c>
      <c r="EJ20" s="422">
        <v>2963.2</v>
      </c>
      <c r="EK20" s="422">
        <v>3333.6</v>
      </c>
      <c r="EL20" s="596"/>
      <c r="EM20" s="422">
        <v>2037.2</v>
      </c>
      <c r="EN20" s="422">
        <v>1296.4000000000001</v>
      </c>
      <c r="EO20" s="422">
        <v>2685.4</v>
      </c>
      <c r="EP20" s="422">
        <v>3028.02</v>
      </c>
      <c r="EQ20" s="422">
        <v>3531.7640000000001</v>
      </c>
      <c r="ER20" s="422">
        <v>2620.58</v>
      </c>
      <c r="ES20" s="422">
        <v>3704</v>
      </c>
      <c r="ET20" s="422">
        <v>7222.8</v>
      </c>
      <c r="EU20" s="422">
        <v>6389.4</v>
      </c>
      <c r="EV20" s="422">
        <v>6296.8</v>
      </c>
      <c r="EW20" s="422">
        <v>6111.6</v>
      </c>
      <c r="EX20" s="422">
        <v>9260</v>
      </c>
      <c r="EY20" s="422">
        <v>5185.6000000000004</v>
      </c>
      <c r="EZ20" s="422">
        <v>5000</v>
      </c>
      <c r="FA20" s="422">
        <v>8704.4</v>
      </c>
      <c r="FB20" s="422">
        <v>10186</v>
      </c>
      <c r="FC20" s="422">
        <v>6482</v>
      </c>
      <c r="FD20" s="422">
        <v>5926.4</v>
      </c>
      <c r="FE20" s="596"/>
      <c r="FF20" s="422">
        <v>7408</v>
      </c>
      <c r="FG20" s="422">
        <v>9815</v>
      </c>
      <c r="FH20" s="422">
        <v>2963</v>
      </c>
      <c r="FI20" s="422">
        <v>3333</v>
      </c>
      <c r="FJ20" s="422">
        <v>9815</v>
      </c>
      <c r="FK20" s="422">
        <v>9630</v>
      </c>
      <c r="FL20" s="422">
        <v>9815</v>
      </c>
      <c r="FM20" s="422">
        <v>10186</v>
      </c>
      <c r="FN20" s="422">
        <v>12038</v>
      </c>
      <c r="FO20" s="422">
        <v>9260</v>
      </c>
      <c r="FP20" s="422">
        <v>9260</v>
      </c>
      <c r="FQ20" s="422">
        <v>11112</v>
      </c>
      <c r="FR20" s="422">
        <v>11112</v>
      </c>
      <c r="FS20" s="422">
        <v>11482.4</v>
      </c>
      <c r="FT20" s="422">
        <v>9260</v>
      </c>
      <c r="FU20" s="422">
        <v>11482.4</v>
      </c>
      <c r="FV20" s="422">
        <v>10741.6</v>
      </c>
      <c r="FW20" s="422">
        <v>10926.8</v>
      </c>
      <c r="FX20" s="422">
        <v>11482.4</v>
      </c>
      <c r="FY20" s="422">
        <v>11482.4</v>
      </c>
      <c r="FZ20" s="422">
        <v>11482.4</v>
      </c>
      <c r="GA20" s="422">
        <v>10741.6</v>
      </c>
      <c r="GB20" s="422">
        <v>10926.8</v>
      </c>
      <c r="GC20" s="422"/>
      <c r="GD20" s="422">
        <v>7778.4</v>
      </c>
      <c r="GE20" s="422"/>
      <c r="GF20" s="422"/>
      <c r="GG20" s="422"/>
      <c r="GH20" s="422">
        <v>11112</v>
      </c>
      <c r="GI20" s="422">
        <v>10186</v>
      </c>
      <c r="GJ20" s="422"/>
      <c r="GK20" s="422">
        <v>11112</v>
      </c>
      <c r="GL20" s="578">
        <v>11260</v>
      </c>
      <c r="GM20" s="422">
        <v>11250</v>
      </c>
      <c r="GN20" s="578">
        <v>11030</v>
      </c>
      <c r="GO20" s="422">
        <v>10741.6</v>
      </c>
      <c r="GP20" s="422">
        <v>10741.6</v>
      </c>
      <c r="GQ20" s="422">
        <v>10741.6</v>
      </c>
      <c r="GR20" s="422">
        <v>13334.4</v>
      </c>
      <c r="GS20" s="422">
        <v>5870</v>
      </c>
      <c r="GT20" s="578">
        <v>4270</v>
      </c>
      <c r="GU20" s="578">
        <v>13880</v>
      </c>
      <c r="GV20" s="578">
        <v>14000</v>
      </c>
      <c r="GW20" s="422">
        <v>14816</v>
      </c>
      <c r="GX20" s="578">
        <v>9220</v>
      </c>
      <c r="GY20" s="578">
        <v>9230</v>
      </c>
      <c r="GZ20" s="422">
        <v>11667.6</v>
      </c>
      <c r="HA20" s="422">
        <v>2000</v>
      </c>
      <c r="HB20" s="422">
        <v>14816</v>
      </c>
      <c r="HC20" s="422">
        <v>13890</v>
      </c>
      <c r="HD20" s="596"/>
      <c r="HE20" s="422">
        <v>4200</v>
      </c>
      <c r="HF20" s="422">
        <v>4550</v>
      </c>
      <c r="HG20" s="422">
        <v>7037</v>
      </c>
      <c r="HH20" s="422">
        <v>6295</v>
      </c>
      <c r="HI20" s="422">
        <v>5910</v>
      </c>
      <c r="HJ20" s="596"/>
      <c r="HK20" s="422">
        <v>3704</v>
      </c>
      <c r="HL20" s="422">
        <v>7223</v>
      </c>
      <c r="HM20" s="422">
        <v>7778</v>
      </c>
      <c r="HN20" s="422">
        <v>12223</v>
      </c>
      <c r="HO20" s="422">
        <v>7408</v>
      </c>
      <c r="HP20" s="422">
        <v>8590</v>
      </c>
      <c r="HQ20" s="578">
        <v>10600</v>
      </c>
      <c r="HR20" s="422">
        <v>10186</v>
      </c>
      <c r="HS20" s="422">
        <v>11112</v>
      </c>
      <c r="HT20" s="422">
        <v>11112</v>
      </c>
      <c r="HU20" s="578">
        <v>10185</v>
      </c>
      <c r="HV20" s="578">
        <v>10080</v>
      </c>
      <c r="HW20" s="596"/>
      <c r="HX20" s="422">
        <v>9500</v>
      </c>
      <c r="HY20" s="422">
        <v>12000</v>
      </c>
      <c r="HZ20" s="422">
        <v>9565</v>
      </c>
      <c r="IA20" s="422">
        <v>10675</v>
      </c>
      <c r="IB20" s="422">
        <v>9700</v>
      </c>
      <c r="IC20" s="422">
        <v>10785</v>
      </c>
      <c r="ID20" s="422">
        <v>11165</v>
      </c>
      <c r="IE20" s="422">
        <v>10675</v>
      </c>
      <c r="IF20" s="422">
        <v>11120</v>
      </c>
      <c r="IG20" s="422">
        <v>16045</v>
      </c>
      <c r="IH20" s="422">
        <v>14685</v>
      </c>
      <c r="II20" s="422">
        <v>15186</v>
      </c>
      <c r="IJ20" s="596"/>
      <c r="IK20" s="422">
        <v>13620</v>
      </c>
      <c r="IL20" s="422">
        <v>14140</v>
      </c>
      <c r="IM20" s="422">
        <v>11910</v>
      </c>
      <c r="IN20" s="423"/>
      <c r="IO20" s="424">
        <v>2592.8000000000002</v>
      </c>
      <c r="IP20" s="617">
        <v>4389.24</v>
      </c>
      <c r="IQ20" s="827"/>
      <c r="IR20" s="425">
        <v>2666.88</v>
      </c>
      <c r="IS20" s="425">
        <v>4481.84</v>
      </c>
      <c r="IT20" s="425">
        <v>4315.16</v>
      </c>
      <c r="IU20" s="425">
        <v>8889.6</v>
      </c>
      <c r="IV20" s="425">
        <v>5741.2</v>
      </c>
      <c r="IW20" s="425">
        <v>4241.08</v>
      </c>
      <c r="IX20" s="827"/>
      <c r="IY20" s="425"/>
      <c r="IZ20" s="425"/>
      <c r="JA20" s="425">
        <v>3555.84</v>
      </c>
      <c r="JB20" s="827"/>
      <c r="JC20" s="827"/>
      <c r="JD20" s="827"/>
      <c r="JE20" s="827"/>
      <c r="JF20" s="827"/>
      <c r="JG20" s="827"/>
      <c r="JH20" s="827"/>
      <c r="JI20" s="827"/>
      <c r="JJ20" s="426"/>
      <c r="JK20" s="427">
        <v>5278</v>
      </c>
      <c r="JL20" s="428">
        <v>4815</v>
      </c>
      <c r="JM20" s="601">
        <v>3889</v>
      </c>
      <c r="JN20" s="601">
        <v>3334</v>
      </c>
      <c r="JO20" s="601">
        <v>3982</v>
      </c>
      <c r="JP20" s="428">
        <v>3458</v>
      </c>
      <c r="JQ20" s="428">
        <v>4370</v>
      </c>
      <c r="JR20" s="601">
        <v>4537</v>
      </c>
      <c r="JS20" s="601">
        <v>4445</v>
      </c>
      <c r="JT20" s="428"/>
      <c r="JU20" s="428">
        <v>4370</v>
      </c>
      <c r="JV20" s="601">
        <v>4260</v>
      </c>
      <c r="JW20" s="601">
        <v>3704</v>
      </c>
      <c r="JX20" s="428">
        <v>4334</v>
      </c>
      <c r="JY20" s="600">
        <v>2409</v>
      </c>
      <c r="JZ20" s="600">
        <v>3243</v>
      </c>
      <c r="KA20" s="428">
        <v>3741</v>
      </c>
      <c r="KB20" s="428"/>
      <c r="KC20" s="428">
        <v>2130</v>
      </c>
      <c r="KD20" s="428">
        <v>2364</v>
      </c>
      <c r="KE20" s="601">
        <v>2224</v>
      </c>
      <c r="KF20" s="428">
        <v>2873</v>
      </c>
      <c r="KG20" s="428">
        <v>2973</v>
      </c>
      <c r="KH20" s="428">
        <v>2241</v>
      </c>
      <c r="KI20" s="428">
        <v>2354</v>
      </c>
      <c r="KJ20" s="429"/>
      <c r="KK20" s="430"/>
      <c r="KL20" s="545"/>
      <c r="KM20" s="431"/>
      <c r="KN20" s="431"/>
      <c r="KO20" s="431"/>
      <c r="KP20" s="431"/>
      <c r="KQ20" s="463"/>
      <c r="KR20" s="464"/>
      <c r="KS20" s="465"/>
      <c r="KT20" s="466"/>
      <c r="KU20" s="466"/>
      <c r="KV20" s="466"/>
      <c r="KW20" s="466"/>
      <c r="KX20" s="466"/>
      <c r="KY20" s="466"/>
      <c r="KZ20" s="466"/>
      <c r="LA20" s="466"/>
      <c r="LB20" s="466"/>
      <c r="LC20" s="466"/>
      <c r="LD20" s="466"/>
      <c r="LE20" s="466"/>
      <c r="LF20" s="466"/>
      <c r="LG20" s="466"/>
      <c r="LH20" s="466"/>
      <c r="LI20" s="466"/>
      <c r="LJ20" s="466"/>
      <c r="LK20" s="466"/>
      <c r="LL20" s="466"/>
      <c r="LM20" s="466"/>
      <c r="LN20" s="466"/>
      <c r="LO20" s="466"/>
      <c r="LP20" s="466"/>
      <c r="LQ20" s="466"/>
      <c r="LR20" s="466"/>
      <c r="LS20" s="466"/>
      <c r="LT20" s="734"/>
      <c r="LU20" s="611"/>
      <c r="LV20" s="588"/>
      <c r="LW20" s="611"/>
      <c r="LX20" s="611"/>
      <c r="LY20" s="611"/>
      <c r="LZ20" s="611"/>
      <c r="MA20" s="611"/>
      <c r="MB20" s="611"/>
      <c r="MC20" s="611">
        <v>7778.4</v>
      </c>
      <c r="MD20" s="588"/>
      <c r="ME20" s="611"/>
      <c r="MF20" s="588"/>
      <c r="MG20" s="611"/>
      <c r="MH20" s="588">
        <v>5556</v>
      </c>
      <c r="MI20" s="611">
        <v>8704.4</v>
      </c>
      <c r="MJ20" s="588">
        <v>5926.4</v>
      </c>
      <c r="MK20" s="611">
        <v>4259.6000000000004</v>
      </c>
      <c r="ML20" s="611">
        <v>9630.4</v>
      </c>
      <c r="MM20" s="611">
        <v>5926.4</v>
      </c>
      <c r="MN20" s="611">
        <v>7408</v>
      </c>
      <c r="MO20" s="611">
        <v>4259.6000000000004</v>
      </c>
      <c r="MP20" s="611">
        <v>6482</v>
      </c>
      <c r="MQ20" s="611">
        <v>5370.8</v>
      </c>
      <c r="MR20" s="611">
        <v>9815.6</v>
      </c>
      <c r="MS20" s="611">
        <v>7222.8</v>
      </c>
      <c r="MT20" s="611">
        <v>8334</v>
      </c>
      <c r="MU20" s="611">
        <v>5370.8</v>
      </c>
      <c r="MV20" s="611"/>
      <c r="MW20" s="588"/>
      <c r="MX20" s="436"/>
      <c r="MY20" s="436"/>
      <c r="MZ20" s="611">
        <v>2407.6</v>
      </c>
      <c r="NA20" s="436"/>
      <c r="NB20" s="436">
        <v>2778</v>
      </c>
      <c r="NC20" s="436"/>
      <c r="ND20" s="436">
        <v>2407.6</v>
      </c>
      <c r="NE20" s="436"/>
      <c r="NF20" s="436"/>
      <c r="NG20" s="436"/>
      <c r="NH20" s="436"/>
      <c r="NI20" s="436">
        <v>2037.2</v>
      </c>
      <c r="NJ20" s="436">
        <v>2407.6</v>
      </c>
      <c r="NK20" s="436"/>
      <c r="NL20" s="436"/>
      <c r="NM20" s="436"/>
      <c r="NN20" s="436"/>
      <c r="NO20" s="436">
        <v>4630</v>
      </c>
      <c r="NP20" s="436"/>
      <c r="NQ20" s="436">
        <v>8334</v>
      </c>
      <c r="NR20" s="436"/>
      <c r="NS20" s="436"/>
      <c r="NT20" s="436"/>
      <c r="NU20" s="436"/>
      <c r="NV20" s="436"/>
      <c r="NW20" s="436"/>
      <c r="NX20" s="436"/>
      <c r="NY20" s="436"/>
      <c r="NZ20" s="611"/>
      <c r="OA20" s="635"/>
      <c r="OB20" s="638">
        <v>4963</v>
      </c>
      <c r="OC20" s="638">
        <v>4963</v>
      </c>
      <c r="OD20" s="638">
        <v>6667</v>
      </c>
      <c r="OE20" s="638">
        <v>9899</v>
      </c>
      <c r="OF20" s="638"/>
      <c r="OG20" s="638"/>
      <c r="OH20" s="638"/>
      <c r="OI20" s="638"/>
      <c r="OJ20" s="638"/>
      <c r="OK20" s="638"/>
      <c r="OL20" s="638"/>
      <c r="OM20" s="638"/>
      <c r="ON20" s="635"/>
      <c r="OO20" s="638">
        <v>2222.4</v>
      </c>
      <c r="OP20" s="638">
        <v>3704</v>
      </c>
      <c r="OQ20" s="638">
        <v>4139.22</v>
      </c>
      <c r="OR20" s="638">
        <v>5576.3720000000003</v>
      </c>
      <c r="OS20" s="638"/>
      <c r="OT20" s="638">
        <v>3000</v>
      </c>
      <c r="OU20" s="638">
        <v>2910</v>
      </c>
      <c r="OV20" s="638">
        <v>2817</v>
      </c>
      <c r="OW20" s="638">
        <v>3075</v>
      </c>
      <c r="OX20" s="638">
        <v>2965</v>
      </c>
      <c r="OY20" s="638">
        <v>2760</v>
      </c>
      <c r="OZ20" s="638"/>
      <c r="PA20" s="638"/>
      <c r="PB20" s="638"/>
      <c r="PC20" s="638"/>
      <c r="PD20" s="638"/>
      <c r="PE20" s="638"/>
      <c r="PF20" s="638"/>
      <c r="PG20" s="638"/>
      <c r="PH20" s="640"/>
      <c r="PI20" s="666">
        <v>16190</v>
      </c>
      <c r="PJ20" s="666">
        <v>16190</v>
      </c>
      <c r="PK20" s="666">
        <v>13500</v>
      </c>
      <c r="PL20" s="420">
        <v>14816</v>
      </c>
      <c r="PM20" s="420">
        <v>14816</v>
      </c>
      <c r="PN20" s="420">
        <v>14816</v>
      </c>
      <c r="PO20" s="550">
        <v>6482</v>
      </c>
    </row>
    <row r="21" spans="1:431">
      <c r="A21" s="418" t="s">
        <v>1230</v>
      </c>
      <c r="B21" s="623" t="s">
        <v>1231</v>
      </c>
      <c r="C21" s="380" t="s">
        <v>438</v>
      </c>
      <c r="D21" s="380" t="s">
        <v>1232</v>
      </c>
      <c r="E21" s="380" t="s">
        <v>1233</v>
      </c>
      <c r="G21" s="493"/>
      <c r="H21" s="549"/>
      <c r="I21" s="549"/>
      <c r="J21" s="549"/>
      <c r="K21" s="549"/>
      <c r="L21" s="549"/>
      <c r="M21" s="549"/>
      <c r="N21" s="549"/>
      <c r="O21" s="549"/>
      <c r="P21" s="549"/>
      <c r="Q21" s="549"/>
      <c r="R21" s="549"/>
      <c r="S21" s="549"/>
      <c r="T21" s="549"/>
      <c r="U21" s="549"/>
      <c r="V21" s="549"/>
      <c r="W21" s="549"/>
      <c r="X21" s="549"/>
      <c r="Y21" s="549"/>
      <c r="Z21" s="549"/>
      <c r="AA21" s="549"/>
      <c r="AB21" s="549"/>
      <c r="AC21" s="549"/>
      <c r="AD21" s="549"/>
      <c r="AE21" s="549"/>
      <c r="AF21" s="549"/>
      <c r="AG21" s="549"/>
      <c r="AH21" s="549"/>
      <c r="AI21" s="549"/>
      <c r="AJ21" s="549"/>
      <c r="AK21" s="549"/>
      <c r="AL21" s="549"/>
      <c r="AM21" s="549"/>
      <c r="AN21" s="549"/>
      <c r="AO21" s="549"/>
      <c r="AP21" s="549"/>
      <c r="AQ21" s="549"/>
      <c r="AR21" s="549"/>
      <c r="AS21" s="549"/>
      <c r="AT21" s="549"/>
      <c r="AU21" s="549"/>
      <c r="AV21" s="549"/>
      <c r="AW21" s="549"/>
      <c r="AX21" s="549"/>
      <c r="AY21" s="549"/>
      <c r="AZ21" s="549"/>
      <c r="BA21" s="549"/>
      <c r="BB21" s="549"/>
      <c r="BC21" s="549"/>
      <c r="BD21" s="549"/>
      <c r="BE21" s="549"/>
      <c r="BF21" s="549"/>
      <c r="BG21" s="549"/>
      <c r="BH21" s="549"/>
      <c r="BI21" s="549"/>
      <c r="BJ21" s="549"/>
      <c r="BK21" s="549"/>
      <c r="BL21" s="549"/>
      <c r="BM21" s="549"/>
      <c r="BN21" s="549"/>
      <c r="BO21" s="549"/>
      <c r="BP21" s="549"/>
      <c r="BQ21" s="549"/>
      <c r="BR21" s="549"/>
      <c r="BS21" s="549"/>
      <c r="BT21" s="549"/>
      <c r="BU21" s="549"/>
      <c r="BV21" s="549"/>
      <c r="BW21" s="549"/>
      <c r="BX21" s="549"/>
      <c r="BY21" s="549"/>
      <c r="BZ21" s="549"/>
      <c r="CA21" s="549"/>
      <c r="CB21" s="549"/>
      <c r="CC21" s="863"/>
      <c r="CD21" s="549"/>
      <c r="CE21" s="549"/>
      <c r="CF21" s="549"/>
      <c r="CG21" s="549"/>
      <c r="CH21" s="549"/>
      <c r="CI21" s="549"/>
      <c r="CJ21" s="549"/>
      <c r="CK21" s="549"/>
      <c r="CL21" s="549"/>
      <c r="CM21" s="549"/>
      <c r="CN21" s="549"/>
      <c r="CO21" s="549"/>
      <c r="CP21" s="549"/>
      <c r="CQ21" s="549"/>
      <c r="CR21" s="549"/>
      <c r="CS21" s="549"/>
      <c r="CT21" s="549"/>
      <c r="CU21" s="549"/>
      <c r="CV21" s="549"/>
      <c r="CW21" s="549"/>
      <c r="CX21" s="549"/>
      <c r="CY21" s="549"/>
      <c r="CZ21" s="549"/>
      <c r="DA21" s="549"/>
      <c r="DB21" s="549"/>
      <c r="DC21" s="549"/>
      <c r="DD21" s="549"/>
      <c r="DE21" s="549"/>
      <c r="DF21" s="549"/>
      <c r="DG21" s="549"/>
      <c r="DH21" s="549"/>
      <c r="DI21" s="549"/>
      <c r="DJ21" s="549"/>
      <c r="DK21" s="549"/>
      <c r="DL21" s="549"/>
      <c r="DM21" s="549"/>
      <c r="DN21" s="549"/>
      <c r="DO21" s="549"/>
      <c r="DP21" s="549"/>
      <c r="DQ21" s="549"/>
      <c r="DR21" s="549"/>
      <c r="DS21" s="715"/>
      <c r="DT21" s="666"/>
      <c r="DU21" s="574"/>
      <c r="DV21" s="550"/>
      <c r="DW21" s="550"/>
      <c r="DX21" s="550"/>
      <c r="DY21" s="550"/>
      <c r="DZ21" s="594"/>
      <c r="EA21" s="550"/>
      <c r="EB21" s="550"/>
      <c r="EC21" s="594"/>
      <c r="ED21" s="550"/>
      <c r="EE21" s="550"/>
      <c r="EF21" s="550"/>
      <c r="EG21" s="550"/>
      <c r="EH21" s="550"/>
      <c r="EI21" s="550"/>
      <c r="EJ21" s="550"/>
      <c r="EK21" s="550"/>
      <c r="EL21" s="594"/>
      <c r="EM21" s="550"/>
      <c r="EN21" s="550"/>
      <c r="EO21" s="550"/>
      <c r="EP21" s="550"/>
      <c r="EQ21" s="550"/>
      <c r="ER21" s="550"/>
      <c r="ES21" s="550"/>
      <c r="ET21" s="550"/>
      <c r="EU21" s="550"/>
      <c r="EV21" s="550"/>
      <c r="EW21" s="550"/>
      <c r="EX21" s="550"/>
      <c r="EY21" s="550"/>
      <c r="EZ21" s="550"/>
      <c r="FA21" s="550"/>
      <c r="FB21" s="550"/>
      <c r="FC21" s="550"/>
      <c r="FD21" s="550"/>
      <c r="FE21" s="594"/>
      <c r="FF21" s="550"/>
      <c r="FG21" s="550"/>
      <c r="FH21" s="550"/>
      <c r="FI21" s="550"/>
      <c r="FJ21" s="550"/>
      <c r="FK21" s="550"/>
      <c r="FL21" s="550"/>
      <c r="FM21" s="550"/>
      <c r="FN21" s="550"/>
      <c r="FO21" s="550"/>
      <c r="FP21" s="550"/>
      <c r="FQ21" s="550"/>
      <c r="FR21" s="550"/>
      <c r="FS21" s="550"/>
      <c r="FT21" s="550"/>
      <c r="FU21" s="550">
        <f>194000-164030</f>
        <v>29970</v>
      </c>
      <c r="FV21" s="550">
        <f>220000-166720</f>
        <v>53280</v>
      </c>
      <c r="FW21" s="550">
        <f>215000-178640</f>
        <v>36360</v>
      </c>
      <c r="FX21" s="550">
        <f>190000-155180</f>
        <v>34820</v>
      </c>
      <c r="FY21" s="550">
        <f>194000-155180</f>
        <v>38820</v>
      </c>
      <c r="FZ21" s="550">
        <f>200000-159600</f>
        <v>40400</v>
      </c>
      <c r="GA21" s="550">
        <f>213000-157880</f>
        <v>55120</v>
      </c>
      <c r="GB21" s="550"/>
      <c r="GC21" s="550"/>
      <c r="GD21" s="550"/>
      <c r="GE21" s="550"/>
      <c r="GF21" s="550"/>
      <c r="GG21" s="550"/>
      <c r="GH21" s="550"/>
      <c r="GI21" s="550"/>
      <c r="GJ21" s="550"/>
      <c r="GK21" s="550"/>
      <c r="GL21" s="550"/>
      <c r="GM21" s="550"/>
      <c r="GN21" s="550"/>
      <c r="GO21" s="550"/>
      <c r="GP21" s="550"/>
      <c r="GQ21" s="550"/>
      <c r="GR21" s="550"/>
      <c r="GS21" s="550"/>
      <c r="GT21" s="550"/>
      <c r="GU21" s="550"/>
      <c r="GV21" s="550"/>
      <c r="GW21" s="550"/>
      <c r="GX21" s="550"/>
      <c r="GY21" s="550"/>
      <c r="GZ21" s="550"/>
      <c r="HA21" s="550"/>
      <c r="HB21" s="550"/>
      <c r="HC21" s="550">
        <f>605*95</f>
        <v>57475</v>
      </c>
      <c r="HD21" s="594"/>
      <c r="HE21" s="550"/>
      <c r="HF21" s="550"/>
      <c r="HG21" s="550">
        <v>29300</v>
      </c>
      <c r="HH21" s="550"/>
      <c r="HI21" s="550"/>
      <c r="HJ21" s="594"/>
      <c r="HK21" s="550"/>
      <c r="HL21" s="550"/>
      <c r="HM21" s="550"/>
      <c r="HN21" s="550"/>
      <c r="HO21" s="550"/>
      <c r="HP21" s="550"/>
      <c r="HQ21" s="550"/>
      <c r="HR21" s="550">
        <v>42225</v>
      </c>
      <c r="HS21" s="550">
        <v>28679</v>
      </c>
      <c r="HT21" s="550"/>
      <c r="HU21" s="550"/>
      <c r="HV21" s="550"/>
      <c r="HW21" s="594"/>
      <c r="HX21" s="550"/>
      <c r="HY21" s="550"/>
      <c r="HZ21" s="550"/>
      <c r="IA21" s="550"/>
      <c r="IB21" s="550"/>
      <c r="IC21" s="550"/>
      <c r="ID21" s="550"/>
      <c r="IE21" s="550"/>
      <c r="IF21" s="550"/>
      <c r="IG21" s="550"/>
      <c r="IH21" s="550"/>
      <c r="II21" s="550"/>
      <c r="IJ21" s="594"/>
      <c r="IK21" s="550"/>
      <c r="IL21" s="550"/>
      <c r="IM21" s="550"/>
      <c r="IN21" s="645"/>
      <c r="IO21" s="551"/>
      <c r="IP21" s="551"/>
      <c r="IQ21" s="551"/>
      <c r="IR21" s="551"/>
      <c r="IS21" s="551"/>
      <c r="IT21" s="551"/>
      <c r="IU21" s="551"/>
      <c r="IV21" s="551"/>
      <c r="IW21" s="551"/>
      <c r="IX21" s="551"/>
      <c r="IY21" s="551"/>
      <c r="IZ21" s="551"/>
      <c r="JA21" s="551"/>
      <c r="JB21" s="551"/>
      <c r="JC21" s="551"/>
      <c r="JD21" s="551"/>
      <c r="JE21" s="551"/>
      <c r="JF21" s="551"/>
      <c r="JG21" s="551"/>
      <c r="JH21" s="551"/>
      <c r="JI21" s="551"/>
      <c r="JJ21" s="646"/>
      <c r="JK21" s="552"/>
      <c r="JL21" s="552"/>
      <c r="JM21" s="647"/>
      <c r="JN21" s="647"/>
      <c r="JO21" s="647"/>
      <c r="JP21" s="552"/>
      <c r="JQ21" s="552"/>
      <c r="JR21" s="647"/>
      <c r="JS21" s="647"/>
      <c r="JT21" s="552"/>
      <c r="JU21" s="552"/>
      <c r="JV21" s="647"/>
      <c r="JW21" s="647"/>
      <c r="JX21" s="552"/>
      <c r="JY21" s="647"/>
      <c r="JZ21" s="647"/>
      <c r="KA21" s="552"/>
      <c r="KB21" s="552"/>
      <c r="KC21" s="552"/>
      <c r="KD21" s="552"/>
      <c r="KE21" s="647"/>
      <c r="KF21" s="552"/>
      <c r="KG21" s="552"/>
      <c r="KH21" s="552"/>
      <c r="KI21" s="552"/>
      <c r="KJ21" s="648"/>
      <c r="KK21" s="553"/>
      <c r="KL21" s="553"/>
      <c r="KM21" s="553"/>
      <c r="KN21" s="553"/>
      <c r="KO21" s="553"/>
      <c r="KP21" s="553"/>
      <c r="KQ21" s="649"/>
      <c r="KR21" s="554"/>
      <c r="KS21" s="554"/>
      <c r="KT21" s="554"/>
      <c r="KU21" s="554"/>
      <c r="KV21" s="554"/>
      <c r="KW21" s="554"/>
      <c r="KX21" s="554"/>
      <c r="KY21" s="554"/>
      <c r="KZ21" s="554"/>
      <c r="LA21" s="554"/>
      <c r="LB21" s="554"/>
      <c r="LC21" s="554"/>
      <c r="LD21" s="554"/>
      <c r="LE21" s="554"/>
      <c r="LF21" s="554"/>
      <c r="LG21" s="554"/>
      <c r="LH21" s="554"/>
      <c r="LI21" s="554"/>
      <c r="LJ21" s="554"/>
      <c r="LK21" s="554"/>
      <c r="LL21" s="554"/>
      <c r="LM21" s="554"/>
      <c r="LN21" s="554"/>
      <c r="LO21" s="554"/>
      <c r="LP21" s="554"/>
      <c r="LQ21" s="554"/>
      <c r="LR21" s="554"/>
      <c r="LS21" s="554"/>
      <c r="LT21" s="739"/>
      <c r="LU21" s="611"/>
      <c r="LV21" s="561"/>
      <c r="LW21" s="555"/>
      <c r="LX21" s="555"/>
      <c r="LY21" s="555"/>
      <c r="LZ21" s="555"/>
      <c r="MA21" s="555"/>
      <c r="MB21" s="555"/>
      <c r="MC21" s="555"/>
      <c r="MD21" s="555"/>
      <c r="ME21" s="555"/>
      <c r="MF21" s="555"/>
      <c r="MG21" s="555"/>
      <c r="MH21" s="555"/>
      <c r="MI21" s="555"/>
      <c r="MJ21" s="555"/>
      <c r="MK21" s="555"/>
      <c r="ML21" s="555"/>
      <c r="MM21" s="555"/>
      <c r="MN21" s="555"/>
      <c r="MO21" s="555"/>
      <c r="MP21" s="555"/>
      <c r="MQ21" s="555"/>
      <c r="MR21" s="555"/>
      <c r="MS21" s="555"/>
      <c r="MT21" s="555"/>
      <c r="MU21" s="555"/>
      <c r="MV21" s="555"/>
      <c r="MW21" s="555"/>
      <c r="MX21" s="555"/>
      <c r="MY21" s="555"/>
      <c r="MZ21" s="555"/>
      <c r="NA21" s="555"/>
      <c r="NB21" s="555"/>
      <c r="NC21" s="555"/>
      <c r="ND21" s="555"/>
      <c r="NE21" s="555"/>
      <c r="NF21" s="555"/>
      <c r="NG21" s="555"/>
      <c r="NH21" s="555"/>
      <c r="NI21" s="555"/>
      <c r="NJ21" s="555"/>
      <c r="NK21" s="555"/>
      <c r="NL21" s="555"/>
      <c r="NM21" s="555"/>
      <c r="NN21" s="555"/>
      <c r="NO21" s="555"/>
      <c r="NP21" s="555"/>
      <c r="NQ21" s="555"/>
      <c r="NR21" s="555"/>
      <c r="NS21" s="555"/>
      <c r="NT21" s="555"/>
      <c r="NU21" s="555"/>
      <c r="NV21" s="555"/>
      <c r="NW21" s="555"/>
      <c r="NX21" s="555"/>
      <c r="NY21" s="555"/>
      <c r="NZ21" s="555"/>
      <c r="OA21" s="650"/>
      <c r="OB21" s="651"/>
      <c r="OC21" s="651"/>
      <c r="OD21" s="651"/>
      <c r="OE21" s="651"/>
      <c r="OF21" s="651"/>
      <c r="OG21" s="651"/>
      <c r="OH21" s="651"/>
      <c r="OI21" s="651"/>
      <c r="OJ21" s="651"/>
      <c r="OK21" s="651"/>
      <c r="OL21" s="651"/>
      <c r="OM21" s="651"/>
      <c r="ON21" s="650"/>
      <c r="OO21" s="651"/>
      <c r="OP21" s="651"/>
      <c r="OQ21" s="651"/>
      <c r="OR21" s="651"/>
      <c r="OS21" s="651"/>
      <c r="OT21" s="651"/>
      <c r="OU21" s="651"/>
      <c r="OV21" s="651"/>
      <c r="OW21" s="651"/>
      <c r="OX21" s="651"/>
      <c r="OY21" s="651"/>
      <c r="OZ21" s="651"/>
      <c r="PA21" s="651"/>
      <c r="PB21" s="651"/>
      <c r="PC21" s="651"/>
      <c r="PD21" s="651"/>
      <c r="PE21" s="651"/>
      <c r="PF21" s="651"/>
      <c r="PG21" s="651"/>
      <c r="PH21" s="750"/>
      <c r="PI21" s="666"/>
      <c r="PJ21" s="666"/>
      <c r="PK21" s="666"/>
      <c r="PL21" s="420"/>
      <c r="PM21" s="420"/>
      <c r="PN21" s="420"/>
      <c r="PO21" s="550"/>
    </row>
    <row r="22" spans="1:431" ht="15.75">
      <c r="A22" s="510" t="s">
        <v>1234</v>
      </c>
      <c r="B22" s="624"/>
      <c r="C22" s="620"/>
      <c r="D22" s="620"/>
      <c r="E22" s="620"/>
      <c r="F22" s="620"/>
      <c r="G22" s="493"/>
      <c r="H22" s="471"/>
      <c r="I22" s="455"/>
      <c r="J22" s="455"/>
      <c r="K22" s="455"/>
      <c r="L22" s="455"/>
      <c r="M22" s="455"/>
      <c r="N22" s="455"/>
      <c r="O22" s="455"/>
      <c r="P22" s="455"/>
      <c r="Q22" s="455"/>
      <c r="R22" s="455"/>
      <c r="S22" s="455"/>
      <c r="T22" s="455"/>
      <c r="U22" s="455"/>
      <c r="V22" s="455"/>
      <c r="W22" s="455"/>
      <c r="X22" s="455"/>
      <c r="Y22" s="455"/>
      <c r="Z22" s="455"/>
      <c r="AA22" s="455"/>
      <c r="AB22" s="455"/>
      <c r="AC22" s="455"/>
      <c r="AD22" s="455"/>
      <c r="AE22" s="455"/>
      <c r="AF22" s="455"/>
      <c r="AG22" s="455"/>
      <c r="AH22" s="455"/>
      <c r="AI22" s="455"/>
      <c r="AJ22" s="455"/>
      <c r="AK22" s="455"/>
      <c r="AL22" s="455"/>
      <c r="AM22" s="455"/>
      <c r="AN22" s="455"/>
      <c r="AO22" s="455"/>
      <c r="AP22" s="455"/>
      <c r="AQ22" s="455"/>
      <c r="AR22" s="455"/>
      <c r="AS22" s="455"/>
      <c r="AT22" s="455"/>
      <c r="AU22" s="455"/>
      <c r="AV22" s="455"/>
      <c r="AW22" s="455"/>
      <c r="AX22" s="455"/>
      <c r="AY22" s="455"/>
      <c r="AZ22" s="455"/>
      <c r="BA22" s="455"/>
      <c r="BB22" s="455"/>
      <c r="BC22" s="455"/>
      <c r="BD22" s="455"/>
      <c r="BE22" s="455"/>
      <c r="BF22" s="455"/>
      <c r="BG22" s="455"/>
      <c r="BH22" s="455"/>
      <c r="BI22" s="455"/>
      <c r="BJ22" s="455"/>
      <c r="BK22" s="455"/>
      <c r="BL22" s="455"/>
      <c r="BM22" s="455"/>
      <c r="BN22" s="455"/>
      <c r="BO22" s="455"/>
      <c r="BP22" s="455"/>
      <c r="BQ22" s="455"/>
      <c r="BR22" s="455"/>
      <c r="BS22" s="455"/>
      <c r="BT22" s="455"/>
      <c r="BU22" s="455"/>
      <c r="BV22" s="455"/>
      <c r="BW22" s="455"/>
      <c r="BX22" s="455"/>
      <c r="BY22" s="455"/>
      <c r="BZ22" s="455"/>
      <c r="CA22" s="455"/>
      <c r="CB22" s="455"/>
      <c r="CC22" s="854"/>
      <c r="CD22" s="455"/>
      <c r="CE22" s="455"/>
      <c r="CF22" s="455"/>
      <c r="CG22" s="455"/>
      <c r="CH22" s="455"/>
      <c r="CI22" s="455"/>
      <c r="CJ22" s="455"/>
      <c r="CK22" s="455"/>
      <c r="CL22" s="455" t="s">
        <v>1235</v>
      </c>
      <c r="CM22" s="455"/>
      <c r="CN22" s="455"/>
      <c r="CO22" s="455"/>
      <c r="CP22" s="455"/>
      <c r="CQ22" s="455"/>
      <c r="CR22" s="455"/>
      <c r="CS22" s="455"/>
      <c r="CT22" s="455"/>
      <c r="CU22" s="455"/>
      <c r="CV22" s="455"/>
      <c r="CW22" s="455"/>
      <c r="CX22" s="455"/>
      <c r="CY22" s="455"/>
      <c r="CZ22" s="455"/>
      <c r="DA22" s="455"/>
      <c r="DB22" s="455"/>
      <c r="DC22" s="455"/>
      <c r="DD22" s="455"/>
      <c r="DE22" s="455"/>
      <c r="DF22" s="455"/>
      <c r="DG22" s="455"/>
      <c r="DH22" s="455"/>
      <c r="DI22" s="455"/>
      <c r="DJ22" s="455"/>
      <c r="DK22" s="455"/>
      <c r="DL22" s="455"/>
      <c r="DM22" s="455"/>
      <c r="DN22" s="455"/>
      <c r="DO22" s="455"/>
      <c r="DP22" s="455"/>
      <c r="DQ22" s="455"/>
      <c r="DR22" s="455"/>
      <c r="DS22" s="498"/>
      <c r="DT22" s="668"/>
      <c r="DU22" s="453"/>
      <c r="DV22" s="453"/>
      <c r="DW22" s="453"/>
      <c r="DX22" s="453"/>
      <c r="DY22" s="453"/>
      <c r="DZ22" s="541"/>
      <c r="EA22" s="453"/>
      <c r="EB22" s="453"/>
      <c r="EC22" s="541"/>
      <c r="ED22" s="453"/>
      <c r="EE22" s="453"/>
      <c r="EF22" s="453"/>
      <c r="EG22" s="453"/>
      <c r="EH22" s="453"/>
      <c r="EI22" s="453"/>
      <c r="EJ22" s="453"/>
      <c r="EK22" s="453"/>
      <c r="EL22" s="541"/>
      <c r="EM22" s="453"/>
      <c r="EN22" s="453"/>
      <c r="EO22" s="453"/>
      <c r="EP22" s="453"/>
      <c r="EQ22" s="453"/>
      <c r="ER22" s="453"/>
      <c r="ES22" s="453"/>
      <c r="ET22" s="453"/>
      <c r="EU22" s="453"/>
      <c r="EV22" s="453"/>
      <c r="EW22" s="453"/>
      <c r="EX22" s="453"/>
      <c r="EY22" s="453"/>
      <c r="EZ22" s="453"/>
      <c r="FA22" s="453"/>
      <c r="FB22" s="453"/>
      <c r="FC22" s="453"/>
      <c r="FD22" s="453"/>
      <c r="FE22" s="541"/>
      <c r="FF22" s="453"/>
      <c r="FG22" s="453"/>
      <c r="FH22" s="453"/>
      <c r="FI22" s="453"/>
      <c r="FJ22" s="453"/>
      <c r="FK22" s="453"/>
      <c r="FL22" s="453"/>
      <c r="FM22" s="453"/>
      <c r="FN22" s="453"/>
      <c r="FO22" s="453"/>
      <c r="FP22" s="453"/>
      <c r="FQ22" s="453"/>
      <c r="FR22" s="453"/>
      <c r="FS22" s="453"/>
      <c r="FT22" s="453"/>
      <c r="FU22" s="453"/>
      <c r="FV22" s="453"/>
      <c r="FW22" s="453"/>
      <c r="FX22" s="453"/>
      <c r="FY22" s="453"/>
      <c r="FZ22" s="453"/>
      <c r="GA22" s="453"/>
      <c r="GB22" s="453"/>
      <c r="GC22" s="453"/>
      <c r="GD22" s="453"/>
      <c r="GE22" s="453"/>
      <c r="GF22" s="453"/>
      <c r="GG22" s="453"/>
      <c r="GH22" s="453"/>
      <c r="GI22" s="453"/>
      <c r="GJ22" s="453"/>
      <c r="GK22" s="453"/>
      <c r="GL22" s="453"/>
      <c r="GM22" s="453"/>
      <c r="GN22" s="453"/>
      <c r="GO22" s="453"/>
      <c r="GP22" s="453"/>
      <c r="GQ22" s="453"/>
      <c r="GR22" s="453"/>
      <c r="GS22" s="453"/>
      <c r="GT22" s="453"/>
      <c r="GU22" s="453"/>
      <c r="GV22" s="453"/>
      <c r="GW22" s="453"/>
      <c r="GX22" s="453"/>
      <c r="GY22" s="453"/>
      <c r="GZ22" s="453"/>
      <c r="HA22" s="453"/>
      <c r="HB22" s="453"/>
      <c r="HC22" s="453"/>
      <c r="HD22" s="541"/>
      <c r="HE22" s="453"/>
      <c r="HF22" s="453"/>
      <c r="HG22" s="453"/>
      <c r="HH22" s="453"/>
      <c r="HI22" s="453"/>
      <c r="HJ22" s="541"/>
      <c r="HK22" s="453"/>
      <c r="HL22" s="453"/>
      <c r="HM22" s="453"/>
      <c r="HN22" s="453"/>
      <c r="HO22" s="453"/>
      <c r="HP22" s="453"/>
      <c r="HQ22" s="453"/>
      <c r="HR22" s="453"/>
      <c r="HS22" s="453"/>
      <c r="HT22" s="453"/>
      <c r="HU22" s="453"/>
      <c r="HV22" s="453"/>
      <c r="HW22" s="541"/>
      <c r="HX22" s="453"/>
      <c r="HY22" s="453"/>
      <c r="HZ22" s="453"/>
      <c r="IA22" s="453"/>
      <c r="IB22" s="453"/>
      <c r="IC22" s="453"/>
      <c r="ID22" s="453"/>
      <c r="IE22" s="453"/>
      <c r="IF22" s="453"/>
      <c r="IG22" s="453"/>
      <c r="IH22" s="453"/>
      <c r="II22" s="453"/>
      <c r="IJ22" s="541"/>
      <c r="IK22" s="453"/>
      <c r="IL22" s="453"/>
      <c r="IM22" s="453"/>
      <c r="IN22" s="441"/>
      <c r="IO22" s="454"/>
      <c r="IP22" s="455"/>
      <c r="IQ22" s="455"/>
      <c r="IR22" s="455"/>
      <c r="IS22" s="455"/>
      <c r="IT22" s="455"/>
      <c r="IU22" s="455"/>
      <c r="IV22" s="455"/>
      <c r="IW22" s="455"/>
      <c r="IX22" s="455"/>
      <c r="IY22" s="455"/>
      <c r="IZ22" s="455"/>
      <c r="JA22" s="455"/>
      <c r="JB22" s="455"/>
      <c r="JC22" s="455"/>
      <c r="JD22" s="455"/>
      <c r="JE22" s="455"/>
      <c r="JF22" s="455"/>
      <c r="JG22" s="455"/>
      <c r="JH22" s="455"/>
      <c r="JI22" s="455"/>
      <c r="JJ22" s="456"/>
      <c r="JK22" s="454"/>
      <c r="JL22" s="455"/>
      <c r="JM22" s="455"/>
      <c r="JN22" s="455"/>
      <c r="JO22" s="455"/>
      <c r="JP22" s="455"/>
      <c r="JQ22" s="455"/>
      <c r="JR22" s="455"/>
      <c r="JS22" s="455"/>
      <c r="JT22" s="455"/>
      <c r="JU22" s="455"/>
      <c r="JV22" s="455"/>
      <c r="JW22" s="455"/>
      <c r="JX22" s="455"/>
      <c r="JY22" s="455"/>
      <c r="JZ22" s="455"/>
      <c r="KA22" s="455"/>
      <c r="KB22" s="455"/>
      <c r="KC22" s="455"/>
      <c r="KD22" s="455"/>
      <c r="KE22" s="455"/>
      <c r="KF22" s="455"/>
      <c r="KG22" s="455"/>
      <c r="KH22" s="455"/>
      <c r="KI22" s="455"/>
      <c r="KJ22" s="429"/>
      <c r="KK22" s="457"/>
      <c r="KL22" s="455"/>
      <c r="KM22" s="455"/>
      <c r="KN22" s="455"/>
      <c r="KO22" s="455"/>
      <c r="KP22" s="455"/>
      <c r="KQ22" s="463"/>
      <c r="KR22" s="515"/>
      <c r="KS22" s="455"/>
      <c r="KT22" s="455"/>
      <c r="KU22" s="455"/>
      <c r="KV22" s="455"/>
      <c r="KW22" s="455"/>
      <c r="KX22" s="455"/>
      <c r="KY22" s="455"/>
      <c r="KZ22" s="455"/>
      <c r="LA22" s="455"/>
      <c r="LB22" s="455"/>
      <c r="LC22" s="455"/>
      <c r="LD22" s="455"/>
      <c r="LE22" s="455"/>
      <c r="LF22" s="455"/>
      <c r="LG22" s="455"/>
      <c r="LH22" s="455"/>
      <c r="LI22" s="455"/>
      <c r="LJ22" s="455"/>
      <c r="LK22" s="455"/>
      <c r="LL22" s="455"/>
      <c r="LM22" s="455"/>
      <c r="LN22" s="455"/>
      <c r="LO22" s="455"/>
      <c r="LP22" s="455"/>
      <c r="LQ22" s="455"/>
      <c r="LR22" s="455"/>
      <c r="LS22" s="455"/>
      <c r="LT22" s="734"/>
      <c r="LU22" s="512"/>
      <c r="LV22" s="455"/>
      <c r="LW22" s="615"/>
      <c r="LX22" s="615"/>
      <c r="LY22" s="615"/>
      <c r="LZ22" s="615"/>
      <c r="MA22" s="615"/>
      <c r="MB22" s="615"/>
      <c r="MC22" s="615"/>
      <c r="MD22" s="455"/>
      <c r="ME22" s="615"/>
      <c r="MF22" s="455"/>
      <c r="MG22" s="615"/>
      <c r="MH22" s="455"/>
      <c r="MI22" s="615"/>
      <c r="MJ22" s="455"/>
      <c r="MK22" s="615"/>
      <c r="ML22" s="615"/>
      <c r="MM22" s="615"/>
      <c r="MN22" s="615"/>
      <c r="MO22" s="615"/>
      <c r="MP22" s="615"/>
      <c r="MQ22" s="615"/>
      <c r="MR22" s="615"/>
      <c r="MS22" s="615"/>
      <c r="MT22" s="615"/>
      <c r="MU22" s="615"/>
      <c r="MV22" s="615"/>
      <c r="MW22" s="455"/>
      <c r="MX22" s="455"/>
      <c r="MY22" s="455"/>
      <c r="MZ22" s="455"/>
      <c r="NA22" s="455"/>
      <c r="NB22" s="455"/>
      <c r="NC22" s="455"/>
      <c r="ND22" s="455"/>
      <c r="NE22" s="455"/>
      <c r="NF22" s="455"/>
      <c r="NG22" s="455"/>
      <c r="NH22" s="455"/>
      <c r="NI22" s="455"/>
      <c r="NJ22" s="455"/>
      <c r="NK22" s="455"/>
      <c r="NL22" s="455"/>
      <c r="NM22" s="455"/>
      <c r="NN22" s="455"/>
      <c r="NO22" s="455"/>
      <c r="NP22" s="455"/>
      <c r="NQ22" s="455"/>
      <c r="NR22" s="455"/>
      <c r="NS22" s="455"/>
      <c r="NT22" s="455"/>
      <c r="NU22" s="455"/>
      <c r="NV22" s="455"/>
      <c r="NW22" s="455"/>
      <c r="NX22" s="455"/>
      <c r="NY22" s="455"/>
      <c r="NZ22" s="512"/>
      <c r="OA22" s="635"/>
      <c r="OB22" s="637"/>
      <c r="OC22" s="637"/>
      <c r="OD22" s="637"/>
      <c r="OE22" s="637"/>
      <c r="OF22" s="637"/>
      <c r="OG22" s="637"/>
      <c r="OH22" s="637"/>
      <c r="OI22" s="637"/>
      <c r="OJ22" s="637"/>
      <c r="OK22" s="637"/>
      <c r="OL22" s="637"/>
      <c r="OM22" s="637"/>
      <c r="ON22" s="635"/>
      <c r="OO22" s="637"/>
      <c r="OP22" s="637"/>
      <c r="OQ22" s="637"/>
      <c r="OR22" s="637"/>
      <c r="OS22" s="637"/>
      <c r="OT22" s="637"/>
      <c r="OU22" s="637"/>
      <c r="OV22" s="637"/>
      <c r="OW22" s="637"/>
      <c r="OX22" s="637"/>
      <c r="OY22" s="637"/>
      <c r="OZ22" s="637"/>
      <c r="PA22" s="637"/>
      <c r="PB22" s="637"/>
      <c r="PC22" s="637"/>
      <c r="PD22" s="637"/>
      <c r="PE22" s="637"/>
      <c r="PF22" s="637"/>
      <c r="PG22" s="637"/>
      <c r="PH22" s="641"/>
      <c r="PI22" s="668"/>
      <c r="PJ22" s="668"/>
      <c r="PK22" s="668"/>
      <c r="PL22" s="543"/>
      <c r="PM22" s="543"/>
      <c r="PN22" s="543"/>
      <c r="PO22" s="756"/>
    </row>
    <row r="23" spans="1:431">
      <c r="A23" s="418" t="s">
        <v>1236</v>
      </c>
      <c r="B23" s="623" t="s">
        <v>1231</v>
      </c>
      <c r="C23" s="380" t="s">
        <v>438</v>
      </c>
      <c r="D23" s="380" t="s">
        <v>1232</v>
      </c>
      <c r="E23" s="380" t="s">
        <v>1236</v>
      </c>
      <c r="G23" s="493"/>
      <c r="H23" s="400">
        <v>260900</v>
      </c>
      <c r="I23" s="400">
        <v>260900</v>
      </c>
      <c r="J23" s="400">
        <v>275900</v>
      </c>
      <c r="K23" s="400">
        <v>260900</v>
      </c>
      <c r="L23" s="400">
        <v>260900</v>
      </c>
      <c r="M23" s="400">
        <v>277400</v>
      </c>
      <c r="N23" s="401">
        <v>381200</v>
      </c>
      <c r="O23" s="401">
        <v>381200</v>
      </c>
      <c r="P23" s="401">
        <v>381200</v>
      </c>
      <c r="Q23" s="401">
        <v>381200</v>
      </c>
      <c r="R23" s="401">
        <v>280900</v>
      </c>
      <c r="S23" s="401">
        <v>255900</v>
      </c>
      <c r="T23" s="401">
        <v>316900</v>
      </c>
      <c r="U23" s="401">
        <v>137900</v>
      </c>
      <c r="V23" s="401">
        <v>137900</v>
      </c>
      <c r="W23" s="401">
        <v>137900</v>
      </c>
      <c r="X23" s="401">
        <v>142900</v>
      </c>
      <c r="Y23" s="401">
        <v>142900</v>
      </c>
      <c r="Z23" s="401">
        <v>142900</v>
      </c>
      <c r="AA23" s="401">
        <v>142900</v>
      </c>
      <c r="AB23" s="401">
        <v>150900</v>
      </c>
      <c r="AC23" s="401">
        <v>150900</v>
      </c>
      <c r="AD23" s="401">
        <v>150900</v>
      </c>
      <c r="AE23" s="401">
        <v>150900</v>
      </c>
      <c r="AF23" s="401">
        <v>165900</v>
      </c>
      <c r="AG23" s="401">
        <v>165900</v>
      </c>
      <c r="AH23" s="401">
        <v>165900</v>
      </c>
      <c r="AI23" s="401">
        <v>165900</v>
      </c>
      <c r="AJ23" s="401">
        <v>165900</v>
      </c>
      <c r="AK23" s="401">
        <v>165900</v>
      </c>
      <c r="AL23" s="401">
        <v>171400</v>
      </c>
      <c r="AM23" s="401">
        <v>171400</v>
      </c>
      <c r="AN23" s="401">
        <v>165900</v>
      </c>
      <c r="AO23" s="401">
        <v>165900</v>
      </c>
      <c r="AP23" s="401">
        <v>171400</v>
      </c>
      <c r="AQ23" s="401">
        <v>165900</v>
      </c>
      <c r="AR23" s="401">
        <v>171400</v>
      </c>
      <c r="AS23" s="401">
        <v>171400</v>
      </c>
      <c r="AT23" s="401">
        <v>132900</v>
      </c>
      <c r="AU23" s="401">
        <v>139500</v>
      </c>
      <c r="AV23" s="401">
        <v>139500</v>
      </c>
      <c r="AW23" s="401">
        <v>132900</v>
      </c>
      <c r="AX23" s="401">
        <v>132900</v>
      </c>
      <c r="AY23" s="401">
        <v>150900</v>
      </c>
      <c r="AZ23" s="401">
        <v>157900</v>
      </c>
      <c r="BA23" s="401">
        <v>150900</v>
      </c>
      <c r="BB23" s="401">
        <v>150900</v>
      </c>
      <c r="BC23" s="401">
        <v>164900</v>
      </c>
      <c r="BD23" s="401">
        <v>68400</v>
      </c>
      <c r="BE23" s="401">
        <v>68400</v>
      </c>
      <c r="BF23" s="401">
        <v>68400</v>
      </c>
      <c r="BG23" s="401">
        <v>68400</v>
      </c>
      <c r="BH23" s="401">
        <v>75900</v>
      </c>
      <c r="BI23" s="401">
        <v>75900</v>
      </c>
      <c r="BJ23" s="401">
        <v>75900</v>
      </c>
      <c r="BK23" s="401">
        <v>75900</v>
      </c>
      <c r="BL23" s="401">
        <v>75900</v>
      </c>
      <c r="BM23" s="401">
        <v>75900</v>
      </c>
      <c r="BN23" s="401">
        <v>75900</v>
      </c>
      <c r="BO23" s="401">
        <v>75900</v>
      </c>
      <c r="BP23" s="401">
        <v>75900</v>
      </c>
      <c r="BQ23" s="401">
        <v>75900</v>
      </c>
      <c r="BR23" s="401">
        <v>75900</v>
      </c>
      <c r="BS23" s="401">
        <v>78600</v>
      </c>
      <c r="BT23" s="401">
        <v>73900</v>
      </c>
      <c r="BU23" s="401">
        <v>73900</v>
      </c>
      <c r="BV23" s="401">
        <v>73900</v>
      </c>
      <c r="BW23" s="401">
        <v>73900</v>
      </c>
      <c r="BX23" s="401">
        <v>73900</v>
      </c>
      <c r="BY23" s="401">
        <v>73900</v>
      </c>
      <c r="BZ23" s="401">
        <v>73900</v>
      </c>
      <c r="CA23" s="401">
        <v>73900</v>
      </c>
      <c r="CB23" s="401">
        <v>73900</v>
      </c>
      <c r="CC23" s="857">
        <v>73900</v>
      </c>
      <c r="CD23" s="401">
        <v>73900</v>
      </c>
      <c r="CE23" s="401">
        <v>73900</v>
      </c>
      <c r="CF23" s="401">
        <v>73900</v>
      </c>
      <c r="CG23" s="401">
        <v>73900</v>
      </c>
      <c r="CH23" s="401">
        <v>89400</v>
      </c>
      <c r="CI23" s="401">
        <v>89400</v>
      </c>
      <c r="CJ23" s="401">
        <v>89400</v>
      </c>
      <c r="CK23" s="401">
        <v>89400</v>
      </c>
      <c r="CL23" s="401">
        <v>89400</v>
      </c>
      <c r="CM23" s="401">
        <v>89400</v>
      </c>
      <c r="CN23" s="401">
        <v>89400</v>
      </c>
      <c r="CO23" s="401">
        <v>89400</v>
      </c>
      <c r="CP23" s="401">
        <v>89400</v>
      </c>
      <c r="CQ23" s="401">
        <v>89400</v>
      </c>
      <c r="CR23" s="401">
        <v>89400</v>
      </c>
      <c r="CS23" s="401">
        <v>89400</v>
      </c>
      <c r="CT23" s="401">
        <v>89400</v>
      </c>
      <c r="CU23" s="401">
        <v>89400</v>
      </c>
      <c r="CV23" s="401">
        <v>89400</v>
      </c>
      <c r="CW23" s="401">
        <v>89400</v>
      </c>
      <c r="CX23" s="401">
        <v>89400</v>
      </c>
      <c r="CY23" s="401">
        <v>89400</v>
      </c>
      <c r="CZ23" s="401">
        <v>230900</v>
      </c>
      <c r="DA23" s="401">
        <v>230900</v>
      </c>
      <c r="DB23" s="401">
        <v>230900</v>
      </c>
      <c r="DC23" s="401">
        <v>230900</v>
      </c>
      <c r="DD23" s="401">
        <v>230900</v>
      </c>
      <c r="DE23" s="401">
        <v>233900</v>
      </c>
      <c r="DF23" s="401">
        <v>233900</v>
      </c>
      <c r="DG23" s="401">
        <v>242900</v>
      </c>
      <c r="DH23" s="401">
        <v>242900</v>
      </c>
      <c r="DI23" s="401">
        <v>242900</v>
      </c>
      <c r="DJ23" s="401">
        <v>242900</v>
      </c>
      <c r="DK23" s="401">
        <v>242900</v>
      </c>
      <c r="DL23" s="401">
        <v>242900</v>
      </c>
      <c r="DM23" s="401">
        <v>242900</v>
      </c>
      <c r="DN23" s="401">
        <v>242900</v>
      </c>
      <c r="DO23" s="401">
        <v>242900</v>
      </c>
      <c r="DP23" s="401"/>
      <c r="DQ23" s="401">
        <v>242900</v>
      </c>
      <c r="DR23" s="401">
        <v>242900</v>
      </c>
      <c r="DS23" s="498"/>
      <c r="DT23" s="720">
        <v>117100</v>
      </c>
      <c r="DU23" s="581">
        <v>143500</v>
      </c>
      <c r="DV23" s="403">
        <v>148900</v>
      </c>
      <c r="DW23" s="403">
        <v>152500</v>
      </c>
      <c r="DX23" s="403">
        <v>152500</v>
      </c>
      <c r="DY23" s="403">
        <v>152500</v>
      </c>
      <c r="DZ23" s="595"/>
      <c r="EA23" s="403">
        <v>50349</v>
      </c>
      <c r="EB23" s="580">
        <v>55338</v>
      </c>
      <c r="EC23" s="595"/>
      <c r="ED23" s="403">
        <v>73100</v>
      </c>
      <c r="EE23" s="403">
        <v>77200</v>
      </c>
      <c r="EF23" s="403">
        <v>73100</v>
      </c>
      <c r="EG23" s="403">
        <v>77200</v>
      </c>
      <c r="EH23" s="403">
        <v>78500</v>
      </c>
      <c r="EI23" s="403">
        <v>84400</v>
      </c>
      <c r="EJ23" s="403">
        <v>86700</v>
      </c>
      <c r="EK23" s="403">
        <v>89800</v>
      </c>
      <c r="EL23" s="595"/>
      <c r="EM23" s="580">
        <v>44361</v>
      </c>
      <c r="EN23" s="580">
        <v>45722</v>
      </c>
      <c r="EO23" s="580">
        <v>49895</v>
      </c>
      <c r="EP23" s="580">
        <v>56699</v>
      </c>
      <c r="EQ23" s="580">
        <v>63049</v>
      </c>
      <c r="ER23" s="580">
        <v>52617</v>
      </c>
      <c r="ES23" s="580">
        <v>56472</v>
      </c>
      <c r="ET23" s="580">
        <v>60555</v>
      </c>
      <c r="EU23" s="580">
        <v>69626</v>
      </c>
      <c r="EV23" s="580">
        <v>70307</v>
      </c>
      <c r="EW23" s="580">
        <v>70760</v>
      </c>
      <c r="EX23" s="580">
        <v>79333</v>
      </c>
      <c r="EY23" s="580">
        <v>74616</v>
      </c>
      <c r="EZ23" s="403">
        <v>79243</v>
      </c>
      <c r="FA23" s="403">
        <v>74616</v>
      </c>
      <c r="FB23" s="422">
        <v>77791</v>
      </c>
      <c r="FC23" s="422">
        <v>82871</v>
      </c>
      <c r="FD23" s="422">
        <v>88541</v>
      </c>
      <c r="FE23" s="595"/>
      <c r="FF23" s="403">
        <v>323400</v>
      </c>
      <c r="FG23" s="403">
        <v>341500</v>
      </c>
      <c r="FH23" s="403">
        <v>260320</v>
      </c>
      <c r="FI23" s="403">
        <v>273500</v>
      </c>
      <c r="FJ23" s="403">
        <v>352800</v>
      </c>
      <c r="FK23" s="403">
        <v>357400</v>
      </c>
      <c r="FL23" s="403">
        <v>364200</v>
      </c>
      <c r="FM23" s="403">
        <v>373200</v>
      </c>
      <c r="FN23" s="403">
        <v>379100</v>
      </c>
      <c r="FO23" s="403">
        <v>352800</v>
      </c>
      <c r="FP23" s="403">
        <v>357400</v>
      </c>
      <c r="FQ23" s="403">
        <v>364200</v>
      </c>
      <c r="FR23" s="403">
        <v>373200</v>
      </c>
      <c r="FS23" s="403">
        <v>379100</v>
      </c>
      <c r="FT23" s="403">
        <v>352800</v>
      </c>
      <c r="FU23" s="403">
        <v>357400</v>
      </c>
      <c r="FV23" s="403">
        <v>373200</v>
      </c>
      <c r="FW23" s="403">
        <v>379100</v>
      </c>
      <c r="FX23" s="403">
        <v>352800</v>
      </c>
      <c r="FY23" s="403">
        <v>357400</v>
      </c>
      <c r="FZ23" s="403">
        <v>364200</v>
      </c>
      <c r="GA23" s="403">
        <v>373200</v>
      </c>
      <c r="GB23" s="403">
        <v>379100</v>
      </c>
      <c r="GC23" s="403">
        <v>323400</v>
      </c>
      <c r="GD23" s="403">
        <v>334700</v>
      </c>
      <c r="GE23" s="403">
        <v>341500</v>
      </c>
      <c r="GF23" s="403">
        <v>237200</v>
      </c>
      <c r="GG23" s="403">
        <v>273500</v>
      </c>
      <c r="GH23" s="403">
        <v>302000</v>
      </c>
      <c r="GI23" s="403">
        <v>306660</v>
      </c>
      <c r="GJ23" s="403">
        <v>315600</v>
      </c>
      <c r="GK23" s="403">
        <v>318800</v>
      </c>
      <c r="GL23" s="403">
        <v>364235</v>
      </c>
      <c r="GM23" s="403">
        <v>364235</v>
      </c>
      <c r="GN23" s="403">
        <v>364235</v>
      </c>
      <c r="GO23" s="403">
        <v>364235</v>
      </c>
      <c r="GP23" s="403">
        <v>364235</v>
      </c>
      <c r="GQ23" s="403">
        <v>364235</v>
      </c>
      <c r="GR23" s="403">
        <v>397801</v>
      </c>
      <c r="GS23" s="403">
        <v>364235</v>
      </c>
      <c r="GT23" s="580">
        <v>369220</v>
      </c>
      <c r="GU23" s="403">
        <v>414130</v>
      </c>
      <c r="GV23" s="403">
        <v>414130</v>
      </c>
      <c r="GW23" s="403">
        <v>414130</v>
      </c>
      <c r="GX23" s="403">
        <v>414130</v>
      </c>
      <c r="GY23" s="403">
        <v>414130</v>
      </c>
      <c r="GZ23" s="403">
        <v>414130</v>
      </c>
      <c r="HA23" s="403">
        <v>273517</v>
      </c>
      <c r="HB23" s="403">
        <v>449056</v>
      </c>
      <c r="HC23" s="403">
        <v>449056</v>
      </c>
      <c r="HD23" s="595"/>
      <c r="HE23" s="403">
        <v>100250</v>
      </c>
      <c r="HF23" s="403">
        <v>100250</v>
      </c>
      <c r="HG23" s="403">
        <v>113850</v>
      </c>
      <c r="HH23" s="403">
        <v>122930</v>
      </c>
      <c r="HI23" s="403">
        <v>122930</v>
      </c>
      <c r="HJ23" s="595"/>
      <c r="HK23" s="403">
        <v>128820</v>
      </c>
      <c r="HL23" s="403">
        <v>143789</v>
      </c>
      <c r="HM23" s="422">
        <v>152861</v>
      </c>
      <c r="HN23" s="403">
        <v>179623</v>
      </c>
      <c r="HO23" s="403">
        <v>157397</v>
      </c>
      <c r="HP23" s="403">
        <v>172819</v>
      </c>
      <c r="HQ23" s="403">
        <v>187334</v>
      </c>
      <c r="HR23" s="403">
        <v>185519</v>
      </c>
      <c r="HS23" s="403">
        <v>185519</v>
      </c>
      <c r="HT23" s="403">
        <v>185519</v>
      </c>
      <c r="HU23" s="403">
        <v>204570</v>
      </c>
      <c r="HV23" s="403">
        <v>204570</v>
      </c>
      <c r="HW23" s="595"/>
      <c r="HX23" s="403">
        <v>243500</v>
      </c>
      <c r="HY23" s="403">
        <v>287800</v>
      </c>
      <c r="HZ23" s="403">
        <v>243500</v>
      </c>
      <c r="IA23" s="403">
        <v>287800</v>
      </c>
      <c r="IB23" s="403">
        <v>243500</v>
      </c>
      <c r="IC23" s="403">
        <v>287800</v>
      </c>
      <c r="ID23" s="403">
        <v>300280</v>
      </c>
      <c r="IE23" s="403">
        <v>300280</v>
      </c>
      <c r="IF23" s="403">
        <v>300280</v>
      </c>
      <c r="IG23" s="403">
        <v>348358</v>
      </c>
      <c r="IH23" s="403">
        <v>352442</v>
      </c>
      <c r="II23" s="403">
        <v>348722</v>
      </c>
      <c r="IJ23" s="595"/>
      <c r="IK23" s="403">
        <v>228383</v>
      </c>
      <c r="IL23" s="403">
        <v>255372</v>
      </c>
      <c r="IM23" s="403">
        <v>254692</v>
      </c>
      <c r="IN23" s="404"/>
      <c r="IO23" s="424">
        <v>21636</v>
      </c>
      <c r="IP23" s="617">
        <v>23247</v>
      </c>
      <c r="IQ23" s="425">
        <v>24154</v>
      </c>
      <c r="IR23" s="424">
        <v>21636</v>
      </c>
      <c r="IS23" s="425">
        <v>23247</v>
      </c>
      <c r="IT23" s="425">
        <v>24154</v>
      </c>
      <c r="IU23" s="653">
        <v>42071</v>
      </c>
      <c r="IV23" s="406">
        <v>17532</v>
      </c>
      <c r="IW23" s="406">
        <v>33112.243000000002</v>
      </c>
      <c r="IX23" s="406">
        <v>29937.096000000001</v>
      </c>
      <c r="IY23" s="406">
        <v>36627.584000000003</v>
      </c>
      <c r="IZ23" s="406">
        <v>36627.584000000003</v>
      </c>
      <c r="JA23" s="406">
        <v>41050.108999999997</v>
      </c>
      <c r="JB23" s="653">
        <v>52208</v>
      </c>
      <c r="JC23" s="406"/>
      <c r="JD23" s="406"/>
      <c r="JE23" s="406"/>
      <c r="JF23" s="406"/>
      <c r="JG23" s="406"/>
      <c r="JH23" s="406">
        <v>61235</v>
      </c>
      <c r="JI23" s="406">
        <v>68039</v>
      </c>
      <c r="JJ23" s="407"/>
      <c r="JK23" s="408">
        <v>56600</v>
      </c>
      <c r="JL23" s="409">
        <v>61700</v>
      </c>
      <c r="JM23" s="409">
        <v>37360</v>
      </c>
      <c r="JN23" s="409">
        <v>36150</v>
      </c>
      <c r="JO23" s="409">
        <v>38950</v>
      </c>
      <c r="JP23" s="409">
        <v>37660</v>
      </c>
      <c r="JQ23" s="409">
        <v>54700</v>
      </c>
      <c r="JR23" s="409">
        <v>51960</v>
      </c>
      <c r="JS23" s="409">
        <v>50460</v>
      </c>
      <c r="JT23" s="409">
        <v>46150</v>
      </c>
      <c r="JU23" s="409">
        <v>47950</v>
      </c>
      <c r="JV23" s="409">
        <v>48950</v>
      </c>
      <c r="JW23" s="409">
        <v>50950</v>
      </c>
      <c r="JX23" s="409">
        <v>48950</v>
      </c>
      <c r="JY23" s="409">
        <v>19090</v>
      </c>
      <c r="JZ23" s="409">
        <v>20090</v>
      </c>
      <c r="KA23" s="409">
        <v>22570</v>
      </c>
      <c r="KB23" s="409">
        <v>19300</v>
      </c>
      <c r="KC23" s="409">
        <v>20700</v>
      </c>
      <c r="KD23" s="409">
        <v>20090</v>
      </c>
      <c r="KE23" s="409">
        <v>21090</v>
      </c>
      <c r="KF23" s="409">
        <v>22100</v>
      </c>
      <c r="KG23" s="409">
        <v>22090</v>
      </c>
      <c r="KH23" s="409">
        <v>21090</v>
      </c>
      <c r="KI23" s="409">
        <v>20090</v>
      </c>
      <c r="KJ23" s="429"/>
      <c r="KK23" s="411">
        <v>10727.46</v>
      </c>
      <c r="KL23" s="547"/>
      <c r="KM23" s="412"/>
      <c r="KN23" s="412"/>
      <c r="KO23" s="412"/>
      <c r="KP23" s="412"/>
      <c r="KQ23" s="458"/>
      <c r="KR23" s="460">
        <v>5783.3027000000002</v>
      </c>
      <c r="KS23" s="461">
        <v>6032</v>
      </c>
      <c r="KT23" s="462">
        <v>5782.85</v>
      </c>
      <c r="KU23" s="462">
        <v>6259.57</v>
      </c>
      <c r="KV23" s="462">
        <v>5783.3</v>
      </c>
      <c r="KW23" s="462">
        <v>5783.3</v>
      </c>
      <c r="KX23" s="462">
        <v>6259.57</v>
      </c>
      <c r="KY23" s="462">
        <v>5783.3</v>
      </c>
      <c r="KZ23" s="462">
        <v>5987.42</v>
      </c>
      <c r="LA23" s="462">
        <v>6259.57</v>
      </c>
      <c r="LB23" s="462">
        <v>5783.3</v>
      </c>
      <c r="LC23" s="462">
        <v>7030.68</v>
      </c>
      <c r="LD23" s="462">
        <v>5782.85</v>
      </c>
      <c r="LE23" s="462">
        <v>7030.68</v>
      </c>
      <c r="LF23" s="462">
        <v>7030.68</v>
      </c>
      <c r="LG23" s="462">
        <v>7030.68</v>
      </c>
      <c r="LH23" s="462">
        <v>7030.68</v>
      </c>
      <c r="LI23" s="462">
        <v>7030.68</v>
      </c>
      <c r="LJ23" s="462">
        <v>7062.4</v>
      </c>
      <c r="LK23" s="462">
        <v>7062.4</v>
      </c>
      <c r="LL23" s="462">
        <v>7824.47</v>
      </c>
      <c r="LM23" s="462">
        <v>7824.47</v>
      </c>
      <c r="LN23" s="462"/>
      <c r="LO23" s="462">
        <v>9412</v>
      </c>
      <c r="LP23" s="462"/>
      <c r="LQ23" s="462"/>
      <c r="LR23" s="462"/>
      <c r="LS23" s="462"/>
      <c r="LT23" s="734"/>
      <c r="LU23" s="611"/>
      <c r="LV23" s="586"/>
      <c r="LW23" s="610">
        <v>126098</v>
      </c>
      <c r="LX23" s="610">
        <v>136984</v>
      </c>
      <c r="LY23" s="610">
        <v>141520</v>
      </c>
      <c r="LZ23" s="610">
        <v>144242</v>
      </c>
      <c r="MA23" s="610">
        <v>136984</v>
      </c>
      <c r="MB23" s="610">
        <v>141520</v>
      </c>
      <c r="MC23" s="610">
        <v>144245</v>
      </c>
      <c r="MD23" s="586">
        <v>126098</v>
      </c>
      <c r="ME23" s="610">
        <v>136984</v>
      </c>
      <c r="MF23" s="586">
        <v>144242</v>
      </c>
      <c r="MG23" s="610">
        <v>144242</v>
      </c>
      <c r="MH23" s="586">
        <v>148781</v>
      </c>
      <c r="MI23" s="610">
        <v>148781</v>
      </c>
      <c r="MJ23" s="586">
        <v>148781</v>
      </c>
      <c r="MK23" s="610">
        <v>150142</v>
      </c>
      <c r="ML23" s="610">
        <v>160121</v>
      </c>
      <c r="MM23" s="610">
        <v>160121</v>
      </c>
      <c r="MN23" s="610">
        <v>162389</v>
      </c>
      <c r="MO23" s="610">
        <v>162389</v>
      </c>
      <c r="MP23" s="610">
        <v>148781</v>
      </c>
      <c r="MQ23" s="610">
        <v>150142</v>
      </c>
      <c r="MR23" s="610">
        <v>153317</v>
      </c>
      <c r="MS23" s="610">
        <v>153317</v>
      </c>
      <c r="MT23" s="610">
        <v>162389</v>
      </c>
      <c r="MU23" s="610">
        <v>162389</v>
      </c>
      <c r="MV23" s="417">
        <v>41504</v>
      </c>
      <c r="MW23" s="417">
        <v>41504</v>
      </c>
      <c r="MX23" s="417">
        <v>41504</v>
      </c>
      <c r="MY23" s="417">
        <v>41504</v>
      </c>
      <c r="MZ23" s="417">
        <v>41504</v>
      </c>
      <c r="NA23" s="417">
        <v>41504</v>
      </c>
      <c r="NB23" s="417">
        <v>49442</v>
      </c>
      <c r="NC23" s="417">
        <v>48080</v>
      </c>
      <c r="ND23" s="417">
        <v>49442</v>
      </c>
      <c r="NE23" s="417">
        <v>50348</v>
      </c>
      <c r="NF23" s="417">
        <v>49442</v>
      </c>
      <c r="NG23" s="417">
        <v>55338</v>
      </c>
      <c r="NH23" s="417">
        <v>55338</v>
      </c>
      <c r="NI23" s="417">
        <v>52163</v>
      </c>
      <c r="NJ23" s="417">
        <v>55338</v>
      </c>
      <c r="NK23" s="417">
        <v>63958</v>
      </c>
      <c r="NL23" s="417">
        <v>68266</v>
      </c>
      <c r="NM23" s="417">
        <v>73028</v>
      </c>
      <c r="NN23" s="417">
        <v>63957</v>
      </c>
      <c r="NO23" s="417">
        <v>196406</v>
      </c>
      <c r="NP23" s="417">
        <v>253105</v>
      </c>
      <c r="NQ23" s="417">
        <v>253105</v>
      </c>
      <c r="NR23" s="417">
        <v>253105</v>
      </c>
      <c r="NS23" s="417">
        <v>200942</v>
      </c>
      <c r="NT23" s="417">
        <v>253105</v>
      </c>
      <c r="NU23" s="417">
        <v>196406</v>
      </c>
      <c r="NV23" s="417">
        <v>278052</v>
      </c>
      <c r="NW23" s="417">
        <v>278052</v>
      </c>
      <c r="NX23" s="417">
        <v>200942</v>
      </c>
      <c r="NY23" s="417">
        <v>68266</v>
      </c>
      <c r="NZ23" s="611">
        <v>73028</v>
      </c>
      <c r="OA23" s="635"/>
      <c r="OB23" s="638">
        <v>214095.59899999999</v>
      </c>
      <c r="OC23" s="638">
        <v>212281.22899999999</v>
      </c>
      <c r="OD23" s="638">
        <v>232239.29300000001</v>
      </c>
      <c r="OE23" s="638">
        <v>232239.29300000001</v>
      </c>
      <c r="OF23" s="638"/>
      <c r="OG23" s="638"/>
      <c r="OH23" s="638"/>
      <c r="OI23" s="638"/>
      <c r="OJ23" s="638"/>
      <c r="OK23" s="638"/>
      <c r="OL23" s="638"/>
      <c r="OM23" s="638"/>
      <c r="ON23" s="635"/>
      <c r="OO23" s="638">
        <v>40580</v>
      </c>
      <c r="OP23" s="638">
        <v>43580</v>
      </c>
      <c r="OQ23" s="638">
        <v>75500</v>
      </c>
      <c r="OR23" s="638">
        <v>79300</v>
      </c>
      <c r="OS23" s="638"/>
      <c r="OT23" s="638">
        <v>38328</v>
      </c>
      <c r="OU23" s="638">
        <v>42410</v>
      </c>
      <c r="OV23" s="638">
        <v>45359</v>
      </c>
      <c r="OW23" s="638">
        <v>38328</v>
      </c>
      <c r="OX23" s="638">
        <v>42410</v>
      </c>
      <c r="OY23" s="638">
        <v>44451</v>
      </c>
      <c r="OZ23" s="638"/>
      <c r="PA23" s="638"/>
      <c r="PB23" s="638">
        <v>36514.186000000002</v>
      </c>
      <c r="PC23" s="638">
        <v>36514.186000000002</v>
      </c>
      <c r="PD23" s="638"/>
      <c r="PE23" s="638">
        <v>39689.332000000002</v>
      </c>
      <c r="PF23" s="638"/>
      <c r="PG23" s="638"/>
      <c r="PH23" s="640"/>
      <c r="PI23" s="666">
        <v>352441</v>
      </c>
      <c r="PJ23" s="666">
        <v>352441</v>
      </c>
      <c r="PK23" s="666">
        <v>352441</v>
      </c>
      <c r="PL23" s="420">
        <v>562000</v>
      </c>
      <c r="PM23" s="420">
        <v>562000</v>
      </c>
      <c r="PN23" s="420">
        <v>562000</v>
      </c>
      <c r="PO23" s="550">
        <v>82417</v>
      </c>
    </row>
    <row r="24" spans="1:431">
      <c r="A24" s="418" t="s">
        <v>1237</v>
      </c>
      <c r="B24" s="623" t="s">
        <v>1231</v>
      </c>
      <c r="C24" s="380" t="s">
        <v>438</v>
      </c>
      <c r="D24" s="380" t="s">
        <v>1232</v>
      </c>
      <c r="E24" s="380" t="s">
        <v>1237</v>
      </c>
      <c r="G24" s="494"/>
      <c r="H24" s="419">
        <v>260000</v>
      </c>
      <c r="I24" s="420">
        <v>260000</v>
      </c>
      <c r="J24" s="419">
        <v>275000</v>
      </c>
      <c r="K24" s="419">
        <v>260000</v>
      </c>
      <c r="L24" s="420">
        <v>260000</v>
      </c>
      <c r="M24" s="419">
        <v>276500</v>
      </c>
      <c r="N24" s="420">
        <v>380000</v>
      </c>
      <c r="O24" s="420">
        <v>380000</v>
      </c>
      <c r="P24" s="420">
        <v>380000</v>
      </c>
      <c r="Q24" s="420">
        <v>380000</v>
      </c>
      <c r="R24" s="420">
        <v>280000</v>
      </c>
      <c r="S24" s="420">
        <v>255000</v>
      </c>
      <c r="T24" s="420">
        <v>316000</v>
      </c>
      <c r="U24" s="420">
        <v>137000</v>
      </c>
      <c r="V24" s="420">
        <v>137000</v>
      </c>
      <c r="W24" s="420">
        <v>137000</v>
      </c>
      <c r="X24" s="420">
        <v>142000</v>
      </c>
      <c r="Y24" s="420">
        <v>142000</v>
      </c>
      <c r="Z24" s="420">
        <v>142000</v>
      </c>
      <c r="AA24" s="420">
        <v>142000</v>
      </c>
      <c r="AB24" s="420">
        <v>150000</v>
      </c>
      <c r="AC24" s="420">
        <v>150000</v>
      </c>
      <c r="AD24" s="420">
        <v>150000</v>
      </c>
      <c r="AE24" s="420">
        <v>150000</v>
      </c>
      <c r="AF24" s="420">
        <v>165000</v>
      </c>
      <c r="AG24" s="420">
        <v>165000</v>
      </c>
      <c r="AH24" s="420">
        <v>165000</v>
      </c>
      <c r="AI24" s="420">
        <v>165000</v>
      </c>
      <c r="AJ24" s="420">
        <v>165000</v>
      </c>
      <c r="AK24" s="420">
        <v>165000</v>
      </c>
      <c r="AL24" s="420">
        <v>170500</v>
      </c>
      <c r="AM24" s="420">
        <v>170500</v>
      </c>
      <c r="AN24" s="420">
        <v>165000</v>
      </c>
      <c r="AO24" s="420">
        <v>165000</v>
      </c>
      <c r="AP24" s="420">
        <v>170500</v>
      </c>
      <c r="AQ24" s="420">
        <v>165000</v>
      </c>
      <c r="AR24" s="420">
        <v>170500</v>
      </c>
      <c r="AS24" s="420">
        <v>170500</v>
      </c>
      <c r="AT24" s="420">
        <v>132000</v>
      </c>
      <c r="AU24" s="420">
        <v>138600</v>
      </c>
      <c r="AV24" s="420">
        <v>138600</v>
      </c>
      <c r="AW24" s="420">
        <v>132000</v>
      </c>
      <c r="AX24" s="420">
        <v>132000</v>
      </c>
      <c r="AY24" s="420">
        <v>150000</v>
      </c>
      <c r="AZ24" s="420">
        <v>157000</v>
      </c>
      <c r="BA24" s="420">
        <v>150000</v>
      </c>
      <c r="BB24" s="420">
        <v>150000</v>
      </c>
      <c r="BC24" s="420">
        <v>164000</v>
      </c>
      <c r="BD24" s="420">
        <v>68000</v>
      </c>
      <c r="BE24" s="420">
        <v>68000</v>
      </c>
      <c r="BF24" s="420">
        <v>68000</v>
      </c>
      <c r="BG24" s="420">
        <v>68000</v>
      </c>
      <c r="BH24" s="420">
        <v>75500</v>
      </c>
      <c r="BI24" s="420">
        <v>75500</v>
      </c>
      <c r="BJ24" s="420">
        <v>75500</v>
      </c>
      <c r="BK24" s="420">
        <v>75500</v>
      </c>
      <c r="BL24" s="420">
        <v>75500</v>
      </c>
      <c r="BM24" s="420">
        <v>75500</v>
      </c>
      <c r="BN24" s="420">
        <v>75500</v>
      </c>
      <c r="BO24" s="420">
        <v>75500</v>
      </c>
      <c r="BP24" s="420">
        <v>75500</v>
      </c>
      <c r="BQ24" s="420">
        <v>75500</v>
      </c>
      <c r="BR24" s="420">
        <v>75500</v>
      </c>
      <c r="BS24" s="420">
        <v>78200</v>
      </c>
      <c r="BT24" s="420">
        <v>73500</v>
      </c>
      <c r="BU24" s="420">
        <v>73500</v>
      </c>
      <c r="BV24" s="420">
        <v>73500</v>
      </c>
      <c r="BW24" s="420">
        <v>73500</v>
      </c>
      <c r="BX24" s="420">
        <v>73500</v>
      </c>
      <c r="BY24" s="420">
        <v>73500</v>
      </c>
      <c r="BZ24" s="420">
        <v>73500</v>
      </c>
      <c r="CA24" s="420">
        <v>73500</v>
      </c>
      <c r="CB24" s="420">
        <v>73500</v>
      </c>
      <c r="CC24" s="858">
        <v>73500</v>
      </c>
      <c r="CD24" s="420">
        <v>73500</v>
      </c>
      <c r="CE24" s="420">
        <v>73500</v>
      </c>
      <c r="CF24" s="420">
        <v>73500</v>
      </c>
      <c r="CG24" s="420">
        <v>73500</v>
      </c>
      <c r="CH24" s="420">
        <v>89000</v>
      </c>
      <c r="CI24" s="420">
        <v>89000</v>
      </c>
      <c r="CJ24" s="420">
        <v>89000</v>
      </c>
      <c r="CK24" s="420">
        <v>89000</v>
      </c>
      <c r="CL24" s="420">
        <v>89000</v>
      </c>
      <c r="CM24" s="420">
        <v>89000</v>
      </c>
      <c r="CN24" s="420">
        <v>89000</v>
      </c>
      <c r="CO24" s="420">
        <v>89000</v>
      </c>
      <c r="CP24" s="420">
        <v>89000</v>
      </c>
      <c r="CQ24" s="420">
        <v>89000</v>
      </c>
      <c r="CR24" s="420">
        <v>89000</v>
      </c>
      <c r="CS24" s="420">
        <v>89000</v>
      </c>
      <c r="CT24" s="420">
        <v>89000</v>
      </c>
      <c r="CU24" s="420">
        <v>89000</v>
      </c>
      <c r="CV24" s="420">
        <v>89000</v>
      </c>
      <c r="CW24" s="420">
        <v>89000</v>
      </c>
      <c r="CX24" s="420">
        <v>89000</v>
      </c>
      <c r="CY24" s="420">
        <v>89000</v>
      </c>
      <c r="CZ24" s="420">
        <v>230000</v>
      </c>
      <c r="DA24" s="420">
        <v>230000</v>
      </c>
      <c r="DB24" s="420">
        <v>230000</v>
      </c>
      <c r="DC24" s="420">
        <v>230000</v>
      </c>
      <c r="DD24" s="420">
        <v>230000</v>
      </c>
      <c r="DE24" s="420">
        <v>230000</v>
      </c>
      <c r="DF24" s="420">
        <v>230000</v>
      </c>
      <c r="DG24" s="420">
        <v>242000</v>
      </c>
      <c r="DH24" s="420">
        <v>242000</v>
      </c>
      <c r="DI24" s="420">
        <v>242000</v>
      </c>
      <c r="DJ24" s="420">
        <v>242000</v>
      </c>
      <c r="DK24" s="420">
        <v>242000</v>
      </c>
      <c r="DL24" s="420">
        <v>242000</v>
      </c>
      <c r="DM24" s="420">
        <v>242000</v>
      </c>
      <c r="DN24" s="420">
        <v>242000</v>
      </c>
      <c r="DO24" s="420">
        <v>242000</v>
      </c>
      <c r="DP24" s="420">
        <v>227000</v>
      </c>
      <c r="DQ24" s="420">
        <v>242000</v>
      </c>
      <c r="DR24" s="420">
        <v>242000</v>
      </c>
      <c r="DS24" s="499"/>
      <c r="DT24" s="666">
        <v>117000</v>
      </c>
      <c r="DU24" s="584">
        <v>141700</v>
      </c>
      <c r="DV24" s="422">
        <v>148500</v>
      </c>
      <c r="DW24" s="422">
        <v>151500</v>
      </c>
      <c r="DX24" s="422">
        <v>151500</v>
      </c>
      <c r="DY24" s="422">
        <v>151500</v>
      </c>
      <c r="DZ24" s="596"/>
      <c r="EA24" s="422">
        <v>49895</v>
      </c>
      <c r="EB24" s="422">
        <v>54884</v>
      </c>
      <c r="EC24" s="596"/>
      <c r="ED24" s="422">
        <v>72600</v>
      </c>
      <c r="EE24" s="422">
        <v>76700</v>
      </c>
      <c r="EF24" s="422">
        <v>72600</v>
      </c>
      <c r="EG24" s="422">
        <v>76700</v>
      </c>
      <c r="EH24" s="422">
        <v>78100</v>
      </c>
      <c r="EI24" s="422">
        <v>83900</v>
      </c>
      <c r="EJ24" s="422">
        <v>86500</v>
      </c>
      <c r="EK24" s="422">
        <v>89400</v>
      </c>
      <c r="EL24" s="596"/>
      <c r="EM24" s="422">
        <v>44361</v>
      </c>
      <c r="EN24" s="578">
        <v>45359</v>
      </c>
      <c r="EO24" s="578">
        <v>49442</v>
      </c>
      <c r="EP24" s="578">
        <v>56472</v>
      </c>
      <c r="EQ24" s="578">
        <v>62823</v>
      </c>
      <c r="ER24" s="578">
        <v>52390</v>
      </c>
      <c r="ES24" s="578">
        <v>56245</v>
      </c>
      <c r="ET24" s="578">
        <v>60328</v>
      </c>
      <c r="EU24" s="578">
        <v>69400</v>
      </c>
      <c r="EV24" s="578">
        <v>70080</v>
      </c>
      <c r="EW24" s="578">
        <v>70534</v>
      </c>
      <c r="EX24" s="578">
        <v>79016</v>
      </c>
      <c r="EY24" s="578">
        <v>74389</v>
      </c>
      <c r="EZ24" s="422">
        <v>79016</v>
      </c>
      <c r="FA24" s="422">
        <v>74389</v>
      </c>
      <c r="FB24" s="422">
        <v>77564</v>
      </c>
      <c r="FC24" s="422">
        <v>82644</v>
      </c>
      <c r="FD24" s="422">
        <v>88314</v>
      </c>
      <c r="FE24" s="596"/>
      <c r="FF24" s="422">
        <v>322100</v>
      </c>
      <c r="FG24" s="422">
        <v>340100</v>
      </c>
      <c r="FH24" s="422">
        <v>258960</v>
      </c>
      <c r="FI24" s="422">
        <v>272100</v>
      </c>
      <c r="FJ24" s="422">
        <v>351500</v>
      </c>
      <c r="FK24" s="422">
        <v>356000</v>
      </c>
      <c r="FL24" s="422">
        <v>362800</v>
      </c>
      <c r="FM24" s="422">
        <v>371900</v>
      </c>
      <c r="FN24" s="422">
        <v>377800</v>
      </c>
      <c r="FO24" s="422">
        <v>351500</v>
      </c>
      <c r="FP24" s="422">
        <v>356000</v>
      </c>
      <c r="FQ24" s="422">
        <v>362800</v>
      </c>
      <c r="FR24" s="422">
        <v>371900</v>
      </c>
      <c r="FS24" s="422">
        <v>377800</v>
      </c>
      <c r="FT24" s="422">
        <v>362800</v>
      </c>
      <c r="FU24" s="422">
        <v>356000</v>
      </c>
      <c r="FV24" s="422">
        <v>371900</v>
      </c>
      <c r="FW24" s="422">
        <v>377800</v>
      </c>
      <c r="FX24" s="422">
        <v>351500</v>
      </c>
      <c r="FY24" s="422">
        <v>356000</v>
      </c>
      <c r="FZ24" s="422">
        <v>362800</v>
      </c>
      <c r="GA24" s="422">
        <v>371900</v>
      </c>
      <c r="GB24" s="422">
        <v>377800</v>
      </c>
      <c r="GC24" s="422">
        <v>322100</v>
      </c>
      <c r="GD24" s="422">
        <v>333300</v>
      </c>
      <c r="GE24" s="422">
        <v>340100</v>
      </c>
      <c r="GF24" s="422">
        <v>235800</v>
      </c>
      <c r="GG24" s="422">
        <v>272100</v>
      </c>
      <c r="GH24" s="422">
        <v>299320</v>
      </c>
      <c r="GI24" s="422">
        <v>303900</v>
      </c>
      <c r="GJ24" s="422">
        <v>312900</v>
      </c>
      <c r="GK24" s="422">
        <v>315600</v>
      </c>
      <c r="GL24" s="422">
        <v>362874</v>
      </c>
      <c r="GM24" s="422">
        <v>362874</v>
      </c>
      <c r="GN24" s="422">
        <v>362874</v>
      </c>
      <c r="GO24" s="422">
        <v>362874</v>
      </c>
      <c r="GP24" s="422">
        <v>362874</v>
      </c>
      <c r="GQ24" s="422">
        <v>362874</v>
      </c>
      <c r="GR24" s="422">
        <v>396894</v>
      </c>
      <c r="GS24" s="422">
        <v>362874</v>
      </c>
      <c r="GT24" s="578">
        <v>367860</v>
      </c>
      <c r="GU24" s="422">
        <v>412770</v>
      </c>
      <c r="GV24" s="422">
        <v>412770</v>
      </c>
      <c r="GW24" s="422">
        <v>412770</v>
      </c>
      <c r="GX24" s="422">
        <v>412770</v>
      </c>
      <c r="GY24" s="422">
        <v>412770</v>
      </c>
      <c r="GZ24" s="422">
        <v>412770</v>
      </c>
      <c r="HA24" s="422">
        <v>272156</v>
      </c>
      <c r="HB24" s="422">
        <v>447696</v>
      </c>
      <c r="HC24" s="422">
        <v>447696</v>
      </c>
      <c r="HD24" s="596"/>
      <c r="HE24" s="422">
        <v>99800</v>
      </c>
      <c r="HF24" s="422">
        <v>99800</v>
      </c>
      <c r="HG24" s="422">
        <v>113400</v>
      </c>
      <c r="HH24" s="422">
        <v>122470</v>
      </c>
      <c r="HI24" s="422">
        <v>122470</v>
      </c>
      <c r="HJ24" s="596"/>
      <c r="HK24" s="422">
        <v>127913</v>
      </c>
      <c r="HL24" s="422">
        <v>142882</v>
      </c>
      <c r="HM24" s="422">
        <v>151954</v>
      </c>
      <c r="HN24" s="422">
        <v>179169</v>
      </c>
      <c r="HO24" s="422">
        <v>156490</v>
      </c>
      <c r="HP24" s="422">
        <v>172365</v>
      </c>
      <c r="HQ24" s="422">
        <v>186880</v>
      </c>
      <c r="HR24" s="422">
        <v>185066</v>
      </c>
      <c r="HS24" s="422">
        <v>185066</v>
      </c>
      <c r="HT24" s="422">
        <v>185066</v>
      </c>
      <c r="HU24" s="422">
        <v>204116</v>
      </c>
      <c r="HV24" s="422">
        <v>204116</v>
      </c>
      <c r="HW24" s="596"/>
      <c r="HX24" s="422">
        <v>229500</v>
      </c>
      <c r="HY24" s="422">
        <v>286900</v>
      </c>
      <c r="HZ24" s="422">
        <v>242630</v>
      </c>
      <c r="IA24" s="422">
        <v>286900</v>
      </c>
      <c r="IB24" s="422">
        <v>242630</v>
      </c>
      <c r="IC24" s="422">
        <v>286900</v>
      </c>
      <c r="ID24" s="422">
        <v>299370</v>
      </c>
      <c r="IE24" s="422">
        <v>299370</v>
      </c>
      <c r="IF24" s="422">
        <v>299370</v>
      </c>
      <c r="IG24" s="422">
        <v>347452</v>
      </c>
      <c r="IH24" s="422">
        <v>351535</v>
      </c>
      <c r="II24" s="422">
        <v>347815</v>
      </c>
      <c r="IJ24" s="596"/>
      <c r="IK24" s="422">
        <v>227930</v>
      </c>
      <c r="IL24" s="422">
        <v>254692</v>
      </c>
      <c r="IM24" s="422">
        <v>254011</v>
      </c>
      <c r="IN24" s="423"/>
      <c r="IO24" s="424">
        <v>21523</v>
      </c>
      <c r="IP24" s="617">
        <v>23133</v>
      </c>
      <c r="IQ24" s="425">
        <v>24041</v>
      </c>
      <c r="IR24" s="424">
        <v>21523</v>
      </c>
      <c r="IS24" s="425">
        <v>23133</v>
      </c>
      <c r="IT24" s="425">
        <v>24041</v>
      </c>
      <c r="IU24" s="654">
        <v>41957</v>
      </c>
      <c r="IV24" s="425">
        <v>17463</v>
      </c>
      <c r="IW24" s="425">
        <v>32998.845000000001</v>
      </c>
      <c r="IX24" s="425">
        <v>29483.504000000001</v>
      </c>
      <c r="IY24" s="425">
        <v>36514.186000000002</v>
      </c>
      <c r="IZ24" s="425">
        <v>36514.186000000002</v>
      </c>
      <c r="JA24" s="425">
        <v>40823.313000000002</v>
      </c>
      <c r="JB24" s="654">
        <v>52095</v>
      </c>
      <c r="JC24" s="425">
        <v>18643</v>
      </c>
      <c r="JD24" s="425">
        <v>19550</v>
      </c>
      <c r="JE24" s="425">
        <v>19550</v>
      </c>
      <c r="JF24" s="425">
        <v>20457</v>
      </c>
      <c r="JG24" s="425">
        <v>21591</v>
      </c>
      <c r="JH24" s="425">
        <v>60781</v>
      </c>
      <c r="JI24" s="425">
        <v>67585</v>
      </c>
      <c r="JJ24" s="426"/>
      <c r="JK24" s="427">
        <v>56400</v>
      </c>
      <c r="JL24" s="428">
        <v>61500</v>
      </c>
      <c r="JM24" s="428">
        <v>37200</v>
      </c>
      <c r="JN24" s="428">
        <v>35990</v>
      </c>
      <c r="JO24" s="428">
        <v>38790</v>
      </c>
      <c r="JP24" s="428">
        <v>37500</v>
      </c>
      <c r="JQ24" s="428">
        <v>54500</v>
      </c>
      <c r="JR24" s="428">
        <v>51800</v>
      </c>
      <c r="JS24" s="428">
        <v>50300</v>
      </c>
      <c r="JT24" s="428">
        <v>45990</v>
      </c>
      <c r="JU24" s="428">
        <v>47790</v>
      </c>
      <c r="JV24" s="428">
        <v>52290</v>
      </c>
      <c r="JW24" s="428">
        <v>50790</v>
      </c>
      <c r="JX24" s="428">
        <v>48790</v>
      </c>
      <c r="JY24" s="428">
        <v>18990</v>
      </c>
      <c r="JZ24" s="428">
        <v>19990</v>
      </c>
      <c r="KA24" s="428">
        <v>22500</v>
      </c>
      <c r="KB24" s="428">
        <v>19200</v>
      </c>
      <c r="KC24" s="428">
        <v>20600</v>
      </c>
      <c r="KD24" s="428">
        <v>19990</v>
      </c>
      <c r="KE24" s="428">
        <v>20990</v>
      </c>
      <c r="KF24" s="428">
        <v>22000</v>
      </c>
      <c r="KG24" s="428">
        <v>21990</v>
      </c>
      <c r="KH24" s="428">
        <v>20990</v>
      </c>
      <c r="KI24" s="428">
        <v>19990</v>
      </c>
      <c r="KJ24" s="429"/>
      <c r="KK24" s="430">
        <v>10659.421</v>
      </c>
      <c r="KL24" s="545"/>
      <c r="KM24" s="431"/>
      <c r="KN24" s="431"/>
      <c r="KO24" s="431"/>
      <c r="KP24" s="431"/>
      <c r="KQ24" s="463"/>
      <c r="KR24" s="464">
        <v>5669.9045999999998</v>
      </c>
      <c r="KS24" s="465">
        <v>5896.7</v>
      </c>
      <c r="KT24" s="466">
        <v>5669.45</v>
      </c>
      <c r="KU24" s="466">
        <v>6123.5</v>
      </c>
      <c r="KV24" s="466">
        <v>5669.45</v>
      </c>
      <c r="KW24" s="466">
        <v>5669.45</v>
      </c>
      <c r="KX24" s="466">
        <v>6123.5</v>
      </c>
      <c r="KY24" s="466">
        <v>5669.45</v>
      </c>
      <c r="KZ24" s="466">
        <v>5851.34</v>
      </c>
      <c r="LA24" s="466">
        <v>6124.5</v>
      </c>
      <c r="LB24" s="466">
        <v>5669.45</v>
      </c>
      <c r="LC24" s="466">
        <v>6803.89</v>
      </c>
      <c r="LD24" s="466">
        <v>5669.45</v>
      </c>
      <c r="LE24" s="466">
        <v>6803.89</v>
      </c>
      <c r="LF24" s="466">
        <v>6803.89</v>
      </c>
      <c r="LG24" s="466">
        <v>6803.89</v>
      </c>
      <c r="LH24" s="466">
        <v>6803.89</v>
      </c>
      <c r="LI24" s="466">
        <v>6803.89</v>
      </c>
      <c r="LJ24" s="466">
        <v>7030.68</v>
      </c>
      <c r="LK24" s="466">
        <v>7030.68</v>
      </c>
      <c r="LL24" s="466">
        <v>7711.07</v>
      </c>
      <c r="LM24" s="466">
        <v>7711.07</v>
      </c>
      <c r="LN24" s="466"/>
      <c r="LO24" s="466">
        <v>9299</v>
      </c>
      <c r="LP24" s="466"/>
      <c r="LQ24" s="466"/>
      <c r="LR24" s="466"/>
      <c r="LS24" s="466"/>
      <c r="LT24" s="734"/>
      <c r="LU24" s="611"/>
      <c r="LV24" s="588"/>
      <c r="LW24" s="611">
        <v>125191</v>
      </c>
      <c r="LX24" s="611">
        <v>136077</v>
      </c>
      <c r="LY24" s="611">
        <v>140613</v>
      </c>
      <c r="LZ24" s="611">
        <v>142881</v>
      </c>
      <c r="MA24" s="611">
        <v>136077</v>
      </c>
      <c r="MB24" s="611">
        <v>140613</v>
      </c>
      <c r="MC24" s="611">
        <v>142884</v>
      </c>
      <c r="MD24" s="588">
        <v>125191</v>
      </c>
      <c r="ME24" s="611">
        <v>136077</v>
      </c>
      <c r="MF24" s="588">
        <v>142881</v>
      </c>
      <c r="MG24" s="611">
        <v>142881</v>
      </c>
      <c r="MH24" s="588">
        <v>147420</v>
      </c>
      <c r="MI24" s="611">
        <v>147420</v>
      </c>
      <c r="MJ24" s="588">
        <v>147420</v>
      </c>
      <c r="MK24" s="611">
        <v>148781</v>
      </c>
      <c r="ML24" s="611">
        <v>158760</v>
      </c>
      <c r="MM24" s="611">
        <v>158760</v>
      </c>
      <c r="MN24" s="611">
        <v>161028</v>
      </c>
      <c r="MO24" s="611">
        <v>161028</v>
      </c>
      <c r="MP24" s="611">
        <v>147420</v>
      </c>
      <c r="MQ24" s="611">
        <v>148781</v>
      </c>
      <c r="MR24" s="611">
        <v>151956</v>
      </c>
      <c r="MS24" s="611">
        <v>151956</v>
      </c>
      <c r="MT24" s="611">
        <v>161028</v>
      </c>
      <c r="MU24" s="611">
        <v>161028</v>
      </c>
      <c r="MV24" s="436">
        <v>41141</v>
      </c>
      <c r="MW24" s="436">
        <v>41141</v>
      </c>
      <c r="MX24" s="436">
        <v>41141</v>
      </c>
      <c r="MY24" s="436">
        <v>41141</v>
      </c>
      <c r="MZ24" s="436">
        <v>41141</v>
      </c>
      <c r="NA24" s="436">
        <v>41141</v>
      </c>
      <c r="NB24" s="436">
        <v>48988</v>
      </c>
      <c r="NC24" s="436">
        <v>47627</v>
      </c>
      <c r="ND24" s="436">
        <v>48988</v>
      </c>
      <c r="NE24" s="436">
        <v>49895</v>
      </c>
      <c r="NF24" s="436">
        <v>48988</v>
      </c>
      <c r="NG24" s="436">
        <v>54884</v>
      </c>
      <c r="NH24" s="436">
        <v>54884</v>
      </c>
      <c r="NI24" s="436">
        <v>51710</v>
      </c>
      <c r="NJ24" s="436">
        <v>54885</v>
      </c>
      <c r="NK24" s="436">
        <v>63504</v>
      </c>
      <c r="NL24" s="436">
        <v>67812</v>
      </c>
      <c r="NM24" s="436">
        <v>72575</v>
      </c>
      <c r="NN24" s="436">
        <v>63503</v>
      </c>
      <c r="NO24" s="436">
        <v>195045</v>
      </c>
      <c r="NP24" s="417">
        <v>251744</v>
      </c>
      <c r="NQ24" s="436">
        <v>251744</v>
      </c>
      <c r="NR24" s="436">
        <v>251744</v>
      </c>
      <c r="NS24" s="436">
        <v>199581</v>
      </c>
      <c r="NT24" s="436">
        <v>251744</v>
      </c>
      <c r="NU24" s="436">
        <v>195045</v>
      </c>
      <c r="NV24" s="436">
        <v>276691</v>
      </c>
      <c r="NW24" s="436">
        <v>276691</v>
      </c>
      <c r="NX24" s="436">
        <v>199581</v>
      </c>
      <c r="NY24" s="436">
        <v>67812</v>
      </c>
      <c r="NZ24" s="611">
        <v>72802</v>
      </c>
      <c r="OA24" s="635"/>
      <c r="OB24" s="638">
        <v>213188.41399999999</v>
      </c>
      <c r="OC24" s="638">
        <v>211374.04399999999</v>
      </c>
      <c r="OD24" s="638">
        <v>231332.109</v>
      </c>
      <c r="OE24" s="638">
        <v>231332.109</v>
      </c>
      <c r="OF24" s="638"/>
      <c r="OG24" s="638"/>
      <c r="OH24" s="638"/>
      <c r="OI24" s="638"/>
      <c r="OJ24" s="638"/>
      <c r="OK24" s="638"/>
      <c r="OL24" s="638"/>
      <c r="OM24" s="638"/>
      <c r="ON24" s="635"/>
      <c r="OO24" s="638">
        <v>40500</v>
      </c>
      <c r="OP24" s="638">
        <v>43500</v>
      </c>
      <c r="OQ24" s="638">
        <v>75100</v>
      </c>
      <c r="OR24" s="638">
        <v>78900</v>
      </c>
      <c r="OS24" s="638"/>
      <c r="OT24" s="638">
        <v>38101</v>
      </c>
      <c r="OU24" s="638">
        <v>42184</v>
      </c>
      <c r="OV24" s="638">
        <v>45132</v>
      </c>
      <c r="OW24" s="638">
        <v>38101</v>
      </c>
      <c r="OX24" s="638">
        <v>42184</v>
      </c>
      <c r="OY24" s="638">
        <v>44225</v>
      </c>
      <c r="OZ24" s="638"/>
      <c r="PA24" s="638"/>
      <c r="PB24" s="638">
        <v>36287.39</v>
      </c>
      <c r="PC24" s="638">
        <v>36287.39</v>
      </c>
      <c r="PD24" s="638"/>
      <c r="PE24" s="638">
        <v>39462.536</v>
      </c>
      <c r="PF24" s="638"/>
      <c r="PG24" s="638"/>
      <c r="PH24" s="640"/>
      <c r="PI24" s="666">
        <v>351534</v>
      </c>
      <c r="PJ24" s="666">
        <v>351534</v>
      </c>
      <c r="PK24" s="666">
        <v>351534</v>
      </c>
      <c r="PL24" s="420">
        <v>560000</v>
      </c>
      <c r="PM24" s="420">
        <v>560000</v>
      </c>
      <c r="PN24" s="420">
        <v>560000</v>
      </c>
      <c r="PO24" s="550">
        <v>82190</v>
      </c>
    </row>
    <row r="25" spans="1:431">
      <c r="A25" s="418" t="s">
        <v>1238</v>
      </c>
      <c r="B25" s="623" t="s">
        <v>1231</v>
      </c>
      <c r="C25" s="380" t="s">
        <v>438</v>
      </c>
      <c r="D25" s="380" t="s">
        <v>1232</v>
      </c>
      <c r="E25" s="380" t="s">
        <v>1238</v>
      </c>
      <c r="G25" s="494"/>
      <c r="H25" s="419">
        <v>181000</v>
      </c>
      <c r="I25" s="419">
        <v>181000</v>
      </c>
      <c r="J25" s="419">
        <v>185000</v>
      </c>
      <c r="K25" s="420">
        <v>188000</v>
      </c>
      <c r="L25" s="420">
        <v>188000</v>
      </c>
      <c r="M25" s="420">
        <v>192000</v>
      </c>
      <c r="N25" s="420">
        <v>246000</v>
      </c>
      <c r="O25" s="420">
        <v>246000</v>
      </c>
      <c r="P25" s="420">
        <v>265000</v>
      </c>
      <c r="Q25" s="420">
        <v>265000</v>
      </c>
      <c r="R25" s="420">
        <v>207000</v>
      </c>
      <c r="S25" s="420">
        <v>207000</v>
      </c>
      <c r="T25" s="420">
        <v>236000</v>
      </c>
      <c r="U25" s="420">
        <v>122000</v>
      </c>
      <c r="V25" s="420">
        <v>127500</v>
      </c>
      <c r="W25" s="420">
        <v>127500</v>
      </c>
      <c r="X25" s="420">
        <v>130000</v>
      </c>
      <c r="Y25" s="420">
        <v>130000</v>
      </c>
      <c r="Z25" s="420">
        <v>130000</v>
      </c>
      <c r="AA25" s="420">
        <v>136000</v>
      </c>
      <c r="AB25" s="420">
        <v>133000</v>
      </c>
      <c r="AC25" s="420">
        <v>133000</v>
      </c>
      <c r="AD25" s="420">
        <v>133000</v>
      </c>
      <c r="AE25" s="420">
        <v>133000</v>
      </c>
      <c r="AF25" s="420">
        <v>134000</v>
      </c>
      <c r="AG25" s="420">
        <v>134000</v>
      </c>
      <c r="AH25" s="420">
        <v>138000</v>
      </c>
      <c r="AI25" s="420">
        <v>138000</v>
      </c>
      <c r="AJ25" s="420">
        <v>138000</v>
      </c>
      <c r="AK25" s="420">
        <v>138000</v>
      </c>
      <c r="AL25" s="420">
        <v>140000</v>
      </c>
      <c r="AM25" s="420">
        <v>140000</v>
      </c>
      <c r="AN25" s="420">
        <v>134000</v>
      </c>
      <c r="AO25" s="420">
        <v>138000</v>
      </c>
      <c r="AP25" s="420">
        <v>140000</v>
      </c>
      <c r="AQ25" s="420">
        <v>136000</v>
      </c>
      <c r="AR25" s="420">
        <v>140000</v>
      </c>
      <c r="AS25" s="420">
        <v>140000</v>
      </c>
      <c r="AT25" s="420">
        <v>118500</v>
      </c>
      <c r="AU25" s="420">
        <v>121500</v>
      </c>
      <c r="AV25" s="420">
        <v>122000</v>
      </c>
      <c r="AW25" s="420">
        <v>118500</v>
      </c>
      <c r="AX25" s="420">
        <v>118500</v>
      </c>
      <c r="AY25" s="420">
        <v>123000</v>
      </c>
      <c r="AZ25" s="420">
        <v>124000</v>
      </c>
      <c r="BA25" s="420">
        <v>123000</v>
      </c>
      <c r="BB25" s="420">
        <v>123000</v>
      </c>
      <c r="BC25" s="420">
        <v>124000</v>
      </c>
      <c r="BD25" s="420">
        <v>57500</v>
      </c>
      <c r="BE25" s="420">
        <v>57500</v>
      </c>
      <c r="BF25" s="420">
        <v>57500</v>
      </c>
      <c r="BG25" s="420">
        <v>57500</v>
      </c>
      <c r="BH25" s="420">
        <v>62500</v>
      </c>
      <c r="BI25" s="420">
        <v>62500</v>
      </c>
      <c r="BJ25" s="420">
        <v>62500</v>
      </c>
      <c r="BK25" s="420">
        <v>62500</v>
      </c>
      <c r="BL25" s="420">
        <v>62500</v>
      </c>
      <c r="BM25" s="420">
        <v>62500</v>
      </c>
      <c r="BN25" s="420">
        <v>62500</v>
      </c>
      <c r="BO25" s="420">
        <v>62500</v>
      </c>
      <c r="BP25" s="420">
        <v>63900</v>
      </c>
      <c r="BQ25" s="420">
        <v>63900</v>
      </c>
      <c r="BR25" s="420">
        <v>63900</v>
      </c>
      <c r="BS25" s="420">
        <v>63900</v>
      </c>
      <c r="BT25" s="420">
        <v>64500</v>
      </c>
      <c r="BU25" s="420">
        <v>64500</v>
      </c>
      <c r="BV25" s="420">
        <v>64500</v>
      </c>
      <c r="BW25" s="420">
        <v>64500</v>
      </c>
      <c r="BX25" s="420">
        <v>64500</v>
      </c>
      <c r="BY25" s="420">
        <v>64500</v>
      </c>
      <c r="BZ25" s="420">
        <v>64500</v>
      </c>
      <c r="CA25" s="420">
        <v>64500</v>
      </c>
      <c r="CB25" s="420">
        <v>66300</v>
      </c>
      <c r="CC25" s="858">
        <v>66300</v>
      </c>
      <c r="CD25" s="420">
        <v>66300</v>
      </c>
      <c r="CE25" s="420">
        <v>66300</v>
      </c>
      <c r="CF25" s="420">
        <v>66300</v>
      </c>
      <c r="CG25" s="420">
        <v>66300</v>
      </c>
      <c r="CH25" s="420">
        <v>75500</v>
      </c>
      <c r="CI25" s="420">
        <v>75500</v>
      </c>
      <c r="CJ25" s="420">
        <v>75500</v>
      </c>
      <c r="CK25" s="420">
        <v>75500</v>
      </c>
      <c r="CL25" s="420">
        <v>75500</v>
      </c>
      <c r="CM25" s="420">
        <v>75500</v>
      </c>
      <c r="CN25" s="420">
        <v>75500</v>
      </c>
      <c r="CO25" s="420">
        <v>75500</v>
      </c>
      <c r="CP25" s="420">
        <v>77300</v>
      </c>
      <c r="CQ25" s="420">
        <v>77300</v>
      </c>
      <c r="CR25" s="420">
        <v>77300</v>
      </c>
      <c r="CS25" s="420">
        <v>77300</v>
      </c>
      <c r="CT25" s="420">
        <v>77300</v>
      </c>
      <c r="CU25" s="420">
        <v>77300</v>
      </c>
      <c r="CV25" s="420">
        <v>77300</v>
      </c>
      <c r="CW25" s="420">
        <v>77300</v>
      </c>
      <c r="CX25" s="420">
        <v>77300</v>
      </c>
      <c r="CY25" s="420">
        <v>77300</v>
      </c>
      <c r="CZ25" s="420">
        <v>185000</v>
      </c>
      <c r="DA25" s="420">
        <v>185000</v>
      </c>
      <c r="DB25" s="420">
        <v>185000</v>
      </c>
      <c r="DC25" s="420">
        <v>185000</v>
      </c>
      <c r="DD25" s="420">
        <v>185000</v>
      </c>
      <c r="DE25" s="420">
        <v>182000</v>
      </c>
      <c r="DF25" s="420">
        <v>182000</v>
      </c>
      <c r="DG25" s="420">
        <v>187000</v>
      </c>
      <c r="DH25" s="420">
        <v>187000</v>
      </c>
      <c r="DI25" s="420">
        <v>187000</v>
      </c>
      <c r="DJ25" s="420">
        <v>187000</v>
      </c>
      <c r="DK25" s="420">
        <v>187000</v>
      </c>
      <c r="DL25" s="420">
        <v>187000</v>
      </c>
      <c r="DM25" s="420">
        <v>187000</v>
      </c>
      <c r="DN25" s="420">
        <v>187000</v>
      </c>
      <c r="DO25" s="420">
        <v>187000</v>
      </c>
      <c r="DP25" s="420">
        <v>187000</v>
      </c>
      <c r="DQ25" s="420">
        <v>186000</v>
      </c>
      <c r="DR25" s="420">
        <v>191000</v>
      </c>
      <c r="DS25" s="499"/>
      <c r="DT25" s="666">
        <v>86300</v>
      </c>
      <c r="DU25" s="584">
        <v>94000</v>
      </c>
      <c r="DV25" s="422">
        <v>94000</v>
      </c>
      <c r="DW25" s="422">
        <v>112100</v>
      </c>
      <c r="DX25" s="422">
        <v>112100</v>
      </c>
      <c r="DY25" s="422">
        <v>112100</v>
      </c>
      <c r="DZ25" s="596"/>
      <c r="EA25" s="422">
        <v>45362</v>
      </c>
      <c r="EB25" s="422">
        <v>49898</v>
      </c>
      <c r="EC25" s="596"/>
      <c r="ED25" s="422">
        <v>62400</v>
      </c>
      <c r="EE25" s="422">
        <v>64700</v>
      </c>
      <c r="EF25" s="422">
        <v>62400</v>
      </c>
      <c r="EG25" s="422">
        <v>64700</v>
      </c>
      <c r="EH25" s="422">
        <v>68100</v>
      </c>
      <c r="EI25" s="422">
        <v>70100</v>
      </c>
      <c r="EJ25" s="422">
        <v>70100</v>
      </c>
      <c r="EK25" s="422">
        <v>70100</v>
      </c>
      <c r="EL25" s="596"/>
      <c r="EM25" s="422">
        <v>43998</v>
      </c>
      <c r="EN25" s="578">
        <v>43091</v>
      </c>
      <c r="EO25" s="578">
        <v>44452</v>
      </c>
      <c r="EP25" s="578">
        <v>51710</v>
      </c>
      <c r="EQ25" s="578">
        <v>54885</v>
      </c>
      <c r="ER25" s="578">
        <v>498965</v>
      </c>
      <c r="ES25" s="578">
        <v>54658</v>
      </c>
      <c r="ET25" s="578">
        <v>58060</v>
      </c>
      <c r="EU25" s="578">
        <v>58060</v>
      </c>
      <c r="EV25" s="578">
        <v>58604</v>
      </c>
      <c r="EW25" s="578">
        <v>65317</v>
      </c>
      <c r="EX25" s="578">
        <v>66361</v>
      </c>
      <c r="EY25" s="578">
        <v>66361</v>
      </c>
      <c r="EZ25" s="422">
        <v>66814</v>
      </c>
      <c r="FA25" s="422">
        <v>66361</v>
      </c>
      <c r="FB25" s="422">
        <v>60781</v>
      </c>
      <c r="FC25" s="422">
        <v>69308</v>
      </c>
      <c r="FD25" s="422">
        <v>74343</v>
      </c>
      <c r="FE25" s="596"/>
      <c r="FF25" s="422">
        <v>255800</v>
      </c>
      <c r="FG25" s="422">
        <v>265300</v>
      </c>
      <c r="FH25" s="422">
        <v>255800</v>
      </c>
      <c r="FI25" s="422">
        <v>255800</v>
      </c>
      <c r="FJ25" s="422">
        <v>255800</v>
      </c>
      <c r="FK25" s="422">
        <v>255800</v>
      </c>
      <c r="FL25" s="422">
        <v>265300</v>
      </c>
      <c r="FM25" s="422">
        <v>285700</v>
      </c>
      <c r="FN25" s="422">
        <v>285700</v>
      </c>
      <c r="FO25" s="422">
        <v>265300</v>
      </c>
      <c r="FP25" s="422">
        <v>285700</v>
      </c>
      <c r="FQ25" s="422">
        <v>285700</v>
      </c>
      <c r="FR25" s="422">
        <v>285700</v>
      </c>
      <c r="FS25" s="422">
        <v>285700</v>
      </c>
      <c r="FT25" s="422">
        <v>285700</v>
      </c>
      <c r="FU25" s="422">
        <v>285700</v>
      </c>
      <c r="FV25" s="422">
        <v>285700</v>
      </c>
      <c r="FW25" s="422">
        <v>285700</v>
      </c>
      <c r="FX25" s="422">
        <v>285700</v>
      </c>
      <c r="FY25" s="422">
        <v>285700</v>
      </c>
      <c r="FZ25" s="422">
        <v>285700</v>
      </c>
      <c r="GA25" s="422">
        <v>285700</v>
      </c>
      <c r="GB25" s="422">
        <v>285700</v>
      </c>
      <c r="GC25" s="422">
        <v>255800</v>
      </c>
      <c r="GD25" s="422">
        <v>255800</v>
      </c>
      <c r="GE25" s="422">
        <v>255800</v>
      </c>
      <c r="GF25" s="422">
        <v>233560</v>
      </c>
      <c r="GG25" s="422">
        <v>242630</v>
      </c>
      <c r="GH25" s="422">
        <v>204100</v>
      </c>
      <c r="GI25" s="422">
        <v>204100</v>
      </c>
      <c r="GJ25" s="422">
        <v>204100</v>
      </c>
      <c r="GK25" s="422">
        <v>204100</v>
      </c>
      <c r="GL25" s="422">
        <v>260362</v>
      </c>
      <c r="GM25" s="422">
        <v>260362</v>
      </c>
      <c r="GN25" s="422">
        <v>260362</v>
      </c>
      <c r="GO25" s="422">
        <v>260362</v>
      </c>
      <c r="GP25" s="422">
        <v>260362</v>
      </c>
      <c r="GQ25" s="422">
        <v>260362</v>
      </c>
      <c r="GR25" s="422">
        <v>302093</v>
      </c>
      <c r="GS25" s="422">
        <v>295743</v>
      </c>
      <c r="GT25" s="578">
        <v>302090</v>
      </c>
      <c r="GU25" s="422">
        <v>295743</v>
      </c>
      <c r="GV25" s="422">
        <v>295743</v>
      </c>
      <c r="GW25" s="422">
        <v>295743</v>
      </c>
      <c r="GX25" s="422">
        <v>302093</v>
      </c>
      <c r="GY25" s="422">
        <v>302093</v>
      </c>
      <c r="GZ25" s="422">
        <v>302093</v>
      </c>
      <c r="HA25" s="422">
        <v>260362</v>
      </c>
      <c r="HB25" s="422">
        <v>312072</v>
      </c>
      <c r="HC25" s="422">
        <v>346091</v>
      </c>
      <c r="HD25" s="596"/>
      <c r="HE25" s="422">
        <v>89800</v>
      </c>
      <c r="HF25" s="422">
        <v>89800</v>
      </c>
      <c r="HG25" s="422">
        <v>92250</v>
      </c>
      <c r="HH25" s="422">
        <v>101610</v>
      </c>
      <c r="HI25" s="422">
        <v>101610</v>
      </c>
      <c r="HJ25" s="596"/>
      <c r="HK25" s="422">
        <v>116573</v>
      </c>
      <c r="HL25" s="422">
        <v>123377</v>
      </c>
      <c r="HM25" s="422">
        <v>126099</v>
      </c>
      <c r="HN25" s="422">
        <v>136078</v>
      </c>
      <c r="HO25" s="422">
        <v>136078</v>
      </c>
      <c r="HP25" s="422">
        <v>136078</v>
      </c>
      <c r="HQ25" s="422">
        <v>145150</v>
      </c>
      <c r="HR25" s="422">
        <v>147871</v>
      </c>
      <c r="HS25" s="422">
        <v>147871</v>
      </c>
      <c r="HT25" s="422">
        <v>147871</v>
      </c>
      <c r="HU25" s="422">
        <v>158757</v>
      </c>
      <c r="HV25" s="422">
        <v>158757</v>
      </c>
      <c r="HW25" s="596"/>
      <c r="HX25" s="422">
        <v>200050</v>
      </c>
      <c r="HY25" s="422">
        <v>208700</v>
      </c>
      <c r="HZ25" s="422">
        <v>201800</v>
      </c>
      <c r="IA25" s="422">
        <v>206350</v>
      </c>
      <c r="IB25" s="422">
        <v>201800</v>
      </c>
      <c r="IC25" s="422">
        <v>206350</v>
      </c>
      <c r="ID25" s="422">
        <v>237680</v>
      </c>
      <c r="IE25" s="422">
        <v>237680</v>
      </c>
      <c r="IF25" s="422">
        <v>237680</v>
      </c>
      <c r="IG25" s="422">
        <v>223168</v>
      </c>
      <c r="IH25" s="422">
        <v>251290</v>
      </c>
      <c r="II25" s="422">
        <v>260816</v>
      </c>
      <c r="IJ25" s="596"/>
      <c r="IK25" s="422">
        <v>172365</v>
      </c>
      <c r="IL25" s="422">
        <v>192776</v>
      </c>
      <c r="IM25" s="422">
        <v>201848</v>
      </c>
      <c r="IN25" s="423"/>
      <c r="IO25" s="424">
        <v>20276</v>
      </c>
      <c r="IP25" s="617">
        <v>21319</v>
      </c>
      <c r="IQ25" s="425">
        <v>21319</v>
      </c>
      <c r="IR25" s="425">
        <v>20276</v>
      </c>
      <c r="IS25" s="425">
        <v>21319</v>
      </c>
      <c r="IT25" s="425">
        <v>21319</v>
      </c>
      <c r="IU25" s="654">
        <v>35652</v>
      </c>
      <c r="IV25" s="425">
        <v>15309</v>
      </c>
      <c r="IW25" s="425">
        <v>30390.688999999998</v>
      </c>
      <c r="IX25" s="425">
        <v>27669.134999999998</v>
      </c>
      <c r="IY25" s="425">
        <v>33339.038999999997</v>
      </c>
      <c r="IZ25" s="425">
        <v>33339.038999999997</v>
      </c>
      <c r="JA25" s="425">
        <v>36967.778200000001</v>
      </c>
      <c r="JB25" s="654">
        <v>39735</v>
      </c>
      <c r="JC25" s="425"/>
      <c r="JD25" s="425"/>
      <c r="JE25" s="425"/>
      <c r="JF25" s="425"/>
      <c r="JG25" s="425"/>
      <c r="JH25" s="425">
        <v>52390</v>
      </c>
      <c r="JI25" s="425">
        <v>58740</v>
      </c>
      <c r="JJ25" s="426"/>
      <c r="JK25" s="427">
        <v>49050</v>
      </c>
      <c r="JL25" s="428">
        <v>54000</v>
      </c>
      <c r="JM25" s="428">
        <v>32800</v>
      </c>
      <c r="JN25" s="428">
        <v>32800</v>
      </c>
      <c r="JO25" s="428">
        <v>34000</v>
      </c>
      <c r="JP25" s="428">
        <v>34000</v>
      </c>
      <c r="JQ25" s="428">
        <v>45800</v>
      </c>
      <c r="JR25" s="428">
        <v>44000</v>
      </c>
      <c r="JS25" s="428">
        <v>43000</v>
      </c>
      <c r="JT25" s="428">
        <v>43000</v>
      </c>
      <c r="JU25" s="428">
        <v>43000</v>
      </c>
      <c r="JV25" s="428">
        <v>45800</v>
      </c>
      <c r="JW25" s="428">
        <v>45000</v>
      </c>
      <c r="JX25" s="428">
        <v>45000</v>
      </c>
      <c r="JY25" s="428">
        <v>18500</v>
      </c>
      <c r="JZ25" s="428">
        <v>18500</v>
      </c>
      <c r="KA25" s="428">
        <v>18500</v>
      </c>
      <c r="KB25" s="428">
        <v>18700</v>
      </c>
      <c r="KC25" s="428">
        <v>18700</v>
      </c>
      <c r="KD25" s="428">
        <v>18700</v>
      </c>
      <c r="KE25" s="428">
        <v>18700</v>
      </c>
      <c r="KF25" s="428">
        <v>19300</v>
      </c>
      <c r="KG25" s="428">
        <v>19300</v>
      </c>
      <c r="KH25" s="428">
        <v>19300</v>
      </c>
      <c r="KI25" s="428">
        <v>19300</v>
      </c>
      <c r="KJ25" s="429"/>
      <c r="KK25" s="430">
        <v>9389.3621000000003</v>
      </c>
      <c r="KL25" s="545"/>
      <c r="KM25" s="431"/>
      <c r="KN25" s="431"/>
      <c r="KO25" s="431"/>
      <c r="KP25" s="431"/>
      <c r="KQ25" s="463"/>
      <c r="KR25" s="464">
        <v>5388.6773999999996</v>
      </c>
      <c r="KS25" s="465">
        <v>5388.68</v>
      </c>
      <c r="KT25" s="466">
        <v>5388.68</v>
      </c>
      <c r="KU25" s="466">
        <v>5388.68</v>
      </c>
      <c r="KV25" s="466">
        <v>5388.68</v>
      </c>
      <c r="KW25" s="466">
        <v>5388.68</v>
      </c>
      <c r="KX25" s="466">
        <v>5388.68</v>
      </c>
      <c r="KY25" s="466">
        <v>5388.68</v>
      </c>
      <c r="KZ25" s="466">
        <v>5388.68</v>
      </c>
      <c r="LA25" s="466">
        <v>5388.68</v>
      </c>
      <c r="LB25" s="466">
        <v>5388.68</v>
      </c>
      <c r="LC25" s="466">
        <v>6032.78</v>
      </c>
      <c r="LD25" s="466">
        <v>5669.45</v>
      </c>
      <c r="LE25" s="466">
        <v>6032.78</v>
      </c>
      <c r="LF25" s="466">
        <v>6032.78</v>
      </c>
      <c r="LG25" s="466">
        <v>6032.78</v>
      </c>
      <c r="LH25" s="466">
        <v>6032.78</v>
      </c>
      <c r="LI25" s="466">
        <v>6032.78</v>
      </c>
      <c r="LJ25" s="466">
        <v>6939.97</v>
      </c>
      <c r="LK25" s="466">
        <v>6939.97</v>
      </c>
      <c r="LL25" s="466">
        <v>6486.37</v>
      </c>
      <c r="LM25" s="466">
        <v>6486.37</v>
      </c>
      <c r="LN25" s="466"/>
      <c r="LO25" s="466">
        <v>8709</v>
      </c>
      <c r="LP25" s="466"/>
      <c r="LQ25" s="466"/>
      <c r="LR25" s="466"/>
      <c r="LS25" s="466"/>
      <c r="LT25" s="734"/>
      <c r="LU25" s="611"/>
      <c r="LV25" s="588"/>
      <c r="LW25" s="611">
        <v>90491</v>
      </c>
      <c r="LX25" s="611">
        <v>93893</v>
      </c>
      <c r="LY25" s="611">
        <v>91625</v>
      </c>
      <c r="LZ25" s="611">
        <v>93893</v>
      </c>
      <c r="MA25" s="611">
        <v>93893</v>
      </c>
      <c r="MB25" s="611">
        <v>91625</v>
      </c>
      <c r="MC25" s="611">
        <v>93895</v>
      </c>
      <c r="MD25" s="588">
        <v>90491</v>
      </c>
      <c r="ME25" s="611">
        <v>93893</v>
      </c>
      <c r="MF25" s="588">
        <v>93893</v>
      </c>
      <c r="MG25" s="611">
        <v>101604</v>
      </c>
      <c r="MH25" s="588">
        <v>108864</v>
      </c>
      <c r="MI25" s="611">
        <v>98431</v>
      </c>
      <c r="MJ25" s="588">
        <v>108864</v>
      </c>
      <c r="MK25" s="611">
        <v>117029</v>
      </c>
      <c r="ML25" s="611">
        <v>108864</v>
      </c>
      <c r="MM25" s="611">
        <v>113400</v>
      </c>
      <c r="MN25" s="611">
        <v>117029</v>
      </c>
      <c r="MO25" s="611">
        <v>124740</v>
      </c>
      <c r="MP25" s="611">
        <v>108864</v>
      </c>
      <c r="MQ25" s="611">
        <v>117029</v>
      </c>
      <c r="MR25" s="611">
        <v>108864</v>
      </c>
      <c r="MS25" s="611">
        <v>113400</v>
      </c>
      <c r="MT25" s="611">
        <v>117029</v>
      </c>
      <c r="MU25" s="611">
        <v>124740</v>
      </c>
      <c r="MV25" s="436">
        <v>37059</v>
      </c>
      <c r="MW25" s="436">
        <v>37059</v>
      </c>
      <c r="MX25" s="436">
        <v>37059</v>
      </c>
      <c r="MY25" s="436">
        <v>37059</v>
      </c>
      <c r="MZ25" s="436">
        <v>37059</v>
      </c>
      <c r="NA25" s="436">
        <v>37059</v>
      </c>
      <c r="NB25" s="436">
        <v>44906</v>
      </c>
      <c r="NC25" s="436">
        <v>44905</v>
      </c>
      <c r="ND25" s="436">
        <v>44906</v>
      </c>
      <c r="NE25" s="436">
        <v>44905</v>
      </c>
      <c r="NF25" s="436">
        <v>44906</v>
      </c>
      <c r="NG25" s="436">
        <v>49895</v>
      </c>
      <c r="NH25" s="436">
        <v>49895</v>
      </c>
      <c r="NI25" s="436">
        <v>46266</v>
      </c>
      <c r="NJ25" s="436">
        <v>49895</v>
      </c>
      <c r="NK25" s="436">
        <v>58061</v>
      </c>
      <c r="NL25" s="436">
        <v>58967</v>
      </c>
      <c r="NM25" s="436">
        <v>63276</v>
      </c>
      <c r="NN25" s="436">
        <v>58060</v>
      </c>
      <c r="NO25" s="436">
        <v>164881</v>
      </c>
      <c r="NP25" s="417">
        <v>182798</v>
      </c>
      <c r="NQ25" s="436">
        <v>182798</v>
      </c>
      <c r="NR25" s="436">
        <v>186427</v>
      </c>
      <c r="NS25" s="436">
        <v>164881</v>
      </c>
      <c r="NT25" s="436">
        <v>186427</v>
      </c>
      <c r="NU25" s="436">
        <v>164881</v>
      </c>
      <c r="NV25" s="436">
        <v>213868</v>
      </c>
      <c r="NW25" s="436">
        <v>213868</v>
      </c>
      <c r="NX25" s="436">
        <v>170097</v>
      </c>
      <c r="NY25" s="436">
        <v>58967</v>
      </c>
      <c r="NZ25" s="611">
        <v>64410</v>
      </c>
      <c r="OA25" s="635"/>
      <c r="OB25" s="638">
        <v>166921.992</v>
      </c>
      <c r="OC25" s="638">
        <v>166921.992</v>
      </c>
      <c r="OD25" s="638">
        <v>166921.992</v>
      </c>
      <c r="OE25" s="638">
        <v>166921.992</v>
      </c>
      <c r="OF25" s="638"/>
      <c r="OG25" s="638"/>
      <c r="OH25" s="638"/>
      <c r="OI25" s="638"/>
      <c r="OJ25" s="638"/>
      <c r="OK25" s="638"/>
      <c r="OL25" s="638"/>
      <c r="OM25" s="638"/>
      <c r="ON25" s="635"/>
      <c r="OO25" s="638">
        <v>37665</v>
      </c>
      <c r="OP25" s="638">
        <v>40455</v>
      </c>
      <c r="OQ25" s="638">
        <v>67800</v>
      </c>
      <c r="OR25" s="638">
        <v>67800</v>
      </c>
      <c r="OS25" s="638"/>
      <c r="OT25" s="638">
        <v>35153</v>
      </c>
      <c r="OU25" s="638">
        <v>36740</v>
      </c>
      <c r="OV25" s="638">
        <v>39235</v>
      </c>
      <c r="OW25" s="638">
        <v>37875</v>
      </c>
      <c r="OX25" s="638">
        <v>38555</v>
      </c>
      <c r="OY25" s="638">
        <v>40142</v>
      </c>
      <c r="OZ25" s="638"/>
      <c r="PA25" s="638"/>
      <c r="PB25" s="638">
        <v>32205.058000000001</v>
      </c>
      <c r="PC25" s="638">
        <v>32205.058000000001</v>
      </c>
      <c r="PD25" s="638"/>
      <c r="PE25" s="638">
        <v>35380.205000000002</v>
      </c>
      <c r="PF25" s="638"/>
      <c r="PG25" s="638"/>
      <c r="PH25" s="640"/>
      <c r="PI25" s="666"/>
      <c r="PJ25" s="666"/>
      <c r="PK25" s="666">
        <v>266258</v>
      </c>
      <c r="PL25" s="420">
        <v>386000</v>
      </c>
      <c r="PM25" s="420">
        <v>386000</v>
      </c>
      <c r="PN25" s="420">
        <v>386000</v>
      </c>
      <c r="PO25" s="550">
        <v>69308</v>
      </c>
    </row>
    <row r="26" spans="1:431">
      <c r="A26" s="418" t="s">
        <v>1239</v>
      </c>
      <c r="B26" s="623" t="s">
        <v>1231</v>
      </c>
      <c r="C26" s="380" t="s">
        <v>438</v>
      </c>
      <c r="D26" s="380" t="s">
        <v>1232</v>
      </c>
      <c r="E26" s="380" t="s">
        <v>1239</v>
      </c>
      <c r="G26" s="494"/>
      <c r="H26" s="419">
        <v>169000</v>
      </c>
      <c r="I26" s="419">
        <v>169000</v>
      </c>
      <c r="J26" s="419">
        <v>173000</v>
      </c>
      <c r="K26" s="420">
        <v>178000</v>
      </c>
      <c r="L26" s="420">
        <v>178000</v>
      </c>
      <c r="M26" s="420">
        <v>183000</v>
      </c>
      <c r="N26" s="420">
        <v>232000</v>
      </c>
      <c r="O26" s="420">
        <v>232000</v>
      </c>
      <c r="P26" s="420">
        <v>251000</v>
      </c>
      <c r="Q26" s="420">
        <v>251000</v>
      </c>
      <c r="R26" s="420">
        <v>195700</v>
      </c>
      <c r="S26" s="420">
        <v>195700</v>
      </c>
      <c r="T26" s="420">
        <v>223000</v>
      </c>
      <c r="U26" s="420">
        <v>116500</v>
      </c>
      <c r="V26" s="420">
        <v>116500</v>
      </c>
      <c r="W26" s="420">
        <v>116500</v>
      </c>
      <c r="X26" s="420">
        <v>120500</v>
      </c>
      <c r="Y26" s="420">
        <v>120500</v>
      </c>
      <c r="Z26" s="420">
        <v>120500</v>
      </c>
      <c r="AA26" s="420">
        <v>126000</v>
      </c>
      <c r="AB26" s="420">
        <v>122000</v>
      </c>
      <c r="AC26" s="420">
        <v>122000</v>
      </c>
      <c r="AD26" s="420">
        <v>122000</v>
      </c>
      <c r="AE26" s="420">
        <v>122000</v>
      </c>
      <c r="AF26" s="420">
        <v>124000</v>
      </c>
      <c r="AG26" s="420">
        <v>124000</v>
      </c>
      <c r="AH26" s="420">
        <v>130000</v>
      </c>
      <c r="AI26" s="420">
        <v>130000</v>
      </c>
      <c r="AJ26" s="420">
        <v>130000</v>
      </c>
      <c r="AK26" s="420">
        <v>130000</v>
      </c>
      <c r="AL26" s="420">
        <v>130000</v>
      </c>
      <c r="AM26" s="420">
        <v>130000</v>
      </c>
      <c r="AN26" s="420">
        <v>124000</v>
      </c>
      <c r="AO26" s="420">
        <v>130000</v>
      </c>
      <c r="AP26" s="420">
        <v>130000</v>
      </c>
      <c r="AQ26" s="420">
        <v>126000</v>
      </c>
      <c r="AR26" s="420">
        <v>130000</v>
      </c>
      <c r="AS26" s="420">
        <v>130000</v>
      </c>
      <c r="AT26" s="420">
        <v>108500</v>
      </c>
      <c r="AU26" s="420">
        <v>111500</v>
      </c>
      <c r="AV26" s="420">
        <v>112000</v>
      </c>
      <c r="AW26" s="420">
        <v>108500</v>
      </c>
      <c r="AX26" s="420">
        <v>108500</v>
      </c>
      <c r="AY26" s="420">
        <v>113000</v>
      </c>
      <c r="AZ26" s="420">
        <v>114000</v>
      </c>
      <c r="BA26" s="420">
        <v>113000</v>
      </c>
      <c r="BB26" s="420">
        <v>113000</v>
      </c>
      <c r="BC26" s="420">
        <v>114000</v>
      </c>
      <c r="BD26" s="420">
        <v>54500</v>
      </c>
      <c r="BE26" s="420">
        <v>54500</v>
      </c>
      <c r="BF26" s="420">
        <v>54500</v>
      </c>
      <c r="BG26" s="420">
        <v>54500</v>
      </c>
      <c r="BH26" s="420">
        <v>58500</v>
      </c>
      <c r="BI26" s="420">
        <v>58500</v>
      </c>
      <c r="BJ26" s="420">
        <v>58500</v>
      </c>
      <c r="BK26" s="420">
        <v>58500</v>
      </c>
      <c r="BL26" s="420">
        <v>58500</v>
      </c>
      <c r="BM26" s="420">
        <v>58500</v>
      </c>
      <c r="BN26" s="420">
        <v>58500</v>
      </c>
      <c r="BO26" s="420">
        <v>58500</v>
      </c>
      <c r="BP26" s="420">
        <v>60300</v>
      </c>
      <c r="BQ26" s="420">
        <v>60300</v>
      </c>
      <c r="BR26" s="420">
        <v>60300</v>
      </c>
      <c r="BS26" s="420">
        <v>53000</v>
      </c>
      <c r="BT26" s="420">
        <v>60500</v>
      </c>
      <c r="BU26" s="420">
        <v>60500</v>
      </c>
      <c r="BV26" s="420">
        <v>60500</v>
      </c>
      <c r="BW26" s="420">
        <v>60500</v>
      </c>
      <c r="BX26" s="420">
        <v>60500</v>
      </c>
      <c r="BY26" s="420">
        <v>60500</v>
      </c>
      <c r="BZ26" s="420">
        <v>60500</v>
      </c>
      <c r="CA26" s="420">
        <v>60500</v>
      </c>
      <c r="CB26" s="420">
        <v>62800</v>
      </c>
      <c r="CC26" s="858">
        <v>62800</v>
      </c>
      <c r="CD26" s="420">
        <v>62800</v>
      </c>
      <c r="CE26" s="420">
        <v>62800</v>
      </c>
      <c r="CF26" s="420">
        <v>62800</v>
      </c>
      <c r="CG26" s="420">
        <v>62800</v>
      </c>
      <c r="CH26" s="420">
        <v>71500</v>
      </c>
      <c r="CI26" s="420">
        <v>71500</v>
      </c>
      <c r="CJ26" s="420">
        <v>71500</v>
      </c>
      <c r="CK26" s="420">
        <v>71500</v>
      </c>
      <c r="CL26" s="420">
        <v>71500</v>
      </c>
      <c r="CM26" s="420">
        <v>71500</v>
      </c>
      <c r="CN26" s="420">
        <v>71500</v>
      </c>
      <c r="CO26" s="420">
        <v>71500</v>
      </c>
      <c r="CP26" s="420">
        <v>73300</v>
      </c>
      <c r="CQ26" s="420">
        <v>73300</v>
      </c>
      <c r="CR26" s="420">
        <v>73300</v>
      </c>
      <c r="CS26" s="420">
        <v>73300</v>
      </c>
      <c r="CT26" s="420">
        <v>73300</v>
      </c>
      <c r="CU26" s="420">
        <v>73300</v>
      </c>
      <c r="CV26" s="420">
        <v>73300</v>
      </c>
      <c r="CW26" s="420">
        <v>73300</v>
      </c>
      <c r="CX26" s="420">
        <v>73300</v>
      </c>
      <c r="CY26" s="420">
        <v>73300</v>
      </c>
      <c r="CZ26" s="420">
        <v>173000</v>
      </c>
      <c r="DA26" s="420">
        <v>173000</v>
      </c>
      <c r="DB26" s="420">
        <v>173000</v>
      </c>
      <c r="DC26" s="420">
        <v>173000</v>
      </c>
      <c r="DD26" s="420">
        <v>173000</v>
      </c>
      <c r="DE26" s="420">
        <v>173000</v>
      </c>
      <c r="DF26" s="420">
        <v>173000</v>
      </c>
      <c r="DG26" s="420">
        <v>171000</v>
      </c>
      <c r="DH26" s="420">
        <v>171000</v>
      </c>
      <c r="DI26" s="420">
        <v>171000</v>
      </c>
      <c r="DJ26" s="420">
        <v>171000</v>
      </c>
      <c r="DK26" s="420">
        <v>171000</v>
      </c>
      <c r="DL26" s="420">
        <v>171000</v>
      </c>
      <c r="DM26" s="420">
        <v>171000</v>
      </c>
      <c r="DN26" s="420">
        <v>171000</v>
      </c>
      <c r="DO26" s="420">
        <v>171000</v>
      </c>
      <c r="DP26" s="420">
        <v>178000</v>
      </c>
      <c r="DQ26" s="420">
        <v>172000</v>
      </c>
      <c r="DR26" s="420">
        <v>177000</v>
      </c>
      <c r="DS26" s="499"/>
      <c r="DT26" s="421">
        <v>77200</v>
      </c>
      <c r="DU26" s="422">
        <v>86300</v>
      </c>
      <c r="DV26" s="422">
        <v>86300</v>
      </c>
      <c r="DW26" s="422">
        <v>104400</v>
      </c>
      <c r="DX26" s="422">
        <v>104400</v>
      </c>
      <c r="DY26" s="422">
        <v>104400</v>
      </c>
      <c r="DZ26" s="596"/>
      <c r="EA26" s="422">
        <v>42638</v>
      </c>
      <c r="EB26" s="422">
        <v>45586</v>
      </c>
      <c r="EC26" s="596"/>
      <c r="ED26" s="422">
        <v>53600</v>
      </c>
      <c r="EE26" s="422">
        <v>56100</v>
      </c>
      <c r="EF26" s="422">
        <v>56100</v>
      </c>
      <c r="EG26" s="422">
        <v>59900</v>
      </c>
      <c r="EH26" s="422">
        <v>61700</v>
      </c>
      <c r="EI26" s="422">
        <v>62700</v>
      </c>
      <c r="EJ26" s="422">
        <v>63600</v>
      </c>
      <c r="EK26" s="422">
        <v>63600</v>
      </c>
      <c r="EL26" s="596"/>
      <c r="EM26" s="422">
        <v>40687</v>
      </c>
      <c r="EN26" s="578">
        <v>38555</v>
      </c>
      <c r="EO26" s="578">
        <v>39916</v>
      </c>
      <c r="EP26" s="578">
        <v>47627</v>
      </c>
      <c r="EQ26" s="578">
        <v>51256</v>
      </c>
      <c r="ER26" s="578">
        <v>46493</v>
      </c>
      <c r="ES26" s="578">
        <v>51483</v>
      </c>
      <c r="ET26" s="578">
        <v>54658</v>
      </c>
      <c r="EU26" s="578">
        <v>54658</v>
      </c>
      <c r="EV26" s="578">
        <v>55202</v>
      </c>
      <c r="EW26" s="578">
        <v>61689</v>
      </c>
      <c r="EX26" s="578">
        <v>62732</v>
      </c>
      <c r="EY26" s="578">
        <v>62732</v>
      </c>
      <c r="EZ26" s="422">
        <v>63639</v>
      </c>
      <c r="FA26" s="422">
        <v>62732</v>
      </c>
      <c r="FB26" s="422">
        <v>57152</v>
      </c>
      <c r="FC26" s="422">
        <v>65952</v>
      </c>
      <c r="FD26" s="422">
        <v>70987</v>
      </c>
      <c r="FE26" s="596"/>
      <c r="FF26" s="422">
        <v>238780</v>
      </c>
      <c r="FG26" s="422">
        <v>247170</v>
      </c>
      <c r="FH26" s="422">
        <v>215420</v>
      </c>
      <c r="FI26" s="422">
        <v>219950</v>
      </c>
      <c r="FJ26" s="422">
        <v>238780</v>
      </c>
      <c r="FK26" s="422">
        <v>238780</v>
      </c>
      <c r="FL26" s="422">
        <v>238780</v>
      </c>
      <c r="FM26" s="422">
        <v>238780</v>
      </c>
      <c r="FN26" s="422">
        <v>238780</v>
      </c>
      <c r="FO26" s="422">
        <v>247170</v>
      </c>
      <c r="FP26" s="422">
        <v>247170</v>
      </c>
      <c r="FQ26" s="422">
        <v>247170</v>
      </c>
      <c r="FR26" s="422">
        <v>247170</v>
      </c>
      <c r="FS26" s="422">
        <v>247170</v>
      </c>
      <c r="FT26" s="422">
        <v>267570</v>
      </c>
      <c r="FU26" s="422">
        <v>267570</v>
      </c>
      <c r="FV26" s="422">
        <v>267570</v>
      </c>
      <c r="FW26" s="422">
        <v>267570</v>
      </c>
      <c r="FX26" s="422">
        <v>267570</v>
      </c>
      <c r="FY26" s="422">
        <v>267570</v>
      </c>
      <c r="FZ26" s="422">
        <v>267570</v>
      </c>
      <c r="GA26" s="422">
        <v>267570</v>
      </c>
      <c r="GB26" s="422">
        <v>267570</v>
      </c>
      <c r="GC26" s="422">
        <v>243310</v>
      </c>
      <c r="GD26" s="422">
        <v>238780</v>
      </c>
      <c r="GE26" s="422">
        <v>238780</v>
      </c>
      <c r="GF26" s="422">
        <v>219950</v>
      </c>
      <c r="GG26" s="422">
        <v>244490</v>
      </c>
      <c r="GH26" s="422">
        <v>185940</v>
      </c>
      <c r="GI26" s="422">
        <v>185940</v>
      </c>
      <c r="GJ26" s="422">
        <v>185940</v>
      </c>
      <c r="GK26" s="422">
        <v>185940</v>
      </c>
      <c r="GL26" s="422">
        <v>242672</v>
      </c>
      <c r="GM26" s="422">
        <v>242672</v>
      </c>
      <c r="GN26" s="422">
        <v>242672</v>
      </c>
      <c r="GO26" s="422">
        <v>247208</v>
      </c>
      <c r="GP26" s="422">
        <v>247208</v>
      </c>
      <c r="GQ26" s="422">
        <v>247208</v>
      </c>
      <c r="GR26" s="422">
        <v>288031</v>
      </c>
      <c r="GS26" s="422">
        <v>276692</v>
      </c>
      <c r="GT26" s="578">
        <v>288030</v>
      </c>
      <c r="GU26" s="422">
        <v>251744</v>
      </c>
      <c r="GV26" s="422">
        <v>251744</v>
      </c>
      <c r="GW26" s="422">
        <v>251744</v>
      </c>
      <c r="GX26" s="422">
        <v>277145</v>
      </c>
      <c r="GY26" s="422">
        <v>277145</v>
      </c>
      <c r="GZ26" s="422">
        <v>277145</v>
      </c>
      <c r="HA26" s="422">
        <v>242672</v>
      </c>
      <c r="HB26" s="422">
        <v>295289</v>
      </c>
      <c r="HC26" s="422">
        <v>329762</v>
      </c>
      <c r="HD26" s="596"/>
      <c r="HE26" s="422">
        <v>83450</v>
      </c>
      <c r="HF26" s="422">
        <v>83450</v>
      </c>
      <c r="HG26" s="422">
        <v>90700</v>
      </c>
      <c r="HH26" s="422">
        <v>95260</v>
      </c>
      <c r="HI26" s="422">
        <v>95260</v>
      </c>
      <c r="HJ26" s="596"/>
      <c r="HK26" s="422">
        <v>109769</v>
      </c>
      <c r="HL26" s="422">
        <v>113398</v>
      </c>
      <c r="HM26" s="422">
        <v>114759</v>
      </c>
      <c r="HN26" s="422">
        <v>117934</v>
      </c>
      <c r="HO26" s="422">
        <v>126099</v>
      </c>
      <c r="HP26" s="422">
        <v>126099</v>
      </c>
      <c r="HQ26" s="422">
        <v>133810</v>
      </c>
      <c r="HR26" s="422">
        <v>140160</v>
      </c>
      <c r="HS26" s="422">
        <v>140160</v>
      </c>
      <c r="HT26" s="422">
        <v>140160</v>
      </c>
      <c r="HU26" s="422">
        <v>149685</v>
      </c>
      <c r="HV26" s="422">
        <v>149685</v>
      </c>
      <c r="HW26" s="596"/>
      <c r="HX26" s="422">
        <v>190470</v>
      </c>
      <c r="HY26" s="422">
        <v>195000</v>
      </c>
      <c r="HZ26" s="422">
        <v>190470</v>
      </c>
      <c r="IA26" s="422">
        <v>195000</v>
      </c>
      <c r="IB26" s="422">
        <v>190470</v>
      </c>
      <c r="IC26" s="422">
        <v>195000</v>
      </c>
      <c r="ID26" s="422">
        <v>224530</v>
      </c>
      <c r="IE26" s="422">
        <v>224530</v>
      </c>
      <c r="IF26" s="422">
        <v>224530</v>
      </c>
      <c r="IG26" s="422">
        <v>209106</v>
      </c>
      <c r="IH26" s="422">
        <v>237683</v>
      </c>
      <c r="II26" s="422">
        <v>248115</v>
      </c>
      <c r="IJ26" s="596"/>
      <c r="IK26" s="422">
        <v>161025</v>
      </c>
      <c r="IL26" s="422">
        <v>181436</v>
      </c>
      <c r="IM26" s="422">
        <v>192776</v>
      </c>
      <c r="IN26" s="423"/>
      <c r="IO26" s="442">
        <v>19142</v>
      </c>
      <c r="IP26" s="618">
        <v>19958</v>
      </c>
      <c r="IQ26" s="443">
        <v>19958</v>
      </c>
      <c r="IR26" s="442">
        <v>19142</v>
      </c>
      <c r="IS26" s="443">
        <v>19958</v>
      </c>
      <c r="IT26" s="443">
        <v>19958</v>
      </c>
      <c r="IU26" s="654">
        <v>26308</v>
      </c>
      <c r="IV26" s="425">
        <v>11839</v>
      </c>
      <c r="IW26" s="425">
        <v>28258.805</v>
      </c>
      <c r="IX26" s="425">
        <v>26761.95</v>
      </c>
      <c r="IY26" s="425">
        <v>31751.466</v>
      </c>
      <c r="IZ26" s="425">
        <v>31751.466</v>
      </c>
      <c r="JA26" s="425">
        <v>35153.409</v>
      </c>
      <c r="JB26" s="654">
        <v>30617</v>
      </c>
      <c r="JC26" s="425"/>
      <c r="JD26" s="425"/>
      <c r="JE26" s="425"/>
      <c r="JF26" s="425"/>
      <c r="JG26" s="425"/>
      <c r="JH26" s="425">
        <v>50349</v>
      </c>
      <c r="JI26" s="425">
        <v>55792</v>
      </c>
      <c r="JJ26" s="426"/>
      <c r="JK26" s="427">
        <v>46700</v>
      </c>
      <c r="JL26" s="428">
        <v>51850</v>
      </c>
      <c r="JM26" s="428">
        <v>29600</v>
      </c>
      <c r="JN26" s="428">
        <v>29600</v>
      </c>
      <c r="JO26" s="428">
        <v>31700</v>
      </c>
      <c r="JP26" s="428">
        <v>31700</v>
      </c>
      <c r="JQ26" s="428">
        <v>36500</v>
      </c>
      <c r="JR26" s="428">
        <v>40900</v>
      </c>
      <c r="JS26" s="428">
        <v>40800</v>
      </c>
      <c r="JT26" s="428">
        <v>40800</v>
      </c>
      <c r="JU26" s="428">
        <v>40800</v>
      </c>
      <c r="JV26" s="428">
        <v>42600</v>
      </c>
      <c r="JW26" s="428">
        <v>42500</v>
      </c>
      <c r="JX26" s="428">
        <v>42500</v>
      </c>
      <c r="JY26" s="428">
        <v>15600</v>
      </c>
      <c r="JZ26" s="428">
        <v>16000</v>
      </c>
      <c r="KA26" s="428">
        <v>16000</v>
      </c>
      <c r="KB26" s="428">
        <v>17100</v>
      </c>
      <c r="KC26" s="428">
        <v>17100</v>
      </c>
      <c r="KD26" s="428">
        <v>17100</v>
      </c>
      <c r="KE26" s="428">
        <v>17100</v>
      </c>
      <c r="KF26" s="428">
        <v>17900</v>
      </c>
      <c r="KG26" s="428">
        <v>17900</v>
      </c>
      <c r="KH26" s="428">
        <v>17900</v>
      </c>
      <c r="KI26" s="428">
        <v>17900</v>
      </c>
      <c r="KJ26" s="429"/>
      <c r="KK26" s="430">
        <v>7257.4778999999999</v>
      </c>
      <c r="KL26" s="545"/>
      <c r="KM26" s="431"/>
      <c r="KN26" s="431"/>
      <c r="KO26" s="431"/>
      <c r="KP26" s="431"/>
      <c r="KQ26" s="463"/>
      <c r="KR26" s="464">
        <v>4082.3310000000001</v>
      </c>
      <c r="KS26" s="465">
        <v>4082.3</v>
      </c>
      <c r="KT26" s="466">
        <v>4082.3</v>
      </c>
      <c r="KU26" s="466">
        <v>4535.92</v>
      </c>
      <c r="KV26" s="466">
        <v>4535.92</v>
      </c>
      <c r="KW26" s="466">
        <v>4535.92</v>
      </c>
      <c r="KX26" s="466">
        <v>4535.92</v>
      </c>
      <c r="KY26" s="466">
        <v>4535.92</v>
      </c>
      <c r="KZ26" s="466">
        <v>4535.92</v>
      </c>
      <c r="LA26" s="466">
        <v>4535.92</v>
      </c>
      <c r="LB26" s="466">
        <v>4535.92</v>
      </c>
      <c r="LC26" s="466">
        <v>4535.92</v>
      </c>
      <c r="LD26" s="466">
        <v>4535.92</v>
      </c>
      <c r="LE26" s="466">
        <v>4535.92</v>
      </c>
      <c r="LF26" s="466">
        <v>4535.92</v>
      </c>
      <c r="LG26" s="466">
        <v>4535.92</v>
      </c>
      <c r="LH26" s="466">
        <v>4535.92</v>
      </c>
      <c r="LI26" s="466">
        <v>4672</v>
      </c>
      <c r="LJ26" s="466">
        <v>5896.7</v>
      </c>
      <c r="LK26" s="466">
        <v>5896.7</v>
      </c>
      <c r="LL26" s="466">
        <v>6123.5</v>
      </c>
      <c r="LM26" s="466">
        <v>6123.5</v>
      </c>
      <c r="LN26" s="466"/>
      <c r="LO26" s="466">
        <v>7257</v>
      </c>
      <c r="LP26" s="466"/>
      <c r="LQ26" s="466"/>
      <c r="LR26" s="466"/>
      <c r="LS26" s="466"/>
      <c r="LT26" s="734"/>
      <c r="LU26" s="611"/>
      <c r="LV26" s="588"/>
      <c r="LW26" s="611">
        <v>75976</v>
      </c>
      <c r="LX26" s="611">
        <v>78562</v>
      </c>
      <c r="LY26" s="611">
        <v>80059</v>
      </c>
      <c r="LZ26" s="611">
        <v>81193</v>
      </c>
      <c r="MA26" s="611">
        <v>78562</v>
      </c>
      <c r="MB26" s="611">
        <v>79197</v>
      </c>
      <c r="MC26" s="611">
        <v>80832</v>
      </c>
      <c r="MD26" s="588">
        <v>76840</v>
      </c>
      <c r="ME26" s="611">
        <v>78698</v>
      </c>
      <c r="MF26" s="588">
        <v>81193</v>
      </c>
      <c r="MG26" s="611">
        <v>86182</v>
      </c>
      <c r="MH26" s="588">
        <v>101606</v>
      </c>
      <c r="MI26" s="611">
        <v>86184</v>
      </c>
      <c r="MJ26" s="588">
        <v>101606</v>
      </c>
      <c r="MK26" s="611">
        <v>106142</v>
      </c>
      <c r="ML26" s="611">
        <v>88452</v>
      </c>
      <c r="MM26" s="611">
        <v>104328</v>
      </c>
      <c r="MN26" s="611">
        <v>104328</v>
      </c>
      <c r="MO26" s="611">
        <v>118390</v>
      </c>
      <c r="MP26" s="611">
        <v>101606</v>
      </c>
      <c r="MQ26" s="611">
        <v>106142</v>
      </c>
      <c r="MR26" s="611">
        <v>88452</v>
      </c>
      <c r="MS26" s="611">
        <v>104328</v>
      </c>
      <c r="MT26" s="611">
        <v>104328</v>
      </c>
      <c r="MU26" s="611">
        <v>118390</v>
      </c>
      <c r="MV26" s="436">
        <v>33566</v>
      </c>
      <c r="MW26" s="436">
        <v>33566</v>
      </c>
      <c r="MX26" s="436">
        <v>33566</v>
      </c>
      <c r="MY26" s="436">
        <v>33566</v>
      </c>
      <c r="MZ26" s="436">
        <v>33566</v>
      </c>
      <c r="NA26" s="436">
        <v>33566</v>
      </c>
      <c r="NB26" s="436">
        <v>38102</v>
      </c>
      <c r="NC26" s="436">
        <v>39462</v>
      </c>
      <c r="ND26" s="436">
        <v>39463</v>
      </c>
      <c r="NE26" s="436">
        <v>41730</v>
      </c>
      <c r="NF26" s="436">
        <v>40823</v>
      </c>
      <c r="NG26" s="436">
        <v>44578</v>
      </c>
      <c r="NH26" s="436">
        <v>44578</v>
      </c>
      <c r="NI26" s="436">
        <v>40823</v>
      </c>
      <c r="NJ26" s="436">
        <v>44679</v>
      </c>
      <c r="NK26" s="436">
        <v>53525</v>
      </c>
      <c r="NL26" s="436">
        <v>55338</v>
      </c>
      <c r="NM26" s="436">
        <v>55338</v>
      </c>
      <c r="NN26" s="436">
        <v>50802</v>
      </c>
      <c r="NO26" s="436">
        <v>151954</v>
      </c>
      <c r="NP26" s="417">
        <v>166922</v>
      </c>
      <c r="NQ26" s="436">
        <v>166922</v>
      </c>
      <c r="NR26" s="436">
        <v>177355</v>
      </c>
      <c r="NS26" s="436">
        <v>151956</v>
      </c>
      <c r="NT26" s="436">
        <v>177355</v>
      </c>
      <c r="NU26" s="436">
        <v>151954</v>
      </c>
      <c r="NV26" s="436">
        <v>278052</v>
      </c>
      <c r="NW26" s="436">
        <v>278052</v>
      </c>
      <c r="NX26" s="436">
        <v>161025</v>
      </c>
      <c r="NY26" s="436">
        <v>55338</v>
      </c>
      <c r="NZ26" s="611">
        <v>59874</v>
      </c>
      <c r="OA26" s="635"/>
      <c r="OB26" s="638">
        <v>153314.22099999999</v>
      </c>
      <c r="OC26" s="638">
        <v>145149.55799999999</v>
      </c>
      <c r="OD26" s="638">
        <v>145149.55799999999</v>
      </c>
      <c r="OE26" s="638">
        <v>153314.22099999999</v>
      </c>
      <c r="OF26" s="638"/>
      <c r="OG26" s="638"/>
      <c r="OH26" s="638"/>
      <c r="OI26" s="638"/>
      <c r="OJ26" s="638"/>
      <c r="OK26" s="638"/>
      <c r="OL26" s="638"/>
      <c r="OM26" s="638"/>
      <c r="ON26" s="635"/>
      <c r="OO26" s="638">
        <v>33890</v>
      </c>
      <c r="OP26" s="638">
        <v>33890</v>
      </c>
      <c r="OQ26" s="638">
        <v>64600</v>
      </c>
      <c r="OR26" s="638">
        <v>64600</v>
      </c>
      <c r="OS26" s="638"/>
      <c r="OT26" s="638">
        <v>31071</v>
      </c>
      <c r="OU26" s="638">
        <v>34745</v>
      </c>
      <c r="OV26" s="638">
        <v>36514</v>
      </c>
      <c r="OW26" s="638">
        <v>32432</v>
      </c>
      <c r="OX26" s="638">
        <v>35833</v>
      </c>
      <c r="OY26" s="638">
        <v>37421</v>
      </c>
      <c r="OZ26" s="638"/>
      <c r="PA26" s="638"/>
      <c r="PB26" s="638">
        <v>29256.707999999999</v>
      </c>
      <c r="PC26" s="638">
        <v>29256.707999999999</v>
      </c>
      <c r="PD26" s="638"/>
      <c r="PE26" s="638">
        <v>31071.077000000001</v>
      </c>
      <c r="PF26" s="638"/>
      <c r="PG26" s="638"/>
      <c r="PH26" s="640"/>
      <c r="PI26" s="666"/>
      <c r="PJ26" s="666"/>
      <c r="PK26" s="666">
        <v>254918</v>
      </c>
      <c r="PL26" s="420">
        <v>361000</v>
      </c>
      <c r="PM26" s="420">
        <v>361000</v>
      </c>
      <c r="PN26" s="420">
        <v>361000</v>
      </c>
      <c r="PO26" s="550">
        <v>65952</v>
      </c>
    </row>
    <row r="27" spans="1:431">
      <c r="A27" s="418" t="s">
        <v>1240</v>
      </c>
      <c r="B27" s="623" t="s">
        <v>1231</v>
      </c>
      <c r="C27" s="380" t="s">
        <v>438</v>
      </c>
      <c r="D27" s="380" t="s">
        <v>1232</v>
      </c>
      <c r="E27" s="380" t="s">
        <v>1240</v>
      </c>
      <c r="G27" s="496"/>
      <c r="H27" s="437">
        <v>127000</v>
      </c>
      <c r="I27" s="437">
        <v>127000</v>
      </c>
      <c r="J27" s="437">
        <v>127000</v>
      </c>
      <c r="K27" s="438">
        <v>131215</v>
      </c>
      <c r="L27" s="438">
        <v>131215</v>
      </c>
      <c r="M27" s="438">
        <v>131215</v>
      </c>
      <c r="N27" s="438">
        <v>175377</v>
      </c>
      <c r="O27" s="438">
        <v>175377</v>
      </c>
      <c r="P27" s="438">
        <v>181606</v>
      </c>
      <c r="Q27" s="438">
        <v>181606</v>
      </c>
      <c r="R27" s="438">
        <f>R26-54*1000</f>
        <v>141700</v>
      </c>
      <c r="S27" s="438"/>
      <c r="T27" s="438">
        <f>T26-67224.6696</f>
        <v>155775.33040000001</v>
      </c>
      <c r="U27" s="438"/>
      <c r="V27" s="438">
        <v>85910</v>
      </c>
      <c r="W27" s="438">
        <v>85910</v>
      </c>
      <c r="X27" s="438">
        <v>86275</v>
      </c>
      <c r="Y27" s="438">
        <v>86275</v>
      </c>
      <c r="Z27" s="438">
        <v>86275</v>
      </c>
      <c r="AA27" s="438"/>
      <c r="AB27" s="438">
        <v>88180</v>
      </c>
      <c r="AC27" s="438">
        <v>88180</v>
      </c>
      <c r="AD27" s="438">
        <v>88180</v>
      </c>
      <c r="AE27" s="438">
        <v>88180</v>
      </c>
      <c r="AF27" s="438">
        <v>88505</v>
      </c>
      <c r="AG27" s="438">
        <v>88505</v>
      </c>
      <c r="AH27" s="438">
        <v>86727</v>
      </c>
      <c r="AI27" s="438">
        <v>86727</v>
      </c>
      <c r="AJ27" s="438">
        <v>87100</v>
      </c>
      <c r="AK27" s="438">
        <v>90634</v>
      </c>
      <c r="AL27" s="438">
        <v>88805</v>
      </c>
      <c r="AM27" s="438">
        <v>88626</v>
      </c>
      <c r="AN27" s="438">
        <v>88505</v>
      </c>
      <c r="AO27" s="438">
        <v>87100</v>
      </c>
      <c r="AP27" s="438">
        <v>83347</v>
      </c>
      <c r="AQ27" s="438">
        <v>84000</v>
      </c>
      <c r="AR27" s="438">
        <v>82046</v>
      </c>
      <c r="AS27" s="438">
        <v>82046</v>
      </c>
      <c r="AT27" s="438">
        <v>79207</v>
      </c>
      <c r="AU27" s="438">
        <v>79207</v>
      </c>
      <c r="AV27" s="438">
        <v>79207</v>
      </c>
      <c r="AW27" s="438">
        <v>79166</v>
      </c>
      <c r="AX27" s="438">
        <v>79166</v>
      </c>
      <c r="AY27" s="438">
        <v>79207</v>
      </c>
      <c r="AZ27" s="438">
        <v>79207</v>
      </c>
      <c r="BA27" s="438">
        <v>77397</v>
      </c>
      <c r="BB27" s="438">
        <v>79166</v>
      </c>
      <c r="BC27" s="438">
        <v>79166</v>
      </c>
      <c r="BD27" s="438">
        <v>39500</v>
      </c>
      <c r="BE27" s="438">
        <v>39500</v>
      </c>
      <c r="BF27" s="438">
        <v>39500</v>
      </c>
      <c r="BG27" s="438">
        <v>39500</v>
      </c>
      <c r="BH27" s="438">
        <v>40800</v>
      </c>
      <c r="BI27" s="438">
        <v>40800</v>
      </c>
      <c r="BJ27" s="438">
        <v>40800</v>
      </c>
      <c r="BK27" s="438">
        <v>40800</v>
      </c>
      <c r="BL27" s="438">
        <v>40800</v>
      </c>
      <c r="BM27" s="438">
        <v>40800</v>
      </c>
      <c r="BN27" s="438">
        <v>40800</v>
      </c>
      <c r="BO27" s="438">
        <v>40800</v>
      </c>
      <c r="BP27" s="438">
        <v>40300</v>
      </c>
      <c r="BQ27" s="438">
        <v>40300</v>
      </c>
      <c r="BR27" s="438">
        <v>40300</v>
      </c>
      <c r="BS27" s="438">
        <v>40300</v>
      </c>
      <c r="BT27" s="438">
        <v>42600</v>
      </c>
      <c r="BU27" s="438">
        <v>42600</v>
      </c>
      <c r="BV27" s="438">
        <v>42600</v>
      </c>
      <c r="BW27" s="438">
        <v>42600</v>
      </c>
      <c r="BX27" s="438">
        <v>42600</v>
      </c>
      <c r="BY27" s="438">
        <v>42600</v>
      </c>
      <c r="BZ27" s="438">
        <v>42600</v>
      </c>
      <c r="CA27" s="438">
        <v>42600</v>
      </c>
      <c r="CB27" s="438">
        <v>42600</v>
      </c>
      <c r="CC27" s="859">
        <v>42600</v>
      </c>
      <c r="CD27" s="438">
        <v>42600</v>
      </c>
      <c r="CE27" s="438">
        <v>42600</v>
      </c>
      <c r="CF27" s="438">
        <v>42600</v>
      </c>
      <c r="CG27" s="438">
        <v>42600</v>
      </c>
      <c r="CH27" s="438">
        <v>48500</v>
      </c>
      <c r="CI27" s="438">
        <v>48500</v>
      </c>
      <c r="CJ27" s="438">
        <v>48500</v>
      </c>
      <c r="CK27" s="438">
        <v>48500</v>
      </c>
      <c r="CL27" s="438">
        <v>48500</v>
      </c>
      <c r="CM27" s="438">
        <v>48500</v>
      </c>
      <c r="CN27" s="438">
        <v>48500</v>
      </c>
      <c r="CO27" s="438">
        <v>48500</v>
      </c>
      <c r="CP27" s="438">
        <v>46856</v>
      </c>
      <c r="CQ27" s="438">
        <v>46856</v>
      </c>
      <c r="CR27" s="438">
        <v>46856</v>
      </c>
      <c r="CS27" s="438">
        <v>46856</v>
      </c>
      <c r="CT27" s="438">
        <v>46856</v>
      </c>
      <c r="CU27" s="438">
        <v>46856</v>
      </c>
      <c r="CV27" s="438">
        <v>46856</v>
      </c>
      <c r="CW27" s="438">
        <v>46856</v>
      </c>
      <c r="CX27" s="438">
        <v>46856</v>
      </c>
      <c r="CY27" s="438">
        <v>46856</v>
      </c>
      <c r="CZ27" s="438">
        <v>125206</v>
      </c>
      <c r="DA27" s="438">
        <v>125206</v>
      </c>
      <c r="DB27" s="438">
        <v>125206</v>
      </c>
      <c r="DC27" s="438">
        <v>125206</v>
      </c>
      <c r="DD27" s="438">
        <v>125206</v>
      </c>
      <c r="DE27" s="438">
        <v>109000</v>
      </c>
      <c r="DF27" s="438">
        <v>109000</v>
      </c>
      <c r="DG27" s="438">
        <f t="shared" ref="DG27:DO27" si="0">175000-45.36*1000</f>
        <v>129640</v>
      </c>
      <c r="DH27" s="438">
        <f t="shared" si="0"/>
        <v>129640</v>
      </c>
      <c r="DI27" s="438">
        <f t="shared" si="0"/>
        <v>129640</v>
      </c>
      <c r="DJ27" s="438">
        <f t="shared" si="0"/>
        <v>129640</v>
      </c>
      <c r="DK27" s="438">
        <f t="shared" si="0"/>
        <v>129640</v>
      </c>
      <c r="DL27" s="438">
        <f t="shared" si="0"/>
        <v>129640</v>
      </c>
      <c r="DM27" s="438">
        <f t="shared" si="0"/>
        <v>129640</v>
      </c>
      <c r="DN27" s="438">
        <f t="shared" si="0"/>
        <v>129640</v>
      </c>
      <c r="DO27" s="438">
        <f t="shared" si="0"/>
        <v>129640</v>
      </c>
      <c r="DP27" s="438"/>
      <c r="DQ27" s="438">
        <v>130499</v>
      </c>
      <c r="DR27" s="438">
        <v>135093</v>
      </c>
      <c r="DS27" s="501"/>
      <c r="DT27" s="439">
        <v>57600</v>
      </c>
      <c r="DU27" s="440">
        <v>64600</v>
      </c>
      <c r="DV27" s="440">
        <v>64700</v>
      </c>
      <c r="DW27" s="440">
        <v>70500</v>
      </c>
      <c r="DX27" s="440">
        <v>67300</v>
      </c>
      <c r="DY27" s="440">
        <v>61500</v>
      </c>
      <c r="DZ27" s="597"/>
      <c r="EA27" s="440">
        <v>30617</v>
      </c>
      <c r="EB27" s="440">
        <v>31701</v>
      </c>
      <c r="EC27" s="597"/>
      <c r="ED27" s="440">
        <v>39800</v>
      </c>
      <c r="EE27" s="440">
        <v>39800</v>
      </c>
      <c r="EF27" s="440">
        <v>41400</v>
      </c>
      <c r="EG27" s="440">
        <v>41400</v>
      </c>
      <c r="EH27" s="440">
        <v>44330</v>
      </c>
      <c r="EI27" s="440">
        <v>44310</v>
      </c>
      <c r="EJ27" s="440">
        <v>44390</v>
      </c>
      <c r="EK27" s="440">
        <v>44510</v>
      </c>
      <c r="EL27" s="597"/>
      <c r="EM27" s="440">
        <v>26581</v>
      </c>
      <c r="EN27" s="579">
        <v>27624</v>
      </c>
      <c r="EO27" s="579">
        <v>27714</v>
      </c>
      <c r="EP27" s="579">
        <v>31479</v>
      </c>
      <c r="EQ27" s="579">
        <v>33189</v>
      </c>
      <c r="ER27" s="579">
        <v>31311</v>
      </c>
      <c r="ES27" s="579">
        <v>36378</v>
      </c>
      <c r="ET27" s="579">
        <v>37648</v>
      </c>
      <c r="EU27" s="579">
        <v>37648</v>
      </c>
      <c r="EV27" s="579">
        <v>37648</v>
      </c>
      <c r="EW27" s="579">
        <v>41413</v>
      </c>
      <c r="EX27" s="579">
        <v>41413</v>
      </c>
      <c r="EY27" s="579">
        <v>42901</v>
      </c>
      <c r="EZ27" s="440">
        <v>42901</v>
      </c>
      <c r="FA27" s="440">
        <v>44677</v>
      </c>
      <c r="FB27" s="440">
        <v>41887</v>
      </c>
      <c r="FC27" s="440">
        <v>45000</v>
      </c>
      <c r="FD27" s="422">
        <v>47000</v>
      </c>
      <c r="FE27" s="597"/>
      <c r="FF27" s="440">
        <v>162500</v>
      </c>
      <c r="FG27" s="440">
        <v>171840</v>
      </c>
      <c r="FH27" s="440">
        <v>164510</v>
      </c>
      <c r="FI27" s="440">
        <v>162890</v>
      </c>
      <c r="FJ27" s="440">
        <v>172860</v>
      </c>
      <c r="FK27" s="440">
        <v>172570</v>
      </c>
      <c r="FL27" s="440">
        <v>173160</v>
      </c>
      <c r="FM27" s="440">
        <v>175970</v>
      </c>
      <c r="FN27" s="440">
        <v>170600</v>
      </c>
      <c r="FO27" s="440">
        <v>175550</v>
      </c>
      <c r="FP27" s="440">
        <v>175770</v>
      </c>
      <c r="FQ27" s="440">
        <v>175020</v>
      </c>
      <c r="FR27" s="440">
        <v>177600</v>
      </c>
      <c r="FS27" s="440">
        <v>170580</v>
      </c>
      <c r="FT27" s="440">
        <v>177200</v>
      </c>
      <c r="FU27" s="440">
        <v>164030</v>
      </c>
      <c r="FV27" s="440">
        <v>166720</v>
      </c>
      <c r="FW27" s="440">
        <v>178640</v>
      </c>
      <c r="FX27" s="440">
        <v>155180</v>
      </c>
      <c r="FY27" s="440">
        <v>155180</v>
      </c>
      <c r="FZ27" s="440">
        <v>159600</v>
      </c>
      <c r="GA27" s="440">
        <v>157880</v>
      </c>
      <c r="GB27" s="440">
        <v>156610</v>
      </c>
      <c r="GC27" s="440">
        <v>177010</v>
      </c>
      <c r="GD27" s="440">
        <v>174260</v>
      </c>
      <c r="GE27" s="440">
        <v>173030</v>
      </c>
      <c r="GF27" s="440">
        <v>166300</v>
      </c>
      <c r="GG27" s="440">
        <v>164640</v>
      </c>
      <c r="GH27" s="440">
        <v>147690</v>
      </c>
      <c r="GI27" s="440">
        <v>152780</v>
      </c>
      <c r="GJ27" s="440">
        <v>150260</v>
      </c>
      <c r="GK27" s="440">
        <v>147970</v>
      </c>
      <c r="GL27" s="440">
        <v>178756</v>
      </c>
      <c r="GM27" s="440">
        <v>179015</v>
      </c>
      <c r="GN27" s="440">
        <v>179752</v>
      </c>
      <c r="GO27" s="440">
        <v>184661</v>
      </c>
      <c r="GP27" s="440">
        <v>184830</v>
      </c>
      <c r="GQ27" s="440">
        <v>186020</v>
      </c>
      <c r="GR27" s="440">
        <v>165087</v>
      </c>
      <c r="GS27" s="440">
        <v>165346</v>
      </c>
      <c r="GT27" s="579">
        <v>164520</v>
      </c>
      <c r="GU27" s="440">
        <v>184567</v>
      </c>
      <c r="GV27" s="440">
        <v>184567</v>
      </c>
      <c r="GW27" s="440">
        <v>184567</v>
      </c>
      <c r="GX27" s="440">
        <v>164382</v>
      </c>
      <c r="GY27" s="440">
        <v>164382</v>
      </c>
      <c r="GZ27" s="440">
        <v>164382</v>
      </c>
      <c r="HA27" s="440">
        <v>181723</v>
      </c>
      <c r="HB27" s="440">
        <v>220128</v>
      </c>
      <c r="HC27" s="440">
        <v>197131</v>
      </c>
      <c r="HD27" s="597"/>
      <c r="HE27" s="440">
        <v>60800</v>
      </c>
      <c r="HF27" s="440">
        <v>58250</v>
      </c>
      <c r="HG27" s="440">
        <v>51700</v>
      </c>
      <c r="HH27" s="440">
        <v>64330</v>
      </c>
      <c r="HI27" s="440">
        <v>64580</v>
      </c>
      <c r="HJ27" s="597"/>
      <c r="HK27" s="440">
        <v>78975</v>
      </c>
      <c r="HL27" s="440">
        <v>80127</v>
      </c>
      <c r="HM27" s="422">
        <v>82159</v>
      </c>
      <c r="HN27" s="440">
        <v>82377</v>
      </c>
      <c r="HO27" s="440">
        <v>84541</v>
      </c>
      <c r="HP27" s="440">
        <v>87924</v>
      </c>
      <c r="HQ27" s="440">
        <v>90011</v>
      </c>
      <c r="HR27" s="440">
        <v>85275</v>
      </c>
      <c r="HS27" s="440">
        <v>85321</v>
      </c>
      <c r="HT27" s="440">
        <v>86183</v>
      </c>
      <c r="HU27" s="440">
        <v>103147</v>
      </c>
      <c r="HV27" s="440">
        <v>103872</v>
      </c>
      <c r="HW27" s="597"/>
      <c r="HX27" s="440">
        <v>135550</v>
      </c>
      <c r="HY27" s="440">
        <v>138100</v>
      </c>
      <c r="HZ27" s="440">
        <v>134800</v>
      </c>
      <c r="IA27" s="440">
        <v>137050</v>
      </c>
      <c r="IB27" s="440">
        <v>133350</v>
      </c>
      <c r="IC27" s="440">
        <v>135600</v>
      </c>
      <c r="ID27" s="440">
        <v>160530</v>
      </c>
      <c r="IE27" s="440">
        <v>159570</v>
      </c>
      <c r="IF27" s="440">
        <v>157800</v>
      </c>
      <c r="IG27" s="440">
        <v>145150</v>
      </c>
      <c r="IH27" s="440">
        <v>167829</v>
      </c>
      <c r="II27" s="440">
        <v>144379</v>
      </c>
      <c r="IJ27" s="597"/>
      <c r="IK27" s="440">
        <v>118000</v>
      </c>
      <c r="IL27" s="440">
        <v>126000</v>
      </c>
      <c r="IM27" s="440">
        <v>135000</v>
      </c>
      <c r="IN27" s="441"/>
      <c r="IO27" s="442">
        <v>13835</v>
      </c>
      <c r="IP27" s="618">
        <v>13835</v>
      </c>
      <c r="IQ27" s="443">
        <v>13835</v>
      </c>
      <c r="IR27" s="714">
        <v>13835</v>
      </c>
      <c r="IS27" s="443">
        <v>13835</v>
      </c>
      <c r="IT27" s="443">
        <v>13835</v>
      </c>
      <c r="IU27" s="443"/>
      <c r="IV27" s="443"/>
      <c r="IW27" s="443">
        <f xml:space="preserve"> IW26 - 8527.5366</f>
        <v>19731.268400000001</v>
      </c>
      <c r="IX27" s="443"/>
      <c r="IY27" s="443">
        <f>IY26-9979.0321</f>
        <v>21772.4339</v>
      </c>
      <c r="IZ27" s="443">
        <f>IZ26-9979.0321</f>
        <v>21772.4339</v>
      </c>
      <c r="JA27" s="443">
        <f>JA26-11987.539</f>
        <v>23165.87</v>
      </c>
      <c r="JB27" s="443"/>
      <c r="JC27" s="443"/>
      <c r="JD27" s="443"/>
      <c r="JE27" s="443"/>
      <c r="JF27" s="443"/>
      <c r="JG27" s="443"/>
      <c r="JH27" s="443"/>
      <c r="JI27" s="443"/>
      <c r="JJ27" s="444"/>
      <c r="JK27" s="445"/>
      <c r="JL27" s="446"/>
      <c r="JM27" s="446">
        <v>20700</v>
      </c>
      <c r="JN27" s="446">
        <v>20700</v>
      </c>
      <c r="JO27" s="446">
        <v>21500</v>
      </c>
      <c r="JP27" s="446">
        <v>21500</v>
      </c>
      <c r="JQ27" s="446"/>
      <c r="JR27" s="446">
        <v>27900</v>
      </c>
      <c r="JS27" s="446">
        <v>27900</v>
      </c>
      <c r="JT27" s="446"/>
      <c r="JU27" s="446">
        <v>27900</v>
      </c>
      <c r="JV27" s="446">
        <v>28700</v>
      </c>
      <c r="JW27" s="446">
        <v>28700</v>
      </c>
      <c r="JX27" s="446">
        <v>28700</v>
      </c>
      <c r="JY27" s="446">
        <v>11402</v>
      </c>
      <c r="JZ27" s="446">
        <v>11501</v>
      </c>
      <c r="KA27" s="446">
        <v>14030</v>
      </c>
      <c r="KB27" s="446">
        <v>11947</v>
      </c>
      <c r="KC27" s="446">
        <v>11947</v>
      </c>
      <c r="KD27" s="446">
        <v>11947</v>
      </c>
      <c r="KE27" s="446">
        <v>11947</v>
      </c>
      <c r="KF27" s="446">
        <v>12114</v>
      </c>
      <c r="KG27" s="446">
        <v>12114</v>
      </c>
      <c r="KH27" s="446">
        <v>12038</v>
      </c>
      <c r="KI27" s="446">
        <v>12038</v>
      </c>
      <c r="KJ27" s="429"/>
      <c r="KK27" s="447"/>
      <c r="KL27" s="548"/>
      <c r="KM27" s="448"/>
      <c r="KN27" s="448"/>
      <c r="KO27" s="448"/>
      <c r="KP27" s="448"/>
      <c r="KQ27" s="467"/>
      <c r="KR27" s="468"/>
      <c r="KS27" s="469"/>
      <c r="KT27" s="470"/>
      <c r="KU27" s="470"/>
      <c r="KV27" s="470"/>
      <c r="KW27" s="470"/>
      <c r="KX27" s="470"/>
      <c r="KY27" s="470"/>
      <c r="KZ27" s="470"/>
      <c r="LA27" s="470"/>
      <c r="LB27" s="470"/>
      <c r="LC27" s="470"/>
      <c r="LD27" s="470"/>
      <c r="LE27" s="470"/>
      <c r="LF27" s="470"/>
      <c r="LG27" s="470"/>
      <c r="LH27" s="470"/>
      <c r="LI27" s="470"/>
      <c r="LJ27" s="470"/>
      <c r="LK27" s="470"/>
      <c r="LL27" s="470"/>
      <c r="LM27" s="470"/>
      <c r="LN27" s="470"/>
      <c r="LO27" s="470"/>
      <c r="LP27" s="470"/>
      <c r="LQ27" s="470"/>
      <c r="LR27" s="470"/>
      <c r="LS27" s="470"/>
      <c r="LT27" s="734"/>
      <c r="LU27" s="611"/>
      <c r="LV27" s="589"/>
      <c r="LW27" s="612"/>
      <c r="LX27" s="612"/>
      <c r="LY27" s="612"/>
      <c r="LZ27" s="612"/>
      <c r="MA27" s="612"/>
      <c r="MB27" s="612"/>
      <c r="MC27" s="612">
        <v>61920</v>
      </c>
      <c r="MD27" s="589"/>
      <c r="ME27" s="612"/>
      <c r="MF27" s="589"/>
      <c r="MG27" s="612"/>
      <c r="MH27" s="589">
        <v>59526</v>
      </c>
      <c r="MI27" s="612">
        <v>62717</v>
      </c>
      <c r="MJ27" s="589">
        <v>68993</v>
      </c>
      <c r="MK27" s="612">
        <v>66002</v>
      </c>
      <c r="ML27" s="612">
        <v>64980</v>
      </c>
      <c r="MM27" s="612">
        <v>62851</v>
      </c>
      <c r="MN27" s="612">
        <v>72004</v>
      </c>
      <c r="MO27" s="612">
        <v>64107</v>
      </c>
      <c r="MP27" s="612">
        <v>74254</v>
      </c>
      <c r="MQ27" s="612">
        <v>69265</v>
      </c>
      <c r="MR27" s="612">
        <v>69492</v>
      </c>
      <c r="MS27" s="612">
        <v>63595</v>
      </c>
      <c r="MT27" s="612">
        <v>75388</v>
      </c>
      <c r="MU27" s="612">
        <v>67677</v>
      </c>
      <c r="MV27" s="450">
        <v>22300</v>
      </c>
      <c r="MW27" s="450">
        <v>22300</v>
      </c>
      <c r="MX27" s="450">
        <v>22300</v>
      </c>
      <c r="MY27" s="450">
        <v>22300</v>
      </c>
      <c r="MZ27" s="450">
        <v>22300</v>
      </c>
      <c r="NA27" s="450">
        <v>24131</v>
      </c>
      <c r="NB27" s="450">
        <v>23879</v>
      </c>
      <c r="NC27" s="450"/>
      <c r="ND27" s="450">
        <v>25789</v>
      </c>
      <c r="NE27" s="450"/>
      <c r="NF27" s="450">
        <v>25596</v>
      </c>
      <c r="NG27" s="450"/>
      <c r="NH27" s="450"/>
      <c r="NI27" s="450">
        <v>25596</v>
      </c>
      <c r="NJ27" s="450">
        <v>29336</v>
      </c>
      <c r="NK27" s="450">
        <v>35330</v>
      </c>
      <c r="NL27" s="450">
        <v>35369</v>
      </c>
      <c r="NM27" s="450">
        <v>36145</v>
      </c>
      <c r="NN27" s="450">
        <v>33237</v>
      </c>
      <c r="NO27" s="450">
        <v>108940</v>
      </c>
      <c r="NP27" s="450">
        <v>122567</v>
      </c>
      <c r="NQ27" s="450">
        <v>120742</v>
      </c>
      <c r="NR27" s="450">
        <v>121904</v>
      </c>
      <c r="NS27" s="450">
        <v>110563</v>
      </c>
      <c r="NT27" s="450">
        <v>123728</v>
      </c>
      <c r="NU27" s="450">
        <v>108940</v>
      </c>
      <c r="NV27" s="450">
        <v>128808</v>
      </c>
      <c r="NW27" s="450">
        <v>128808</v>
      </c>
      <c r="NX27" s="450">
        <v>97976</v>
      </c>
      <c r="NY27" s="450">
        <v>35369</v>
      </c>
      <c r="NZ27" s="611"/>
      <c r="OA27" s="635"/>
      <c r="OB27" s="638"/>
      <c r="OC27" s="638"/>
      <c r="OD27" s="638"/>
      <c r="OE27" s="638"/>
      <c r="OF27" s="638"/>
      <c r="OG27" s="638"/>
      <c r="OH27" s="638"/>
      <c r="OI27" s="638"/>
      <c r="OJ27" s="638"/>
      <c r="OK27" s="638"/>
      <c r="OL27" s="638"/>
      <c r="OM27" s="638"/>
      <c r="ON27" s="635"/>
      <c r="OO27" s="638">
        <v>24955</v>
      </c>
      <c r="OP27" s="638">
        <v>24955</v>
      </c>
      <c r="OQ27" s="638">
        <v>45700</v>
      </c>
      <c r="OR27" s="638">
        <v>45700</v>
      </c>
      <c r="OS27" s="638"/>
      <c r="OT27" s="638"/>
      <c r="OU27" s="638"/>
      <c r="OV27" s="638"/>
      <c r="OW27" s="638"/>
      <c r="OX27" s="638"/>
      <c r="OY27" s="638"/>
      <c r="OZ27" s="638"/>
      <c r="PA27" s="638"/>
      <c r="PB27" s="638"/>
      <c r="PC27" s="638"/>
      <c r="PD27" s="638"/>
      <c r="PE27" s="638"/>
      <c r="PF27" s="638"/>
      <c r="PG27" s="638"/>
      <c r="PH27" s="640"/>
      <c r="PI27" s="666"/>
      <c r="PJ27" s="666"/>
      <c r="PK27" s="666"/>
      <c r="PL27" s="420">
        <f>PL26-84000</f>
        <v>277000</v>
      </c>
      <c r="PM27" s="420">
        <f>PM26-84000</f>
        <v>277000</v>
      </c>
      <c r="PN27" s="420">
        <f>PN26-84000</f>
        <v>277000</v>
      </c>
      <c r="PO27" s="550">
        <v>45000</v>
      </c>
    </row>
    <row r="28" spans="1:431">
      <c r="A28" s="418" t="s">
        <v>1241</v>
      </c>
      <c r="B28" s="623" t="s">
        <v>1231</v>
      </c>
      <c r="C28" s="380" t="s">
        <v>438</v>
      </c>
      <c r="D28" s="380" t="s">
        <v>1232</v>
      </c>
      <c r="E28" s="380" t="s">
        <v>1241</v>
      </c>
      <c r="G28" s="496"/>
      <c r="H28" s="437"/>
      <c r="I28" s="437"/>
      <c r="J28" s="437"/>
      <c r="K28" s="438"/>
      <c r="L28" s="438"/>
      <c r="M28" s="438"/>
      <c r="N28" s="438"/>
      <c r="O28" s="438"/>
      <c r="P28" s="438"/>
      <c r="Q28" s="438"/>
      <c r="R28" s="438"/>
      <c r="S28" s="438"/>
      <c r="T28" s="438"/>
      <c r="U28" s="438">
        <v>34000</v>
      </c>
      <c r="V28" s="438">
        <v>34000</v>
      </c>
      <c r="W28" s="438">
        <v>34000</v>
      </c>
      <c r="X28" s="438">
        <v>34000</v>
      </c>
      <c r="Y28" s="438">
        <v>34000</v>
      </c>
      <c r="Z28" s="438">
        <v>34000</v>
      </c>
      <c r="AA28" s="438"/>
      <c r="AB28" s="438">
        <v>45000</v>
      </c>
      <c r="AC28" s="438">
        <v>45000</v>
      </c>
      <c r="AD28" s="438">
        <v>45000</v>
      </c>
      <c r="AE28" s="438">
        <v>45000</v>
      </c>
      <c r="AF28" s="438">
        <v>45000</v>
      </c>
      <c r="AG28" s="438">
        <v>45000</v>
      </c>
      <c r="AH28" s="438">
        <v>48670</v>
      </c>
      <c r="AI28" s="438">
        <v>48670</v>
      </c>
      <c r="AJ28" s="438">
        <v>48670</v>
      </c>
      <c r="AK28" s="438">
        <v>48670</v>
      </c>
      <c r="AL28" s="438">
        <v>53505</v>
      </c>
      <c r="AM28" s="438">
        <v>53505</v>
      </c>
      <c r="AN28" s="438">
        <v>45000</v>
      </c>
      <c r="AO28" s="438">
        <v>48670</v>
      </c>
      <c r="AP28" s="438">
        <v>48670</v>
      </c>
      <c r="AQ28" s="438">
        <v>45000</v>
      </c>
      <c r="AR28" s="438">
        <v>53505</v>
      </c>
      <c r="AS28" s="438">
        <v>53505</v>
      </c>
      <c r="AT28" s="438">
        <v>44080</v>
      </c>
      <c r="AU28" s="438">
        <v>44080</v>
      </c>
      <c r="AV28" s="438">
        <v>43968</v>
      </c>
      <c r="AW28" s="438">
        <v>44080</v>
      </c>
      <c r="AX28" s="438">
        <v>44080</v>
      </c>
      <c r="AY28" s="438">
        <v>48872</v>
      </c>
      <c r="AZ28" s="438">
        <v>48872</v>
      </c>
      <c r="BA28" s="438">
        <v>48872</v>
      </c>
      <c r="BB28" s="438">
        <v>48872</v>
      </c>
      <c r="BC28" s="438">
        <v>48872</v>
      </c>
      <c r="BD28" s="438">
        <v>19087</v>
      </c>
      <c r="BE28" s="438">
        <v>19087</v>
      </c>
      <c r="BF28" s="438">
        <v>19087</v>
      </c>
      <c r="BG28" s="438">
        <v>19087</v>
      </c>
      <c r="BH28" s="438">
        <v>19087</v>
      </c>
      <c r="BI28" s="438">
        <v>19087</v>
      </c>
      <c r="BJ28" s="438">
        <v>19087</v>
      </c>
      <c r="BK28" s="438">
        <v>19087</v>
      </c>
      <c r="BL28" s="438">
        <v>19087</v>
      </c>
      <c r="BM28" s="438">
        <v>19087</v>
      </c>
      <c r="BN28" s="438">
        <v>19087</v>
      </c>
      <c r="BO28" s="438">
        <v>19087</v>
      </c>
      <c r="BP28" s="438">
        <v>19050.900000000001</v>
      </c>
      <c r="BQ28" s="438">
        <v>19050.900000000001</v>
      </c>
      <c r="BR28" s="438">
        <v>19050.900000000001</v>
      </c>
      <c r="BS28" s="438">
        <v>23312.5</v>
      </c>
      <c r="BT28" s="438">
        <v>19087</v>
      </c>
      <c r="BU28" s="438">
        <v>19087</v>
      </c>
      <c r="BV28" s="438">
        <v>19087</v>
      </c>
      <c r="BW28" s="438">
        <v>19087</v>
      </c>
      <c r="BX28" s="438">
        <v>19087</v>
      </c>
      <c r="BY28" s="438">
        <v>19087</v>
      </c>
      <c r="BZ28" s="438">
        <v>19087</v>
      </c>
      <c r="CA28" s="438">
        <v>19087</v>
      </c>
      <c r="CB28" s="438">
        <v>19050.900000000001</v>
      </c>
      <c r="CC28" s="859">
        <v>19050.900000000001</v>
      </c>
      <c r="CD28" s="438">
        <v>19050.900000000001</v>
      </c>
      <c r="CE28" s="438">
        <v>19050.900000000001</v>
      </c>
      <c r="CF28" s="438">
        <v>19050.900000000001</v>
      </c>
      <c r="CG28" s="438">
        <v>19050.900000000001</v>
      </c>
      <c r="CH28" s="438">
        <v>18960</v>
      </c>
      <c r="CI28" s="438">
        <v>18960</v>
      </c>
      <c r="CJ28" s="438">
        <v>18960</v>
      </c>
      <c r="CK28" s="438">
        <v>18960</v>
      </c>
      <c r="CL28" s="438">
        <v>18960</v>
      </c>
      <c r="CM28" s="438">
        <v>18960</v>
      </c>
      <c r="CN28" s="438">
        <v>18960</v>
      </c>
      <c r="CO28" s="438">
        <v>18960</v>
      </c>
      <c r="CP28" s="438">
        <v>18510</v>
      </c>
      <c r="CQ28" s="438">
        <v>18510</v>
      </c>
      <c r="CR28" s="438">
        <v>18510</v>
      </c>
      <c r="CS28" s="438">
        <v>18510</v>
      </c>
      <c r="CT28" s="438">
        <v>18510</v>
      </c>
      <c r="CU28" s="438">
        <v>18510</v>
      </c>
      <c r="CV28" s="438">
        <v>18510</v>
      </c>
      <c r="CW28" s="438">
        <v>18510</v>
      </c>
      <c r="CX28" s="438">
        <v>18510</v>
      </c>
      <c r="CY28" s="438">
        <v>18510</v>
      </c>
      <c r="CZ28" s="438"/>
      <c r="DA28" s="438"/>
      <c r="DB28" s="438"/>
      <c r="DC28" s="438"/>
      <c r="DD28" s="438"/>
      <c r="DE28" s="438"/>
      <c r="DF28" s="438"/>
      <c r="DG28" s="438"/>
      <c r="DH28" s="438"/>
      <c r="DI28" s="438"/>
      <c r="DJ28" s="438"/>
      <c r="DK28" s="438"/>
      <c r="DL28" s="438"/>
      <c r="DM28" s="438"/>
      <c r="DN28" s="438"/>
      <c r="DO28" s="438"/>
      <c r="DP28" s="438"/>
      <c r="DQ28" s="438"/>
      <c r="DR28" s="438"/>
      <c r="DS28" s="501"/>
      <c r="DT28" s="439">
        <f t="shared" ref="DT28:DX28" si="1">DT24-DT26</f>
        <v>39800</v>
      </c>
      <c r="DU28" s="439">
        <f t="shared" si="1"/>
        <v>55400</v>
      </c>
      <c r="DV28" s="439">
        <f t="shared" si="1"/>
        <v>62200</v>
      </c>
      <c r="DW28" s="439">
        <f t="shared" si="1"/>
        <v>47100</v>
      </c>
      <c r="DX28" s="439">
        <f t="shared" si="1"/>
        <v>47100</v>
      </c>
      <c r="DY28" s="439">
        <f>DY24-DY26</f>
        <v>47100</v>
      </c>
      <c r="DZ28" s="597"/>
      <c r="EA28" s="440">
        <v>11163</v>
      </c>
      <c r="EB28" s="440">
        <v>13382</v>
      </c>
      <c r="EC28" s="597"/>
      <c r="ED28" s="440">
        <v>23360</v>
      </c>
      <c r="EE28" s="440">
        <v>23360</v>
      </c>
      <c r="EF28" s="440">
        <v>23360</v>
      </c>
      <c r="EG28" s="440">
        <v>23360</v>
      </c>
      <c r="EH28" s="440">
        <v>24600</v>
      </c>
      <c r="EI28" s="440">
        <v>24600</v>
      </c>
      <c r="EJ28" s="440">
        <v>24600</v>
      </c>
      <c r="EK28" s="440">
        <v>24500</v>
      </c>
      <c r="EL28" s="597"/>
      <c r="EM28" s="579">
        <v>10758</v>
      </c>
      <c r="EN28" s="579">
        <v>10515</v>
      </c>
      <c r="EO28" s="579">
        <v>12764</v>
      </c>
      <c r="EP28" s="579">
        <v>16141</v>
      </c>
      <c r="EQ28" s="579">
        <v>16141</v>
      </c>
      <c r="ER28" s="579">
        <v>16141</v>
      </c>
      <c r="ES28" s="579">
        <v>20894</v>
      </c>
      <c r="ET28" s="579">
        <v>20894</v>
      </c>
      <c r="EU28" s="579">
        <v>20894</v>
      </c>
      <c r="EV28" s="579">
        <v>20894</v>
      </c>
      <c r="EW28" s="579">
        <v>20894</v>
      </c>
      <c r="EX28" s="579">
        <v>20894</v>
      </c>
      <c r="EY28" s="579">
        <v>20894</v>
      </c>
      <c r="EZ28" s="440">
        <v>20894</v>
      </c>
      <c r="FA28" s="440">
        <v>23817</v>
      </c>
      <c r="FB28" s="440">
        <v>25460</v>
      </c>
      <c r="FC28" s="440">
        <v>20730</v>
      </c>
      <c r="FD28" s="422">
        <v>20730</v>
      </c>
      <c r="FE28" s="597"/>
      <c r="FF28" s="440">
        <v>143475</v>
      </c>
      <c r="FG28" s="440">
        <v>146085</v>
      </c>
      <c r="FH28" s="440">
        <v>147215</v>
      </c>
      <c r="FI28" s="440">
        <v>147215</v>
      </c>
      <c r="FJ28" s="440">
        <v>159250</v>
      </c>
      <c r="FK28" s="440">
        <v>159250</v>
      </c>
      <c r="FL28" s="440">
        <v>158110</v>
      </c>
      <c r="FM28" s="440">
        <v>159250</v>
      </c>
      <c r="FN28" s="440">
        <v>159250</v>
      </c>
      <c r="FO28" s="440">
        <v>159250</v>
      </c>
      <c r="FP28" s="440">
        <v>159250</v>
      </c>
      <c r="FQ28" s="440">
        <v>158110</v>
      </c>
      <c r="FR28" s="440">
        <v>159250</v>
      </c>
      <c r="FS28" s="440">
        <v>159250</v>
      </c>
      <c r="FT28" s="440">
        <v>159250</v>
      </c>
      <c r="FU28" s="440">
        <v>159250</v>
      </c>
      <c r="FV28" s="440">
        <v>158110</v>
      </c>
      <c r="FW28" s="440">
        <v>159250</v>
      </c>
      <c r="FX28" s="440">
        <v>159250</v>
      </c>
      <c r="FY28" s="440">
        <v>159250</v>
      </c>
      <c r="FZ28" s="440">
        <v>159250</v>
      </c>
      <c r="GA28" s="440">
        <v>158110</v>
      </c>
      <c r="GB28" s="440">
        <v>159250</v>
      </c>
      <c r="GC28" s="440">
        <v>148300</v>
      </c>
      <c r="GD28" s="440">
        <v>147160</v>
      </c>
      <c r="GE28" s="440">
        <v>148300</v>
      </c>
      <c r="GF28" s="440">
        <v>147160</v>
      </c>
      <c r="GG28" s="440">
        <v>148300</v>
      </c>
      <c r="GH28" s="440">
        <v>148130</v>
      </c>
      <c r="GI28" s="440">
        <v>153020</v>
      </c>
      <c r="GJ28" s="440">
        <v>151870</v>
      </c>
      <c r="GK28" s="440">
        <v>148130</v>
      </c>
      <c r="GL28" s="440">
        <v>163396</v>
      </c>
      <c r="GM28" s="440">
        <v>164064</v>
      </c>
      <c r="GN28" s="440">
        <v>164064</v>
      </c>
      <c r="GO28" s="440">
        <v>163396</v>
      </c>
      <c r="GP28" s="440">
        <v>164064</v>
      </c>
      <c r="GQ28" s="440">
        <v>164064</v>
      </c>
      <c r="GR28" s="440">
        <v>173425</v>
      </c>
      <c r="GS28" s="440">
        <v>164064</v>
      </c>
      <c r="GT28" s="440">
        <v>164064</v>
      </c>
      <c r="GU28" s="440">
        <v>192191</v>
      </c>
      <c r="GV28" s="440">
        <v>192860</v>
      </c>
      <c r="GW28" s="440">
        <v>192860</v>
      </c>
      <c r="GX28" s="440">
        <v>163396</v>
      </c>
      <c r="GY28" s="440">
        <v>164064</v>
      </c>
      <c r="GZ28" s="440">
        <v>164064</v>
      </c>
      <c r="HA28" s="440">
        <v>163396</v>
      </c>
      <c r="HB28" s="440">
        <v>193280</v>
      </c>
      <c r="HC28" s="440">
        <v>181536</v>
      </c>
      <c r="HD28" s="597"/>
      <c r="HE28" s="440">
        <v>34260</v>
      </c>
      <c r="HF28" s="440">
        <v>34260</v>
      </c>
      <c r="HG28" s="440">
        <v>34260</v>
      </c>
      <c r="HH28" s="440">
        <v>34930</v>
      </c>
      <c r="HI28" s="440">
        <v>34930</v>
      </c>
      <c r="HJ28" s="597"/>
      <c r="HK28" s="440">
        <v>36894</v>
      </c>
      <c r="HL28" s="440">
        <v>50753</v>
      </c>
      <c r="HM28" s="440">
        <v>50752</v>
      </c>
      <c r="HN28" s="440">
        <v>73363</v>
      </c>
      <c r="HO28" s="440">
        <v>50753</v>
      </c>
      <c r="HP28" s="440">
        <v>73364</v>
      </c>
      <c r="HQ28" s="440">
        <v>73364</v>
      </c>
      <c r="HR28" s="440">
        <v>73364</v>
      </c>
      <c r="HS28" s="440">
        <v>73364</v>
      </c>
      <c r="HT28" s="440">
        <v>73364</v>
      </c>
      <c r="HU28" s="440">
        <v>73363</v>
      </c>
      <c r="HV28" s="440">
        <v>73363</v>
      </c>
      <c r="HW28" s="597"/>
      <c r="HX28" s="440">
        <v>94240</v>
      </c>
      <c r="HY28" s="440">
        <v>137460</v>
      </c>
      <c r="HZ28" s="440">
        <v>117300</v>
      </c>
      <c r="IA28" s="440">
        <v>137460</v>
      </c>
      <c r="IB28" s="440">
        <v>94240</v>
      </c>
      <c r="IC28" s="440">
        <v>137460</v>
      </c>
      <c r="ID28" s="440">
        <v>135880</v>
      </c>
      <c r="IE28" s="440">
        <v>135880</v>
      </c>
      <c r="IF28" s="440">
        <v>135880</v>
      </c>
      <c r="IG28" s="440">
        <v>145538</v>
      </c>
      <c r="IH28" s="440">
        <v>145538</v>
      </c>
      <c r="II28" s="440">
        <v>145538</v>
      </c>
      <c r="IJ28" s="597"/>
      <c r="IK28" s="440">
        <v>101343</v>
      </c>
      <c r="IL28" s="440">
        <v>101522</v>
      </c>
      <c r="IM28" s="440">
        <v>101522</v>
      </c>
      <c r="IN28" s="441"/>
      <c r="IO28" s="442"/>
      <c r="IP28" s="618"/>
      <c r="IQ28" s="443"/>
      <c r="IR28" s="443"/>
      <c r="IS28" s="443"/>
      <c r="IT28" s="443"/>
      <c r="IU28" s="443"/>
      <c r="IV28" s="443"/>
      <c r="IW28" s="443"/>
      <c r="IX28" s="443"/>
      <c r="IY28" s="443"/>
      <c r="IZ28" s="443"/>
      <c r="JA28" s="443"/>
      <c r="JB28" s="443"/>
      <c r="JC28" s="443"/>
      <c r="JD28" s="443"/>
      <c r="JE28" s="443"/>
      <c r="JF28" s="443"/>
      <c r="JG28" s="443"/>
      <c r="JH28" s="443"/>
      <c r="JI28" s="443"/>
      <c r="JJ28" s="444"/>
      <c r="JK28" s="591">
        <v>13500</v>
      </c>
      <c r="JL28" s="446">
        <v>13690</v>
      </c>
      <c r="JM28" s="446">
        <v>9428</v>
      </c>
      <c r="JN28" s="446">
        <v>9428</v>
      </c>
      <c r="JO28" s="446">
        <v>9428</v>
      </c>
      <c r="JP28" s="446">
        <v>9428</v>
      </c>
      <c r="JQ28" s="600">
        <v>8519</v>
      </c>
      <c r="JR28" s="600">
        <v>12971</v>
      </c>
      <c r="JS28" s="600">
        <v>12971</v>
      </c>
      <c r="JT28" s="446"/>
      <c r="JU28" s="446"/>
      <c r="JV28" s="600">
        <v>12971</v>
      </c>
      <c r="JW28" s="600">
        <v>12971</v>
      </c>
      <c r="JX28" s="446"/>
      <c r="JY28" s="600">
        <v>4132</v>
      </c>
      <c r="JZ28" s="600">
        <v>5136</v>
      </c>
      <c r="KA28" s="446"/>
      <c r="KB28" s="446"/>
      <c r="KC28" s="446"/>
      <c r="KD28" s="446"/>
      <c r="KE28" s="600">
        <v>4132</v>
      </c>
      <c r="KF28" s="600">
        <v>5136</v>
      </c>
      <c r="KG28" s="446"/>
      <c r="KH28" s="446"/>
      <c r="KI28" s="446"/>
      <c r="KJ28" s="429"/>
      <c r="KK28" s="447">
        <v>3942.625</v>
      </c>
      <c r="KL28" s="548"/>
      <c r="KM28" s="448"/>
      <c r="KN28" s="448"/>
      <c r="KO28" s="448"/>
      <c r="KP28" s="448"/>
      <c r="KQ28" s="467"/>
      <c r="KR28" s="468"/>
      <c r="KS28" s="469"/>
      <c r="KT28" s="470"/>
      <c r="KU28" s="470"/>
      <c r="KV28" s="470"/>
      <c r="KW28" s="470"/>
      <c r="KX28" s="470"/>
      <c r="KY28" s="470"/>
      <c r="KZ28" s="470"/>
      <c r="LA28" s="470"/>
      <c r="LB28" s="470"/>
      <c r="LC28" s="470"/>
      <c r="LD28" s="470"/>
      <c r="LE28" s="470"/>
      <c r="LF28" s="470"/>
      <c r="LG28" s="470"/>
      <c r="LH28" s="470"/>
      <c r="LI28" s="470"/>
      <c r="LJ28" s="470"/>
      <c r="LK28" s="470"/>
      <c r="LL28" s="470"/>
      <c r="LM28" s="470"/>
      <c r="LN28" s="470"/>
      <c r="LO28" s="470">
        <v>2750</v>
      </c>
      <c r="LP28" s="470"/>
      <c r="LQ28" s="470"/>
      <c r="LR28" s="470"/>
      <c r="LS28" s="470"/>
      <c r="LT28" s="734"/>
      <c r="LU28" s="611"/>
      <c r="LV28" s="589"/>
      <c r="LW28" s="612"/>
      <c r="LX28" s="612"/>
      <c r="LY28" s="612"/>
      <c r="LZ28" s="612"/>
      <c r="MA28" s="612"/>
      <c r="MB28" s="612"/>
      <c r="MC28" s="612"/>
      <c r="MD28" s="589"/>
      <c r="ME28" s="612"/>
      <c r="MF28" s="589"/>
      <c r="MG28" s="612"/>
      <c r="MH28" s="589"/>
      <c r="MI28" s="612"/>
      <c r="MJ28" s="589"/>
      <c r="MK28" s="612"/>
      <c r="ML28" s="612"/>
      <c r="MM28" s="612"/>
      <c r="MN28" s="612"/>
      <c r="MO28" s="612"/>
      <c r="MP28" s="612"/>
      <c r="MQ28" s="612"/>
      <c r="MR28" s="612"/>
      <c r="MS28" s="612"/>
      <c r="MT28" s="612"/>
      <c r="MU28" s="612"/>
      <c r="MV28" s="612"/>
      <c r="MW28" s="589"/>
      <c r="MX28" s="450"/>
      <c r="MY28" s="450"/>
      <c r="MZ28" s="450"/>
      <c r="NA28" s="450"/>
      <c r="NB28" s="450"/>
      <c r="NC28" s="450"/>
      <c r="ND28" s="450"/>
      <c r="NE28" s="450"/>
      <c r="NF28" s="450"/>
      <c r="NG28" s="450"/>
      <c r="NH28" s="450"/>
      <c r="NI28" s="450"/>
      <c r="NJ28" s="450"/>
      <c r="NK28" s="450"/>
      <c r="NL28" s="450"/>
      <c r="NM28" s="450"/>
      <c r="NN28" s="450"/>
      <c r="NO28" s="450"/>
      <c r="NP28" s="450"/>
      <c r="NQ28" s="450"/>
      <c r="NR28" s="450"/>
      <c r="NS28" s="450"/>
      <c r="NT28" s="450"/>
      <c r="NU28" s="450"/>
      <c r="NV28" s="450"/>
      <c r="NW28" s="436"/>
      <c r="NX28" s="450"/>
      <c r="NY28" s="450"/>
      <c r="NZ28" s="611">
        <f>NZ41*NZ40</f>
        <v>17679.2</v>
      </c>
      <c r="OA28" s="635"/>
      <c r="OB28" s="638">
        <v>72350</v>
      </c>
      <c r="OC28" s="638">
        <v>72350</v>
      </c>
      <c r="OD28" s="638">
        <v>80875</v>
      </c>
      <c r="OE28" s="638">
        <v>96872</v>
      </c>
      <c r="OF28" s="638"/>
      <c r="OG28" s="638"/>
      <c r="OH28" s="638"/>
      <c r="OI28" s="638"/>
      <c r="OJ28" s="638"/>
      <c r="OK28" s="638"/>
      <c r="OL28" s="638"/>
      <c r="OM28" s="638"/>
      <c r="ON28" s="635"/>
      <c r="OO28" s="638"/>
      <c r="OP28" s="638"/>
      <c r="OQ28" s="638"/>
      <c r="OR28" s="638"/>
      <c r="OS28" s="638"/>
      <c r="OT28" s="638"/>
      <c r="OU28" s="638"/>
      <c r="OV28" s="638"/>
      <c r="OW28" s="638"/>
      <c r="OX28" s="638"/>
      <c r="OY28" s="638"/>
      <c r="OZ28" s="638"/>
      <c r="PA28" s="638"/>
      <c r="PB28" s="638"/>
      <c r="PC28" s="638"/>
      <c r="PD28" s="638"/>
      <c r="PE28" s="638"/>
      <c r="PF28" s="638"/>
      <c r="PG28" s="638"/>
      <c r="PH28" s="640"/>
      <c r="PI28" s="666"/>
      <c r="PJ28" s="666"/>
      <c r="PK28" s="666">
        <v>197228</v>
      </c>
      <c r="PL28" s="420">
        <v>259471</v>
      </c>
      <c r="PM28" s="420">
        <v>259471</v>
      </c>
      <c r="PN28" s="420">
        <v>259471</v>
      </c>
      <c r="PO28" s="550">
        <v>20731</v>
      </c>
    </row>
    <row r="29" spans="1:431" ht="15.75">
      <c r="A29" s="510" t="s">
        <v>1242</v>
      </c>
      <c r="B29" s="624"/>
      <c r="C29" s="620"/>
      <c r="D29" s="620"/>
      <c r="E29" s="620"/>
      <c r="F29" s="620"/>
      <c r="G29" s="493"/>
      <c r="H29" s="471"/>
      <c r="I29" s="455"/>
      <c r="J29" s="455"/>
      <c r="K29" s="455"/>
      <c r="L29" s="455"/>
      <c r="M29" s="455"/>
      <c r="N29" s="455"/>
      <c r="O29" s="455"/>
      <c r="P29" s="455"/>
      <c r="Q29" s="455"/>
      <c r="R29" s="455"/>
      <c r="S29" s="455"/>
      <c r="T29" s="455"/>
      <c r="U29" s="455"/>
      <c r="V29" s="455"/>
      <c r="W29" s="455"/>
      <c r="X29" s="455"/>
      <c r="Y29" s="455"/>
      <c r="Z29" s="455"/>
      <c r="AA29" s="455"/>
      <c r="AB29" s="455"/>
      <c r="AC29" s="455"/>
      <c r="AD29" s="455"/>
      <c r="AE29" s="455"/>
      <c r="AF29" s="455"/>
      <c r="AG29" s="455"/>
      <c r="AH29" s="455"/>
      <c r="AI29" s="455"/>
      <c r="AJ29" s="455"/>
      <c r="AK29" s="455"/>
      <c r="AL29" s="455"/>
      <c r="AM29" s="455"/>
      <c r="AN29" s="455"/>
      <c r="AO29" s="455"/>
      <c r="AP29" s="455"/>
      <c r="AQ29" s="455"/>
      <c r="AR29" s="455"/>
      <c r="AS29" s="455"/>
      <c r="AT29" s="455"/>
      <c r="AU29" s="455"/>
      <c r="AV29" s="455"/>
      <c r="AW29" s="455"/>
      <c r="AX29" s="455"/>
      <c r="AY29" s="455"/>
      <c r="AZ29" s="455"/>
      <c r="BA29" s="455"/>
      <c r="BB29" s="455"/>
      <c r="BC29" s="455"/>
      <c r="BD29" s="455"/>
      <c r="BE29" s="455"/>
      <c r="BF29" s="455"/>
      <c r="BG29" s="455"/>
      <c r="BH29" s="455"/>
      <c r="BI29" s="455"/>
      <c r="BJ29" s="455"/>
      <c r="BK29" s="455"/>
      <c r="BL29" s="455"/>
      <c r="BM29" s="455"/>
      <c r="BN29" s="455"/>
      <c r="BO29" s="455"/>
      <c r="BP29" s="455"/>
      <c r="BQ29" s="455"/>
      <c r="BR29" s="455"/>
      <c r="BS29" s="455"/>
      <c r="BT29" s="455"/>
      <c r="BU29" s="455"/>
      <c r="BV29" s="455"/>
      <c r="BW29" s="455"/>
      <c r="BX29" s="455"/>
      <c r="BY29" s="455"/>
      <c r="BZ29" s="455"/>
      <c r="CA29" s="455"/>
      <c r="CB29" s="455"/>
      <c r="CC29" s="854"/>
      <c r="CD29" s="455"/>
      <c r="CE29" s="455"/>
      <c r="CF29" s="455"/>
      <c r="CG29" s="455"/>
      <c r="CH29" s="455"/>
      <c r="CI29" s="455"/>
      <c r="CJ29" s="455"/>
      <c r="CK29" s="455"/>
      <c r="CL29" s="455"/>
      <c r="CM29" s="455"/>
      <c r="CN29" s="455"/>
      <c r="CO29" s="455"/>
      <c r="CP29" s="455"/>
      <c r="CQ29" s="455"/>
      <c r="CR29" s="455"/>
      <c r="CS29" s="455"/>
      <c r="CT29" s="455"/>
      <c r="CU29" s="455"/>
      <c r="CV29" s="455"/>
      <c r="CW29" s="455"/>
      <c r="CX29" s="455"/>
      <c r="CY29" s="455"/>
      <c r="CZ29" s="455"/>
      <c r="DA29" s="455"/>
      <c r="DB29" s="455"/>
      <c r="DC29" s="455"/>
      <c r="DD29" s="455"/>
      <c r="DE29" s="455"/>
      <c r="DF29" s="455"/>
      <c r="DG29" s="455"/>
      <c r="DH29" s="455"/>
      <c r="DI29" s="455"/>
      <c r="DJ29" s="455"/>
      <c r="DK29" s="455"/>
      <c r="DL29" s="455"/>
      <c r="DM29" s="455"/>
      <c r="DN29" s="455"/>
      <c r="DO29" s="455"/>
      <c r="DP29" s="455"/>
      <c r="DQ29" s="455"/>
      <c r="DR29" s="455"/>
      <c r="DS29" s="498"/>
      <c r="DT29" s="452"/>
      <c r="DU29" s="453"/>
      <c r="DV29" s="453"/>
      <c r="DW29" s="453"/>
      <c r="DX29" s="453"/>
      <c r="DY29" s="453"/>
      <c r="DZ29" s="541"/>
      <c r="EA29" s="453"/>
      <c r="EB29" s="453"/>
      <c r="EC29" s="541"/>
      <c r="ED29" s="453"/>
      <c r="EE29" s="453"/>
      <c r="EF29" s="453"/>
      <c r="EG29" s="453"/>
      <c r="EH29" s="453"/>
      <c r="EI29" s="453"/>
      <c r="EJ29" s="453"/>
      <c r="EK29" s="453"/>
      <c r="EL29" s="541"/>
      <c r="EM29" s="453"/>
      <c r="EN29" s="453"/>
      <c r="EO29" s="453"/>
      <c r="EP29" s="453"/>
      <c r="EQ29" s="453"/>
      <c r="ER29" s="453"/>
      <c r="ES29" s="453"/>
      <c r="ET29" s="453"/>
      <c r="EU29" s="453"/>
      <c r="EV29" s="453"/>
      <c r="EW29" s="453"/>
      <c r="EX29" s="453"/>
      <c r="EY29" s="453"/>
      <c r="EZ29" s="453"/>
      <c r="FA29" s="453"/>
      <c r="FB29" s="453"/>
      <c r="FC29" s="453"/>
      <c r="FD29" s="453"/>
      <c r="FE29" s="541"/>
      <c r="FF29" s="453"/>
      <c r="FG29" s="453"/>
      <c r="FH29" s="453"/>
      <c r="FI29" s="453"/>
      <c r="FJ29" s="453"/>
      <c r="FK29" s="453"/>
      <c r="FL29" s="453"/>
      <c r="FM29" s="453"/>
      <c r="FN29" s="453"/>
      <c r="FO29" s="453"/>
      <c r="FP29" s="453"/>
      <c r="FQ29" s="453"/>
      <c r="FR29" s="453"/>
      <c r="FS29" s="453"/>
      <c r="FT29" s="453"/>
      <c r="FU29" s="453"/>
      <c r="FV29" s="453"/>
      <c r="FW29" s="453"/>
      <c r="FX29" s="453"/>
      <c r="FY29" s="453"/>
      <c r="FZ29" s="453"/>
      <c r="GA29" s="453"/>
      <c r="GB29" s="453"/>
      <c r="GC29" s="453"/>
      <c r="GD29" s="453"/>
      <c r="GE29" s="453"/>
      <c r="GF29" s="453"/>
      <c r="GG29" s="453"/>
      <c r="GH29" s="453"/>
      <c r="GI29" s="453"/>
      <c r="GJ29" s="453"/>
      <c r="GK29" s="453"/>
      <c r="GL29" s="453"/>
      <c r="GM29" s="453"/>
      <c r="GN29" s="453"/>
      <c r="GO29" s="453"/>
      <c r="GP29" s="453"/>
      <c r="GQ29" s="453"/>
      <c r="GR29" s="453"/>
      <c r="GS29" s="453"/>
      <c r="GT29" s="453"/>
      <c r="GU29" s="453"/>
      <c r="GV29" s="453"/>
      <c r="GW29" s="453"/>
      <c r="GX29" s="453"/>
      <c r="GY29" s="453"/>
      <c r="GZ29" s="453"/>
      <c r="HA29" s="453"/>
      <c r="HB29" s="453"/>
      <c r="HC29" s="453"/>
      <c r="HD29" s="541"/>
      <c r="HE29" s="453"/>
      <c r="HF29" s="453"/>
      <c r="HG29" s="453"/>
      <c r="HH29" s="453"/>
      <c r="HI29" s="453"/>
      <c r="HJ29" s="541"/>
      <c r="HK29" s="453"/>
      <c r="HL29" s="453"/>
      <c r="HM29" s="453"/>
      <c r="HN29" s="453"/>
      <c r="HO29" s="453"/>
      <c r="HP29" s="453"/>
      <c r="HQ29" s="453"/>
      <c r="HR29" s="453"/>
      <c r="HS29" s="453"/>
      <c r="HT29" s="453"/>
      <c r="HU29" s="453"/>
      <c r="HV29" s="453"/>
      <c r="HW29" s="541"/>
      <c r="HX29" s="453"/>
      <c r="HY29" s="453"/>
      <c r="HZ29" s="453"/>
      <c r="IA29" s="453"/>
      <c r="IB29" s="453"/>
      <c r="IC29" s="453"/>
      <c r="ID29" s="453"/>
      <c r="IE29" s="453"/>
      <c r="IF29" s="453"/>
      <c r="IG29" s="453"/>
      <c r="IH29" s="453"/>
      <c r="II29" s="453"/>
      <c r="IJ29" s="541"/>
      <c r="IK29" s="453"/>
      <c r="IL29" s="453"/>
      <c r="IM29" s="453"/>
      <c r="IN29" s="441"/>
      <c r="IO29" s="454"/>
      <c r="IP29" s="455"/>
      <c r="IQ29" s="455"/>
      <c r="IR29" s="455"/>
      <c r="IS29" s="455"/>
      <c r="IT29" s="455"/>
      <c r="IU29" s="455"/>
      <c r="IV29" s="455"/>
      <c r="IW29" s="455"/>
      <c r="IX29" s="455"/>
      <c r="IY29" s="455"/>
      <c r="IZ29" s="455"/>
      <c r="JA29" s="455"/>
      <c r="JB29" s="455"/>
      <c r="JC29" s="455"/>
      <c r="JD29" s="455"/>
      <c r="JE29" s="455"/>
      <c r="JF29" s="455"/>
      <c r="JG29" s="455"/>
      <c r="JH29" s="455"/>
      <c r="JI29" s="455"/>
      <c r="JJ29" s="456"/>
      <c r="JK29" s="454"/>
      <c r="JL29" s="455"/>
      <c r="JM29" s="455"/>
      <c r="JN29" s="455"/>
      <c r="JO29" s="455"/>
      <c r="JP29" s="455"/>
      <c r="JQ29" s="455"/>
      <c r="JR29" s="455"/>
      <c r="JS29" s="455"/>
      <c r="JT29" s="455"/>
      <c r="JU29" s="455"/>
      <c r="JV29" s="455"/>
      <c r="JW29" s="455"/>
      <c r="JX29" s="455"/>
      <c r="JY29" s="455"/>
      <c r="JZ29" s="455"/>
      <c r="KA29" s="455"/>
      <c r="KB29" s="455"/>
      <c r="KC29" s="455"/>
      <c r="KD29" s="455"/>
      <c r="KE29" s="455"/>
      <c r="KF29" s="455"/>
      <c r="KG29" s="455"/>
      <c r="KH29" s="455"/>
      <c r="KI29" s="455"/>
      <c r="KJ29" s="429"/>
      <c r="KK29" s="457"/>
      <c r="KL29" s="455"/>
      <c r="KM29" s="455"/>
      <c r="KN29" s="455"/>
      <c r="KO29" s="455"/>
      <c r="KP29" s="455"/>
      <c r="KQ29" s="463"/>
      <c r="KR29" s="515"/>
      <c r="KS29" s="455"/>
      <c r="KT29" s="455"/>
      <c r="KU29" s="455"/>
      <c r="KV29" s="455"/>
      <c r="KW29" s="455"/>
      <c r="KX29" s="455"/>
      <c r="KY29" s="455"/>
      <c r="KZ29" s="455"/>
      <c r="LA29" s="455"/>
      <c r="LB29" s="455"/>
      <c r="LC29" s="455"/>
      <c r="LD29" s="455"/>
      <c r="LE29" s="455"/>
      <c r="LF29" s="455"/>
      <c r="LG29" s="455"/>
      <c r="LH29" s="455"/>
      <c r="LI29" s="455"/>
      <c r="LJ29" s="455"/>
      <c r="LK29" s="455"/>
      <c r="LL29" s="455"/>
      <c r="LM29" s="455"/>
      <c r="LN29" s="455"/>
      <c r="LO29" s="455"/>
      <c r="LP29" s="455"/>
      <c r="LQ29" s="455"/>
      <c r="LR29" s="455"/>
      <c r="LS29" s="455"/>
      <c r="LT29" s="734"/>
      <c r="LU29" s="512"/>
      <c r="LV29" s="455"/>
      <c r="LW29" s="615"/>
      <c r="LX29" s="615"/>
      <c r="LY29" s="615"/>
      <c r="LZ29" s="615"/>
      <c r="MA29" s="615"/>
      <c r="MB29" s="615"/>
      <c r="MC29" s="615"/>
      <c r="MD29" s="455"/>
      <c r="ME29" s="615"/>
      <c r="MF29" s="455"/>
      <c r="MG29" s="615"/>
      <c r="MH29" s="455"/>
      <c r="MI29" s="615"/>
      <c r="MJ29" s="455"/>
      <c r="MK29" s="615"/>
      <c r="ML29" s="615"/>
      <c r="MM29" s="615"/>
      <c r="MN29" s="615"/>
      <c r="MO29" s="615"/>
      <c r="MP29" s="615"/>
      <c r="MQ29" s="615"/>
      <c r="MR29" s="615"/>
      <c r="MS29" s="615"/>
      <c r="MT29" s="615"/>
      <c r="MU29" s="615"/>
      <c r="MV29" s="615"/>
      <c r="MW29" s="455"/>
      <c r="MX29" s="455"/>
      <c r="MY29" s="455"/>
      <c r="MZ29" s="455"/>
      <c r="NA29" s="455"/>
      <c r="NB29" s="455"/>
      <c r="NC29" s="455"/>
      <c r="ND29" s="455"/>
      <c r="NE29" s="455"/>
      <c r="NF29" s="455"/>
      <c r="NG29" s="455"/>
      <c r="NH29" s="455"/>
      <c r="NI29" s="455"/>
      <c r="NJ29" s="455"/>
      <c r="NK29" s="455"/>
      <c r="NL29" s="455"/>
      <c r="NM29" s="455"/>
      <c r="NN29" s="455"/>
      <c r="NO29" s="455"/>
      <c r="NP29" s="455"/>
      <c r="NQ29" s="455"/>
      <c r="NR29" s="455"/>
      <c r="NS29" s="455"/>
      <c r="NT29" s="455"/>
      <c r="NU29" s="455"/>
      <c r="NV29" s="455"/>
      <c r="NW29" s="455"/>
      <c r="NX29" s="455"/>
      <c r="NY29" s="455"/>
      <c r="NZ29" s="512"/>
      <c r="OA29" s="635"/>
      <c r="OB29" s="637"/>
      <c r="OC29" s="637"/>
      <c r="OD29" s="637"/>
      <c r="OE29" s="637"/>
      <c r="OF29" s="637"/>
      <c r="OG29" s="637"/>
      <c r="OH29" s="637"/>
      <c r="OI29" s="637"/>
      <c r="OJ29" s="637"/>
      <c r="OK29" s="637"/>
      <c r="OL29" s="637"/>
      <c r="OM29" s="637"/>
      <c r="ON29" s="635"/>
      <c r="OO29" s="637"/>
      <c r="OP29" s="637"/>
      <c r="OQ29" s="637"/>
      <c r="OR29" s="637"/>
      <c r="OS29" s="637"/>
      <c r="OT29" s="637"/>
      <c r="OU29" s="637"/>
      <c r="OV29" s="637"/>
      <c r="OW29" s="637"/>
      <c r="OX29" s="637"/>
      <c r="OY29" s="637"/>
      <c r="OZ29" s="637"/>
      <c r="PA29" s="637"/>
      <c r="PB29" s="637"/>
      <c r="PC29" s="637"/>
      <c r="PD29" s="637"/>
      <c r="PE29" s="637"/>
      <c r="PF29" s="637"/>
      <c r="PG29" s="637"/>
      <c r="PH29" s="641"/>
      <c r="PI29" s="668"/>
      <c r="PJ29" s="668"/>
      <c r="PK29" s="668"/>
      <c r="PL29" s="543"/>
      <c r="PM29" s="543"/>
      <c r="PN29" s="543"/>
      <c r="PO29" s="756"/>
    </row>
    <row r="30" spans="1:431">
      <c r="A30" s="418" t="s">
        <v>1243</v>
      </c>
      <c r="B30" s="623" t="s">
        <v>1244</v>
      </c>
      <c r="C30" s="380" t="s">
        <v>438</v>
      </c>
      <c r="D30" s="380" t="s">
        <v>1228</v>
      </c>
      <c r="E30" s="380" t="s">
        <v>1245</v>
      </c>
      <c r="F30" s="380" t="s">
        <v>1246</v>
      </c>
      <c r="G30" s="493"/>
      <c r="H30" s="400">
        <v>0.86</v>
      </c>
      <c r="I30" s="401">
        <v>0.86</v>
      </c>
      <c r="J30" s="401">
        <v>0.86</v>
      </c>
      <c r="K30" s="400">
        <v>0.86</v>
      </c>
      <c r="L30" s="401">
        <v>0.86</v>
      </c>
      <c r="M30" s="401">
        <v>0.86</v>
      </c>
      <c r="N30" s="401">
        <v>0.86</v>
      </c>
      <c r="O30" s="401">
        <v>0.86</v>
      </c>
      <c r="P30" s="401">
        <v>0.86</v>
      </c>
      <c r="Q30" s="401">
        <v>0.86</v>
      </c>
      <c r="R30" s="401"/>
      <c r="S30" s="401"/>
      <c r="T30" s="401"/>
      <c r="U30" s="401">
        <v>0.86</v>
      </c>
      <c r="V30" s="401">
        <v>0.86</v>
      </c>
      <c r="W30" s="401">
        <v>0.86</v>
      </c>
      <c r="X30" s="401">
        <v>0.86</v>
      </c>
      <c r="Y30" s="401">
        <v>0.86</v>
      </c>
      <c r="Z30" s="401">
        <v>0.86</v>
      </c>
      <c r="AA30" s="401">
        <v>0.86</v>
      </c>
      <c r="AB30" s="401">
        <v>0.86</v>
      </c>
      <c r="AC30" s="401">
        <v>0.86</v>
      </c>
      <c r="AD30" s="401">
        <v>0.86</v>
      </c>
      <c r="AE30" s="401">
        <v>0.86</v>
      </c>
      <c r="AF30" s="401">
        <v>0.82</v>
      </c>
      <c r="AG30" s="401">
        <v>0.82</v>
      </c>
      <c r="AH30" s="401">
        <v>0.82</v>
      </c>
      <c r="AI30" s="401">
        <v>0.82</v>
      </c>
      <c r="AJ30" s="401">
        <v>0.82</v>
      </c>
      <c r="AK30" s="401">
        <v>0.82</v>
      </c>
      <c r="AL30" s="401">
        <v>0.82</v>
      </c>
      <c r="AM30" s="401">
        <v>0.82</v>
      </c>
      <c r="AN30" s="401">
        <v>0.82</v>
      </c>
      <c r="AO30" s="401">
        <v>0.82</v>
      </c>
      <c r="AP30" s="401">
        <v>0.82</v>
      </c>
      <c r="AQ30" s="401">
        <v>0.82</v>
      </c>
      <c r="AR30" s="401">
        <v>0.82</v>
      </c>
      <c r="AS30" s="401">
        <v>0.82</v>
      </c>
      <c r="AT30" s="401">
        <v>0.84</v>
      </c>
      <c r="AU30" s="401">
        <v>0.84</v>
      </c>
      <c r="AV30" s="401">
        <v>0.84</v>
      </c>
      <c r="AW30" s="401">
        <v>0.84</v>
      </c>
      <c r="AX30" s="401">
        <v>0.84</v>
      </c>
      <c r="AY30" s="401">
        <v>0.84</v>
      </c>
      <c r="AZ30" s="401">
        <v>0.84</v>
      </c>
      <c r="BA30" s="401">
        <v>0.84</v>
      </c>
      <c r="BB30" s="401">
        <v>0.84</v>
      </c>
      <c r="BC30" s="401">
        <v>0.84</v>
      </c>
      <c r="BD30" s="401">
        <v>0.82</v>
      </c>
      <c r="BE30" s="401">
        <v>0.82</v>
      </c>
      <c r="BF30" s="401">
        <v>0.82</v>
      </c>
      <c r="BG30" s="401">
        <v>0.82</v>
      </c>
      <c r="BH30" s="401">
        <v>0.82</v>
      </c>
      <c r="BI30" s="401">
        <v>0.82</v>
      </c>
      <c r="BJ30" s="401">
        <v>0.82</v>
      </c>
      <c r="BK30" s="401">
        <v>0.82</v>
      </c>
      <c r="BL30" s="401">
        <v>0.82</v>
      </c>
      <c r="BM30" s="401">
        <v>0.82</v>
      </c>
      <c r="BN30" s="401">
        <v>0.82</v>
      </c>
      <c r="BO30" s="401">
        <v>0.82</v>
      </c>
      <c r="BP30" s="401">
        <v>0.82</v>
      </c>
      <c r="BQ30" s="401">
        <v>0.82</v>
      </c>
      <c r="BR30" s="401">
        <v>0.82</v>
      </c>
      <c r="BS30" s="401">
        <v>0.82</v>
      </c>
      <c r="BT30" s="401">
        <v>0.82</v>
      </c>
      <c r="BU30" s="401">
        <v>0.82</v>
      </c>
      <c r="BV30" s="401">
        <v>0.82</v>
      </c>
      <c r="BW30" s="401">
        <v>0.82</v>
      </c>
      <c r="BX30" s="401">
        <v>0.82</v>
      </c>
      <c r="BY30" s="401">
        <v>0.82</v>
      </c>
      <c r="BZ30" s="401">
        <v>0.82</v>
      </c>
      <c r="CA30" s="401">
        <v>0.82</v>
      </c>
      <c r="CB30" s="401">
        <v>0.82</v>
      </c>
      <c r="CC30" s="857">
        <v>0.82</v>
      </c>
      <c r="CD30" s="401">
        <v>0.82</v>
      </c>
      <c r="CE30" s="401">
        <v>0.82</v>
      </c>
      <c r="CF30" s="401">
        <v>0.82</v>
      </c>
      <c r="CG30" s="401">
        <v>0.82</v>
      </c>
      <c r="CH30" s="401">
        <v>0.82</v>
      </c>
      <c r="CI30" s="401">
        <v>0.82</v>
      </c>
      <c r="CJ30" s="401">
        <v>0.82</v>
      </c>
      <c r="CK30" s="401">
        <v>0.82</v>
      </c>
      <c r="CL30" s="401">
        <v>0.82</v>
      </c>
      <c r="CM30" s="401">
        <v>0.82</v>
      </c>
      <c r="CN30" s="401">
        <v>0.82</v>
      </c>
      <c r="CO30" s="401">
        <v>0.82</v>
      </c>
      <c r="CP30" s="401">
        <v>0.82</v>
      </c>
      <c r="CQ30" s="401">
        <v>0.82</v>
      </c>
      <c r="CR30" s="401">
        <v>0.82</v>
      </c>
      <c r="CS30" s="401">
        <v>0.82</v>
      </c>
      <c r="CT30" s="401">
        <v>0.82</v>
      </c>
      <c r="CU30" s="401">
        <v>0.82</v>
      </c>
      <c r="CV30" s="401">
        <v>0.82</v>
      </c>
      <c r="CW30" s="401">
        <v>0.82</v>
      </c>
      <c r="CX30" s="401">
        <v>0.82</v>
      </c>
      <c r="CY30" s="401">
        <v>0.82</v>
      </c>
      <c r="CZ30" s="401">
        <v>0.86</v>
      </c>
      <c r="DA30" s="401">
        <v>0.86</v>
      </c>
      <c r="DB30" s="401">
        <v>0.86</v>
      </c>
      <c r="DC30" s="401">
        <v>0.86</v>
      </c>
      <c r="DD30" s="401">
        <v>0.86</v>
      </c>
      <c r="DE30" s="401">
        <v>0.86</v>
      </c>
      <c r="DF30" s="401">
        <v>0.86</v>
      </c>
      <c r="DG30" s="401">
        <v>0.86</v>
      </c>
      <c r="DH30" s="401">
        <v>0.86</v>
      </c>
      <c r="DI30" s="401">
        <v>0.86</v>
      </c>
      <c r="DJ30" s="401">
        <v>0.86</v>
      </c>
      <c r="DK30" s="401">
        <v>0.86</v>
      </c>
      <c r="DL30" s="401">
        <v>0.86</v>
      </c>
      <c r="DM30" s="401">
        <v>0.86</v>
      </c>
      <c r="DN30" s="401">
        <v>0.86</v>
      </c>
      <c r="DO30" s="401">
        <v>0.86</v>
      </c>
      <c r="DP30" s="401">
        <v>0.86</v>
      </c>
      <c r="DQ30" s="401">
        <v>0.86</v>
      </c>
      <c r="DR30" s="401">
        <v>0.86</v>
      </c>
      <c r="DS30" s="498"/>
      <c r="DT30" s="402">
        <v>0.9</v>
      </c>
      <c r="DU30" s="403">
        <v>0.88700000000000001</v>
      </c>
      <c r="DV30" s="403">
        <v>0.88700000000000001</v>
      </c>
      <c r="DW30" s="403">
        <v>0.88700000000000001</v>
      </c>
      <c r="DX30" s="403">
        <v>0.88700000000000001</v>
      </c>
      <c r="DY30" s="403">
        <v>0.88700000000000001</v>
      </c>
      <c r="DZ30" s="595"/>
      <c r="EA30" s="403">
        <v>0.82</v>
      </c>
      <c r="EB30" s="403">
        <v>0.82</v>
      </c>
      <c r="EC30" s="595"/>
      <c r="ED30" s="403">
        <v>0.9</v>
      </c>
      <c r="EE30" s="403">
        <v>0.9</v>
      </c>
      <c r="EF30" s="403">
        <v>0.9</v>
      </c>
      <c r="EG30" s="403">
        <v>0.9</v>
      </c>
      <c r="EH30" s="403">
        <v>0.9</v>
      </c>
      <c r="EI30" s="403">
        <v>0.9</v>
      </c>
      <c r="EJ30" s="403">
        <v>0.9</v>
      </c>
      <c r="EK30" s="403">
        <v>0.88</v>
      </c>
      <c r="EL30" s="595"/>
      <c r="EM30" s="403"/>
      <c r="EN30" s="403"/>
      <c r="EO30" s="403"/>
      <c r="EP30" s="403">
        <v>0.82</v>
      </c>
      <c r="EQ30" s="403">
        <v>0.82</v>
      </c>
      <c r="ER30" s="403">
        <v>0.82</v>
      </c>
      <c r="ES30" s="403">
        <v>0.82</v>
      </c>
      <c r="ET30" s="403">
        <v>0.82</v>
      </c>
      <c r="EU30" s="403">
        <v>0.82</v>
      </c>
      <c r="EV30" s="403">
        <v>0.82</v>
      </c>
      <c r="EW30" s="403">
        <v>0.82</v>
      </c>
      <c r="EX30" s="403">
        <v>0.82</v>
      </c>
      <c r="EY30" s="403">
        <v>0.82</v>
      </c>
      <c r="EZ30" s="403">
        <v>0.82</v>
      </c>
      <c r="FA30" s="403">
        <v>0.82</v>
      </c>
      <c r="FB30" s="403">
        <v>0.82</v>
      </c>
      <c r="FC30" s="403">
        <v>0.82</v>
      </c>
      <c r="FD30" s="403">
        <v>0.82</v>
      </c>
      <c r="FE30" s="595"/>
      <c r="FF30" s="403">
        <v>0.92</v>
      </c>
      <c r="FG30" s="403">
        <v>0.92</v>
      </c>
      <c r="FH30" s="403">
        <v>0.92</v>
      </c>
      <c r="FI30" s="403">
        <v>0.92</v>
      </c>
      <c r="FJ30" s="403">
        <v>0.92</v>
      </c>
      <c r="FK30" s="403">
        <v>0.92</v>
      </c>
      <c r="FL30" s="403">
        <v>0.92</v>
      </c>
      <c r="FM30" s="403">
        <v>0.92</v>
      </c>
      <c r="FN30" s="403">
        <v>0.92</v>
      </c>
      <c r="FO30" s="403">
        <v>0.92</v>
      </c>
      <c r="FP30" s="403">
        <v>0.92</v>
      </c>
      <c r="FQ30" s="403">
        <v>0.92</v>
      </c>
      <c r="FR30" s="403">
        <v>0.92</v>
      </c>
      <c r="FS30" s="403">
        <v>0.92</v>
      </c>
      <c r="FT30" s="403">
        <v>0.92</v>
      </c>
      <c r="FU30" s="403">
        <v>0.92</v>
      </c>
      <c r="FV30" s="403">
        <v>0.92</v>
      </c>
      <c r="FW30" s="403">
        <v>0.92</v>
      </c>
      <c r="FX30" s="403">
        <v>0.92</v>
      </c>
      <c r="FY30" s="403">
        <v>0.92</v>
      </c>
      <c r="FZ30" s="403">
        <v>0.92</v>
      </c>
      <c r="GA30" s="403">
        <v>0.92</v>
      </c>
      <c r="GB30" s="403">
        <v>0.92</v>
      </c>
      <c r="GC30" s="403">
        <v>0.92</v>
      </c>
      <c r="GD30" s="403">
        <v>0.92</v>
      </c>
      <c r="GE30" s="403">
        <v>0.92</v>
      </c>
      <c r="GF30" s="403">
        <v>0.92</v>
      </c>
      <c r="GG30" s="403">
        <v>0.92</v>
      </c>
      <c r="GH30" s="403">
        <v>0.92</v>
      </c>
      <c r="GI30" s="403">
        <v>0.92</v>
      </c>
      <c r="GJ30" s="403">
        <v>0.92</v>
      </c>
      <c r="GK30" s="403">
        <v>0.92</v>
      </c>
      <c r="GL30" s="403">
        <v>0.92</v>
      </c>
      <c r="GM30" s="403">
        <v>0.92</v>
      </c>
      <c r="GN30" s="403">
        <v>0.92</v>
      </c>
      <c r="GO30" s="403">
        <v>0.92</v>
      </c>
      <c r="GP30" s="403">
        <v>0.92</v>
      </c>
      <c r="GQ30" s="403">
        <v>0.92</v>
      </c>
      <c r="GR30" s="403">
        <v>0.92</v>
      </c>
      <c r="GS30" s="403">
        <v>0.92</v>
      </c>
      <c r="GT30" s="403">
        <v>0.92</v>
      </c>
      <c r="GU30" s="403">
        <v>0.92</v>
      </c>
      <c r="GV30" s="403">
        <v>0.92</v>
      </c>
      <c r="GW30" s="403">
        <v>0.92</v>
      </c>
      <c r="GX30" s="403">
        <v>0.92</v>
      </c>
      <c r="GY30" s="403">
        <v>0.92</v>
      </c>
      <c r="GZ30" s="403">
        <v>0.92</v>
      </c>
      <c r="HA30" s="403">
        <v>0.92</v>
      </c>
      <c r="HB30" s="403">
        <v>0.9</v>
      </c>
      <c r="HC30" s="403">
        <v>0.9</v>
      </c>
      <c r="HD30" s="595"/>
      <c r="HE30" s="403">
        <v>0.86</v>
      </c>
      <c r="HF30" s="403">
        <v>0.86</v>
      </c>
      <c r="HG30" s="403">
        <v>0.86</v>
      </c>
      <c r="HH30" s="403">
        <v>0.86</v>
      </c>
      <c r="HI30" s="403">
        <v>0.86</v>
      </c>
      <c r="HJ30" s="595"/>
      <c r="HK30" s="403">
        <v>0.86</v>
      </c>
      <c r="HL30" s="403">
        <v>0.86</v>
      </c>
      <c r="HM30" s="403">
        <v>0.86</v>
      </c>
      <c r="HN30" s="403">
        <v>0.86</v>
      </c>
      <c r="HO30" s="403">
        <v>0.86</v>
      </c>
      <c r="HP30" s="403">
        <v>0.86</v>
      </c>
      <c r="HQ30" s="403">
        <v>0.86</v>
      </c>
      <c r="HR30" s="403">
        <v>0.86</v>
      </c>
      <c r="HS30" s="403">
        <v>0.86</v>
      </c>
      <c r="HT30" s="403">
        <v>0.86</v>
      </c>
      <c r="HU30" s="403">
        <v>0.86</v>
      </c>
      <c r="HV30" s="403">
        <v>0.86</v>
      </c>
      <c r="HW30" s="595"/>
      <c r="HX30" s="403">
        <v>0.87</v>
      </c>
      <c r="HY30" s="403">
        <v>0.87</v>
      </c>
      <c r="HZ30" s="403">
        <v>0.87</v>
      </c>
      <c r="IA30" s="403">
        <v>0.87</v>
      </c>
      <c r="IB30" s="403">
        <v>0.87</v>
      </c>
      <c r="IC30" s="403">
        <v>0.87</v>
      </c>
      <c r="ID30" s="403">
        <v>0.89</v>
      </c>
      <c r="IE30" s="403">
        <v>0.89</v>
      </c>
      <c r="IF30" s="403">
        <v>0.89</v>
      </c>
      <c r="IG30" s="403">
        <v>0.89</v>
      </c>
      <c r="IH30" s="403">
        <v>0.89</v>
      </c>
      <c r="II30" s="403">
        <v>0.89</v>
      </c>
      <c r="IJ30" s="595"/>
      <c r="IK30" s="403">
        <v>0.9</v>
      </c>
      <c r="IL30" s="403">
        <v>0.9</v>
      </c>
      <c r="IM30" s="403">
        <v>0.9</v>
      </c>
      <c r="IN30" s="404"/>
      <c r="IO30" s="405">
        <v>0.85</v>
      </c>
      <c r="IP30" s="405">
        <v>0.85</v>
      </c>
      <c r="IQ30" s="405">
        <v>0.85</v>
      </c>
      <c r="IR30" s="405">
        <v>0.85</v>
      </c>
      <c r="IS30" s="405">
        <v>0.85</v>
      </c>
      <c r="IT30" s="405">
        <v>0.85</v>
      </c>
      <c r="IU30" s="406">
        <v>0.84199999999999997</v>
      </c>
      <c r="IV30" s="406">
        <v>0.83</v>
      </c>
      <c r="IW30" s="406">
        <v>0.85</v>
      </c>
      <c r="IX30" s="406">
        <v>0.85</v>
      </c>
      <c r="IY30" s="406">
        <v>0.85</v>
      </c>
      <c r="IZ30" s="406">
        <v>0.84</v>
      </c>
      <c r="JA30" s="406">
        <v>0.84</v>
      </c>
      <c r="JB30" s="406">
        <v>0.92500000000000004</v>
      </c>
      <c r="JC30" s="406">
        <v>0.79</v>
      </c>
      <c r="JD30" s="406">
        <v>0.85</v>
      </c>
      <c r="JE30" s="406">
        <v>0.83499999999999996</v>
      </c>
      <c r="JF30" s="406">
        <v>0.83499999999999996</v>
      </c>
      <c r="JG30" s="406">
        <v>0.85</v>
      </c>
      <c r="JH30" s="406">
        <v>0.82</v>
      </c>
      <c r="JI30" s="406">
        <v>0.82</v>
      </c>
      <c r="JJ30" s="407"/>
      <c r="JK30" s="409">
        <v>0.82</v>
      </c>
      <c r="JL30" s="409">
        <v>0.82</v>
      </c>
      <c r="JM30" s="409">
        <v>0.82</v>
      </c>
      <c r="JN30" s="409">
        <v>0.82</v>
      </c>
      <c r="JO30" s="409">
        <v>0.82</v>
      </c>
      <c r="JP30" s="409">
        <v>0.82</v>
      </c>
      <c r="JQ30" s="409">
        <v>0.82</v>
      </c>
      <c r="JR30" s="409">
        <v>0.82</v>
      </c>
      <c r="JS30" s="409">
        <v>0.82</v>
      </c>
      <c r="JT30" s="409">
        <v>0.82</v>
      </c>
      <c r="JU30" s="409">
        <v>0.82</v>
      </c>
      <c r="JV30" s="409">
        <v>0.82</v>
      </c>
      <c r="JW30" s="409">
        <v>0.82</v>
      </c>
      <c r="JX30" s="409">
        <v>0.82</v>
      </c>
      <c r="JY30" s="409">
        <v>0.78</v>
      </c>
      <c r="JZ30" s="409">
        <v>0.78</v>
      </c>
      <c r="KA30" s="409">
        <v>0.8</v>
      </c>
      <c r="KB30" s="409">
        <v>0.78</v>
      </c>
      <c r="KC30" s="409">
        <v>0.78</v>
      </c>
      <c r="KD30" s="409">
        <v>0.78</v>
      </c>
      <c r="KE30" s="409">
        <v>0.78</v>
      </c>
      <c r="KF30" s="409">
        <v>0.78</v>
      </c>
      <c r="KG30" s="409">
        <v>0.78</v>
      </c>
      <c r="KH30" s="409">
        <v>0.78</v>
      </c>
      <c r="KI30" s="409">
        <v>0.78</v>
      </c>
      <c r="KJ30" s="429"/>
      <c r="KK30" s="411">
        <v>0.85</v>
      </c>
      <c r="KL30" s="844">
        <v>0.87</v>
      </c>
      <c r="KM30" s="411">
        <v>0.87</v>
      </c>
      <c r="KN30" s="547">
        <v>0.85</v>
      </c>
      <c r="KO30" s="412"/>
      <c r="KP30" s="412"/>
      <c r="KQ30" s="458"/>
      <c r="KR30" s="460">
        <v>0.81</v>
      </c>
      <c r="KS30" s="461">
        <v>0.81</v>
      </c>
      <c r="KT30" s="462">
        <v>0.81</v>
      </c>
      <c r="KU30" s="462">
        <v>0.81</v>
      </c>
      <c r="KV30" s="462">
        <v>0.81</v>
      </c>
      <c r="KW30" s="462">
        <v>0.81</v>
      </c>
      <c r="KX30" s="462">
        <v>0.81</v>
      </c>
      <c r="KY30" s="462">
        <v>0.81</v>
      </c>
      <c r="KZ30" s="462">
        <v>0.81</v>
      </c>
      <c r="LA30" s="462">
        <v>0.81</v>
      </c>
      <c r="LB30" s="462">
        <v>0.81</v>
      </c>
      <c r="LC30" s="462">
        <v>0.8</v>
      </c>
      <c r="LD30" s="462">
        <v>0.8</v>
      </c>
      <c r="LE30" s="462">
        <v>0.81</v>
      </c>
      <c r="LF30" s="462">
        <v>0.81</v>
      </c>
      <c r="LG30" s="462">
        <v>0.81</v>
      </c>
      <c r="LH30" s="462">
        <v>0.81</v>
      </c>
      <c r="LI30" s="462">
        <v>0.82</v>
      </c>
      <c r="LJ30" s="462">
        <v>0.73</v>
      </c>
      <c r="LK30" s="462">
        <v>0.73</v>
      </c>
      <c r="LL30" s="462">
        <v>0.73</v>
      </c>
      <c r="LM30" s="462">
        <v>0.73</v>
      </c>
      <c r="LN30" s="462"/>
      <c r="LO30" s="462">
        <v>0.78500000000000003</v>
      </c>
      <c r="LP30" s="462"/>
      <c r="LQ30" s="462"/>
      <c r="LR30" s="462"/>
      <c r="LS30" s="462"/>
      <c r="LT30" s="734"/>
      <c r="LU30" s="611"/>
      <c r="LV30" s="586"/>
      <c r="LW30" s="610">
        <v>0.88</v>
      </c>
      <c r="LX30" s="610">
        <v>0.88</v>
      </c>
      <c r="LY30" s="610">
        <v>0.88</v>
      </c>
      <c r="LZ30" s="610">
        <v>0.88</v>
      </c>
      <c r="MA30" s="610">
        <v>0.88</v>
      </c>
      <c r="MB30" s="610">
        <v>0.88</v>
      </c>
      <c r="MC30" s="610">
        <v>0.88</v>
      </c>
      <c r="MD30" s="586">
        <v>0.88</v>
      </c>
      <c r="ME30" s="610">
        <v>0.88</v>
      </c>
      <c r="MF30" s="586">
        <v>0.88</v>
      </c>
      <c r="MG30" s="610">
        <v>0.88</v>
      </c>
      <c r="MH30" s="610">
        <v>0.88</v>
      </c>
      <c r="MI30" s="610">
        <v>0.88</v>
      </c>
      <c r="MJ30" s="586">
        <v>0.88</v>
      </c>
      <c r="MK30" s="610">
        <v>0.88</v>
      </c>
      <c r="ML30" s="610">
        <v>0.88</v>
      </c>
      <c r="MM30" s="610">
        <v>0.88</v>
      </c>
      <c r="MN30" s="610">
        <v>0.88</v>
      </c>
      <c r="MO30" s="610">
        <v>0.88</v>
      </c>
      <c r="MP30" s="610">
        <v>0.88</v>
      </c>
      <c r="MQ30" s="610">
        <v>0.88</v>
      </c>
      <c r="MR30" s="610">
        <v>0.88</v>
      </c>
      <c r="MS30" s="610">
        <v>0.88</v>
      </c>
      <c r="MT30" s="610">
        <v>0.88</v>
      </c>
      <c r="MU30" s="610">
        <v>0.88</v>
      </c>
      <c r="MV30" s="610">
        <v>0.84</v>
      </c>
      <c r="MW30" s="586">
        <v>0.84</v>
      </c>
      <c r="MX30" s="417">
        <v>0.84</v>
      </c>
      <c r="MY30" s="417">
        <v>0.84</v>
      </c>
      <c r="MZ30" s="417">
        <v>0.84</v>
      </c>
      <c r="NA30" s="417">
        <v>0.84</v>
      </c>
      <c r="NB30" s="417">
        <v>0.84</v>
      </c>
      <c r="NC30" s="417">
        <v>0.84</v>
      </c>
      <c r="ND30" s="417">
        <v>0.84</v>
      </c>
      <c r="NE30" s="417">
        <v>0.84</v>
      </c>
      <c r="NF30" s="417">
        <v>0.84</v>
      </c>
      <c r="NG30" s="417">
        <v>0.84</v>
      </c>
      <c r="NH30" s="417">
        <v>0.84</v>
      </c>
      <c r="NI30" s="417">
        <v>0.84</v>
      </c>
      <c r="NJ30" s="417">
        <v>0.84</v>
      </c>
      <c r="NK30" s="417">
        <v>0.84</v>
      </c>
      <c r="NL30" s="417">
        <v>0.84</v>
      </c>
      <c r="NM30" s="417">
        <v>0.84</v>
      </c>
      <c r="NN30" s="417">
        <v>0.82</v>
      </c>
      <c r="NO30" s="417">
        <v>0.88</v>
      </c>
      <c r="NP30" s="417">
        <v>0.88</v>
      </c>
      <c r="NQ30" s="417">
        <v>0.88</v>
      </c>
      <c r="NR30" s="417">
        <v>0.88</v>
      </c>
      <c r="NS30" s="417">
        <v>0.88</v>
      </c>
      <c r="NT30" s="417">
        <v>0.88</v>
      </c>
      <c r="NU30" s="417">
        <v>0.88</v>
      </c>
      <c r="NV30" s="417">
        <v>0.87</v>
      </c>
      <c r="NW30" s="417">
        <v>0.87</v>
      </c>
      <c r="NX30" s="417">
        <v>0.85</v>
      </c>
      <c r="NY30" s="417">
        <v>0.84</v>
      </c>
      <c r="NZ30" s="611">
        <v>0.82499999999999996</v>
      </c>
      <c r="OA30" s="635"/>
      <c r="OB30" s="638">
        <v>0.9</v>
      </c>
      <c r="OC30" s="638">
        <v>0.9</v>
      </c>
      <c r="OD30" s="638">
        <v>0.9</v>
      </c>
      <c r="OE30" s="638">
        <v>0.9</v>
      </c>
      <c r="OF30" s="638"/>
      <c r="OG30" s="638"/>
      <c r="OH30" s="638"/>
      <c r="OI30" s="638"/>
      <c r="OJ30" s="638"/>
      <c r="OK30" s="638"/>
      <c r="OL30" s="638"/>
      <c r="OM30" s="638"/>
      <c r="ON30" s="635"/>
      <c r="OO30" s="638">
        <v>0.8</v>
      </c>
      <c r="OP30" s="638">
        <v>0.8</v>
      </c>
      <c r="OQ30" s="638"/>
      <c r="OR30" s="638"/>
      <c r="OS30" s="638"/>
      <c r="OT30" s="638">
        <v>0.73</v>
      </c>
      <c r="OU30" s="638">
        <v>0.73</v>
      </c>
      <c r="OV30" s="638">
        <v>0.73</v>
      </c>
      <c r="OW30" s="638">
        <v>0.73</v>
      </c>
      <c r="OX30" s="638">
        <v>0.73</v>
      </c>
      <c r="OY30" s="638">
        <v>0.73</v>
      </c>
      <c r="OZ30" s="638"/>
      <c r="PA30" s="638"/>
      <c r="PB30" s="638">
        <v>0.78500000000000003</v>
      </c>
      <c r="PC30" s="638">
        <v>0.78500000000000003</v>
      </c>
      <c r="PD30" s="638"/>
      <c r="PE30" s="638">
        <v>0.78</v>
      </c>
      <c r="PF30" s="638"/>
      <c r="PG30" s="638"/>
      <c r="PH30" s="640"/>
      <c r="PI30" s="666"/>
      <c r="PJ30" s="666"/>
      <c r="PK30" s="666"/>
      <c r="PL30" s="420">
        <v>0.89</v>
      </c>
      <c r="PM30" s="420">
        <v>0.89</v>
      </c>
      <c r="PN30" s="420">
        <v>0.89</v>
      </c>
      <c r="PO30" s="550">
        <v>0.82</v>
      </c>
    </row>
    <row r="31" spans="1:431">
      <c r="A31" s="418" t="s">
        <v>1247</v>
      </c>
      <c r="B31" s="623" t="s">
        <v>1244</v>
      </c>
      <c r="C31" s="380" t="s">
        <v>438</v>
      </c>
      <c r="D31" s="380" t="s">
        <v>1228</v>
      </c>
      <c r="E31" s="380" t="s">
        <v>1245</v>
      </c>
      <c r="F31" s="380" t="s">
        <v>1248</v>
      </c>
      <c r="G31" s="494"/>
      <c r="H31" s="419">
        <v>0.82</v>
      </c>
      <c r="I31" s="420">
        <v>0.82</v>
      </c>
      <c r="J31" s="420">
        <v>0.82</v>
      </c>
      <c r="K31" s="419">
        <v>0.82</v>
      </c>
      <c r="L31" s="420">
        <v>0.82</v>
      </c>
      <c r="M31" s="420">
        <v>0.82</v>
      </c>
      <c r="N31" s="420">
        <v>0.82</v>
      </c>
      <c r="O31" s="420">
        <v>0.82</v>
      </c>
      <c r="P31" s="420">
        <v>0.82</v>
      </c>
      <c r="Q31" s="420">
        <v>0.82</v>
      </c>
      <c r="R31" s="420">
        <v>0.85</v>
      </c>
      <c r="S31" s="420">
        <v>0.85</v>
      </c>
      <c r="T31" s="420"/>
      <c r="U31" s="420"/>
      <c r="V31" s="420">
        <v>0.78</v>
      </c>
      <c r="W31" s="420">
        <v>0.78</v>
      </c>
      <c r="X31" s="420">
        <v>0.78</v>
      </c>
      <c r="Y31" s="420">
        <v>0.78</v>
      </c>
      <c r="Z31" s="420">
        <v>0.78</v>
      </c>
      <c r="AA31" s="420">
        <v>0.78</v>
      </c>
      <c r="AB31" s="420">
        <v>0.78</v>
      </c>
      <c r="AC31" s="420">
        <v>0.78</v>
      </c>
      <c r="AD31" s="420">
        <v>0.78</v>
      </c>
      <c r="AE31" s="420">
        <v>0.78</v>
      </c>
      <c r="AF31" s="420"/>
      <c r="AG31" s="420"/>
      <c r="AH31" s="420"/>
      <c r="AI31" s="420"/>
      <c r="AJ31" s="420"/>
      <c r="AK31" s="420"/>
      <c r="AL31" s="420"/>
      <c r="AM31" s="420"/>
      <c r="AN31" s="420"/>
      <c r="AO31" s="420"/>
      <c r="AP31" s="420"/>
      <c r="AQ31" s="420"/>
      <c r="AR31" s="420"/>
      <c r="AS31" s="420"/>
      <c r="AT31" s="420"/>
      <c r="AU31" s="420"/>
      <c r="AV31" s="420"/>
      <c r="AW31" s="420"/>
      <c r="AX31" s="420"/>
      <c r="AY31" s="420"/>
      <c r="AZ31" s="420"/>
      <c r="BA31" s="420"/>
      <c r="BB31" s="420"/>
      <c r="BC31" s="420"/>
      <c r="BD31" s="420"/>
      <c r="BE31" s="420"/>
      <c r="BF31" s="420"/>
      <c r="BG31" s="420"/>
      <c r="BH31" s="420"/>
      <c r="BI31" s="420"/>
      <c r="BJ31" s="420"/>
      <c r="BK31" s="420"/>
      <c r="BL31" s="420"/>
      <c r="BM31" s="420"/>
      <c r="BN31" s="420"/>
      <c r="BO31" s="420"/>
      <c r="BP31" s="420"/>
      <c r="BQ31" s="420"/>
      <c r="BR31" s="420"/>
      <c r="BS31" s="420"/>
      <c r="BT31" s="420"/>
      <c r="BU31" s="420"/>
      <c r="BV31" s="420"/>
      <c r="BW31" s="420"/>
      <c r="BX31" s="420"/>
      <c r="BY31" s="420"/>
      <c r="BZ31" s="420"/>
      <c r="CA31" s="420"/>
      <c r="CB31" s="420"/>
      <c r="CC31" s="858"/>
      <c r="CD31" s="420"/>
      <c r="CE31" s="420"/>
      <c r="CF31" s="420"/>
      <c r="CG31" s="420"/>
      <c r="CH31" s="420"/>
      <c r="CI31" s="420"/>
      <c r="CJ31" s="420"/>
      <c r="CK31" s="420"/>
      <c r="CL31" s="420"/>
      <c r="CM31" s="420"/>
      <c r="CN31" s="420"/>
      <c r="CO31" s="420"/>
      <c r="CP31" s="420"/>
      <c r="CQ31" s="420"/>
      <c r="CR31" s="420"/>
      <c r="CS31" s="420"/>
      <c r="CT31" s="420"/>
      <c r="CU31" s="420"/>
      <c r="CV31" s="420"/>
      <c r="CW31" s="420"/>
      <c r="CX31" s="420"/>
      <c r="CY31" s="420"/>
      <c r="CZ31" s="420"/>
      <c r="DA31" s="420"/>
      <c r="DB31" s="420"/>
      <c r="DC31" s="420"/>
      <c r="DD31" s="420"/>
      <c r="DE31" s="420"/>
      <c r="DF31" s="420"/>
      <c r="DG31" s="420"/>
      <c r="DH31" s="420"/>
      <c r="DI31" s="420"/>
      <c r="DJ31" s="420"/>
      <c r="DK31" s="420"/>
      <c r="DL31" s="420"/>
      <c r="DM31" s="420"/>
      <c r="DN31" s="420"/>
      <c r="DO31" s="420"/>
      <c r="DP31" s="420"/>
      <c r="DQ31" s="420"/>
      <c r="DR31" s="420"/>
      <c r="DS31" s="499"/>
      <c r="DT31" s="402"/>
      <c r="DU31" s="422"/>
      <c r="DV31" s="422"/>
      <c r="DW31" s="422"/>
      <c r="DX31" s="422"/>
      <c r="DY31" s="422"/>
      <c r="DZ31" s="596"/>
      <c r="EA31" s="422">
        <v>0.77</v>
      </c>
      <c r="EB31" s="422">
        <v>0.77</v>
      </c>
      <c r="EC31" s="596"/>
      <c r="ED31" s="422"/>
      <c r="EE31" s="422"/>
      <c r="EF31" s="422"/>
      <c r="EG31" s="422"/>
      <c r="EH31" s="422"/>
      <c r="EI31" s="422"/>
      <c r="EJ31" s="422"/>
      <c r="EK31" s="422"/>
      <c r="EL31" s="596"/>
      <c r="EM31" s="422"/>
      <c r="EN31" s="422"/>
      <c r="EO31" s="422"/>
      <c r="EP31" s="422"/>
      <c r="EQ31" s="422"/>
      <c r="ER31" s="422"/>
      <c r="ES31" s="422"/>
      <c r="ET31" s="422"/>
      <c r="EU31" s="422"/>
      <c r="EV31" s="422"/>
      <c r="EW31" s="422"/>
      <c r="EX31" s="422"/>
      <c r="EY31" s="422"/>
      <c r="EZ31" s="422"/>
      <c r="FA31" s="422"/>
      <c r="FB31" s="422"/>
      <c r="FC31" s="422"/>
      <c r="FD31" s="422"/>
      <c r="FE31" s="596"/>
      <c r="FF31" s="422"/>
      <c r="FG31" s="422"/>
      <c r="FH31" s="422"/>
      <c r="FI31" s="422"/>
      <c r="FJ31" s="422"/>
      <c r="FK31" s="422"/>
      <c r="FL31" s="422"/>
      <c r="FM31" s="422"/>
      <c r="FN31" s="422"/>
      <c r="FO31" s="422"/>
      <c r="FP31" s="422"/>
      <c r="FQ31" s="422"/>
      <c r="FR31" s="422"/>
      <c r="FS31" s="422"/>
      <c r="FT31" s="422"/>
      <c r="FU31" s="422"/>
      <c r="FV31" s="422"/>
      <c r="FW31" s="422"/>
      <c r="FX31" s="422"/>
      <c r="FY31" s="422"/>
      <c r="FZ31" s="422"/>
      <c r="GA31" s="422"/>
      <c r="GB31" s="422"/>
      <c r="GC31" s="422"/>
      <c r="GD31" s="422"/>
      <c r="GE31" s="422"/>
      <c r="GF31" s="422"/>
      <c r="GG31" s="422"/>
      <c r="GH31" s="422"/>
      <c r="GI31" s="422"/>
      <c r="GJ31" s="422"/>
      <c r="GK31" s="422"/>
      <c r="GL31" s="422">
        <v>0.85</v>
      </c>
      <c r="GM31" s="422">
        <v>0.85</v>
      </c>
      <c r="GN31" s="422">
        <v>0.85</v>
      </c>
      <c r="GO31" s="422">
        <v>0.85</v>
      </c>
      <c r="GP31" s="422">
        <v>0.85</v>
      </c>
      <c r="GQ31" s="422">
        <v>0.85</v>
      </c>
      <c r="GR31" s="422">
        <v>0.85</v>
      </c>
      <c r="GS31" s="422">
        <v>0.85</v>
      </c>
      <c r="GT31" s="422">
        <v>0.85</v>
      </c>
      <c r="GU31" s="422">
        <v>0.85</v>
      </c>
      <c r="GV31" s="422">
        <v>0.85</v>
      </c>
      <c r="GW31" s="422">
        <v>0.85</v>
      </c>
      <c r="GX31" s="422">
        <v>0.85</v>
      </c>
      <c r="GY31" s="422">
        <v>0.85</v>
      </c>
      <c r="GZ31" s="422">
        <v>0.85</v>
      </c>
      <c r="HA31" s="422">
        <v>0.84</v>
      </c>
      <c r="HB31" s="422">
        <v>0.85499999999999998</v>
      </c>
      <c r="HC31" s="422">
        <v>0.84499999999999997</v>
      </c>
      <c r="HD31" s="596"/>
      <c r="HE31" s="422">
        <v>0.8</v>
      </c>
      <c r="HF31" s="422">
        <v>0.8</v>
      </c>
      <c r="HG31" s="422">
        <v>0.8</v>
      </c>
      <c r="HH31" s="422">
        <v>0.8</v>
      </c>
      <c r="HI31" s="422">
        <v>0.8</v>
      </c>
      <c r="HJ31" s="596"/>
      <c r="HK31" s="422">
        <v>0.8</v>
      </c>
      <c r="HL31" s="422">
        <v>0.8</v>
      </c>
      <c r="HM31" s="422">
        <v>0.8</v>
      </c>
      <c r="HN31" s="422">
        <v>0.8</v>
      </c>
      <c r="HO31" s="422">
        <v>0.8</v>
      </c>
      <c r="HP31" s="422">
        <v>0.8</v>
      </c>
      <c r="HQ31" s="422">
        <v>0.8</v>
      </c>
      <c r="HR31" s="422">
        <v>0.8</v>
      </c>
      <c r="HS31" s="422">
        <v>0.8</v>
      </c>
      <c r="HT31" s="422">
        <v>0.8</v>
      </c>
      <c r="HU31" s="422">
        <v>0.8</v>
      </c>
      <c r="HV31" s="422">
        <v>0.8</v>
      </c>
      <c r="HW31" s="596"/>
      <c r="HX31" s="422">
        <v>0.84</v>
      </c>
      <c r="HY31" s="422">
        <v>0.84</v>
      </c>
      <c r="HZ31" s="422">
        <v>0.84</v>
      </c>
      <c r="IA31" s="422">
        <v>0.84</v>
      </c>
      <c r="IB31" s="422">
        <v>0.84</v>
      </c>
      <c r="IC31" s="422">
        <v>0.84</v>
      </c>
      <c r="ID31" s="422">
        <v>0.84</v>
      </c>
      <c r="IE31" s="422">
        <v>0.84</v>
      </c>
      <c r="IF31" s="422">
        <v>0.84</v>
      </c>
      <c r="IG31" s="422">
        <v>0.84</v>
      </c>
      <c r="IH31" s="422">
        <v>0.84</v>
      </c>
      <c r="II31" s="422"/>
      <c r="IJ31" s="596"/>
      <c r="IK31" s="422">
        <v>0.85</v>
      </c>
      <c r="IL31" s="422">
        <v>0.85</v>
      </c>
      <c r="IM31" s="422">
        <v>0.85</v>
      </c>
      <c r="IN31" s="423"/>
      <c r="IO31" s="424">
        <v>0.8</v>
      </c>
      <c r="IP31" s="424">
        <v>0.8</v>
      </c>
      <c r="IQ31" s="424">
        <v>0.8</v>
      </c>
      <c r="IR31" s="424">
        <v>0.8</v>
      </c>
      <c r="IS31" s="424">
        <v>0.8</v>
      </c>
      <c r="IT31" s="424">
        <v>0.8</v>
      </c>
      <c r="IU31" s="425"/>
      <c r="IV31" s="425"/>
      <c r="IW31" s="425"/>
      <c r="IX31" s="425"/>
      <c r="IY31" s="425"/>
      <c r="IZ31" s="425"/>
      <c r="JA31" s="425"/>
      <c r="JB31" s="425"/>
      <c r="JC31" s="425"/>
      <c r="JD31" s="425"/>
      <c r="JE31" s="425"/>
      <c r="JF31" s="425"/>
      <c r="JG31" s="425"/>
      <c r="JH31" s="425"/>
      <c r="JI31" s="425"/>
      <c r="JJ31" s="426"/>
      <c r="JK31" s="427"/>
      <c r="JL31" s="428"/>
      <c r="JM31" s="428">
        <v>0.75</v>
      </c>
      <c r="JN31" s="428">
        <v>0.75</v>
      </c>
      <c r="JO31" s="428"/>
      <c r="JP31" s="428"/>
      <c r="JQ31" s="428"/>
      <c r="JR31" s="428"/>
      <c r="JS31" s="428"/>
      <c r="JT31" s="428"/>
      <c r="JU31" s="428"/>
      <c r="JV31" s="428"/>
      <c r="JW31" s="428"/>
      <c r="JX31" s="428"/>
      <c r="JY31" s="428"/>
      <c r="JZ31" s="428"/>
      <c r="KA31" s="428"/>
      <c r="KB31" s="428"/>
      <c r="KC31" s="428"/>
      <c r="KD31" s="428"/>
      <c r="KE31" s="428"/>
      <c r="KF31" s="428"/>
      <c r="KG31" s="428"/>
      <c r="KH31" s="428"/>
      <c r="KI31" s="428"/>
      <c r="KJ31" s="429"/>
      <c r="KK31" s="430"/>
      <c r="KL31" s="545"/>
      <c r="KM31" s="431"/>
      <c r="KN31" s="431"/>
      <c r="KO31" s="431"/>
      <c r="KP31" s="431"/>
      <c r="KQ31" s="463"/>
      <c r="KR31" s="464"/>
      <c r="KS31" s="465"/>
      <c r="KT31" s="466"/>
      <c r="KU31" s="466"/>
      <c r="KV31" s="466"/>
      <c r="KW31" s="466"/>
      <c r="KX31" s="466"/>
      <c r="KY31" s="466"/>
      <c r="KZ31" s="466"/>
      <c r="LA31" s="466"/>
      <c r="LB31" s="466"/>
      <c r="LC31" s="466"/>
      <c r="LD31" s="466"/>
      <c r="LE31" s="466"/>
      <c r="LF31" s="466"/>
      <c r="LG31" s="466"/>
      <c r="LH31" s="466"/>
      <c r="LI31" s="466"/>
      <c r="LJ31" s="466"/>
      <c r="LK31" s="466"/>
      <c r="LL31" s="466"/>
      <c r="LM31" s="466"/>
      <c r="LN31" s="466"/>
      <c r="LO31" s="466"/>
      <c r="LP31" s="466"/>
      <c r="LQ31" s="466"/>
      <c r="LR31" s="466"/>
      <c r="LS31" s="466"/>
      <c r="LT31" s="734"/>
      <c r="LU31" s="611"/>
      <c r="LV31" s="588"/>
      <c r="LW31" s="611"/>
      <c r="LX31" s="611"/>
      <c r="LY31" s="611"/>
      <c r="LZ31" s="611"/>
      <c r="MA31" s="611"/>
      <c r="MB31" s="611"/>
      <c r="MC31" s="611"/>
      <c r="MD31" s="588"/>
      <c r="ME31" s="611"/>
      <c r="MF31" s="588"/>
      <c r="MG31" s="611"/>
      <c r="MH31" s="588"/>
      <c r="MI31" s="611"/>
      <c r="MJ31" s="588"/>
      <c r="MK31" s="611"/>
      <c r="ML31" s="611"/>
      <c r="MM31" s="611"/>
      <c r="MN31" s="611"/>
      <c r="MO31" s="611"/>
      <c r="MP31" s="611"/>
      <c r="MQ31" s="611"/>
      <c r="MR31" s="611"/>
      <c r="MS31" s="611"/>
      <c r="MT31" s="611"/>
      <c r="MU31" s="611"/>
      <c r="MV31" s="611"/>
      <c r="MW31" s="588"/>
      <c r="MX31" s="436"/>
      <c r="MY31" s="436"/>
      <c r="MZ31" s="436"/>
      <c r="NA31" s="436"/>
      <c r="NB31" s="436"/>
      <c r="NC31" s="436"/>
      <c r="ND31" s="436"/>
      <c r="NE31" s="436"/>
      <c r="NF31" s="436"/>
      <c r="NG31" s="436"/>
      <c r="NH31" s="436"/>
      <c r="NI31" s="436"/>
      <c r="NJ31" s="436"/>
      <c r="NK31" s="436"/>
      <c r="NL31" s="436"/>
      <c r="NM31" s="436"/>
      <c r="NN31" s="436"/>
      <c r="NO31" s="436"/>
      <c r="NP31" s="436"/>
      <c r="NQ31" s="436"/>
      <c r="NR31" s="436"/>
      <c r="NS31" s="436"/>
      <c r="NT31" s="436"/>
      <c r="NU31" s="436"/>
      <c r="NV31" s="436"/>
      <c r="NW31" s="436"/>
      <c r="NX31" s="436"/>
      <c r="NY31" s="436"/>
      <c r="NZ31" s="611"/>
      <c r="OA31" s="635"/>
      <c r="OB31" s="638">
        <v>0.8</v>
      </c>
      <c r="OC31" s="638">
        <v>0.8</v>
      </c>
      <c r="OD31" s="638">
        <v>0.8</v>
      </c>
      <c r="OE31" s="638">
        <v>0.82</v>
      </c>
      <c r="OF31" s="638"/>
      <c r="OG31" s="638"/>
      <c r="OH31" s="638"/>
      <c r="OI31" s="638"/>
      <c r="OJ31" s="638"/>
      <c r="OK31" s="638"/>
      <c r="OL31" s="638"/>
      <c r="OM31" s="638"/>
      <c r="ON31" s="635"/>
      <c r="OO31" s="638">
        <v>0.78</v>
      </c>
      <c r="OP31" s="638">
        <v>0.78</v>
      </c>
      <c r="OQ31" s="638">
        <v>0.78500000000000003</v>
      </c>
      <c r="OR31" s="638">
        <v>0.78500000000000003</v>
      </c>
      <c r="OS31" s="638"/>
      <c r="OT31" s="638"/>
      <c r="OU31" s="638"/>
      <c r="OV31" s="638"/>
      <c r="OW31" s="638"/>
      <c r="OX31" s="638"/>
      <c r="OY31" s="638"/>
      <c r="OZ31" s="638"/>
      <c r="PA31" s="638"/>
      <c r="PB31" s="638"/>
      <c r="PC31" s="638"/>
      <c r="PD31" s="638"/>
      <c r="PE31" s="638"/>
      <c r="PF31" s="638"/>
      <c r="PG31" s="638"/>
      <c r="PH31" s="640"/>
      <c r="PI31" s="666"/>
      <c r="PJ31" s="666"/>
      <c r="PK31" s="666"/>
      <c r="PL31" s="420">
        <v>0.85</v>
      </c>
      <c r="PM31" s="420">
        <v>0.85</v>
      </c>
      <c r="PN31" s="420">
        <v>0.85</v>
      </c>
      <c r="PO31" s="550"/>
    </row>
    <row r="32" spans="1:431">
      <c r="A32" s="418" t="s">
        <v>1249</v>
      </c>
      <c r="B32" s="623" t="s">
        <v>1250</v>
      </c>
      <c r="C32" s="380" t="s">
        <v>438</v>
      </c>
      <c r="D32" s="380" t="s">
        <v>1228</v>
      </c>
      <c r="E32" s="380" t="s">
        <v>1245</v>
      </c>
      <c r="F32" s="380" t="s">
        <v>1251</v>
      </c>
      <c r="G32" s="496"/>
      <c r="H32" s="437"/>
      <c r="I32" s="438"/>
      <c r="J32" s="438"/>
      <c r="K32" s="437"/>
      <c r="L32" s="438"/>
      <c r="M32" s="438"/>
      <c r="N32" s="438"/>
      <c r="O32" s="438"/>
      <c r="P32" s="438"/>
      <c r="Q32" s="438"/>
      <c r="R32" s="438"/>
      <c r="S32" s="438"/>
      <c r="T32" s="438"/>
      <c r="U32" s="438"/>
      <c r="V32" s="438"/>
      <c r="W32" s="438"/>
      <c r="X32" s="438"/>
      <c r="Y32" s="438"/>
      <c r="Z32" s="438"/>
      <c r="AA32" s="438"/>
      <c r="AB32" s="438"/>
      <c r="AC32" s="438"/>
      <c r="AD32" s="438"/>
      <c r="AE32" s="438"/>
      <c r="AF32" s="438"/>
      <c r="AG32" s="438"/>
      <c r="AH32" s="438"/>
      <c r="AI32" s="438"/>
      <c r="AJ32" s="438"/>
      <c r="AK32" s="438"/>
      <c r="AL32" s="438"/>
      <c r="AM32" s="438"/>
      <c r="AN32" s="438"/>
      <c r="AO32" s="438"/>
      <c r="AP32" s="438"/>
      <c r="AQ32" s="438"/>
      <c r="AR32" s="438"/>
      <c r="AS32" s="438"/>
      <c r="AT32" s="438"/>
      <c r="AU32" s="438"/>
      <c r="AV32" s="438"/>
      <c r="AW32" s="438"/>
      <c r="AX32" s="438"/>
      <c r="AY32" s="438"/>
      <c r="AZ32" s="438"/>
      <c r="BA32" s="438"/>
      <c r="BB32" s="438"/>
      <c r="BC32" s="438"/>
      <c r="BD32" s="438"/>
      <c r="BE32" s="438"/>
      <c r="BF32" s="438"/>
      <c r="BG32" s="438"/>
      <c r="BH32" s="438"/>
      <c r="BI32" s="438"/>
      <c r="BJ32" s="438"/>
      <c r="BK32" s="438"/>
      <c r="BL32" s="438"/>
      <c r="BM32" s="438"/>
      <c r="BN32" s="438"/>
      <c r="BO32" s="438"/>
      <c r="BP32" s="438"/>
      <c r="BQ32" s="438"/>
      <c r="BR32" s="438"/>
      <c r="BS32" s="438"/>
      <c r="BT32" s="438"/>
      <c r="BU32" s="438"/>
      <c r="BV32" s="438"/>
      <c r="BW32" s="438"/>
      <c r="BX32" s="438"/>
      <c r="BY32" s="438"/>
      <c r="BZ32" s="438"/>
      <c r="CA32" s="438"/>
      <c r="CB32" s="438"/>
      <c r="CC32" s="859"/>
      <c r="CD32" s="438"/>
      <c r="CE32" s="438"/>
      <c r="CF32" s="438"/>
      <c r="CG32" s="438"/>
      <c r="CH32" s="438"/>
      <c r="CI32" s="438"/>
      <c r="CJ32" s="438"/>
      <c r="CK32" s="438"/>
      <c r="CL32" s="438"/>
      <c r="CM32" s="438"/>
      <c r="CN32" s="438"/>
      <c r="CO32" s="438"/>
      <c r="CP32" s="438"/>
      <c r="CQ32" s="438"/>
      <c r="CR32" s="438"/>
      <c r="CS32" s="438"/>
      <c r="CT32" s="438"/>
      <c r="CU32" s="438"/>
      <c r="CV32" s="438"/>
      <c r="CW32" s="438"/>
      <c r="CX32" s="438"/>
      <c r="CY32" s="438"/>
      <c r="CZ32" s="438"/>
      <c r="DA32" s="438"/>
      <c r="DB32" s="438"/>
      <c r="DC32" s="438"/>
      <c r="DD32" s="438"/>
      <c r="DE32" s="438"/>
      <c r="DF32" s="438"/>
      <c r="DG32" s="438"/>
      <c r="DH32" s="438"/>
      <c r="DI32" s="438"/>
      <c r="DJ32" s="438"/>
      <c r="DK32" s="438"/>
      <c r="DL32" s="438"/>
      <c r="DM32" s="438"/>
      <c r="DN32" s="438"/>
      <c r="DO32" s="438"/>
      <c r="DP32" s="438"/>
      <c r="DQ32" s="438"/>
      <c r="DR32" s="438"/>
      <c r="DS32" s="501"/>
      <c r="DT32" s="421"/>
      <c r="DU32" s="422"/>
      <c r="DV32" s="422"/>
      <c r="DW32" s="422"/>
      <c r="DX32" s="422"/>
      <c r="DY32" s="422"/>
      <c r="DZ32" s="596"/>
      <c r="EA32" s="422"/>
      <c r="EB32" s="422"/>
      <c r="EC32" s="596"/>
      <c r="ED32" s="422"/>
      <c r="EE32" s="422"/>
      <c r="EF32" s="422"/>
      <c r="EG32" s="422"/>
      <c r="EH32" s="422"/>
      <c r="EI32" s="422"/>
      <c r="EJ32" s="422"/>
      <c r="EK32" s="422"/>
      <c r="EL32" s="596"/>
      <c r="EM32" s="422"/>
      <c r="EN32" s="422"/>
      <c r="EO32" s="422"/>
      <c r="EP32" s="422"/>
      <c r="EQ32" s="422"/>
      <c r="ER32" s="422"/>
      <c r="ES32" s="422"/>
      <c r="ET32" s="422"/>
      <c r="EU32" s="422"/>
      <c r="EV32" s="422"/>
      <c r="EW32" s="422"/>
      <c r="EX32" s="422"/>
      <c r="EY32" s="422"/>
      <c r="EZ32" s="422"/>
      <c r="FA32" s="422"/>
      <c r="FB32" s="422"/>
      <c r="FC32" s="422"/>
      <c r="FD32" s="422"/>
      <c r="FE32" s="596"/>
      <c r="FF32" s="422"/>
      <c r="FG32" s="422"/>
      <c r="FH32" s="422"/>
      <c r="FI32" s="422"/>
      <c r="FJ32" s="422"/>
      <c r="FK32" s="422"/>
      <c r="FL32" s="422"/>
      <c r="FM32" s="422"/>
      <c r="FN32" s="422"/>
      <c r="FO32" s="422"/>
      <c r="FP32" s="422"/>
      <c r="FQ32" s="422"/>
      <c r="FR32" s="422"/>
      <c r="FS32" s="422"/>
      <c r="FT32" s="422"/>
      <c r="FU32" s="422"/>
      <c r="FV32" s="422"/>
      <c r="FW32" s="422"/>
      <c r="FX32" s="422"/>
      <c r="FY32" s="422"/>
      <c r="FZ32" s="422"/>
      <c r="GA32" s="422"/>
      <c r="GB32" s="422"/>
      <c r="GC32" s="422"/>
      <c r="GD32" s="422"/>
      <c r="GE32" s="422"/>
      <c r="GF32" s="422"/>
      <c r="GG32" s="422"/>
      <c r="GH32" s="422"/>
      <c r="GI32" s="422"/>
      <c r="GJ32" s="422"/>
      <c r="GK32" s="422"/>
      <c r="GL32" s="422"/>
      <c r="GM32" s="422"/>
      <c r="GN32" s="422"/>
      <c r="GO32" s="422"/>
      <c r="GP32" s="422"/>
      <c r="GQ32" s="422"/>
      <c r="GR32" s="422"/>
      <c r="GS32" s="422"/>
      <c r="GT32" s="422"/>
      <c r="GU32" s="422"/>
      <c r="GV32" s="422"/>
      <c r="GW32" s="422"/>
      <c r="GX32" s="422"/>
      <c r="GY32" s="422"/>
      <c r="GZ32" s="422"/>
      <c r="HA32" s="422"/>
      <c r="HB32" s="422"/>
      <c r="HC32" s="422"/>
      <c r="HD32" s="596"/>
      <c r="HE32" s="422"/>
      <c r="HF32" s="422"/>
      <c r="HG32" s="422"/>
      <c r="HH32" s="422"/>
      <c r="HI32" s="422"/>
      <c r="HJ32" s="596"/>
      <c r="HK32" s="422"/>
      <c r="HL32" s="422"/>
      <c r="HM32" s="422"/>
      <c r="HN32" s="422"/>
      <c r="HO32" s="422"/>
      <c r="HP32" s="422"/>
      <c r="HQ32" s="422"/>
      <c r="HR32" s="422"/>
      <c r="HS32" s="422"/>
      <c r="HT32" s="422"/>
      <c r="HU32" s="422"/>
      <c r="HV32" s="422"/>
      <c r="HW32" s="596"/>
      <c r="HX32" s="422"/>
      <c r="HY32" s="422"/>
      <c r="HZ32" s="422"/>
      <c r="IA32" s="422"/>
      <c r="IB32" s="422"/>
      <c r="IC32" s="422"/>
      <c r="ID32" s="422"/>
      <c r="IE32" s="422"/>
      <c r="IF32" s="422"/>
      <c r="IG32" s="422"/>
      <c r="IH32" s="422"/>
      <c r="II32" s="422"/>
      <c r="IJ32" s="596"/>
      <c r="IK32" s="422"/>
      <c r="IL32" s="422"/>
      <c r="IM32" s="422"/>
      <c r="IN32" s="441"/>
      <c r="IO32" s="424"/>
      <c r="IP32" s="617"/>
      <c r="IQ32" s="425"/>
      <c r="IR32" s="425"/>
      <c r="IS32" s="425"/>
      <c r="IT32" s="425"/>
      <c r="IU32" s="425"/>
      <c r="IV32" s="425"/>
      <c r="IW32" s="425"/>
      <c r="IX32" s="425"/>
      <c r="IY32" s="425"/>
      <c r="IZ32" s="425"/>
      <c r="JA32" s="425"/>
      <c r="JB32" s="425"/>
      <c r="JC32" s="425"/>
      <c r="JD32" s="425"/>
      <c r="JE32" s="425"/>
      <c r="JF32" s="425"/>
      <c r="JG32" s="425"/>
      <c r="JH32" s="425"/>
      <c r="JI32" s="425"/>
      <c r="JJ32" s="444"/>
      <c r="JK32" s="427"/>
      <c r="JL32" s="428"/>
      <c r="JM32" s="428"/>
      <c r="JN32" s="428"/>
      <c r="JO32" s="428"/>
      <c r="JP32" s="428"/>
      <c r="JQ32" s="428"/>
      <c r="JR32" s="428"/>
      <c r="JS32" s="428"/>
      <c r="JT32" s="428"/>
      <c r="JU32" s="428"/>
      <c r="JV32" s="428"/>
      <c r="JW32" s="428"/>
      <c r="JX32" s="428"/>
      <c r="JY32" s="428"/>
      <c r="JZ32" s="428"/>
      <c r="KA32" s="428"/>
      <c r="KB32" s="428"/>
      <c r="KC32" s="428"/>
      <c r="KD32" s="428"/>
      <c r="KE32" s="428"/>
      <c r="KF32" s="428"/>
      <c r="KG32" s="428"/>
      <c r="KH32" s="428"/>
      <c r="KI32" s="428"/>
      <c r="KJ32" s="429"/>
      <c r="KK32" s="430"/>
      <c r="KL32" s="545"/>
      <c r="KM32" s="431"/>
      <c r="KN32" s="431"/>
      <c r="KO32" s="431"/>
      <c r="KP32" s="431"/>
      <c r="KQ32" s="467"/>
      <c r="KR32" s="464"/>
      <c r="KS32" s="465"/>
      <c r="KT32" s="466"/>
      <c r="KU32" s="466"/>
      <c r="KV32" s="466"/>
      <c r="KW32" s="466"/>
      <c r="KX32" s="466"/>
      <c r="KY32" s="466"/>
      <c r="KZ32" s="466"/>
      <c r="LA32" s="466"/>
      <c r="LB32" s="466"/>
      <c r="LC32" s="466"/>
      <c r="LD32" s="466"/>
      <c r="LE32" s="466"/>
      <c r="LF32" s="466"/>
      <c r="LG32" s="466"/>
      <c r="LH32" s="466"/>
      <c r="LI32" s="466"/>
      <c r="LJ32" s="466"/>
      <c r="LK32" s="466"/>
      <c r="LL32" s="466"/>
      <c r="LM32" s="466"/>
      <c r="LN32" s="466"/>
      <c r="LO32" s="466"/>
      <c r="LP32" s="466"/>
      <c r="LQ32" s="466"/>
      <c r="LR32" s="466"/>
      <c r="LS32" s="466"/>
      <c r="LT32" s="734"/>
      <c r="LU32" s="611"/>
      <c r="LV32" s="588"/>
      <c r="LW32" s="611"/>
      <c r="LX32" s="611"/>
      <c r="LY32" s="611"/>
      <c r="LZ32" s="611"/>
      <c r="MA32" s="611"/>
      <c r="MB32" s="611"/>
      <c r="MC32" s="611"/>
      <c r="MD32" s="588"/>
      <c r="ME32" s="611"/>
      <c r="MF32" s="588"/>
      <c r="MG32" s="611"/>
      <c r="MH32" s="588"/>
      <c r="MI32" s="611"/>
      <c r="MJ32" s="588"/>
      <c r="MK32" s="611"/>
      <c r="ML32" s="611"/>
      <c r="MM32" s="611"/>
      <c r="MN32" s="611"/>
      <c r="MO32" s="611"/>
      <c r="MP32" s="611"/>
      <c r="MQ32" s="611"/>
      <c r="MR32" s="611"/>
      <c r="MS32" s="611"/>
      <c r="MT32" s="611"/>
      <c r="MU32" s="611"/>
      <c r="MV32" s="611"/>
      <c r="MW32" s="588"/>
      <c r="MX32" s="436"/>
      <c r="MY32" s="436"/>
      <c r="MZ32" s="436"/>
      <c r="NA32" s="436"/>
      <c r="NB32" s="436"/>
      <c r="NC32" s="436"/>
      <c r="ND32" s="436"/>
      <c r="NE32" s="436"/>
      <c r="NF32" s="436"/>
      <c r="NG32" s="436"/>
      <c r="NH32" s="436"/>
      <c r="NI32" s="436"/>
      <c r="NJ32" s="436"/>
      <c r="NK32" s="436"/>
      <c r="NL32" s="436"/>
      <c r="NM32" s="436"/>
      <c r="NN32" s="436"/>
      <c r="NO32" s="436"/>
      <c r="NP32" s="436"/>
      <c r="NQ32" s="436"/>
      <c r="NR32" s="436"/>
      <c r="NS32" s="436"/>
      <c r="NT32" s="436"/>
      <c r="NU32" s="436"/>
      <c r="NV32" s="436"/>
      <c r="NW32" s="436"/>
      <c r="NX32" s="436"/>
      <c r="NY32" s="436"/>
      <c r="NZ32" s="611"/>
      <c r="OA32" s="635"/>
      <c r="OB32" s="638"/>
      <c r="OC32" s="638"/>
      <c r="OD32" s="638"/>
      <c r="OE32" s="638"/>
      <c r="OF32" s="638"/>
      <c r="OG32" s="638"/>
      <c r="OH32" s="638"/>
      <c r="OI32" s="638"/>
      <c r="OJ32" s="638"/>
      <c r="OK32" s="638"/>
      <c r="OL32" s="638"/>
      <c r="OM32" s="638"/>
      <c r="ON32" s="635"/>
      <c r="OO32" s="638"/>
      <c r="OP32" s="638"/>
      <c r="OQ32" s="638"/>
      <c r="OR32" s="638"/>
      <c r="OS32" s="638"/>
      <c r="OT32" s="638"/>
      <c r="OU32" s="638"/>
      <c r="OV32" s="638"/>
      <c r="OW32" s="638"/>
      <c r="OX32" s="638"/>
      <c r="OY32" s="638"/>
      <c r="OZ32" s="638"/>
      <c r="PA32" s="638"/>
      <c r="PB32" s="638"/>
      <c r="PC32" s="638"/>
      <c r="PD32" s="638"/>
      <c r="PE32" s="638"/>
      <c r="PF32" s="638"/>
      <c r="PG32" s="638"/>
      <c r="PH32" s="640"/>
      <c r="PI32" s="666"/>
      <c r="PJ32" s="666"/>
      <c r="PK32" s="666"/>
      <c r="PL32" s="420"/>
      <c r="PM32" s="420"/>
      <c r="PN32" s="420"/>
      <c r="PO32" s="550"/>
    </row>
    <row r="33" spans="1:431" ht="15.75">
      <c r="A33" s="510" t="s">
        <v>1252</v>
      </c>
      <c r="B33" s="624"/>
      <c r="C33" s="620"/>
      <c r="D33" s="620"/>
      <c r="E33" s="620"/>
      <c r="F33" s="620"/>
      <c r="G33" s="493"/>
      <c r="H33" s="471"/>
      <c r="I33" s="455"/>
      <c r="J33" s="455"/>
      <c r="K33" s="455"/>
      <c r="L33" s="455"/>
      <c r="M33" s="455"/>
      <c r="N33" s="455"/>
      <c r="O33" s="455"/>
      <c r="P33" s="455"/>
      <c r="Q33" s="455"/>
      <c r="R33" s="455"/>
      <c r="S33" s="455"/>
      <c r="T33" s="455"/>
      <c r="U33" s="455"/>
      <c r="V33" s="455"/>
      <c r="W33" s="455"/>
      <c r="X33" s="455"/>
      <c r="Y33" s="455"/>
      <c r="Z33" s="455"/>
      <c r="AA33" s="455"/>
      <c r="AB33" s="455"/>
      <c r="AC33" s="455"/>
      <c r="AD33" s="455"/>
      <c r="AE33" s="455"/>
      <c r="AF33" s="455"/>
      <c r="AG33" s="455"/>
      <c r="AH33" s="455"/>
      <c r="AI33" s="455"/>
      <c r="AJ33" s="455"/>
      <c r="AK33" s="455"/>
      <c r="AL33" s="455"/>
      <c r="AM33" s="455"/>
      <c r="AN33" s="455"/>
      <c r="AO33" s="455"/>
      <c r="AP33" s="455"/>
      <c r="AQ33" s="455"/>
      <c r="AR33" s="455"/>
      <c r="AS33" s="455"/>
      <c r="AT33" s="455"/>
      <c r="AU33" s="455"/>
      <c r="AV33" s="455"/>
      <c r="AW33" s="455"/>
      <c r="AX33" s="455"/>
      <c r="AY33" s="455"/>
      <c r="AZ33" s="455"/>
      <c r="BA33" s="455"/>
      <c r="BB33" s="455"/>
      <c r="BC33" s="455"/>
      <c r="BD33" s="455"/>
      <c r="BE33" s="455"/>
      <c r="BF33" s="455"/>
      <c r="BG33" s="455"/>
      <c r="BH33" s="455"/>
      <c r="BI33" s="455"/>
      <c r="BJ33" s="455"/>
      <c r="BK33" s="455"/>
      <c r="BL33" s="455"/>
      <c r="BM33" s="455"/>
      <c r="BN33" s="455"/>
      <c r="BO33" s="455"/>
      <c r="BP33" s="455"/>
      <c r="BQ33" s="455"/>
      <c r="BR33" s="455"/>
      <c r="BS33" s="455"/>
      <c r="BT33" s="455"/>
      <c r="BU33" s="455"/>
      <c r="BV33" s="455"/>
      <c r="BW33" s="455"/>
      <c r="BX33" s="455"/>
      <c r="BY33" s="455"/>
      <c r="BZ33" s="455"/>
      <c r="CA33" s="455"/>
      <c r="CB33" s="455"/>
      <c r="CC33" s="854"/>
      <c r="CD33" s="455"/>
      <c r="CE33" s="455"/>
      <c r="CF33" s="455"/>
      <c r="CG33" s="455"/>
      <c r="CH33" s="455"/>
      <c r="CI33" s="455"/>
      <c r="CJ33" s="455"/>
      <c r="CK33" s="455"/>
      <c r="CL33" s="455"/>
      <c r="CM33" s="455"/>
      <c r="CN33" s="455"/>
      <c r="CO33" s="455"/>
      <c r="CP33" s="455"/>
      <c r="CQ33" s="455"/>
      <c r="CR33" s="455"/>
      <c r="CS33" s="455"/>
      <c r="CT33" s="455"/>
      <c r="CU33" s="455"/>
      <c r="CV33" s="455"/>
      <c r="CW33" s="455"/>
      <c r="CX33" s="455"/>
      <c r="CY33" s="455"/>
      <c r="CZ33" s="455"/>
      <c r="DA33" s="455"/>
      <c r="DB33" s="455"/>
      <c r="DC33" s="455"/>
      <c r="DD33" s="455"/>
      <c r="DE33" s="455"/>
      <c r="DF33" s="455"/>
      <c r="DG33" s="455"/>
      <c r="DH33" s="455"/>
      <c r="DI33" s="455"/>
      <c r="DJ33" s="455"/>
      <c r="DK33" s="455"/>
      <c r="DL33" s="455"/>
      <c r="DM33" s="455"/>
      <c r="DN33" s="455"/>
      <c r="DO33" s="455"/>
      <c r="DP33" s="455"/>
      <c r="DQ33" s="455"/>
      <c r="DR33" s="455"/>
      <c r="DS33" s="498"/>
      <c r="DT33" s="452"/>
      <c r="DU33" s="453"/>
      <c r="DV33" s="453"/>
      <c r="DW33" s="453"/>
      <c r="DX33" s="453"/>
      <c r="DY33" s="453"/>
      <c r="DZ33" s="541"/>
      <c r="EA33" s="453"/>
      <c r="EB33" s="453"/>
      <c r="EC33" s="541"/>
      <c r="ED33" s="453"/>
      <c r="EE33" s="453"/>
      <c r="EF33" s="453"/>
      <c r="EG33" s="453"/>
      <c r="EH33" s="453"/>
      <c r="EI33" s="453"/>
      <c r="EJ33" s="453"/>
      <c r="EK33" s="453"/>
      <c r="EL33" s="541"/>
      <c r="EM33" s="453"/>
      <c r="EN33" s="453"/>
      <c r="EO33" s="453"/>
      <c r="EP33" s="453"/>
      <c r="EQ33" s="453"/>
      <c r="ER33" s="453"/>
      <c r="ES33" s="453"/>
      <c r="ET33" s="453"/>
      <c r="EU33" s="453"/>
      <c r="EV33" s="453"/>
      <c r="EW33" s="453"/>
      <c r="EX33" s="453"/>
      <c r="EY33" s="453"/>
      <c r="EZ33" s="453"/>
      <c r="FA33" s="453"/>
      <c r="FB33" s="453"/>
      <c r="FC33" s="453"/>
      <c r="FD33" s="453"/>
      <c r="FE33" s="541"/>
      <c r="FF33" s="453"/>
      <c r="FG33" s="453"/>
      <c r="FH33" s="453"/>
      <c r="FI33" s="453"/>
      <c r="FJ33" s="453"/>
      <c r="FK33" s="453"/>
      <c r="FL33" s="453"/>
      <c r="FM33" s="453"/>
      <c r="FN33" s="453"/>
      <c r="FO33" s="453"/>
      <c r="FP33" s="453"/>
      <c r="FQ33" s="453"/>
      <c r="FR33" s="453"/>
      <c r="FS33" s="453"/>
      <c r="FT33" s="453"/>
      <c r="FU33" s="453"/>
      <c r="FV33" s="453"/>
      <c r="FW33" s="453"/>
      <c r="FX33" s="453"/>
      <c r="FY33" s="453"/>
      <c r="FZ33" s="453"/>
      <c r="GA33" s="453"/>
      <c r="GB33" s="453"/>
      <c r="GC33" s="453"/>
      <c r="GD33" s="453"/>
      <c r="GE33" s="453"/>
      <c r="GF33" s="453"/>
      <c r="GG33" s="453"/>
      <c r="GH33" s="453"/>
      <c r="GI33" s="453"/>
      <c r="GJ33" s="453"/>
      <c r="GK33" s="453"/>
      <c r="GL33" s="453"/>
      <c r="GM33" s="453"/>
      <c r="GN33" s="453"/>
      <c r="GO33" s="453"/>
      <c r="GP33" s="453"/>
      <c r="GQ33" s="453"/>
      <c r="GR33" s="453"/>
      <c r="GS33" s="453"/>
      <c r="GT33" s="453"/>
      <c r="GU33" s="453"/>
      <c r="GV33" s="453"/>
      <c r="GW33" s="453"/>
      <c r="GX33" s="453"/>
      <c r="GY33" s="453"/>
      <c r="GZ33" s="453"/>
      <c r="HA33" s="453"/>
      <c r="HB33" s="453"/>
      <c r="HC33" s="453"/>
      <c r="HD33" s="541"/>
      <c r="HE33" s="453"/>
      <c r="HF33" s="453"/>
      <c r="HG33" s="453"/>
      <c r="HH33" s="453"/>
      <c r="HI33" s="453"/>
      <c r="HJ33" s="541"/>
      <c r="HK33" s="453"/>
      <c r="HL33" s="453"/>
      <c r="HM33" s="453"/>
      <c r="HN33" s="453"/>
      <c r="HO33" s="453"/>
      <c r="HP33" s="453"/>
      <c r="HQ33" s="453"/>
      <c r="HR33" s="453"/>
      <c r="HS33" s="453"/>
      <c r="HT33" s="453"/>
      <c r="HU33" s="453"/>
      <c r="HV33" s="453"/>
      <c r="HW33" s="541"/>
      <c r="HX33" s="453"/>
      <c r="HY33" s="453"/>
      <c r="HZ33" s="453"/>
      <c r="IA33" s="453"/>
      <c r="IB33" s="453"/>
      <c r="IC33" s="453"/>
      <c r="ID33" s="453"/>
      <c r="IE33" s="453"/>
      <c r="IF33" s="453"/>
      <c r="IG33" s="453"/>
      <c r="IH33" s="453"/>
      <c r="II33" s="453"/>
      <c r="IJ33" s="541"/>
      <c r="IK33" s="453"/>
      <c r="IL33" s="453"/>
      <c r="IM33" s="453"/>
      <c r="IN33" s="441"/>
      <c r="IO33" s="471"/>
      <c r="IP33" s="455"/>
      <c r="IQ33" s="455"/>
      <c r="IR33" s="455"/>
      <c r="IS33" s="455"/>
      <c r="IT33" s="455"/>
      <c r="IU33" s="455"/>
      <c r="IV33" s="455"/>
      <c r="IW33" s="455"/>
      <c r="IX33" s="455"/>
      <c r="IY33" s="455"/>
      <c r="IZ33" s="455"/>
      <c r="JA33" s="455"/>
      <c r="JB33" s="455"/>
      <c r="JC33" s="455"/>
      <c r="JD33" s="455"/>
      <c r="JE33" s="455"/>
      <c r="JF33" s="455"/>
      <c r="JG33" s="455"/>
      <c r="JH33" s="455"/>
      <c r="JI33" s="455"/>
      <c r="JJ33" s="456"/>
      <c r="JK33" s="454"/>
      <c r="JL33" s="455"/>
      <c r="JM33" s="455"/>
      <c r="JN33" s="455"/>
      <c r="JO33" s="455"/>
      <c r="JP33" s="455"/>
      <c r="JQ33" s="455"/>
      <c r="JR33" s="455"/>
      <c r="JS33" s="455"/>
      <c r="JT33" s="455"/>
      <c r="JU33" s="455"/>
      <c r="JV33" s="455"/>
      <c r="JW33" s="455"/>
      <c r="JX33" s="455"/>
      <c r="JY33" s="455"/>
      <c r="JZ33" s="455"/>
      <c r="KA33" s="455"/>
      <c r="KB33" s="455"/>
      <c r="KC33" s="455"/>
      <c r="KD33" s="455"/>
      <c r="KE33" s="455"/>
      <c r="KF33" s="455"/>
      <c r="KG33" s="455"/>
      <c r="KH33" s="455"/>
      <c r="KI33" s="455"/>
      <c r="KJ33" s="429"/>
      <c r="KK33" s="457"/>
      <c r="KL33" s="455"/>
      <c r="KM33" s="455"/>
      <c r="KN33" s="455"/>
      <c r="KO33" s="455"/>
      <c r="KP33" s="455"/>
      <c r="KQ33" s="463"/>
      <c r="KR33" s="457"/>
      <c r="KS33" s="455"/>
      <c r="KT33" s="455"/>
      <c r="KU33" s="455"/>
      <c r="KV33" s="455"/>
      <c r="KW33" s="455"/>
      <c r="KX33" s="455"/>
      <c r="KY33" s="455"/>
      <c r="KZ33" s="455"/>
      <c r="LA33" s="455"/>
      <c r="LB33" s="455"/>
      <c r="LC33" s="455"/>
      <c r="LD33" s="455"/>
      <c r="LE33" s="455"/>
      <c r="LF33" s="455"/>
      <c r="LG33" s="455"/>
      <c r="LH33" s="455"/>
      <c r="LI33" s="455"/>
      <c r="LJ33" s="455"/>
      <c r="LK33" s="455"/>
      <c r="LL33" s="455"/>
      <c r="LM33" s="455"/>
      <c r="LN33" s="455"/>
      <c r="LO33" s="455"/>
      <c r="LP33" s="455"/>
      <c r="LQ33" s="455"/>
      <c r="LR33" s="455"/>
      <c r="LS33" s="455"/>
      <c r="LT33" s="734"/>
      <c r="LU33" s="512"/>
      <c r="LV33" s="455"/>
      <c r="LW33" s="615"/>
      <c r="LX33" s="615"/>
      <c r="LY33" s="615"/>
      <c r="LZ33" s="615"/>
      <c r="MA33" s="615"/>
      <c r="MB33" s="615"/>
      <c r="MC33" s="615"/>
      <c r="MD33" s="455"/>
      <c r="ME33" s="615"/>
      <c r="MF33" s="455"/>
      <c r="MG33" s="615"/>
      <c r="MH33" s="455"/>
      <c r="MI33" s="615"/>
      <c r="MJ33" s="455"/>
      <c r="MK33" s="615"/>
      <c r="ML33" s="615"/>
      <c r="MM33" s="615"/>
      <c r="MN33" s="615"/>
      <c r="MO33" s="615"/>
      <c r="MP33" s="615"/>
      <c r="MQ33" s="615"/>
      <c r="MR33" s="615"/>
      <c r="MS33" s="615"/>
      <c r="MT33" s="615"/>
      <c r="MU33" s="615"/>
      <c r="MV33" s="615"/>
      <c r="MW33" s="455"/>
      <c r="MX33" s="455"/>
      <c r="MY33" s="455"/>
      <c r="MZ33" s="455"/>
      <c r="NA33" s="455"/>
      <c r="NB33" s="455"/>
      <c r="NC33" s="455"/>
      <c r="ND33" s="455"/>
      <c r="NE33" s="455"/>
      <c r="NF33" s="455"/>
      <c r="NG33" s="455"/>
      <c r="NH33" s="455"/>
      <c r="NI33" s="455"/>
      <c r="NJ33" s="455"/>
      <c r="NK33" s="455"/>
      <c r="NL33" s="455"/>
      <c r="NM33" s="455"/>
      <c r="NN33" s="455"/>
      <c r="NO33" s="455"/>
      <c r="NP33" s="455"/>
      <c r="NQ33" s="455"/>
      <c r="NR33" s="455"/>
      <c r="NS33" s="455"/>
      <c r="NT33" s="455"/>
      <c r="NU33" s="455"/>
      <c r="NV33" s="455"/>
      <c r="NW33" s="455"/>
      <c r="NX33" s="455"/>
      <c r="NY33" s="455"/>
      <c r="NZ33" s="512"/>
      <c r="OA33" s="635"/>
      <c r="OB33" s="637"/>
      <c r="OC33" s="637"/>
      <c r="OD33" s="637"/>
      <c r="OE33" s="637"/>
      <c r="OF33" s="637"/>
      <c r="OG33" s="637"/>
      <c r="OH33" s="637"/>
      <c r="OI33" s="637"/>
      <c r="OJ33" s="637"/>
      <c r="OK33" s="637"/>
      <c r="OL33" s="637"/>
      <c r="OM33" s="637"/>
      <c r="ON33" s="635"/>
      <c r="OO33" s="637"/>
      <c r="OP33" s="637"/>
      <c r="OQ33" s="637"/>
      <c r="OR33" s="637"/>
      <c r="OS33" s="637"/>
      <c r="OT33" s="637"/>
      <c r="OU33" s="637"/>
      <c r="OV33" s="637"/>
      <c r="OW33" s="637"/>
      <c r="OX33" s="637"/>
      <c r="OY33" s="637"/>
      <c r="OZ33" s="637"/>
      <c r="PA33" s="637"/>
      <c r="PB33" s="637"/>
      <c r="PC33" s="637"/>
      <c r="PD33" s="637"/>
      <c r="PE33" s="637"/>
      <c r="PF33" s="637"/>
      <c r="PG33" s="637"/>
      <c r="PH33" s="641"/>
      <c r="PI33" s="668"/>
      <c r="PJ33" s="668"/>
      <c r="PK33" s="668"/>
      <c r="PL33" s="543"/>
      <c r="PM33" s="543"/>
      <c r="PN33" s="543"/>
      <c r="PO33" s="756"/>
    </row>
    <row r="34" spans="1:431">
      <c r="A34" s="418" t="s">
        <v>1253</v>
      </c>
      <c r="B34" s="623" t="s">
        <v>1254</v>
      </c>
      <c r="C34" s="380" t="s">
        <v>438</v>
      </c>
      <c r="D34" s="380" t="s">
        <v>1228</v>
      </c>
      <c r="E34" s="380" t="s">
        <v>1255</v>
      </c>
      <c r="F34" s="380" t="s">
        <v>1248</v>
      </c>
      <c r="G34" s="493"/>
      <c r="H34" s="400">
        <v>12530</v>
      </c>
      <c r="I34" s="400">
        <v>12530</v>
      </c>
      <c r="J34" s="400">
        <v>12530</v>
      </c>
      <c r="K34" s="400">
        <v>12630</v>
      </c>
      <c r="L34" s="400">
        <v>12630</v>
      </c>
      <c r="M34" s="400">
        <v>12630</v>
      </c>
      <c r="N34" s="400">
        <v>12630</v>
      </c>
      <c r="O34" s="400">
        <v>12630</v>
      </c>
      <c r="P34" s="400">
        <v>12630</v>
      </c>
      <c r="Q34" s="400">
        <v>12630</v>
      </c>
      <c r="R34" s="401">
        <v>13136</v>
      </c>
      <c r="S34" s="401">
        <v>13136</v>
      </c>
      <c r="T34" s="401">
        <v>12633.96</v>
      </c>
      <c r="U34" s="420">
        <v>12200</v>
      </c>
      <c r="V34" s="420">
        <v>12200</v>
      </c>
      <c r="W34" s="420">
        <v>12200</v>
      </c>
      <c r="X34" s="420">
        <v>12200</v>
      </c>
      <c r="Y34" s="420">
        <v>12200</v>
      </c>
      <c r="Z34" s="420">
        <v>12200</v>
      </c>
      <c r="AA34" s="420">
        <v>12200</v>
      </c>
      <c r="AB34" s="420">
        <v>12200</v>
      </c>
      <c r="AC34" s="420">
        <v>12200</v>
      </c>
      <c r="AD34" s="420">
        <v>12200</v>
      </c>
      <c r="AE34" s="420">
        <v>12200</v>
      </c>
      <c r="AF34" s="420">
        <v>12200</v>
      </c>
      <c r="AG34" s="420">
        <v>12200</v>
      </c>
      <c r="AH34" s="420">
        <v>12200</v>
      </c>
      <c r="AI34" s="420">
        <v>12200</v>
      </c>
      <c r="AJ34" s="420">
        <v>12200</v>
      </c>
      <c r="AK34" s="420">
        <v>12200</v>
      </c>
      <c r="AL34" s="420">
        <v>12200</v>
      </c>
      <c r="AM34" s="420">
        <v>12200</v>
      </c>
      <c r="AN34" s="420">
        <v>12200</v>
      </c>
      <c r="AO34" s="420">
        <v>12200</v>
      </c>
      <c r="AP34" s="420">
        <v>12200</v>
      </c>
      <c r="AQ34" s="420">
        <v>12200</v>
      </c>
      <c r="AR34" s="420">
        <v>12200</v>
      </c>
      <c r="AS34" s="420">
        <v>12200</v>
      </c>
      <c r="AT34" s="420">
        <v>12530</v>
      </c>
      <c r="AU34" s="420">
        <v>12530</v>
      </c>
      <c r="AV34" s="420">
        <v>12530</v>
      </c>
      <c r="AW34" s="420">
        <v>12530</v>
      </c>
      <c r="AX34" s="420">
        <v>12530</v>
      </c>
      <c r="AY34" s="420">
        <v>12530</v>
      </c>
      <c r="AZ34" s="420">
        <v>12530</v>
      </c>
      <c r="BA34" s="420">
        <v>12530</v>
      </c>
      <c r="BB34" s="420">
        <v>12530</v>
      </c>
      <c r="BC34" s="420">
        <v>12530</v>
      </c>
      <c r="BD34" s="401">
        <v>12131.04</v>
      </c>
      <c r="BE34" s="401">
        <v>12131.04</v>
      </c>
      <c r="BF34" s="401">
        <v>12131.04</v>
      </c>
      <c r="BG34" s="401">
        <v>12131.04</v>
      </c>
      <c r="BH34" s="401">
        <v>11917.68</v>
      </c>
      <c r="BI34" s="401">
        <v>11917.68</v>
      </c>
      <c r="BJ34" s="401">
        <v>11917.68</v>
      </c>
      <c r="BK34" s="401">
        <v>11917.67</v>
      </c>
      <c r="BL34" s="401">
        <v>11917.68</v>
      </c>
      <c r="BM34" s="401">
        <v>11917.68</v>
      </c>
      <c r="BN34" s="401">
        <v>11917.68</v>
      </c>
      <c r="BO34" s="401">
        <v>11917.68</v>
      </c>
      <c r="BP34" s="401">
        <v>11917.68</v>
      </c>
      <c r="BQ34" s="401">
        <v>11917.68</v>
      </c>
      <c r="BR34" s="401">
        <v>11917.68</v>
      </c>
      <c r="BS34" s="401">
        <v>11917.68</v>
      </c>
      <c r="BT34" s="401">
        <v>11917.68</v>
      </c>
      <c r="BU34" s="401">
        <v>11917.68</v>
      </c>
      <c r="BV34" s="401">
        <v>11917.68</v>
      </c>
      <c r="BW34" s="401">
        <v>11917.68</v>
      </c>
      <c r="BX34" s="401">
        <v>11917.68</v>
      </c>
      <c r="BY34" s="401">
        <v>11917.68</v>
      </c>
      <c r="BZ34" s="401">
        <v>11917.68</v>
      </c>
      <c r="CA34" s="401">
        <v>11917.68</v>
      </c>
      <c r="CB34" s="401">
        <v>11917.68</v>
      </c>
      <c r="CC34" s="857">
        <v>11917.68</v>
      </c>
      <c r="CD34" s="401">
        <v>11917.68</v>
      </c>
      <c r="CE34" s="401">
        <v>11917.68</v>
      </c>
      <c r="CF34" s="401">
        <v>11917.68</v>
      </c>
      <c r="CG34" s="401">
        <v>11917.68</v>
      </c>
      <c r="CH34" s="401">
        <v>11917.68</v>
      </c>
      <c r="CI34" s="401">
        <v>11917.68</v>
      </c>
      <c r="CJ34" s="401">
        <v>11917.68</v>
      </c>
      <c r="CK34" s="401">
        <v>11917.68</v>
      </c>
      <c r="CL34" s="401">
        <v>11917.68</v>
      </c>
      <c r="CM34" s="401">
        <v>11917.68</v>
      </c>
      <c r="CN34" s="401">
        <v>11917.68</v>
      </c>
      <c r="CO34" s="401">
        <v>11917.68</v>
      </c>
      <c r="CP34" s="401">
        <v>11917.68</v>
      </c>
      <c r="CQ34" s="401">
        <v>11917.68</v>
      </c>
      <c r="CR34" s="401">
        <v>11917.68</v>
      </c>
      <c r="CS34" s="401">
        <v>11917.68</v>
      </c>
      <c r="CT34" s="401">
        <v>11917.68</v>
      </c>
      <c r="CU34" s="401">
        <v>11917.68</v>
      </c>
      <c r="CV34" s="401">
        <v>11917.68</v>
      </c>
      <c r="CW34" s="401">
        <v>11917.68</v>
      </c>
      <c r="CX34" s="401">
        <v>11917.68</v>
      </c>
      <c r="CY34" s="401">
        <v>11917.68</v>
      </c>
      <c r="CZ34" s="401">
        <v>12634</v>
      </c>
      <c r="DA34" s="401">
        <v>12634</v>
      </c>
      <c r="DB34" s="401">
        <v>12634</v>
      </c>
      <c r="DC34" s="401">
        <v>12634</v>
      </c>
      <c r="DD34" s="401">
        <v>12634</v>
      </c>
      <c r="DE34" s="401">
        <v>12527.28</v>
      </c>
      <c r="DF34" s="401">
        <v>12527.28</v>
      </c>
      <c r="DG34" s="401">
        <v>12634</v>
      </c>
      <c r="DH34" s="401">
        <v>12634</v>
      </c>
      <c r="DI34" s="401">
        <v>12634</v>
      </c>
      <c r="DJ34" s="401">
        <v>12634</v>
      </c>
      <c r="DK34" s="401">
        <v>12634</v>
      </c>
      <c r="DL34" s="401">
        <v>12634</v>
      </c>
      <c r="DM34" s="401">
        <v>12634</v>
      </c>
      <c r="DN34" s="401">
        <v>12634</v>
      </c>
      <c r="DO34" s="401">
        <v>12634</v>
      </c>
      <c r="DP34" s="401">
        <v>10729</v>
      </c>
      <c r="DQ34" s="401">
        <v>12634</v>
      </c>
      <c r="DR34" s="401">
        <v>12634</v>
      </c>
      <c r="DS34" s="498"/>
      <c r="DT34" s="402">
        <v>12801.6</v>
      </c>
      <c r="DU34" s="403">
        <v>12801.6</v>
      </c>
      <c r="DV34" s="403">
        <v>12801.6</v>
      </c>
      <c r="DW34" s="403">
        <v>12801.6</v>
      </c>
      <c r="DX34" s="403">
        <v>12801.6</v>
      </c>
      <c r="DY34" s="403">
        <v>12801.6</v>
      </c>
      <c r="DZ34" s="595"/>
      <c r="EA34" s="403">
        <v>11277.6</v>
      </c>
      <c r="EB34" s="403">
        <v>11277.6</v>
      </c>
      <c r="EC34" s="595"/>
      <c r="ED34" s="403">
        <v>12801.6</v>
      </c>
      <c r="EE34" s="403">
        <v>12801.6</v>
      </c>
      <c r="EF34" s="403">
        <v>12801.6</v>
      </c>
      <c r="EG34" s="403">
        <v>12801.6</v>
      </c>
      <c r="EH34" s="403">
        <v>12801.6</v>
      </c>
      <c r="EI34" s="403">
        <v>12801.6</v>
      </c>
      <c r="EJ34" s="403">
        <v>12801.6</v>
      </c>
      <c r="EK34" s="403">
        <v>12801.6</v>
      </c>
      <c r="EL34" s="595"/>
      <c r="EM34" s="403">
        <v>10668</v>
      </c>
      <c r="EN34" s="403">
        <v>10668</v>
      </c>
      <c r="EO34" s="403">
        <v>10668</v>
      </c>
      <c r="EP34" s="403">
        <v>11277.6</v>
      </c>
      <c r="EQ34" s="403">
        <v>11277.6</v>
      </c>
      <c r="ER34" s="403">
        <v>11277.6</v>
      </c>
      <c r="ES34" s="403">
        <v>12496.8</v>
      </c>
      <c r="ET34" s="403">
        <v>12496.8</v>
      </c>
      <c r="EU34" s="403">
        <v>12496.8</v>
      </c>
      <c r="EV34" s="403">
        <v>12496.8</v>
      </c>
      <c r="EW34" s="403">
        <v>12496.8</v>
      </c>
      <c r="EX34" s="403">
        <v>12496.8</v>
      </c>
      <c r="EY34" s="403">
        <v>12496.8</v>
      </c>
      <c r="EZ34" s="403">
        <v>12496.8</v>
      </c>
      <c r="FA34" s="403">
        <v>12496.8</v>
      </c>
      <c r="FB34" s="403">
        <v>12496.8</v>
      </c>
      <c r="FC34" s="403">
        <v>12496.8</v>
      </c>
      <c r="FD34" s="403">
        <v>12496.8</v>
      </c>
      <c r="FE34" s="595"/>
      <c r="FF34" s="403">
        <v>13746.48</v>
      </c>
      <c r="FG34" s="403">
        <v>13746.48</v>
      </c>
      <c r="FH34" s="403">
        <v>13746.48</v>
      </c>
      <c r="FI34" s="403">
        <v>13746.48</v>
      </c>
      <c r="FJ34" s="403">
        <v>13746.48</v>
      </c>
      <c r="FK34" s="403">
        <v>13746.48</v>
      </c>
      <c r="FL34" s="403">
        <v>13746.48</v>
      </c>
      <c r="FM34" s="403">
        <v>13746.48</v>
      </c>
      <c r="FN34" s="403">
        <v>13746.48</v>
      </c>
      <c r="FO34" s="403">
        <v>13746.48</v>
      </c>
      <c r="FP34" s="403">
        <v>13746.48</v>
      </c>
      <c r="FQ34" s="403">
        <v>13746.48</v>
      </c>
      <c r="FR34" s="403">
        <v>13746.48</v>
      </c>
      <c r="FS34" s="403">
        <v>13746.48</v>
      </c>
      <c r="FT34" s="403">
        <v>13746.48</v>
      </c>
      <c r="FU34" s="403">
        <v>13746.48</v>
      </c>
      <c r="FV34" s="403">
        <v>13746.48</v>
      </c>
      <c r="FW34" s="403">
        <v>13746.48</v>
      </c>
      <c r="FX34" s="403">
        <v>13746.48</v>
      </c>
      <c r="FY34" s="403">
        <v>13746.48</v>
      </c>
      <c r="FZ34" s="403">
        <v>13746.48</v>
      </c>
      <c r="GA34" s="403">
        <v>13746.48</v>
      </c>
      <c r="GB34" s="403">
        <v>13746.48</v>
      </c>
      <c r="GC34" s="403">
        <v>13746.48</v>
      </c>
      <c r="GD34" s="403">
        <v>13746.48</v>
      </c>
      <c r="GE34" s="403">
        <v>13746.48</v>
      </c>
      <c r="GF34" s="403">
        <v>13746.48</v>
      </c>
      <c r="GG34" s="403">
        <v>13746.48</v>
      </c>
      <c r="GH34" s="403">
        <v>13746.48</v>
      </c>
      <c r="GI34" s="403">
        <v>13746.48</v>
      </c>
      <c r="GJ34" s="403">
        <v>13746.48</v>
      </c>
      <c r="GK34" s="403">
        <v>13746.48</v>
      </c>
      <c r="GL34" s="403">
        <v>13746.48</v>
      </c>
      <c r="GM34" s="403">
        <v>13746.48</v>
      </c>
      <c r="GN34" s="403">
        <v>13746.48</v>
      </c>
      <c r="GO34" s="403">
        <v>13746.48</v>
      </c>
      <c r="GP34" s="403">
        <v>13746.48</v>
      </c>
      <c r="GQ34" s="403">
        <v>13746.48</v>
      </c>
      <c r="GR34" s="403">
        <v>13746.48</v>
      </c>
      <c r="GS34" s="403">
        <v>13746.48</v>
      </c>
      <c r="GT34" s="403">
        <v>13746.48</v>
      </c>
      <c r="GU34" s="403">
        <v>13746.48</v>
      </c>
      <c r="GV34" s="403">
        <v>13746.48</v>
      </c>
      <c r="GW34" s="403">
        <v>13746.48</v>
      </c>
      <c r="GX34" s="403">
        <v>13746.48</v>
      </c>
      <c r="GY34" s="403">
        <v>13746.48</v>
      </c>
      <c r="GZ34" s="403">
        <v>13746.48</v>
      </c>
      <c r="HA34" s="403">
        <v>13746.48</v>
      </c>
      <c r="HB34" s="403">
        <v>13136.88</v>
      </c>
      <c r="HC34" s="403">
        <v>12832.08</v>
      </c>
      <c r="HD34" s="595"/>
      <c r="HE34" s="403">
        <v>12801.6</v>
      </c>
      <c r="HF34" s="403">
        <v>12801.6</v>
      </c>
      <c r="HG34" s="403">
        <v>12801.6</v>
      </c>
      <c r="HH34" s="403">
        <v>12801.6</v>
      </c>
      <c r="HI34" s="403">
        <v>12801.6</v>
      </c>
      <c r="HJ34" s="595"/>
      <c r="HK34" s="403">
        <v>13136.88</v>
      </c>
      <c r="HL34" s="403">
        <v>13136.88</v>
      </c>
      <c r="HM34" s="403">
        <v>13136.88</v>
      </c>
      <c r="HN34" s="403">
        <v>13136.88</v>
      </c>
      <c r="HO34" s="403">
        <v>13136.88</v>
      </c>
      <c r="HP34" s="403">
        <v>13136.88</v>
      </c>
      <c r="HQ34" s="403">
        <v>13136.88</v>
      </c>
      <c r="HR34" s="403">
        <v>13136.88</v>
      </c>
      <c r="HS34" s="403">
        <v>13136.88</v>
      </c>
      <c r="HT34" s="403">
        <v>13136.88</v>
      </c>
      <c r="HU34" s="403">
        <v>13136.88</v>
      </c>
      <c r="HV34" s="403">
        <v>13136.88</v>
      </c>
      <c r="HW34" s="595"/>
      <c r="HX34" s="403">
        <v>13136.88</v>
      </c>
      <c r="HY34" s="403">
        <v>13136.88</v>
      </c>
      <c r="HZ34" s="403">
        <v>13136.88</v>
      </c>
      <c r="IA34" s="403">
        <v>13136.88</v>
      </c>
      <c r="IB34" s="403">
        <v>13136.88</v>
      </c>
      <c r="IC34" s="403">
        <v>13136.88</v>
      </c>
      <c r="ID34" s="403">
        <v>13136.88</v>
      </c>
      <c r="IE34" s="403">
        <v>13136.88</v>
      </c>
      <c r="IF34" s="403">
        <v>13136.88</v>
      </c>
      <c r="IG34" s="403">
        <v>13136.88</v>
      </c>
      <c r="IH34" s="403">
        <v>13136.88</v>
      </c>
      <c r="II34" s="403">
        <v>13136.88</v>
      </c>
      <c r="IJ34" s="595"/>
      <c r="IK34" s="403">
        <v>13136.88</v>
      </c>
      <c r="IL34" s="403">
        <v>13136.88</v>
      </c>
      <c r="IM34" s="403">
        <v>12527.28</v>
      </c>
      <c r="IN34" s="404"/>
      <c r="IO34" s="406">
        <v>12496.8</v>
      </c>
      <c r="IP34" s="706">
        <v>12496.8</v>
      </c>
      <c r="IQ34" s="619">
        <v>12496.8</v>
      </c>
      <c r="IR34" s="406">
        <v>12496.8</v>
      </c>
      <c r="IS34" s="406">
        <v>12496.8</v>
      </c>
      <c r="IT34" s="406">
        <v>12496.8</v>
      </c>
      <c r="IU34" s="653">
        <v>15545</v>
      </c>
      <c r="IV34" s="406">
        <v>13716</v>
      </c>
      <c r="IW34" s="406">
        <v>12496.8</v>
      </c>
      <c r="IX34" s="406">
        <v>12496.8</v>
      </c>
      <c r="IY34" s="406">
        <v>12496.8</v>
      </c>
      <c r="IZ34" s="406">
        <v>12496.8</v>
      </c>
      <c r="JA34" s="406">
        <v>12496.8</v>
      </c>
      <c r="JB34" s="406">
        <v>15544.8</v>
      </c>
      <c r="JC34" s="406">
        <v>12192</v>
      </c>
      <c r="JD34" s="406">
        <v>12496.8</v>
      </c>
      <c r="JE34" s="406">
        <v>12496.8</v>
      </c>
      <c r="JF34" s="406">
        <v>12496.8</v>
      </c>
      <c r="JG34" s="406">
        <v>12496.8</v>
      </c>
      <c r="JH34" s="406">
        <v>12496.8</v>
      </c>
      <c r="JI34" s="406">
        <v>12496.8</v>
      </c>
      <c r="JJ34" s="407"/>
      <c r="JK34" s="408">
        <v>12497</v>
      </c>
      <c r="JL34" s="592">
        <v>12497</v>
      </c>
      <c r="JM34" s="409">
        <v>12497</v>
      </c>
      <c r="JN34" s="409">
        <v>12497</v>
      </c>
      <c r="JO34" s="409">
        <v>12497</v>
      </c>
      <c r="JP34" s="409">
        <v>12497</v>
      </c>
      <c r="JQ34" s="409">
        <v>12496.8</v>
      </c>
      <c r="JR34" s="409">
        <v>12497</v>
      </c>
      <c r="JS34" s="409">
        <v>12497</v>
      </c>
      <c r="JT34" s="409">
        <v>12497</v>
      </c>
      <c r="JU34" s="409">
        <v>12497</v>
      </c>
      <c r="JV34" s="409">
        <v>12497</v>
      </c>
      <c r="JW34" s="409">
        <v>12497</v>
      </c>
      <c r="JX34" s="409">
        <v>12497</v>
      </c>
      <c r="JY34" s="428">
        <v>11277.6</v>
      </c>
      <c r="JZ34" s="428">
        <v>11277.6</v>
      </c>
      <c r="KA34" s="409">
        <v>12496.8</v>
      </c>
      <c r="KB34" s="409">
        <v>11277.6</v>
      </c>
      <c r="KC34" s="409">
        <v>11277.6</v>
      </c>
      <c r="KD34" s="409">
        <v>11277.6</v>
      </c>
      <c r="KE34" s="592">
        <v>11277.6</v>
      </c>
      <c r="KF34" s="592">
        <v>11277.6</v>
      </c>
      <c r="KG34" s="409">
        <v>11277.6</v>
      </c>
      <c r="KH34" s="409">
        <v>11277.6</v>
      </c>
      <c r="KI34" s="409">
        <v>11277.6</v>
      </c>
      <c r="KJ34" s="429"/>
      <c r="KK34" s="411">
        <v>13716</v>
      </c>
      <c r="KL34" s="547">
        <v>13716</v>
      </c>
      <c r="KM34" s="412">
        <v>13716</v>
      </c>
      <c r="KN34" s="412">
        <v>13716</v>
      </c>
      <c r="KO34" s="412"/>
      <c r="KP34" s="412"/>
      <c r="KQ34" s="458"/>
      <c r="KR34" s="460">
        <v>12496.8</v>
      </c>
      <c r="KS34" s="470">
        <v>12496.8</v>
      </c>
      <c r="KT34" s="470">
        <v>12496.8</v>
      </c>
      <c r="KU34" s="470">
        <v>13716</v>
      </c>
      <c r="KV34" s="470">
        <v>13716</v>
      </c>
      <c r="KW34" s="470">
        <v>13716</v>
      </c>
      <c r="KX34" s="470">
        <v>13716</v>
      </c>
      <c r="KY34" s="470">
        <v>13716</v>
      </c>
      <c r="KZ34" s="470">
        <v>13716</v>
      </c>
      <c r="LA34" s="470">
        <v>13716</v>
      </c>
      <c r="LB34" s="470">
        <v>13716</v>
      </c>
      <c r="LC34" s="470">
        <v>13716</v>
      </c>
      <c r="LD34" s="470">
        <v>13716</v>
      </c>
      <c r="LE34" s="470">
        <v>13716</v>
      </c>
      <c r="LF34" s="470">
        <v>13716</v>
      </c>
      <c r="LG34" s="470">
        <v>13716</v>
      </c>
      <c r="LH34" s="470">
        <v>13716</v>
      </c>
      <c r="LI34" s="470">
        <v>13716</v>
      </c>
      <c r="LJ34" s="470">
        <v>13716</v>
      </c>
      <c r="LK34" s="470">
        <v>13716</v>
      </c>
      <c r="LL34" s="470">
        <v>13716</v>
      </c>
      <c r="LM34" s="470">
        <v>13716</v>
      </c>
      <c r="LN34" s="462"/>
      <c r="LO34" s="462">
        <v>15544.8</v>
      </c>
      <c r="LP34" s="462"/>
      <c r="LQ34" s="462"/>
      <c r="LR34" s="462"/>
      <c r="LS34" s="462"/>
      <c r="LT34" s="734"/>
      <c r="LU34" s="611"/>
      <c r="LV34" s="605"/>
      <c r="LW34" s="616">
        <v>12801.6</v>
      </c>
      <c r="LX34" s="616">
        <v>12801.6</v>
      </c>
      <c r="LY34" s="616">
        <v>12801.6</v>
      </c>
      <c r="LZ34" s="616">
        <v>12801.6</v>
      </c>
      <c r="MA34" s="616">
        <v>12801.6</v>
      </c>
      <c r="MB34" s="616">
        <v>12801.6</v>
      </c>
      <c r="MC34" s="616">
        <v>12801.6</v>
      </c>
      <c r="MD34" s="616">
        <v>12801.6</v>
      </c>
      <c r="ME34" s="616">
        <v>12801.6</v>
      </c>
      <c r="MF34" s="616">
        <v>12801.6</v>
      </c>
      <c r="MG34" s="616">
        <v>12801.6</v>
      </c>
      <c r="MH34" s="616">
        <v>12801.6</v>
      </c>
      <c r="MI34" s="616">
        <v>12801.6</v>
      </c>
      <c r="MJ34" s="616">
        <v>12801.6</v>
      </c>
      <c r="MK34" s="616">
        <v>12801.6</v>
      </c>
      <c r="ML34" s="616">
        <v>12801.6</v>
      </c>
      <c r="MM34" s="616">
        <v>12801.6</v>
      </c>
      <c r="MN34" s="616">
        <v>12801.6</v>
      </c>
      <c r="MO34" s="616">
        <v>12801.6</v>
      </c>
      <c r="MP34" s="616">
        <v>12801.6</v>
      </c>
      <c r="MQ34" s="616">
        <v>12801.6</v>
      </c>
      <c r="MR34" s="616">
        <v>12801.6</v>
      </c>
      <c r="MS34" s="616">
        <v>12801.6</v>
      </c>
      <c r="MT34" s="616">
        <v>12801.6</v>
      </c>
      <c r="MU34" s="616">
        <v>12801.6</v>
      </c>
      <c r="MV34" s="612">
        <v>10668</v>
      </c>
      <c r="MW34" s="612">
        <v>10668</v>
      </c>
      <c r="MX34" s="612">
        <v>10668</v>
      </c>
      <c r="MY34" s="612">
        <v>10668</v>
      </c>
      <c r="MZ34" s="612">
        <v>10668</v>
      </c>
      <c r="NA34" s="612">
        <v>10668</v>
      </c>
      <c r="NB34" s="612">
        <v>10668</v>
      </c>
      <c r="NC34" s="612">
        <v>10668</v>
      </c>
      <c r="ND34" s="612">
        <v>10668</v>
      </c>
      <c r="NE34" s="612">
        <v>10668</v>
      </c>
      <c r="NF34" s="612">
        <v>10668</v>
      </c>
      <c r="NG34" s="612">
        <v>10668</v>
      </c>
      <c r="NH34" s="612">
        <v>10668</v>
      </c>
      <c r="NI34" s="612">
        <v>10668</v>
      </c>
      <c r="NJ34" s="612">
        <v>10668</v>
      </c>
      <c r="NK34" s="417">
        <v>11277.6</v>
      </c>
      <c r="NL34" s="417">
        <v>11277.6</v>
      </c>
      <c r="NM34" s="417">
        <v>11277.6</v>
      </c>
      <c r="NN34" s="417">
        <v>11277.6</v>
      </c>
      <c r="NO34" s="417">
        <v>12801.6</v>
      </c>
      <c r="NP34" s="417">
        <v>12801.6</v>
      </c>
      <c r="NQ34" s="417">
        <v>12801.6</v>
      </c>
      <c r="NR34" s="417">
        <v>12801.6</v>
      </c>
      <c r="NS34" s="417">
        <v>12801.6</v>
      </c>
      <c r="NT34" s="417">
        <v>12801.6</v>
      </c>
      <c r="NU34" s="417">
        <v>12801.6</v>
      </c>
      <c r="NV34" s="417">
        <v>13167.36</v>
      </c>
      <c r="NW34" s="417">
        <v>13167.36</v>
      </c>
      <c r="NX34" s="417">
        <v>12801.6</v>
      </c>
      <c r="NY34" s="417">
        <v>11277.6</v>
      </c>
      <c r="NZ34" s="611">
        <v>11277.6</v>
      </c>
      <c r="OA34" s="635"/>
      <c r="OB34" s="638">
        <v>12801.6</v>
      </c>
      <c r="OC34" s="638">
        <v>12801.6</v>
      </c>
      <c r="OD34" s="638">
        <v>13106.4</v>
      </c>
      <c r="OE34" s="638">
        <v>13106.4</v>
      </c>
      <c r="OF34" s="638"/>
      <c r="OG34" s="638"/>
      <c r="OH34" s="638"/>
      <c r="OI34" s="638"/>
      <c r="OJ34" s="638"/>
      <c r="OK34" s="638"/>
      <c r="OL34" s="638"/>
      <c r="OM34" s="638"/>
      <c r="ON34" s="635"/>
      <c r="OO34" s="638">
        <v>10668</v>
      </c>
      <c r="OP34" s="638">
        <v>10668</v>
      </c>
      <c r="OQ34" s="638">
        <v>12100</v>
      </c>
      <c r="OR34" s="638">
        <v>12100</v>
      </c>
      <c r="OS34" s="638"/>
      <c r="OT34" s="638">
        <v>9448.7999999999993</v>
      </c>
      <c r="OU34" s="638">
        <v>9448.7999999999993</v>
      </c>
      <c r="OV34" s="638">
        <v>9448.7999999999993</v>
      </c>
      <c r="OW34" s="638">
        <v>10668</v>
      </c>
      <c r="OX34" s="638">
        <v>10668</v>
      </c>
      <c r="OY34" s="638">
        <v>10668</v>
      </c>
      <c r="OZ34" s="638"/>
      <c r="PA34" s="638"/>
      <c r="PB34" s="638">
        <v>12192</v>
      </c>
      <c r="PC34" s="638">
        <v>7620</v>
      </c>
      <c r="PD34" s="638"/>
      <c r="PE34" s="638">
        <v>12192</v>
      </c>
      <c r="PF34" s="638"/>
      <c r="PG34" s="638"/>
      <c r="PH34" s="640"/>
      <c r="PI34" s="666"/>
      <c r="PJ34" s="666"/>
      <c r="PK34" s="666"/>
      <c r="PL34" s="420">
        <v>13100</v>
      </c>
      <c r="PM34" s="420">
        <v>13100</v>
      </c>
      <c r="PN34" s="420">
        <v>13100</v>
      </c>
      <c r="PO34" s="550">
        <v>12496.8</v>
      </c>
    </row>
    <row r="35" spans="1:431">
      <c r="A35" s="418" t="s">
        <v>1256</v>
      </c>
      <c r="B35" s="623" t="s">
        <v>1254</v>
      </c>
      <c r="C35" s="380" t="s">
        <v>438</v>
      </c>
      <c r="D35" s="380" t="s">
        <v>1228</v>
      </c>
      <c r="E35" s="380" t="s">
        <v>1257</v>
      </c>
      <c r="G35" s="496"/>
      <c r="H35" s="437"/>
      <c r="I35" s="438"/>
      <c r="J35" s="438"/>
      <c r="K35" s="438"/>
      <c r="L35" s="438"/>
      <c r="M35" s="438"/>
      <c r="N35" s="438"/>
      <c r="O35" s="438"/>
      <c r="P35" s="438"/>
      <c r="Q35" s="438"/>
      <c r="R35" s="438">
        <v>2800</v>
      </c>
      <c r="S35" s="438">
        <v>2800</v>
      </c>
      <c r="T35" s="438"/>
      <c r="U35" s="438"/>
      <c r="V35" s="438"/>
      <c r="W35" s="438"/>
      <c r="X35" s="438"/>
      <c r="Y35" s="438"/>
      <c r="Z35" s="438"/>
      <c r="AA35" s="438"/>
      <c r="AB35" s="438"/>
      <c r="AC35" s="438"/>
      <c r="AD35" s="438"/>
      <c r="AE35" s="438"/>
      <c r="AF35" s="438"/>
      <c r="AG35" s="438"/>
      <c r="AH35" s="438"/>
      <c r="AI35" s="438"/>
      <c r="AJ35" s="438"/>
      <c r="AK35" s="438"/>
      <c r="AL35" s="438"/>
      <c r="AM35" s="438"/>
      <c r="AN35" s="438"/>
      <c r="AO35" s="438"/>
      <c r="AP35" s="438"/>
      <c r="AQ35" s="438"/>
      <c r="AR35" s="438"/>
      <c r="AS35" s="438"/>
      <c r="AT35" s="438">
        <v>1480</v>
      </c>
      <c r="AU35" s="438">
        <v>1640</v>
      </c>
      <c r="AV35" s="438">
        <v>1640</v>
      </c>
      <c r="AW35" s="438">
        <v>1410</v>
      </c>
      <c r="AX35" s="438">
        <v>1410</v>
      </c>
      <c r="AY35" s="438">
        <v>1860</v>
      </c>
      <c r="AZ35" s="438">
        <v>2110</v>
      </c>
      <c r="BA35" s="438">
        <v>1840</v>
      </c>
      <c r="BB35" s="438">
        <v>1840</v>
      </c>
      <c r="BC35" s="438">
        <v>2660</v>
      </c>
      <c r="BD35" s="438">
        <v>2150</v>
      </c>
      <c r="BE35" s="438">
        <v>1600</v>
      </c>
      <c r="BF35" s="438">
        <v>2250</v>
      </c>
      <c r="BG35" s="438">
        <v>1850</v>
      </c>
      <c r="BH35" s="438">
        <v>2320</v>
      </c>
      <c r="BI35" s="438">
        <v>1960</v>
      </c>
      <c r="BJ35" s="438"/>
      <c r="BK35" s="438"/>
      <c r="BL35" s="438">
        <v>1600</v>
      </c>
      <c r="BM35" s="438">
        <v>2200</v>
      </c>
      <c r="BN35" s="438">
        <v>1910</v>
      </c>
      <c r="BO35" s="438">
        <v>1640</v>
      </c>
      <c r="BP35" s="438">
        <v>1600</v>
      </c>
      <c r="BQ35" s="438">
        <v>1600</v>
      </c>
      <c r="BR35" s="438">
        <v>1600</v>
      </c>
      <c r="BS35" s="438">
        <v>1840</v>
      </c>
      <c r="BT35" s="438">
        <v>1900</v>
      </c>
      <c r="BU35" s="438">
        <v>1900</v>
      </c>
      <c r="BV35" s="438">
        <v>1900</v>
      </c>
      <c r="BW35" s="438">
        <v>1900</v>
      </c>
      <c r="BX35" s="438">
        <v>1900</v>
      </c>
      <c r="BY35" s="438">
        <v>1900</v>
      </c>
      <c r="BZ35" s="438">
        <v>1900</v>
      </c>
      <c r="CA35" s="438">
        <v>1900</v>
      </c>
      <c r="CB35" s="438">
        <v>1650</v>
      </c>
      <c r="CC35" s="859">
        <v>1650</v>
      </c>
      <c r="CD35" s="438">
        <v>1650</v>
      </c>
      <c r="CE35" s="438">
        <v>1650</v>
      </c>
      <c r="CF35" s="438">
        <v>1650</v>
      </c>
      <c r="CG35" s="438">
        <v>1650</v>
      </c>
      <c r="CH35" s="438">
        <v>2200</v>
      </c>
      <c r="CI35" s="438">
        <v>2200</v>
      </c>
      <c r="CJ35" s="438">
        <v>2240</v>
      </c>
      <c r="CK35" s="438">
        <v>2200</v>
      </c>
      <c r="CL35" s="438">
        <v>2200</v>
      </c>
      <c r="CM35" s="438">
        <v>2200</v>
      </c>
      <c r="CN35" s="438">
        <v>2240</v>
      </c>
      <c r="CO35" s="438">
        <v>2240</v>
      </c>
      <c r="CP35" s="438">
        <v>1930</v>
      </c>
      <c r="CQ35" s="438">
        <v>1930</v>
      </c>
      <c r="CR35" s="438">
        <v>1930</v>
      </c>
      <c r="CS35" s="438">
        <v>1930</v>
      </c>
      <c r="CT35" s="438">
        <v>1930</v>
      </c>
      <c r="CU35" s="438">
        <v>1930</v>
      </c>
      <c r="CV35" s="438">
        <v>1930</v>
      </c>
      <c r="CW35" s="438">
        <v>1930</v>
      </c>
      <c r="CX35" s="438">
        <v>1930</v>
      </c>
      <c r="CY35" s="438">
        <v>1930</v>
      </c>
      <c r="CZ35" s="438"/>
      <c r="DA35" s="438"/>
      <c r="DB35" s="438"/>
      <c r="DC35" s="438"/>
      <c r="DD35" s="438"/>
      <c r="DE35" s="438"/>
      <c r="DF35" s="438"/>
      <c r="DG35" s="438"/>
      <c r="DH35" s="438"/>
      <c r="DI35" s="438"/>
      <c r="DJ35" s="438"/>
      <c r="DK35" s="438"/>
      <c r="DL35" s="438"/>
      <c r="DM35" s="438"/>
      <c r="DN35" s="438"/>
      <c r="DO35" s="438"/>
      <c r="DP35" s="438"/>
      <c r="DQ35" s="438"/>
      <c r="DR35" s="438"/>
      <c r="DS35" s="501"/>
      <c r="DT35" s="439">
        <v>2500</v>
      </c>
      <c r="DU35" s="440">
        <v>3200</v>
      </c>
      <c r="DV35" s="440">
        <v>3300</v>
      </c>
      <c r="DW35" s="440">
        <v>3400</v>
      </c>
      <c r="DX35" s="440">
        <v>3400</v>
      </c>
      <c r="DY35" s="440">
        <v>3400</v>
      </c>
      <c r="DZ35" s="597"/>
      <c r="EA35" s="440">
        <v>1900</v>
      </c>
      <c r="EB35" s="440">
        <v>2400</v>
      </c>
      <c r="EC35" s="597"/>
      <c r="ED35" s="422">
        <v>2200</v>
      </c>
      <c r="EE35" s="440">
        <v>2400</v>
      </c>
      <c r="EF35" s="422">
        <v>2200</v>
      </c>
      <c r="EG35" s="440">
        <v>2400</v>
      </c>
      <c r="EH35" s="440">
        <v>2550</v>
      </c>
      <c r="EI35" s="440">
        <v>2900</v>
      </c>
      <c r="EJ35" s="440">
        <v>2500</v>
      </c>
      <c r="EK35" s="440">
        <v>2600</v>
      </c>
      <c r="EL35" s="597"/>
      <c r="EM35" s="440">
        <v>1700</v>
      </c>
      <c r="EN35" s="440">
        <v>1700</v>
      </c>
      <c r="EO35" s="440">
        <v>1700</v>
      </c>
      <c r="EP35" s="579">
        <v>1981</v>
      </c>
      <c r="EQ35" s="579">
        <v>2240</v>
      </c>
      <c r="ER35" s="579">
        <v>1792</v>
      </c>
      <c r="ES35" s="440">
        <v>1300</v>
      </c>
      <c r="ET35" s="440">
        <v>1700</v>
      </c>
      <c r="EU35" s="440">
        <v>1600</v>
      </c>
      <c r="EV35" s="440">
        <v>1600</v>
      </c>
      <c r="EW35" s="440">
        <v>1800</v>
      </c>
      <c r="EX35" s="440">
        <v>2300</v>
      </c>
      <c r="EY35" s="440">
        <v>2400</v>
      </c>
      <c r="EZ35" s="440">
        <v>2750</v>
      </c>
      <c r="FA35" s="440">
        <v>2000</v>
      </c>
      <c r="FB35" s="440">
        <v>1900</v>
      </c>
      <c r="FC35" s="440">
        <v>2450</v>
      </c>
      <c r="FD35" s="440">
        <v>3200</v>
      </c>
      <c r="FE35" s="597"/>
      <c r="FF35" s="440"/>
      <c r="FG35" s="440"/>
      <c r="FH35" s="440"/>
      <c r="FI35" s="440"/>
      <c r="FJ35" s="440"/>
      <c r="FK35" s="440"/>
      <c r="FL35" s="440"/>
      <c r="FM35" s="440">
        <v>3400</v>
      </c>
      <c r="FN35" s="440"/>
      <c r="FO35" s="440"/>
      <c r="FP35" s="440"/>
      <c r="FQ35" s="440"/>
      <c r="FR35" s="440"/>
      <c r="FS35" s="440"/>
      <c r="FT35" s="440"/>
      <c r="FU35" s="440"/>
      <c r="FV35" s="440"/>
      <c r="FW35" s="440"/>
      <c r="FX35" s="440"/>
      <c r="FY35" s="440"/>
      <c r="FZ35" s="440"/>
      <c r="GA35" s="440"/>
      <c r="GB35" s="440"/>
      <c r="GC35" s="440"/>
      <c r="GD35" s="440"/>
      <c r="GE35" s="440"/>
      <c r="GF35" s="440"/>
      <c r="GG35" s="440"/>
      <c r="GH35" s="440"/>
      <c r="GI35" s="440"/>
      <c r="GJ35" s="440"/>
      <c r="GK35" s="440"/>
      <c r="GL35" s="579">
        <v>2815</v>
      </c>
      <c r="GM35" s="579">
        <v>2815</v>
      </c>
      <c r="GN35" s="579">
        <v>2830</v>
      </c>
      <c r="GO35" s="440"/>
      <c r="GP35" s="440"/>
      <c r="GQ35" s="440"/>
      <c r="GR35" s="440"/>
      <c r="GS35" s="440"/>
      <c r="GT35" s="440"/>
      <c r="GU35" s="579">
        <v>3320</v>
      </c>
      <c r="GV35" s="579">
        <v>3260</v>
      </c>
      <c r="GW35" s="440"/>
      <c r="GX35" s="440"/>
      <c r="GY35" s="440"/>
      <c r="GZ35" s="440"/>
      <c r="HA35" s="440"/>
      <c r="HB35" s="440"/>
      <c r="HC35" s="440"/>
      <c r="HD35" s="597"/>
      <c r="HE35" s="440">
        <v>1700</v>
      </c>
      <c r="HF35" s="440">
        <v>1700</v>
      </c>
      <c r="HG35" s="440">
        <v>2500</v>
      </c>
      <c r="HH35" s="440">
        <v>2635</v>
      </c>
      <c r="HI35" s="440">
        <v>2605</v>
      </c>
      <c r="HJ35" s="597"/>
      <c r="HK35" s="440">
        <v>1500</v>
      </c>
      <c r="HL35" s="440">
        <v>1800</v>
      </c>
      <c r="HM35" s="440">
        <v>2200</v>
      </c>
      <c r="HN35" s="440">
        <v>2900</v>
      </c>
      <c r="HO35" s="440">
        <v>2750</v>
      </c>
      <c r="HP35" s="440">
        <v>2285</v>
      </c>
      <c r="HQ35" s="440">
        <v>2710</v>
      </c>
      <c r="HR35" s="440">
        <v>2800</v>
      </c>
      <c r="HS35" s="440">
        <v>2800</v>
      </c>
      <c r="HT35" s="440">
        <v>2800</v>
      </c>
      <c r="HU35" s="440">
        <v>3290</v>
      </c>
      <c r="HV35" s="440">
        <v>3320</v>
      </c>
      <c r="HW35" s="597"/>
      <c r="HX35" s="440">
        <v>2500</v>
      </c>
      <c r="HY35" s="440">
        <v>3000</v>
      </c>
      <c r="HZ35" s="440">
        <v>2575</v>
      </c>
      <c r="IA35" s="440">
        <v>1600</v>
      </c>
      <c r="IB35" s="440">
        <v>2500</v>
      </c>
      <c r="IC35" s="440">
        <v>2560</v>
      </c>
      <c r="ID35" s="440">
        <v>3595</v>
      </c>
      <c r="IE35" s="440">
        <v>3290</v>
      </c>
      <c r="IF35" s="440">
        <v>3730</v>
      </c>
      <c r="IG35" s="440">
        <v>2955</v>
      </c>
      <c r="IH35" s="440">
        <v>3215</v>
      </c>
      <c r="II35" s="440">
        <v>3108</v>
      </c>
      <c r="IJ35" s="597"/>
      <c r="IK35" s="440">
        <v>3048</v>
      </c>
      <c r="IL35" s="440">
        <v>3018</v>
      </c>
      <c r="IM35" s="440">
        <v>3018</v>
      </c>
      <c r="IN35" s="441"/>
      <c r="IO35" s="442"/>
      <c r="IP35" s="707"/>
      <c r="IQ35" s="443"/>
      <c r="IR35" s="443"/>
      <c r="IS35" s="443"/>
      <c r="IT35" s="443"/>
      <c r="IU35" s="443"/>
      <c r="IV35" s="443"/>
      <c r="IW35" s="443"/>
      <c r="IX35" s="443"/>
      <c r="IY35" s="443"/>
      <c r="IZ35" s="443"/>
      <c r="JA35" s="443"/>
      <c r="JB35" s="443"/>
      <c r="JC35" s="443"/>
      <c r="JD35" s="443"/>
      <c r="JE35" s="443"/>
      <c r="JF35" s="443"/>
      <c r="JG35" s="443"/>
      <c r="JH35" s="443"/>
      <c r="JI35" s="443"/>
      <c r="JJ35" s="444"/>
      <c r="JK35" s="445">
        <v>1615</v>
      </c>
      <c r="JL35" s="446">
        <v>1805</v>
      </c>
      <c r="JM35" s="446">
        <v>1151</v>
      </c>
      <c r="JN35" s="446">
        <v>1151</v>
      </c>
      <c r="JO35" s="600">
        <v>1266</v>
      </c>
      <c r="JP35" s="446"/>
      <c r="JQ35" s="446"/>
      <c r="JR35" s="600">
        <v>1267</v>
      </c>
      <c r="JS35" s="600">
        <v>1267</v>
      </c>
      <c r="JT35" s="446"/>
      <c r="JU35" s="446"/>
      <c r="JV35" s="600">
        <v>1432</v>
      </c>
      <c r="JW35" s="600">
        <v>1432</v>
      </c>
      <c r="JX35" s="446"/>
      <c r="JY35" s="600">
        <v>1320</v>
      </c>
      <c r="JZ35" s="600">
        <v>1330</v>
      </c>
      <c r="KA35" s="446"/>
      <c r="KB35" s="446"/>
      <c r="KC35" s="446"/>
      <c r="KD35" s="446"/>
      <c r="KE35" s="600">
        <v>1410</v>
      </c>
      <c r="KF35" s="446">
        <v>1380</v>
      </c>
      <c r="KG35" s="446"/>
      <c r="KH35" s="446"/>
      <c r="KI35" s="446"/>
      <c r="KJ35" s="429"/>
      <c r="KK35" s="447"/>
      <c r="KL35" s="548"/>
      <c r="KM35" s="448"/>
      <c r="KN35" s="448"/>
      <c r="KO35" s="448"/>
      <c r="KP35" s="448"/>
      <c r="KQ35" s="467"/>
      <c r="KR35" s="468"/>
      <c r="KS35" s="469"/>
      <c r="KT35" s="470"/>
      <c r="KU35" s="470"/>
      <c r="KV35" s="470"/>
      <c r="KW35" s="470"/>
      <c r="KX35" s="470"/>
      <c r="KY35" s="470"/>
      <c r="KZ35" s="470"/>
      <c r="LA35" s="470"/>
      <c r="LB35" s="470"/>
      <c r="LC35" s="470"/>
      <c r="LD35" s="470"/>
      <c r="LE35" s="470"/>
      <c r="LF35" s="470"/>
      <c r="LG35" s="470"/>
      <c r="LH35" s="470"/>
      <c r="LI35" s="470"/>
      <c r="LJ35" s="470"/>
      <c r="LK35" s="470"/>
      <c r="LL35" s="470"/>
      <c r="LM35" s="470"/>
      <c r="LN35" s="470"/>
      <c r="LO35" s="470"/>
      <c r="LP35" s="470"/>
      <c r="LQ35" s="470"/>
      <c r="LR35" s="470"/>
      <c r="LS35" s="470"/>
      <c r="LT35" s="734"/>
      <c r="LU35" s="611"/>
      <c r="LV35" s="589"/>
      <c r="LW35" s="612"/>
      <c r="LX35" s="612"/>
      <c r="LY35" s="612"/>
      <c r="LZ35" s="612"/>
      <c r="MA35" s="612"/>
      <c r="MB35" s="612"/>
      <c r="MC35" s="612"/>
      <c r="MD35" s="589"/>
      <c r="ME35" s="612"/>
      <c r="MF35" s="589"/>
      <c r="MG35" s="612"/>
      <c r="MH35" s="589"/>
      <c r="MI35" s="612"/>
      <c r="MJ35" s="589"/>
      <c r="MK35" s="612"/>
      <c r="ML35" s="612"/>
      <c r="MM35" s="612"/>
      <c r="MN35" s="612"/>
      <c r="MO35" s="612"/>
      <c r="MP35" s="612"/>
      <c r="MQ35" s="612"/>
      <c r="MR35" s="612"/>
      <c r="MS35" s="612"/>
      <c r="MT35" s="612"/>
      <c r="MU35" s="612"/>
      <c r="MV35" s="612"/>
      <c r="MW35" s="589"/>
      <c r="MX35" s="450"/>
      <c r="MY35" s="450"/>
      <c r="MZ35" s="450"/>
      <c r="NA35" s="450"/>
      <c r="NB35" s="450"/>
      <c r="NC35" s="450"/>
      <c r="ND35" s="450"/>
      <c r="NE35" s="450"/>
      <c r="NF35" s="450"/>
      <c r="NG35" s="450"/>
      <c r="NH35" s="450"/>
      <c r="NI35" s="450"/>
      <c r="NJ35" s="450"/>
      <c r="NK35" s="450"/>
      <c r="NL35" s="450"/>
      <c r="NM35" s="450"/>
      <c r="NN35" s="450"/>
      <c r="NO35" s="450"/>
      <c r="NP35" s="450"/>
      <c r="NQ35" s="450"/>
      <c r="NR35" s="450"/>
      <c r="NS35" s="450"/>
      <c r="NT35" s="450"/>
      <c r="NU35" s="450"/>
      <c r="NV35" s="450"/>
      <c r="NW35" s="450"/>
      <c r="NX35" s="450"/>
      <c r="NY35" s="450"/>
      <c r="NZ35" s="611"/>
      <c r="OA35" s="635"/>
      <c r="OB35" s="638">
        <v>2350</v>
      </c>
      <c r="OC35" s="638">
        <v>2350</v>
      </c>
      <c r="OD35" s="638">
        <v>2350</v>
      </c>
      <c r="OE35" s="638">
        <v>2426</v>
      </c>
      <c r="OF35" s="638"/>
      <c r="OG35" s="638"/>
      <c r="OH35" s="638"/>
      <c r="OI35" s="638"/>
      <c r="OJ35" s="638"/>
      <c r="OK35" s="638"/>
      <c r="OL35" s="638"/>
      <c r="OM35" s="638"/>
      <c r="ON35" s="635"/>
      <c r="OO35" s="638">
        <v>1700</v>
      </c>
      <c r="OP35" s="638">
        <v>1900</v>
      </c>
      <c r="OQ35" s="638"/>
      <c r="OR35" s="638"/>
      <c r="OS35" s="638"/>
      <c r="OT35" s="638"/>
      <c r="OU35" s="638"/>
      <c r="OV35" s="638"/>
      <c r="OW35" s="638"/>
      <c r="OX35" s="638"/>
      <c r="OY35" s="638"/>
      <c r="OZ35" s="638"/>
      <c r="PA35" s="638"/>
      <c r="PB35" s="638"/>
      <c r="PC35" s="638"/>
      <c r="PD35" s="638"/>
      <c r="PE35" s="638"/>
      <c r="PF35" s="638"/>
      <c r="PG35" s="638"/>
      <c r="PH35" s="640"/>
      <c r="PI35" s="666"/>
      <c r="PJ35" s="666"/>
      <c r="PK35" s="666"/>
      <c r="PL35" s="420">
        <v>2700</v>
      </c>
      <c r="PM35" s="420">
        <v>2700</v>
      </c>
      <c r="PN35" s="420">
        <v>2700</v>
      </c>
      <c r="PO35" s="550">
        <v>2450</v>
      </c>
    </row>
    <row r="36" spans="1:431">
      <c r="A36" s="418" t="s">
        <v>1258</v>
      </c>
      <c r="B36" s="623" t="s">
        <v>1259</v>
      </c>
      <c r="C36" s="380" t="s">
        <v>438</v>
      </c>
      <c r="D36" s="380" t="s">
        <v>529</v>
      </c>
      <c r="E36" s="380" t="s">
        <v>1260</v>
      </c>
      <c r="F36" s="380" t="s">
        <v>1261</v>
      </c>
      <c r="G36" s="496"/>
      <c r="H36" s="437"/>
      <c r="I36" s="438"/>
      <c r="J36" s="438"/>
      <c r="K36" s="438"/>
      <c r="L36" s="438"/>
      <c r="M36" s="438"/>
      <c r="N36" s="438"/>
      <c r="O36" s="438"/>
      <c r="P36" s="438"/>
      <c r="Q36" s="438"/>
      <c r="R36" s="438"/>
      <c r="S36" s="438"/>
      <c r="T36" s="438">
        <v>369600</v>
      </c>
      <c r="U36" s="438">
        <v>206000</v>
      </c>
      <c r="V36" s="438">
        <v>206000</v>
      </c>
      <c r="W36" s="438">
        <v>206000</v>
      </c>
      <c r="X36" s="438">
        <v>206000</v>
      </c>
      <c r="Y36" s="438">
        <v>206000</v>
      </c>
      <c r="Z36" s="438">
        <v>206000</v>
      </c>
      <c r="AA36" s="438">
        <v>199200</v>
      </c>
      <c r="AB36" s="438">
        <v>206000</v>
      </c>
      <c r="AC36" s="438">
        <v>206000</v>
      </c>
      <c r="AD36" s="438">
        <v>206000</v>
      </c>
      <c r="AE36" s="438">
        <v>199200</v>
      </c>
      <c r="AF36" s="438">
        <v>206000</v>
      </c>
      <c r="AG36" s="438">
        <v>199200</v>
      </c>
      <c r="AH36" s="438">
        <v>237500</v>
      </c>
      <c r="AI36" s="438">
        <v>239200</v>
      </c>
      <c r="AJ36" s="438">
        <v>222500</v>
      </c>
      <c r="AK36" s="438">
        <v>220540</v>
      </c>
      <c r="AL36" s="438">
        <v>250030</v>
      </c>
      <c r="AM36" s="438">
        <v>220540</v>
      </c>
      <c r="AN36" s="438">
        <v>206000</v>
      </c>
      <c r="AO36" s="438">
        <v>222500</v>
      </c>
      <c r="AP36" s="438">
        <v>250030</v>
      </c>
      <c r="AQ36" s="438">
        <v>206000</v>
      </c>
      <c r="AR36" s="438">
        <v>250030</v>
      </c>
      <c r="AS36" s="438">
        <v>220540</v>
      </c>
      <c r="AT36" s="438">
        <v>203800</v>
      </c>
      <c r="AU36" s="438">
        <v>203800</v>
      </c>
      <c r="AV36" s="438">
        <v>213870</v>
      </c>
      <c r="AW36" s="438">
        <v>203800</v>
      </c>
      <c r="AX36" s="438">
        <v>211400</v>
      </c>
      <c r="AY36" s="438">
        <v>213870</v>
      </c>
      <c r="AZ36" s="438">
        <v>213870</v>
      </c>
      <c r="BA36" s="438">
        <v>211400</v>
      </c>
      <c r="BB36" s="438">
        <v>218850</v>
      </c>
      <c r="BC36" s="438">
        <v>218850</v>
      </c>
      <c r="BD36" s="438">
        <v>84780</v>
      </c>
      <c r="BE36" s="438">
        <v>90080</v>
      </c>
      <c r="BF36" s="438">
        <v>90300</v>
      </c>
      <c r="BG36" s="438">
        <v>92970</v>
      </c>
      <c r="BH36" s="438">
        <v>90080</v>
      </c>
      <c r="BI36" s="438">
        <v>90080</v>
      </c>
      <c r="BJ36" s="438">
        <v>91950</v>
      </c>
      <c r="BK36" s="438">
        <v>91950</v>
      </c>
      <c r="BL36" s="438">
        <v>108400</v>
      </c>
      <c r="BM36" s="438">
        <v>85400</v>
      </c>
      <c r="BN36" s="438">
        <v>85400</v>
      </c>
      <c r="BO36" s="438">
        <v>98930</v>
      </c>
      <c r="BP36" s="438">
        <v>106760</v>
      </c>
      <c r="BQ36" s="438">
        <v>118680</v>
      </c>
      <c r="BR36" s="438">
        <v>107820</v>
      </c>
      <c r="BS36" s="438">
        <v>106760</v>
      </c>
      <c r="BT36" s="438">
        <v>105420</v>
      </c>
      <c r="BU36" s="438">
        <v>105420</v>
      </c>
      <c r="BV36" s="438">
        <v>108400</v>
      </c>
      <c r="BW36" s="518">
        <v>90080</v>
      </c>
      <c r="BX36" s="438">
        <v>90080</v>
      </c>
      <c r="BY36" s="438">
        <v>98900</v>
      </c>
      <c r="BZ36" s="438">
        <v>98900</v>
      </c>
      <c r="CA36" s="438">
        <v>98900</v>
      </c>
      <c r="CB36" s="438">
        <v>117180</v>
      </c>
      <c r="CC36" s="859">
        <v>118680</v>
      </c>
      <c r="CD36" s="438">
        <v>106760</v>
      </c>
      <c r="CE36" s="438">
        <v>106910</v>
      </c>
      <c r="CF36" s="438">
        <v>118680</v>
      </c>
      <c r="CG36" s="438">
        <v>117190</v>
      </c>
      <c r="CH36" s="438">
        <v>129400</v>
      </c>
      <c r="CI36" s="438">
        <v>129400</v>
      </c>
      <c r="CJ36" s="438">
        <v>119880</v>
      </c>
      <c r="CK36" s="438">
        <v>129400</v>
      </c>
      <c r="CL36" s="438">
        <v>129400</v>
      </c>
      <c r="CM36" s="438">
        <v>129400</v>
      </c>
      <c r="CN36" s="438">
        <v>119880</v>
      </c>
      <c r="CO36" s="438">
        <v>119880</v>
      </c>
      <c r="CP36" s="438">
        <v>145810</v>
      </c>
      <c r="CQ36" s="438">
        <v>140960</v>
      </c>
      <c r="CR36" s="438">
        <v>140960</v>
      </c>
      <c r="CS36" s="438">
        <v>145810</v>
      </c>
      <c r="CT36" s="438">
        <v>140960</v>
      </c>
      <c r="CU36" s="438">
        <v>140960</v>
      </c>
      <c r="CV36" s="438">
        <v>145810</v>
      </c>
      <c r="CW36" s="438">
        <v>140960</v>
      </c>
      <c r="CX36" s="438">
        <v>145810</v>
      </c>
      <c r="CY36" s="438">
        <v>140960</v>
      </c>
      <c r="CZ36" s="438">
        <v>268672</v>
      </c>
      <c r="DA36" s="438">
        <v>268672</v>
      </c>
      <c r="DB36" s="438">
        <v>268672</v>
      </c>
      <c r="DC36" s="438">
        <v>264033</v>
      </c>
      <c r="DD36" s="438">
        <v>282462</v>
      </c>
      <c r="DE36" s="438">
        <v>264033</v>
      </c>
      <c r="DF36" s="438">
        <v>282728</v>
      </c>
      <c r="DG36" s="438">
        <v>268672</v>
      </c>
      <c r="DH36" s="438">
        <v>268672</v>
      </c>
      <c r="DI36" s="438">
        <v>268672</v>
      </c>
      <c r="DJ36" s="438">
        <v>248210</v>
      </c>
      <c r="DK36" s="438">
        <v>264033</v>
      </c>
      <c r="DL36" s="438">
        <v>264033</v>
      </c>
      <c r="DM36" s="438">
        <v>268717</v>
      </c>
      <c r="DN36" s="438">
        <v>282728</v>
      </c>
      <c r="DO36" s="438">
        <v>282728</v>
      </c>
      <c r="DP36" s="438">
        <v>283129</v>
      </c>
      <c r="DQ36" s="438">
        <v>289156</v>
      </c>
      <c r="DR36" s="438">
        <v>289156</v>
      </c>
      <c r="DS36" s="501"/>
      <c r="DT36" s="422">
        <v>72950.834489999994</v>
      </c>
      <c r="DU36" s="440">
        <v>66278.502066999994</v>
      </c>
      <c r="DV36" s="440">
        <v>72950.834489999994</v>
      </c>
      <c r="DW36" s="440">
        <v>72950.834489999994</v>
      </c>
      <c r="DX36" s="440">
        <v>72950.834489999994</v>
      </c>
      <c r="DY36" s="440">
        <v>72950.834489999994</v>
      </c>
      <c r="DZ36" s="597"/>
      <c r="EA36" s="440">
        <v>83181.744204999995</v>
      </c>
      <c r="EB36" s="440">
        <v>90832.685383999997</v>
      </c>
      <c r="EC36" s="597"/>
      <c r="ED36" s="440">
        <v>56047.592352</v>
      </c>
      <c r="EE36" s="579">
        <v>56047.592352</v>
      </c>
      <c r="EF36" s="440">
        <v>56047.592352</v>
      </c>
      <c r="EG36" s="579">
        <v>56047.592352</v>
      </c>
      <c r="EH36" s="440">
        <v>56047.592352</v>
      </c>
      <c r="EI36" s="579">
        <v>56047.592352</v>
      </c>
      <c r="EJ36" s="579">
        <v>61163.047209999997</v>
      </c>
      <c r="EK36" s="579">
        <v>67612.968552000006</v>
      </c>
      <c r="EL36" s="597"/>
      <c r="EM36" s="440">
        <v>56047.592352</v>
      </c>
      <c r="EN36" s="440">
        <v>56047.592352</v>
      </c>
      <c r="EO36" s="440">
        <v>56047.592352</v>
      </c>
      <c r="EP36" s="440">
        <v>91188.543113000007</v>
      </c>
      <c r="EQ36" s="440">
        <v>97238.124509000001</v>
      </c>
      <c r="ER36" s="440">
        <v>84071.388527999996</v>
      </c>
      <c r="ES36" s="440">
        <v>86295.499335999993</v>
      </c>
      <c r="ET36" s="440">
        <v>101419.45282999999</v>
      </c>
      <c r="EU36" s="440"/>
      <c r="EV36" s="440"/>
      <c r="EW36" s="440">
        <v>101419.45282999999</v>
      </c>
      <c r="EX36" s="440">
        <v>101419.45282999999</v>
      </c>
      <c r="EY36" s="440">
        <v>101419.45282999999</v>
      </c>
      <c r="EZ36" s="440">
        <v>101419.45282999999</v>
      </c>
      <c r="FA36" s="440">
        <v>101419.45282999999</v>
      </c>
      <c r="FB36" s="440">
        <v>115208.93984000001</v>
      </c>
      <c r="FC36" s="440">
        <v>127619.47814000001</v>
      </c>
      <c r="FD36" s="440">
        <v>127619.47814000001</v>
      </c>
      <c r="FE36" s="597"/>
      <c r="FF36" s="440">
        <v>161915.26680000001</v>
      </c>
      <c r="FG36" s="440">
        <v>199191.36392999999</v>
      </c>
      <c r="FH36" s="440">
        <v>192385.58486</v>
      </c>
      <c r="FI36" s="440">
        <v>178284.72234000001</v>
      </c>
      <c r="FJ36" s="440">
        <v>178284.72234000001</v>
      </c>
      <c r="FK36" s="440">
        <v>178818.50893000001</v>
      </c>
      <c r="FL36" s="440">
        <v>205952.66078999999</v>
      </c>
      <c r="FM36" s="440">
        <v>210489.84682999999</v>
      </c>
      <c r="FN36" s="440">
        <v>223300.72508999999</v>
      </c>
      <c r="FO36" s="440">
        <v>178818.50893000001</v>
      </c>
      <c r="FP36" s="440">
        <v>178284.72234000001</v>
      </c>
      <c r="FQ36" s="440">
        <v>205952.66078999999</v>
      </c>
      <c r="FR36" s="440">
        <v>210489.84682999999</v>
      </c>
      <c r="FS36" s="440">
        <v>223300.72508999999</v>
      </c>
      <c r="FT36" s="440">
        <v>178284.72234000001</v>
      </c>
      <c r="FU36" s="440">
        <v>178818.50893000001</v>
      </c>
      <c r="FV36" s="440">
        <v>205952.66078999999</v>
      </c>
      <c r="FW36" s="440">
        <v>199814.11496000001</v>
      </c>
      <c r="FX36" s="440">
        <v>178284.72234000001</v>
      </c>
      <c r="FY36" s="440">
        <v>178818.50893000001</v>
      </c>
      <c r="FZ36" s="440">
        <v>210489.84682999999</v>
      </c>
      <c r="GA36" s="440">
        <v>205952.66078999999</v>
      </c>
      <c r="GB36" s="440">
        <v>199814.11496000001</v>
      </c>
      <c r="GC36" s="440">
        <v>199191.36392999999</v>
      </c>
      <c r="GD36" s="440">
        <v>205952.66078999999</v>
      </c>
      <c r="GE36" s="440">
        <v>178284.72234000001</v>
      </c>
      <c r="GF36" s="440">
        <v>205952.66078999999</v>
      </c>
      <c r="GG36" s="440">
        <v>178284.72234000001</v>
      </c>
      <c r="GH36" s="440">
        <v>178818.50893000001</v>
      </c>
      <c r="GI36" s="440">
        <v>205151.9809</v>
      </c>
      <c r="GJ36" s="440">
        <v>192385.58486</v>
      </c>
      <c r="GK36" s="440">
        <v>178284.72234000001</v>
      </c>
      <c r="GL36" s="440">
        <v>220409.38104000001</v>
      </c>
      <c r="GM36" s="440">
        <v>213381.19088000001</v>
      </c>
      <c r="GN36" s="440">
        <v>210089.50688999999</v>
      </c>
      <c r="GO36" s="440">
        <v>220409.38104000001</v>
      </c>
      <c r="GP36" s="440">
        <v>213381.19088000001</v>
      </c>
      <c r="GQ36" s="440">
        <v>210089.50688999999</v>
      </c>
      <c r="GR36" s="440">
        <v>220409.38104000001</v>
      </c>
      <c r="GS36" s="440">
        <v>213381.19088000001</v>
      </c>
      <c r="GT36" s="440">
        <v>210089.50688999999</v>
      </c>
      <c r="GU36" s="440">
        <v>221565.91866</v>
      </c>
      <c r="GV36" s="440">
        <v>223523.13617000001</v>
      </c>
      <c r="GW36" s="440">
        <v>210089.50688999999</v>
      </c>
      <c r="GX36" s="440">
        <v>221565.91866</v>
      </c>
      <c r="GY36" s="440">
        <v>223523.13617000001</v>
      </c>
      <c r="GZ36" s="440">
        <v>210089.50688999999</v>
      </c>
      <c r="HA36" s="440">
        <v>220409.38104000001</v>
      </c>
      <c r="HB36" s="440">
        <v>260220.96449000001</v>
      </c>
      <c r="HC36" s="440">
        <v>260220.96449000001</v>
      </c>
      <c r="HD36" s="597"/>
      <c r="HE36" s="440">
        <v>149015.42410999999</v>
      </c>
      <c r="HF36" s="440">
        <v>154086.39675000001</v>
      </c>
      <c r="HG36" s="440">
        <v>154086.39675000001</v>
      </c>
      <c r="HH36" s="579">
        <v>154086.39675000001</v>
      </c>
      <c r="HI36" s="440">
        <v>156599.64197</v>
      </c>
      <c r="HJ36" s="597"/>
      <c r="HK36" s="440"/>
      <c r="HL36" s="440"/>
      <c r="HM36" s="440"/>
      <c r="HN36" s="440"/>
      <c r="HO36" s="440"/>
      <c r="HP36" s="440"/>
      <c r="HQ36" s="440"/>
      <c r="HR36" s="440"/>
      <c r="HS36" s="440"/>
      <c r="HT36" s="440"/>
      <c r="HU36" s="440"/>
      <c r="HV36" s="440"/>
      <c r="HW36" s="597"/>
      <c r="HX36" s="440"/>
      <c r="HY36" s="440"/>
      <c r="HZ36" s="440"/>
      <c r="IA36" s="440"/>
      <c r="IB36" s="440"/>
      <c r="IC36" s="440"/>
      <c r="ID36" s="440"/>
      <c r="IE36" s="440"/>
      <c r="IF36" s="440"/>
      <c r="IG36" s="440"/>
      <c r="IH36" s="440"/>
      <c r="II36" s="440"/>
      <c r="IJ36" s="597"/>
      <c r="IK36" s="440">
        <v>287897.79937999998</v>
      </c>
      <c r="IL36" s="440">
        <v>287897.79937999998</v>
      </c>
      <c r="IM36" s="440">
        <v>319462.37995999999</v>
      </c>
      <c r="IN36" s="441"/>
      <c r="IO36" s="442"/>
      <c r="IP36" s="618"/>
      <c r="IQ36" s="443"/>
      <c r="IR36" s="443"/>
      <c r="IS36" s="443"/>
      <c r="IT36" s="443"/>
      <c r="IU36" s="443"/>
      <c r="IV36" s="443"/>
      <c r="IW36" s="443"/>
      <c r="IX36" s="443"/>
      <c r="IY36" s="443"/>
      <c r="IZ36" s="443"/>
      <c r="JA36" s="443"/>
      <c r="JB36" s="443"/>
      <c r="JC36" s="443"/>
      <c r="JD36" s="443"/>
      <c r="JE36" s="443"/>
      <c r="JF36" s="443"/>
      <c r="JG36" s="443"/>
      <c r="JH36" s="443"/>
      <c r="JI36" s="443"/>
      <c r="JJ36" s="444"/>
      <c r="JK36" s="445"/>
      <c r="JL36" s="446"/>
      <c r="JM36" s="446"/>
      <c r="JN36" s="446"/>
      <c r="JO36" s="600"/>
      <c r="JP36" s="446"/>
      <c r="JQ36" s="446"/>
      <c r="JR36" s="446"/>
      <c r="JS36" s="446"/>
      <c r="JT36" s="446"/>
      <c r="JU36" s="446"/>
      <c r="JV36" s="446"/>
      <c r="JW36" s="446"/>
      <c r="JX36" s="446"/>
      <c r="JY36" s="446"/>
      <c r="JZ36" s="446"/>
      <c r="KA36" s="446"/>
      <c r="KB36" s="446"/>
      <c r="KC36" s="446"/>
      <c r="KD36" s="446"/>
      <c r="KE36" s="446"/>
      <c r="KF36" s="446"/>
      <c r="KG36" s="446"/>
      <c r="KH36" s="446"/>
      <c r="KI36" s="446"/>
      <c r="KJ36" s="429"/>
      <c r="KK36" s="447"/>
      <c r="KL36" s="548"/>
      <c r="KM36" s="448"/>
      <c r="KN36" s="448"/>
      <c r="KO36" s="448"/>
      <c r="KP36" s="448"/>
      <c r="KQ36" s="467"/>
      <c r="KR36" s="468"/>
      <c r="KS36" s="469"/>
      <c r="KT36" s="470"/>
      <c r="KU36" s="470"/>
      <c r="KV36" s="470"/>
      <c r="KW36" s="470"/>
      <c r="KX36" s="470"/>
      <c r="KY36" s="470"/>
      <c r="KZ36" s="470"/>
      <c r="LA36" s="470"/>
      <c r="LB36" s="470"/>
      <c r="LC36" s="470"/>
      <c r="LD36" s="470"/>
      <c r="LE36" s="470"/>
      <c r="LF36" s="470"/>
      <c r="LG36" s="470"/>
      <c r="LH36" s="470"/>
      <c r="LI36" s="470"/>
      <c r="LJ36" s="470"/>
      <c r="LK36" s="470"/>
      <c r="LL36" s="470"/>
      <c r="LM36" s="470"/>
      <c r="LN36" s="470"/>
      <c r="LO36" s="470"/>
      <c r="LP36" s="470"/>
      <c r="LQ36" s="470"/>
      <c r="LR36" s="470"/>
      <c r="LS36" s="470"/>
      <c r="LT36" s="734"/>
      <c r="LU36" s="611"/>
      <c r="LV36" s="589"/>
      <c r="LW36" s="612">
        <v>55602.77</v>
      </c>
      <c r="LX36" s="612">
        <v>55602.77</v>
      </c>
      <c r="LY36" s="612">
        <v>60050.99</v>
      </c>
      <c r="LZ36" s="612">
        <v>66278.5</v>
      </c>
      <c r="MA36" s="612">
        <v>65055.24</v>
      </c>
      <c r="MB36" s="612">
        <v>65055.24</v>
      </c>
      <c r="MC36" s="612">
        <v>65055.24</v>
      </c>
      <c r="MD36" s="612">
        <v>64499.21</v>
      </c>
      <c r="ME36" s="612">
        <v>64499.21</v>
      </c>
      <c r="MF36" s="589">
        <v>72950.83</v>
      </c>
      <c r="MG36" s="612">
        <v>64499.21</v>
      </c>
      <c r="MH36" s="589">
        <v>72950.83</v>
      </c>
      <c r="MI36" s="612">
        <v>72950.83</v>
      </c>
      <c r="MJ36" s="612">
        <v>72950.83</v>
      </c>
      <c r="MK36" s="612">
        <v>72950.83</v>
      </c>
      <c r="ML36" s="612">
        <v>76509.41</v>
      </c>
      <c r="MM36" s="612">
        <v>76509.41</v>
      </c>
      <c r="MN36" s="612">
        <v>76509.41</v>
      </c>
      <c r="MO36" s="589">
        <v>72950.83</v>
      </c>
      <c r="MP36" s="612">
        <v>94747.12</v>
      </c>
      <c r="MQ36" s="612">
        <v>94747.12</v>
      </c>
      <c r="MR36" s="612">
        <v>94747.12</v>
      </c>
      <c r="MS36" s="612">
        <v>94747.12</v>
      </c>
      <c r="MT36" s="612">
        <v>94747.12</v>
      </c>
      <c r="MU36" s="612">
        <v>94747.12</v>
      </c>
      <c r="MV36" s="612">
        <v>56047.59</v>
      </c>
      <c r="MW36" s="612">
        <v>56047.59</v>
      </c>
      <c r="MX36" s="612">
        <v>56047.59</v>
      </c>
      <c r="MY36" s="612">
        <v>56047.59</v>
      </c>
      <c r="MZ36" s="612">
        <v>56047.59</v>
      </c>
      <c r="NA36" s="612">
        <v>56047.59</v>
      </c>
      <c r="NB36" s="450">
        <v>56047.59</v>
      </c>
      <c r="NC36" s="450">
        <v>56047.59</v>
      </c>
      <c r="ND36" s="450">
        <v>56047.59</v>
      </c>
      <c r="NE36" s="450">
        <v>56047.59</v>
      </c>
      <c r="NF36" s="450">
        <v>56047.59</v>
      </c>
      <c r="NG36" s="450">
        <v>56047.59</v>
      </c>
      <c r="NH36" s="450">
        <v>56047.59</v>
      </c>
      <c r="NI36" s="450">
        <v>56047.59</v>
      </c>
      <c r="NJ36" s="450">
        <v>67612.97</v>
      </c>
      <c r="NK36" s="450">
        <v>71171.55</v>
      </c>
      <c r="NL36" s="450">
        <v>71171.55</v>
      </c>
      <c r="NM36" s="450">
        <v>71171.55</v>
      </c>
      <c r="NN36" s="450">
        <v>84071.39</v>
      </c>
      <c r="NO36" s="450">
        <v>166808.31</v>
      </c>
      <c r="NP36" s="450">
        <v>199146.88</v>
      </c>
      <c r="NQ36" s="450">
        <v>205952.66</v>
      </c>
      <c r="NR36" s="450">
        <v>205952.66</v>
      </c>
      <c r="NS36" s="450">
        <v>166808.31</v>
      </c>
      <c r="NT36" s="450">
        <v>199146.88</v>
      </c>
      <c r="NU36" s="450">
        <v>192385.58</v>
      </c>
      <c r="NV36" s="450">
        <v>250034.54</v>
      </c>
      <c r="NW36" s="450">
        <v>250034.54</v>
      </c>
      <c r="NX36" s="450">
        <v>166808.31</v>
      </c>
      <c r="NY36" s="450">
        <v>80067.990000000005</v>
      </c>
      <c r="NZ36" s="611">
        <v>106312.5</v>
      </c>
      <c r="OA36" s="635"/>
      <c r="OB36" s="638">
        <v>178550</v>
      </c>
      <c r="OC36" s="638">
        <v>178550</v>
      </c>
      <c r="OD36" s="638">
        <v>178550</v>
      </c>
      <c r="OE36" s="638">
        <v>199190</v>
      </c>
      <c r="OF36" s="638"/>
      <c r="OG36" s="638"/>
      <c r="OH36" s="638"/>
      <c r="OI36" s="638"/>
      <c r="OJ36" s="638"/>
      <c r="OK36" s="638"/>
      <c r="OL36" s="638"/>
      <c r="OM36" s="638"/>
      <c r="ON36" s="635"/>
      <c r="OO36" s="638"/>
      <c r="OP36" s="638"/>
      <c r="OQ36" s="638"/>
      <c r="OR36" s="638"/>
      <c r="OS36" s="638"/>
      <c r="OT36" s="638">
        <v>28023.796176</v>
      </c>
      <c r="OU36" s="638">
        <v>28023.796176</v>
      </c>
      <c r="OV36" s="638">
        <v>28023.796176</v>
      </c>
      <c r="OW36" s="638">
        <v>29113.610472</v>
      </c>
      <c r="OX36" s="638">
        <v>29113.610472</v>
      </c>
      <c r="OY36" s="638">
        <v>29113.610472</v>
      </c>
      <c r="OZ36" s="638"/>
      <c r="PA36" s="638"/>
      <c r="PB36" s="638">
        <v>44437.73</v>
      </c>
      <c r="PC36" s="638">
        <v>44437.73</v>
      </c>
      <c r="PD36" s="638"/>
      <c r="PE36" s="638">
        <v>48663.544000000002</v>
      </c>
      <c r="PF36" s="638"/>
      <c r="PG36" s="638"/>
      <c r="PH36" s="640"/>
      <c r="PI36" s="666">
        <v>460390</v>
      </c>
      <c r="PJ36" s="666">
        <v>460390</v>
      </c>
      <c r="PK36" s="666">
        <v>460390</v>
      </c>
      <c r="PL36" s="420"/>
      <c r="PM36" s="420"/>
      <c r="PN36" s="420"/>
      <c r="PO36" s="550">
        <v>127619.47814000001</v>
      </c>
    </row>
    <row r="37" spans="1:431">
      <c r="A37" s="418" t="s">
        <v>1262</v>
      </c>
      <c r="B37" s="623" t="s">
        <v>1259</v>
      </c>
      <c r="C37" s="380" t="s">
        <v>438</v>
      </c>
      <c r="D37" s="380" t="s">
        <v>529</v>
      </c>
      <c r="E37" s="380" t="s">
        <v>1260</v>
      </c>
      <c r="F37" s="380" t="s">
        <v>1263</v>
      </c>
      <c r="G37" s="496"/>
      <c r="H37" s="437"/>
      <c r="I37" s="438"/>
      <c r="J37" s="438"/>
      <c r="K37" s="438"/>
      <c r="L37" s="438"/>
      <c r="M37" s="438"/>
      <c r="N37" s="438"/>
      <c r="O37" s="438"/>
      <c r="P37" s="438"/>
      <c r="Q37" s="438"/>
      <c r="R37" s="438"/>
      <c r="S37" s="438"/>
      <c r="T37" s="438">
        <v>431500</v>
      </c>
      <c r="U37" s="438">
        <v>215000</v>
      </c>
      <c r="V37" s="438">
        <v>215000</v>
      </c>
      <c r="W37" s="438">
        <v>224000</v>
      </c>
      <c r="X37" s="438">
        <v>224000</v>
      </c>
      <c r="Y37" s="438">
        <v>230500</v>
      </c>
      <c r="Z37" s="438">
        <v>230500</v>
      </c>
      <c r="AA37" s="438">
        <v>230150</v>
      </c>
      <c r="AB37" s="438">
        <v>224000</v>
      </c>
      <c r="AC37" s="438">
        <v>230500</v>
      </c>
      <c r="AD37" s="438">
        <v>230500</v>
      </c>
      <c r="AE37" s="438">
        <v>230150</v>
      </c>
      <c r="AF37" s="438">
        <v>230500</v>
      </c>
      <c r="AG37" s="438">
        <v>230150</v>
      </c>
      <c r="AH37" s="438">
        <v>257400</v>
      </c>
      <c r="AI37" s="438">
        <v>262200</v>
      </c>
      <c r="AJ37" s="438">
        <v>249200</v>
      </c>
      <c r="AK37" s="438">
        <v>258000</v>
      </c>
      <c r="AL37" s="438">
        <v>267340</v>
      </c>
      <c r="AM37" s="438">
        <v>258000</v>
      </c>
      <c r="AN37" s="438">
        <v>230500</v>
      </c>
      <c r="AO37" s="438">
        <v>249200</v>
      </c>
      <c r="AP37" s="438">
        <v>267340</v>
      </c>
      <c r="AQ37" s="438">
        <v>230500</v>
      </c>
      <c r="AR37" s="438">
        <v>267340</v>
      </c>
      <c r="AS37" s="438">
        <v>258000</v>
      </c>
      <c r="AT37" s="438">
        <v>217900</v>
      </c>
      <c r="AU37" s="438">
        <v>217900</v>
      </c>
      <c r="AV37" s="438">
        <v>233350</v>
      </c>
      <c r="AW37" s="438">
        <v>213600</v>
      </c>
      <c r="AX37" s="438">
        <v>222500</v>
      </c>
      <c r="AY37" s="438">
        <v>233350</v>
      </c>
      <c r="AZ37" s="438">
        <v>257400</v>
      </c>
      <c r="BA37" s="438">
        <v>222500</v>
      </c>
      <c r="BB37" s="438">
        <v>231310</v>
      </c>
      <c r="BC37" s="438">
        <v>249080</v>
      </c>
      <c r="BD37" s="438">
        <v>96080</v>
      </c>
      <c r="BE37" s="438">
        <v>103640</v>
      </c>
      <c r="BF37" s="438">
        <v>98300</v>
      </c>
      <c r="BG37" s="438">
        <v>105870</v>
      </c>
      <c r="BH37" s="438">
        <v>97860</v>
      </c>
      <c r="BI37" s="438">
        <v>104530</v>
      </c>
      <c r="BJ37" s="438">
        <v>97860</v>
      </c>
      <c r="BK37" s="438">
        <v>104530</v>
      </c>
      <c r="BL37" s="438">
        <v>120100</v>
      </c>
      <c r="BM37" s="438">
        <v>102490</v>
      </c>
      <c r="BN37" s="438">
        <v>108890</v>
      </c>
      <c r="BO37" s="438">
        <v>110310</v>
      </c>
      <c r="BP37" s="438">
        <v>106800</v>
      </c>
      <c r="BQ37" s="438">
        <v>120640</v>
      </c>
      <c r="BR37" s="438">
        <v>106910</v>
      </c>
      <c r="BS37" s="438">
        <v>106800</v>
      </c>
      <c r="BT37" s="438">
        <v>111200</v>
      </c>
      <c r="BU37" s="438">
        <v>117870</v>
      </c>
      <c r="BV37" s="438">
        <v>120100</v>
      </c>
      <c r="BW37" s="518">
        <v>97860</v>
      </c>
      <c r="BX37" s="438">
        <v>104530</v>
      </c>
      <c r="BY37" s="438">
        <v>110300</v>
      </c>
      <c r="BZ37" s="438">
        <v>110300</v>
      </c>
      <c r="CA37" s="438">
        <v>110300</v>
      </c>
      <c r="CB37" s="438">
        <v>120430</v>
      </c>
      <c r="CC37" s="859">
        <v>120640</v>
      </c>
      <c r="CD37" s="438">
        <v>106800</v>
      </c>
      <c r="CE37" s="438">
        <v>107820</v>
      </c>
      <c r="CF37" s="438">
        <v>130290</v>
      </c>
      <c r="CG37" s="438">
        <v>130000</v>
      </c>
      <c r="CH37" s="438">
        <v>133440</v>
      </c>
      <c r="CI37" s="438">
        <v>137890</v>
      </c>
      <c r="CJ37" s="438">
        <v>133000</v>
      </c>
      <c r="CK37" s="438">
        <v>142340</v>
      </c>
      <c r="CL37" s="438">
        <v>133440</v>
      </c>
      <c r="CM37" s="438">
        <v>137890</v>
      </c>
      <c r="CN37" s="438">
        <v>140550</v>
      </c>
      <c r="CO37" s="438">
        <v>133000</v>
      </c>
      <c r="CP37" s="438">
        <v>147280</v>
      </c>
      <c r="CQ37" s="438">
        <v>143050</v>
      </c>
      <c r="CR37" s="438">
        <v>143050</v>
      </c>
      <c r="CS37" s="438">
        <v>147280</v>
      </c>
      <c r="CT37" s="438">
        <v>143050</v>
      </c>
      <c r="CU37" s="438">
        <v>143050</v>
      </c>
      <c r="CV37" s="438">
        <v>147280</v>
      </c>
      <c r="CW37" s="438">
        <v>143050</v>
      </c>
      <c r="CX37" s="438">
        <v>147280</v>
      </c>
      <c r="CY37" s="438">
        <v>143050</v>
      </c>
      <c r="CZ37" s="438">
        <v>287043</v>
      </c>
      <c r="DA37" s="438">
        <v>304836</v>
      </c>
      <c r="DB37" s="438">
        <v>304836</v>
      </c>
      <c r="DC37" s="438">
        <v>305148</v>
      </c>
      <c r="DD37" s="438">
        <v>316268</v>
      </c>
      <c r="DE37" s="438">
        <v>311375</v>
      </c>
      <c r="DF37" s="438">
        <v>316268</v>
      </c>
      <c r="DG37" s="438">
        <v>287043</v>
      </c>
      <c r="DH37" s="438">
        <v>297452</v>
      </c>
      <c r="DI37" s="438">
        <v>304836</v>
      </c>
      <c r="DJ37" s="438">
        <v>286910</v>
      </c>
      <c r="DK37" s="438">
        <v>305148</v>
      </c>
      <c r="DL37" s="438">
        <v>305148</v>
      </c>
      <c r="DM37" s="438">
        <v>300254</v>
      </c>
      <c r="DN37" s="438">
        <v>316268</v>
      </c>
      <c r="DO37" s="438">
        <v>316268</v>
      </c>
      <c r="DP37" s="438">
        <v>316268</v>
      </c>
      <c r="DQ37" s="438">
        <v>323981</v>
      </c>
      <c r="DR37" s="438">
        <v>323981</v>
      </c>
      <c r="DS37" s="501"/>
      <c r="DT37" s="421">
        <v>80067.989075000005</v>
      </c>
      <c r="DU37" s="440">
        <v>77843.878266999993</v>
      </c>
      <c r="DV37" s="440">
        <v>80067.989075000005</v>
      </c>
      <c r="DW37" s="440">
        <v>80067.989075000005</v>
      </c>
      <c r="DX37" s="440">
        <v>80067.989075000005</v>
      </c>
      <c r="DY37" s="440">
        <v>80067.989075000005</v>
      </c>
      <c r="DZ37" s="597"/>
      <c r="EA37" s="440">
        <v>84160.352960999997</v>
      </c>
      <c r="EB37" s="440">
        <v>95325.389215000003</v>
      </c>
      <c r="EC37" s="597"/>
      <c r="ED37" s="440">
        <v>62275.102614000003</v>
      </c>
      <c r="EE37" s="579">
        <v>64499.213421</v>
      </c>
      <c r="EF37" s="440">
        <v>62275.102614000003</v>
      </c>
      <c r="EG37" s="579">
        <v>64499.213421</v>
      </c>
      <c r="EH37" s="440">
        <v>62275.102614000003</v>
      </c>
      <c r="EI37" s="579">
        <v>64499.213421</v>
      </c>
      <c r="EJ37" s="579">
        <v>68947.435035999995</v>
      </c>
      <c r="EK37" s="579">
        <v>71171.545843999993</v>
      </c>
      <c r="EL37" s="597"/>
      <c r="EM37" s="440">
        <v>62275.102614000003</v>
      </c>
      <c r="EN37" s="440">
        <v>62275.102614000003</v>
      </c>
      <c r="EO37" s="440">
        <v>62275.102614000003</v>
      </c>
      <c r="EP37" s="440">
        <v>98305.697696999996</v>
      </c>
      <c r="EQ37" s="440">
        <v>104533.20796</v>
      </c>
      <c r="ER37" s="440">
        <v>89409.254467000006</v>
      </c>
      <c r="ES37" s="440">
        <v>91633.365273999996</v>
      </c>
      <c r="ET37" s="440">
        <v>107646.96309</v>
      </c>
      <c r="EU37" s="440"/>
      <c r="EV37" s="440"/>
      <c r="EW37" s="440">
        <v>107646.96309</v>
      </c>
      <c r="EX37" s="440">
        <v>107646.96309</v>
      </c>
      <c r="EY37" s="440">
        <v>107646.96309</v>
      </c>
      <c r="EZ37" s="440">
        <v>107646.96309</v>
      </c>
      <c r="FA37" s="440">
        <v>107646.96309</v>
      </c>
      <c r="FB37" s="440">
        <v>116988.22848000001</v>
      </c>
      <c r="FC37" s="440">
        <v>130408.51308999999</v>
      </c>
      <c r="FD37" s="440">
        <v>130408.51308999999</v>
      </c>
      <c r="FE37" s="597"/>
      <c r="FF37" s="440">
        <v>193497.64025999999</v>
      </c>
      <c r="FG37" s="440">
        <v>218496.64574000001</v>
      </c>
      <c r="FH37" s="440">
        <v>202838.90565999999</v>
      </c>
      <c r="FI37" s="440">
        <v>205285.42754</v>
      </c>
      <c r="FJ37" s="440">
        <v>205285.42754</v>
      </c>
      <c r="FK37" s="440">
        <v>216405.98157999999</v>
      </c>
      <c r="FL37" s="440">
        <v>230417.87966999999</v>
      </c>
      <c r="FM37" s="440">
        <v>231218.55955999999</v>
      </c>
      <c r="FN37" s="440">
        <v>243540.13344000001</v>
      </c>
      <c r="FO37" s="440">
        <v>207954.36051</v>
      </c>
      <c r="FP37" s="440">
        <v>212046.72440000001</v>
      </c>
      <c r="FQ37" s="440">
        <v>230417.87966999999</v>
      </c>
      <c r="FR37" s="440">
        <v>231218.55955999999</v>
      </c>
      <c r="FS37" s="440">
        <v>243540.13344000001</v>
      </c>
      <c r="FT37" s="440">
        <v>212046.72440000001</v>
      </c>
      <c r="FU37" s="440">
        <v>216405.98157999999</v>
      </c>
      <c r="FV37" s="440">
        <v>230417.87966999999</v>
      </c>
      <c r="FW37" s="440">
        <v>230862.70183000001</v>
      </c>
      <c r="FX37" s="440">
        <v>212046.72440000001</v>
      </c>
      <c r="FY37" s="440">
        <v>216405.98157999999</v>
      </c>
      <c r="FZ37" s="440">
        <v>231218.55955999999</v>
      </c>
      <c r="GA37" s="440">
        <v>230417.87966999999</v>
      </c>
      <c r="GB37" s="440">
        <v>230862.70183000001</v>
      </c>
      <c r="GC37" s="440">
        <v>218496.64574000001</v>
      </c>
      <c r="GD37" s="440">
        <v>230417.87966999999</v>
      </c>
      <c r="GE37" s="440">
        <v>205285.42754</v>
      </c>
      <c r="GF37" s="440">
        <v>230417.87966999999</v>
      </c>
      <c r="GG37" s="440">
        <v>205285.42754</v>
      </c>
      <c r="GH37" s="440">
        <v>207954.36051</v>
      </c>
      <c r="GI37" s="440">
        <v>225080.01373000001</v>
      </c>
      <c r="GJ37" s="440">
        <v>202838.90565999999</v>
      </c>
      <c r="GK37" s="440">
        <v>205285.42754</v>
      </c>
      <c r="GL37" s="440">
        <v>249011.44602</v>
      </c>
      <c r="GM37" s="440">
        <v>252436.57667000001</v>
      </c>
      <c r="GN37" s="440">
        <v>252970.36326000001</v>
      </c>
      <c r="GO37" s="440">
        <v>249011.44602</v>
      </c>
      <c r="GP37" s="440">
        <v>252436.57667000001</v>
      </c>
      <c r="GQ37" s="440">
        <v>252970.36326000001</v>
      </c>
      <c r="GR37" s="440">
        <v>249011.44602</v>
      </c>
      <c r="GS37" s="440">
        <v>252436.57667000001</v>
      </c>
      <c r="GT37" s="440">
        <v>252970.36326000001</v>
      </c>
      <c r="GU37" s="440">
        <v>267026.74355999997</v>
      </c>
      <c r="GV37" s="440">
        <v>275789.74015000003</v>
      </c>
      <c r="GW37" s="440">
        <v>264669.18611000001</v>
      </c>
      <c r="GX37" s="440">
        <v>267026.74355999997</v>
      </c>
      <c r="GY37" s="440">
        <v>275789.74015000003</v>
      </c>
      <c r="GZ37" s="440">
        <v>264669.18611000001</v>
      </c>
      <c r="HA37" s="440">
        <v>249011.44602</v>
      </c>
      <c r="HB37" s="440">
        <v>299810.13686999999</v>
      </c>
      <c r="HC37" s="440">
        <v>299810.13686999999</v>
      </c>
      <c r="HD37" s="597"/>
      <c r="HE37" s="440">
        <v>163338.69771000001</v>
      </c>
      <c r="HF37" s="579">
        <v>166941.75722</v>
      </c>
      <c r="HG37" s="579">
        <v>166941.75722</v>
      </c>
      <c r="HH37" s="579">
        <v>181932.26405999999</v>
      </c>
      <c r="HI37" s="579">
        <v>189227.34750999999</v>
      </c>
      <c r="HJ37" s="597"/>
      <c r="HK37" s="440"/>
      <c r="HL37" s="440"/>
      <c r="HM37" s="440"/>
      <c r="HN37" s="440"/>
      <c r="HO37" s="440"/>
      <c r="HP37" s="440"/>
      <c r="HQ37" s="440"/>
      <c r="HR37" s="440"/>
      <c r="HS37" s="440"/>
      <c r="HT37" s="440"/>
      <c r="HU37" s="440"/>
      <c r="HV37" s="440"/>
      <c r="HW37" s="597"/>
      <c r="HX37" s="440"/>
      <c r="HY37" s="440"/>
      <c r="HZ37" s="440"/>
      <c r="IA37" s="440"/>
      <c r="IB37" s="440"/>
      <c r="IC37" s="440"/>
      <c r="ID37" s="440"/>
      <c r="IE37" s="440"/>
      <c r="IF37" s="440"/>
      <c r="IG37" s="440"/>
      <c r="IH37" s="440"/>
      <c r="II37" s="440"/>
      <c r="IJ37" s="597"/>
      <c r="IK37" s="440">
        <v>307790.24644999998</v>
      </c>
      <c r="IL37" s="440">
        <v>307790.24644999998</v>
      </c>
      <c r="IM37" s="440">
        <v>347535.10658000002</v>
      </c>
      <c r="IN37" s="441"/>
      <c r="IO37" s="442"/>
      <c r="IP37" s="618"/>
      <c r="IQ37" s="443"/>
      <c r="IR37" s="443"/>
      <c r="IS37" s="443"/>
      <c r="IT37" s="443"/>
      <c r="IU37" s="443"/>
      <c r="IV37" s="443"/>
      <c r="IW37" s="443"/>
      <c r="IX37" s="443"/>
      <c r="IY37" s="443"/>
      <c r="IZ37" s="443"/>
      <c r="JA37" s="443"/>
      <c r="JB37" s="443"/>
      <c r="JC37" s="443"/>
      <c r="JD37" s="443"/>
      <c r="JE37" s="443"/>
      <c r="JF37" s="443"/>
      <c r="JG37" s="443"/>
      <c r="JH37" s="443"/>
      <c r="JI37" s="443"/>
      <c r="JJ37" s="444"/>
      <c r="JK37" s="445"/>
      <c r="JL37" s="446"/>
      <c r="JM37" s="446"/>
      <c r="JN37" s="446"/>
      <c r="JO37" s="446"/>
      <c r="JP37" s="446"/>
      <c r="JQ37" s="446"/>
      <c r="JR37" s="446"/>
      <c r="JS37" s="446"/>
      <c r="JT37" s="446"/>
      <c r="JU37" s="446"/>
      <c r="JV37" s="446"/>
      <c r="JW37" s="446"/>
      <c r="JX37" s="446"/>
      <c r="JY37" s="446"/>
      <c r="JZ37" s="446"/>
      <c r="KA37" s="446"/>
      <c r="KB37" s="446"/>
      <c r="KC37" s="446"/>
      <c r="KD37" s="446"/>
      <c r="KE37" s="446"/>
      <c r="KF37" s="446"/>
      <c r="KG37" s="446"/>
      <c r="KH37" s="446"/>
      <c r="KI37" s="446"/>
      <c r="KJ37" s="429"/>
      <c r="KK37" s="447"/>
      <c r="KL37" s="548"/>
      <c r="KM37" s="448"/>
      <c r="KN37" s="448"/>
      <c r="KO37" s="448"/>
      <c r="KP37" s="448"/>
      <c r="KQ37" s="467"/>
      <c r="KR37" s="468"/>
      <c r="KS37" s="470"/>
      <c r="KT37" s="470"/>
      <c r="KU37" s="470"/>
      <c r="KV37" s="470"/>
      <c r="KW37" s="470"/>
      <c r="KX37" s="470"/>
      <c r="KY37" s="470"/>
      <c r="KZ37" s="470"/>
      <c r="LA37" s="470"/>
      <c r="LB37" s="470"/>
      <c r="LC37" s="470"/>
      <c r="LD37" s="470"/>
      <c r="LE37" s="470"/>
      <c r="LF37" s="470"/>
      <c r="LG37" s="470"/>
      <c r="LH37" s="470"/>
      <c r="LI37" s="470"/>
      <c r="LJ37" s="470"/>
      <c r="LK37" s="470"/>
      <c r="LL37" s="470"/>
      <c r="LM37" s="470"/>
      <c r="LN37" s="470"/>
      <c r="LO37" s="470"/>
      <c r="LP37" s="470"/>
      <c r="LQ37" s="470"/>
      <c r="LR37" s="470"/>
      <c r="LS37" s="470"/>
      <c r="LT37" s="734"/>
      <c r="LU37" s="611"/>
      <c r="LV37" s="589"/>
      <c r="LW37" s="612">
        <v>70281.899999999994</v>
      </c>
      <c r="LX37" s="612">
        <v>70281.899999999994</v>
      </c>
      <c r="LY37" s="612">
        <v>74730.12</v>
      </c>
      <c r="LZ37" s="612">
        <v>77843.88</v>
      </c>
      <c r="MA37" s="612">
        <v>77843.88</v>
      </c>
      <c r="MB37" s="612">
        <v>77843.88</v>
      </c>
      <c r="MC37" s="612">
        <v>77843.88</v>
      </c>
      <c r="MD37" s="612">
        <v>75619.77</v>
      </c>
      <c r="ME37" s="612">
        <v>75619.77</v>
      </c>
      <c r="MF37" s="589">
        <v>80067.990000000005</v>
      </c>
      <c r="MG37" s="612">
        <v>75619.77</v>
      </c>
      <c r="MH37" s="589">
        <v>80067.990000000005</v>
      </c>
      <c r="MI37" s="612">
        <v>80067.990000000005</v>
      </c>
      <c r="MJ37" s="612">
        <v>80067.990000000005</v>
      </c>
      <c r="MK37" s="612">
        <v>80067.990000000005</v>
      </c>
      <c r="ML37" s="612">
        <v>84516.21</v>
      </c>
      <c r="MM37" s="612">
        <v>84516.21</v>
      </c>
      <c r="MN37" s="612">
        <v>84516.21</v>
      </c>
      <c r="MO37" s="589">
        <v>80067.990000000005</v>
      </c>
      <c r="MP37" s="612">
        <v>97860.88</v>
      </c>
      <c r="MQ37" s="612">
        <v>97860.88</v>
      </c>
      <c r="MR37" s="612">
        <v>97860.88</v>
      </c>
      <c r="MS37" s="612">
        <v>97860.88</v>
      </c>
      <c r="MT37" s="612">
        <v>97860.88</v>
      </c>
      <c r="MU37" s="612">
        <v>97860.88</v>
      </c>
      <c r="MV37" s="612">
        <v>62275.1</v>
      </c>
      <c r="MW37" s="612">
        <v>62275.1</v>
      </c>
      <c r="MX37" s="612">
        <v>62275.1</v>
      </c>
      <c r="MY37" s="612">
        <v>62275.1</v>
      </c>
      <c r="MZ37" s="612">
        <v>62275.1</v>
      </c>
      <c r="NA37" s="612">
        <v>62275.1</v>
      </c>
      <c r="NB37" s="450">
        <v>64499.21</v>
      </c>
      <c r="NC37" s="450">
        <v>64499.21</v>
      </c>
      <c r="ND37" s="450">
        <v>62275.1</v>
      </c>
      <c r="NE37" s="450">
        <v>62275.1</v>
      </c>
      <c r="NF37" s="450">
        <v>62275.1</v>
      </c>
      <c r="NG37" s="450">
        <v>64499.21</v>
      </c>
      <c r="NH37" s="450">
        <v>64499.21</v>
      </c>
      <c r="NI37" s="450">
        <v>64499.21</v>
      </c>
      <c r="NJ37" s="450">
        <v>71171.55</v>
      </c>
      <c r="NK37" s="450">
        <v>85628.27</v>
      </c>
      <c r="NL37" s="450">
        <v>85628.27</v>
      </c>
      <c r="NM37" s="450">
        <v>85628.27</v>
      </c>
      <c r="NN37" s="450">
        <v>96526.41</v>
      </c>
      <c r="NO37" s="450">
        <v>174815.11</v>
      </c>
      <c r="NP37" s="450">
        <v>230062.02</v>
      </c>
      <c r="NQ37" s="450">
        <v>224190.37</v>
      </c>
      <c r="NR37" s="450">
        <v>224190.37</v>
      </c>
      <c r="NS37" s="450">
        <v>174815.11</v>
      </c>
      <c r="NT37" s="450">
        <v>230062.02</v>
      </c>
      <c r="NU37" s="450">
        <v>202838.9</v>
      </c>
      <c r="NV37" s="450">
        <v>269962.57</v>
      </c>
      <c r="NW37" s="450">
        <v>269962.57</v>
      </c>
      <c r="NX37" s="450">
        <v>174815.11</v>
      </c>
      <c r="NY37" s="450">
        <v>92745.42</v>
      </c>
      <c r="NZ37" s="611">
        <v>111205.54</v>
      </c>
      <c r="OA37" s="635"/>
      <c r="OB37" s="638">
        <v>182510</v>
      </c>
      <c r="OC37" s="638">
        <v>182510</v>
      </c>
      <c r="OD37" s="638">
        <v>182510</v>
      </c>
      <c r="OE37" s="638">
        <v>218500</v>
      </c>
      <c r="OF37" s="638"/>
      <c r="OG37" s="638"/>
      <c r="OH37" s="638"/>
      <c r="OI37" s="638"/>
      <c r="OJ37" s="638"/>
      <c r="OK37" s="638"/>
      <c r="OL37" s="638"/>
      <c r="OM37" s="638"/>
      <c r="ON37" s="635"/>
      <c r="OO37" s="638">
        <v>78466.629293000005</v>
      </c>
      <c r="OP37" s="638">
        <v>78466.629293000005</v>
      </c>
      <c r="OQ37" s="638">
        <v>126631.97294000001</v>
      </c>
      <c r="OR37" s="638">
        <v>133446.64846</v>
      </c>
      <c r="OS37" s="638"/>
      <c r="OT37" s="638">
        <v>29803.084822000001</v>
      </c>
      <c r="OU37" s="638">
        <v>29803.084822000001</v>
      </c>
      <c r="OV37" s="638">
        <v>29803.084822000001</v>
      </c>
      <c r="OW37" s="638">
        <v>31137.551307000002</v>
      </c>
      <c r="OX37" s="638">
        <v>31137.551307000002</v>
      </c>
      <c r="OY37" s="638">
        <v>31137.551307000002</v>
      </c>
      <c r="OZ37" s="638"/>
      <c r="PA37" s="638"/>
      <c r="PB37" s="638">
        <v>46305.987000000001</v>
      </c>
      <c r="PC37" s="638">
        <v>47017.701999999997</v>
      </c>
      <c r="PD37" s="638"/>
      <c r="PE37" s="638">
        <v>50709.726000000002</v>
      </c>
      <c r="PF37" s="638"/>
      <c r="PG37" s="638"/>
      <c r="PH37" s="640"/>
      <c r="PI37" s="666">
        <v>489304</v>
      </c>
      <c r="PJ37" s="666">
        <v>489304</v>
      </c>
      <c r="PK37" s="666">
        <v>489304</v>
      </c>
      <c r="PL37" s="420">
        <v>348310</v>
      </c>
      <c r="PM37" s="420">
        <v>356810</v>
      </c>
      <c r="PN37" s="420">
        <v>332440</v>
      </c>
      <c r="PO37" s="550">
        <v>130408.51308999999</v>
      </c>
    </row>
    <row r="38" spans="1:431" ht="15.75">
      <c r="A38" s="510" t="s">
        <v>1241</v>
      </c>
      <c r="B38" s="624"/>
      <c r="C38" s="620"/>
      <c r="D38" s="620"/>
      <c r="E38" s="620"/>
      <c r="F38" s="620"/>
      <c r="G38" s="493"/>
      <c r="H38" s="471"/>
      <c r="I38" s="455"/>
      <c r="J38" s="455"/>
      <c r="K38" s="455"/>
      <c r="L38" s="455"/>
      <c r="M38" s="455"/>
      <c r="N38" s="455"/>
      <c r="O38" s="455"/>
      <c r="P38" s="455"/>
      <c r="Q38" s="455"/>
      <c r="R38" s="455"/>
      <c r="S38" s="455"/>
      <c r="T38" s="455"/>
      <c r="U38" s="455"/>
      <c r="V38" s="455"/>
      <c r="W38" s="455"/>
      <c r="X38" s="455"/>
      <c r="Y38" s="455"/>
      <c r="Z38" s="455"/>
      <c r="AA38" s="455"/>
      <c r="AB38" s="455"/>
      <c r="AC38" s="455"/>
      <c r="AD38" s="455"/>
      <c r="AE38" s="455"/>
      <c r="AF38" s="455"/>
      <c r="AG38" s="455"/>
      <c r="AH38" s="455"/>
      <c r="AI38" s="455"/>
      <c r="AJ38" s="455"/>
      <c r="AK38" s="455"/>
      <c r="AL38" s="455"/>
      <c r="AM38" s="455"/>
      <c r="AN38" s="455"/>
      <c r="AO38" s="455"/>
      <c r="AP38" s="455"/>
      <c r="AQ38" s="455"/>
      <c r="AR38" s="455"/>
      <c r="AS38" s="455"/>
      <c r="AT38" s="455"/>
      <c r="AU38" s="455"/>
      <c r="AV38" s="455"/>
      <c r="AW38" s="455"/>
      <c r="AX38" s="455"/>
      <c r="AY38" s="455"/>
      <c r="AZ38" s="455"/>
      <c r="BA38" s="455"/>
      <c r="BB38" s="455"/>
      <c r="BC38" s="455"/>
      <c r="BD38" s="455"/>
      <c r="BE38" s="455"/>
      <c r="BF38" s="455"/>
      <c r="BG38" s="455"/>
      <c r="BH38" s="455"/>
      <c r="BI38" s="455"/>
      <c r="BJ38" s="455"/>
      <c r="BK38" s="455"/>
      <c r="BL38" s="455"/>
      <c r="BM38" s="455"/>
      <c r="BN38" s="455"/>
      <c r="BO38" s="455"/>
      <c r="BP38" s="455"/>
      <c r="BQ38" s="455"/>
      <c r="BR38" s="455"/>
      <c r="BS38" s="455"/>
      <c r="BT38" s="455"/>
      <c r="BU38" s="455"/>
      <c r="BV38" s="455"/>
      <c r="BW38" s="455"/>
      <c r="BX38" s="455"/>
      <c r="BY38" s="455"/>
      <c r="BZ38" s="455"/>
      <c r="CA38" s="455"/>
      <c r="CB38" s="455"/>
      <c r="CC38" s="854"/>
      <c r="CD38" s="455"/>
      <c r="CE38" s="455"/>
      <c r="CF38" s="455"/>
      <c r="CG38" s="455"/>
      <c r="CH38" s="455"/>
      <c r="CI38" s="455"/>
      <c r="CJ38" s="455"/>
      <c r="CK38" s="455"/>
      <c r="CL38" s="455"/>
      <c r="CM38" s="455"/>
      <c r="CN38" s="455"/>
      <c r="CO38" s="455"/>
      <c r="CP38" s="455"/>
      <c r="CQ38" s="455"/>
      <c r="CR38" s="455"/>
      <c r="CS38" s="455"/>
      <c r="CT38" s="455"/>
      <c r="CU38" s="455"/>
      <c r="CV38" s="455"/>
      <c r="CW38" s="455"/>
      <c r="CX38" s="455"/>
      <c r="CY38" s="455"/>
      <c r="CZ38" s="455"/>
      <c r="DA38" s="455"/>
      <c r="DB38" s="455"/>
      <c r="DC38" s="455"/>
      <c r="DD38" s="455"/>
      <c r="DE38" s="455"/>
      <c r="DF38" s="455"/>
      <c r="DG38" s="455"/>
      <c r="DH38" s="455"/>
      <c r="DI38" s="455"/>
      <c r="DJ38" s="455"/>
      <c r="DK38" s="455"/>
      <c r="DL38" s="455"/>
      <c r="DM38" s="455"/>
      <c r="DN38" s="455"/>
      <c r="DO38" s="455"/>
      <c r="DP38" s="455"/>
      <c r="DQ38" s="455"/>
      <c r="DR38" s="455"/>
      <c r="DS38" s="498"/>
      <c r="DT38" s="452"/>
      <c r="DU38" s="453"/>
      <c r="DV38" s="453"/>
      <c r="DW38" s="453"/>
      <c r="DX38" s="453"/>
      <c r="DY38" s="453"/>
      <c r="DZ38" s="541"/>
      <c r="EA38" s="453"/>
      <c r="EB38" s="453"/>
      <c r="EC38" s="541"/>
      <c r="ED38" s="453"/>
      <c r="EE38" s="453"/>
      <c r="EF38" s="453"/>
      <c r="EG38" s="453"/>
      <c r="EH38" s="453"/>
      <c r="EI38" s="453"/>
      <c r="EJ38" s="453"/>
      <c r="EK38" s="453"/>
      <c r="EL38" s="541"/>
      <c r="EM38" s="453"/>
      <c r="EN38" s="453"/>
      <c r="EO38" s="453"/>
      <c r="EP38" s="453"/>
      <c r="EQ38" s="453"/>
      <c r="ER38" s="453"/>
      <c r="ES38" s="453"/>
      <c r="ET38" s="453"/>
      <c r="EU38" s="453"/>
      <c r="EV38" s="453"/>
      <c r="EW38" s="453"/>
      <c r="EX38" s="453"/>
      <c r="EY38" s="453"/>
      <c r="EZ38" s="453"/>
      <c r="FA38" s="453"/>
      <c r="FB38" s="453"/>
      <c r="FC38" s="453"/>
      <c r="FD38" s="453"/>
      <c r="FE38" s="541"/>
      <c r="FF38" s="453"/>
      <c r="FG38" s="453"/>
      <c r="FH38" s="453"/>
      <c r="FI38" s="453"/>
      <c r="FJ38" s="453"/>
      <c r="FK38" s="453"/>
      <c r="FL38" s="453"/>
      <c r="FM38" s="453"/>
      <c r="FN38" s="453"/>
      <c r="FO38" s="453"/>
      <c r="FP38" s="453"/>
      <c r="FQ38" s="453"/>
      <c r="FR38" s="453"/>
      <c r="FS38" s="453"/>
      <c r="FT38" s="453"/>
      <c r="FU38" s="453"/>
      <c r="FV38" s="453"/>
      <c r="FW38" s="453"/>
      <c r="FX38" s="453"/>
      <c r="FY38" s="453"/>
      <c r="FZ38" s="453"/>
      <c r="GA38" s="453"/>
      <c r="GB38" s="453"/>
      <c r="GC38" s="453"/>
      <c r="GD38" s="453"/>
      <c r="GE38" s="453"/>
      <c r="GF38" s="453"/>
      <c r="GG38" s="453"/>
      <c r="GH38" s="453"/>
      <c r="GI38" s="453"/>
      <c r="GJ38" s="453"/>
      <c r="GK38" s="453"/>
      <c r="GL38" s="453"/>
      <c r="GM38" s="453"/>
      <c r="GN38" s="453"/>
      <c r="GO38" s="453"/>
      <c r="GP38" s="453"/>
      <c r="GQ38" s="453"/>
      <c r="GR38" s="453"/>
      <c r="GS38" s="453"/>
      <c r="GT38" s="453"/>
      <c r="GU38" s="453"/>
      <c r="GV38" s="453"/>
      <c r="GW38" s="453"/>
      <c r="GX38" s="453"/>
      <c r="GY38" s="453"/>
      <c r="GZ38" s="453"/>
      <c r="HA38" s="453"/>
      <c r="HB38" s="453"/>
      <c r="HC38" s="453"/>
      <c r="HD38" s="541"/>
      <c r="HE38" s="453"/>
      <c r="HF38" s="453"/>
      <c r="HG38" s="453"/>
      <c r="HH38" s="453"/>
      <c r="HI38" s="453"/>
      <c r="HJ38" s="541"/>
      <c r="HK38" s="453"/>
      <c r="HL38" s="453"/>
      <c r="HM38" s="453"/>
      <c r="HN38" s="453"/>
      <c r="HO38" s="453"/>
      <c r="HP38" s="453"/>
      <c r="HQ38" s="453"/>
      <c r="HR38" s="453"/>
      <c r="HS38" s="453"/>
      <c r="HT38" s="453"/>
      <c r="HU38" s="453"/>
      <c r="HV38" s="453"/>
      <c r="HW38" s="541"/>
      <c r="HX38" s="453"/>
      <c r="HY38" s="453"/>
      <c r="HZ38" s="453"/>
      <c r="IA38" s="453"/>
      <c r="IB38" s="453"/>
      <c r="IC38" s="453"/>
      <c r="ID38" s="453"/>
      <c r="IE38" s="453"/>
      <c r="IF38" s="453"/>
      <c r="IG38" s="453"/>
      <c r="IH38" s="453"/>
      <c r="II38" s="453"/>
      <c r="IJ38" s="541"/>
      <c r="IK38" s="453"/>
      <c r="IL38" s="453"/>
      <c r="IM38" s="453"/>
      <c r="IN38" s="441"/>
      <c r="IO38" s="471"/>
      <c r="IP38" s="455"/>
      <c r="IQ38" s="455"/>
      <c r="IR38" s="455"/>
      <c r="IS38" s="455"/>
      <c r="IT38" s="455"/>
      <c r="IU38" s="455"/>
      <c r="IV38" s="455"/>
      <c r="IW38" s="455"/>
      <c r="IX38" s="455"/>
      <c r="IY38" s="455"/>
      <c r="IZ38" s="455"/>
      <c r="JA38" s="455"/>
      <c r="JB38" s="455"/>
      <c r="JC38" s="455"/>
      <c r="JD38" s="455"/>
      <c r="JE38" s="455"/>
      <c r="JF38" s="455"/>
      <c r="JG38" s="455"/>
      <c r="JH38" s="455"/>
      <c r="JI38" s="455"/>
      <c r="JJ38" s="456"/>
      <c r="JK38" s="454"/>
      <c r="JL38" s="455"/>
      <c r="JM38" s="455"/>
      <c r="JN38" s="455"/>
      <c r="JO38" s="455"/>
      <c r="JP38" s="455"/>
      <c r="JQ38" s="455"/>
      <c r="JR38" s="455"/>
      <c r="JS38" s="455"/>
      <c r="JT38" s="455"/>
      <c r="JU38" s="455"/>
      <c r="JV38" s="455"/>
      <c r="JW38" s="455"/>
      <c r="JX38" s="455"/>
      <c r="JY38" s="455"/>
      <c r="JZ38" s="455"/>
      <c r="KA38" s="455"/>
      <c r="KB38" s="455"/>
      <c r="KC38" s="455"/>
      <c r="KD38" s="455"/>
      <c r="KE38" s="455"/>
      <c r="KF38" s="455"/>
      <c r="KG38" s="455"/>
      <c r="KH38" s="455"/>
      <c r="KI38" s="455"/>
      <c r="KJ38" s="429"/>
      <c r="KK38" s="457"/>
      <c r="KL38" s="455"/>
      <c r="KM38" s="455"/>
      <c r="KN38" s="455"/>
      <c r="KO38" s="455"/>
      <c r="KP38" s="455"/>
      <c r="KQ38" s="463"/>
      <c r="KR38" s="515"/>
      <c r="KS38" s="455"/>
      <c r="KT38" s="455"/>
      <c r="KU38" s="455"/>
      <c r="KV38" s="455"/>
      <c r="KW38" s="455"/>
      <c r="KX38" s="455"/>
      <c r="KY38" s="455"/>
      <c r="KZ38" s="455"/>
      <c r="LA38" s="455"/>
      <c r="LB38" s="455"/>
      <c r="LC38" s="455"/>
      <c r="LD38" s="455"/>
      <c r="LE38" s="455"/>
      <c r="LF38" s="455"/>
      <c r="LG38" s="455"/>
      <c r="LH38" s="455"/>
      <c r="LI38" s="455"/>
      <c r="LJ38" s="455"/>
      <c r="LK38" s="455"/>
      <c r="LL38" s="455"/>
      <c r="LM38" s="455"/>
      <c r="LN38" s="455"/>
      <c r="LO38" s="455"/>
      <c r="LP38" s="455"/>
      <c r="LQ38" s="455"/>
      <c r="LR38" s="455"/>
      <c r="LS38" s="455"/>
      <c r="LT38" s="734"/>
      <c r="LU38" s="512"/>
      <c r="LV38" s="455"/>
      <c r="LW38" s="615"/>
      <c r="LX38" s="615"/>
      <c r="LY38" s="615"/>
      <c r="LZ38" s="615"/>
      <c r="MA38" s="615"/>
      <c r="MB38" s="615"/>
      <c r="MC38" s="615"/>
      <c r="MD38" s="455"/>
      <c r="ME38" s="615"/>
      <c r="MF38" s="455"/>
      <c r="MG38" s="615"/>
      <c r="MH38" s="455"/>
      <c r="MI38" s="615"/>
      <c r="MJ38" s="455"/>
      <c r="MK38" s="615"/>
      <c r="ML38" s="615"/>
      <c r="MM38" s="615"/>
      <c r="MN38" s="615"/>
      <c r="MO38" s="615"/>
      <c r="MP38" s="615"/>
      <c r="MQ38" s="615"/>
      <c r="MR38" s="615"/>
      <c r="MS38" s="615"/>
      <c r="MT38" s="615"/>
      <c r="MU38" s="615"/>
      <c r="MV38" s="615"/>
      <c r="MW38" s="455"/>
      <c r="MX38" s="455"/>
      <c r="MY38" s="455"/>
      <c r="MZ38" s="455"/>
      <c r="NA38" s="455"/>
      <c r="NB38" s="455"/>
      <c r="NC38" s="455"/>
      <c r="ND38" s="455"/>
      <c r="NE38" s="455"/>
      <c r="NF38" s="455"/>
      <c r="NG38" s="455"/>
      <c r="NH38" s="455"/>
      <c r="NI38" s="455"/>
      <c r="NJ38" s="455"/>
      <c r="NK38" s="455"/>
      <c r="NL38" s="455"/>
      <c r="NM38" s="455"/>
      <c r="NN38" s="455"/>
      <c r="NO38" s="455"/>
      <c r="NP38" s="455"/>
      <c r="NQ38" s="455"/>
      <c r="NR38" s="455"/>
      <c r="NS38" s="455"/>
      <c r="NT38" s="455"/>
      <c r="NU38" s="455"/>
      <c r="NV38" s="455"/>
      <c r="NW38" s="455"/>
      <c r="NX38" s="455"/>
      <c r="NY38" s="455"/>
      <c r="NZ38" s="512"/>
      <c r="OA38" s="635"/>
      <c r="OB38" s="637"/>
      <c r="OC38" s="637"/>
      <c r="OD38" s="637"/>
      <c r="OE38" s="637"/>
      <c r="OF38" s="637"/>
      <c r="OG38" s="637"/>
      <c r="OH38" s="637"/>
      <c r="OI38" s="637"/>
      <c r="OJ38" s="637"/>
      <c r="OK38" s="637"/>
      <c r="OL38" s="637"/>
      <c r="OM38" s="637"/>
      <c r="ON38" s="635"/>
      <c r="OO38" s="637"/>
      <c r="OP38" s="637"/>
      <c r="OQ38" s="637"/>
      <c r="OR38" s="637"/>
      <c r="OS38" s="637"/>
      <c r="OT38" s="637"/>
      <c r="OU38" s="637"/>
      <c r="OV38" s="637"/>
      <c r="OW38" s="637"/>
      <c r="OX38" s="637"/>
      <c r="OY38" s="637"/>
      <c r="OZ38" s="637"/>
      <c r="PA38" s="637"/>
      <c r="PB38" s="637"/>
      <c r="PC38" s="637"/>
      <c r="PD38" s="637"/>
      <c r="PE38" s="637"/>
      <c r="PF38" s="637"/>
      <c r="PG38" s="637"/>
      <c r="PH38" s="641"/>
      <c r="PI38" s="668"/>
      <c r="PJ38" s="668"/>
      <c r="PK38" s="668"/>
      <c r="PL38" s="543"/>
      <c r="PM38" s="543"/>
      <c r="PN38" s="543"/>
      <c r="PO38" s="756"/>
    </row>
    <row r="39" spans="1:431" ht="17.25" customHeight="1">
      <c r="A39" s="418" t="s">
        <v>1264</v>
      </c>
      <c r="B39" s="623" t="s">
        <v>17</v>
      </c>
      <c r="C39" s="380" t="s">
        <v>438</v>
      </c>
      <c r="D39" s="380" t="s">
        <v>529</v>
      </c>
      <c r="E39" s="380" t="s">
        <v>1241</v>
      </c>
      <c r="F39" s="380" t="s">
        <v>1265</v>
      </c>
      <c r="G39" s="493"/>
      <c r="H39" s="400" t="s">
        <v>1266</v>
      </c>
      <c r="I39" s="401" t="s">
        <v>1266</v>
      </c>
      <c r="J39" s="401" t="s">
        <v>1266</v>
      </c>
      <c r="K39" s="401" t="s">
        <v>1266</v>
      </c>
      <c r="L39" s="401" t="s">
        <v>1266</v>
      </c>
      <c r="M39" s="401" t="s">
        <v>1266</v>
      </c>
      <c r="N39" s="401" t="s">
        <v>1266</v>
      </c>
      <c r="O39" s="401" t="s">
        <v>1266</v>
      </c>
      <c r="P39" s="401" t="s">
        <v>1266</v>
      </c>
      <c r="Q39" s="401" t="s">
        <v>1266</v>
      </c>
      <c r="R39" s="401" t="s">
        <v>1266</v>
      </c>
      <c r="S39" s="401" t="s">
        <v>1266</v>
      </c>
      <c r="T39" s="401" t="s">
        <v>1266</v>
      </c>
      <c r="U39" s="401"/>
      <c r="V39" s="401"/>
      <c r="W39" s="401"/>
      <c r="X39" s="401"/>
      <c r="Y39" s="401"/>
      <c r="Z39" s="401"/>
      <c r="AA39" s="401"/>
      <c r="AB39" s="401"/>
      <c r="AC39" s="401"/>
      <c r="AD39" s="401"/>
      <c r="AE39" s="401"/>
      <c r="AF39" s="401"/>
      <c r="AG39" s="401"/>
      <c r="AH39" s="401"/>
      <c r="AI39" s="401"/>
      <c r="AJ39" s="401"/>
      <c r="AK39" s="401"/>
      <c r="AL39" s="401"/>
      <c r="AM39" s="401"/>
      <c r="AN39" s="401"/>
      <c r="AO39" s="401"/>
      <c r="AP39" s="401"/>
      <c r="AQ39" s="401"/>
      <c r="AR39" s="401"/>
      <c r="AS39" s="401"/>
      <c r="AT39" s="401" t="s">
        <v>1267</v>
      </c>
      <c r="AU39" s="401" t="s">
        <v>1267</v>
      </c>
      <c r="AV39" s="401" t="s">
        <v>1267</v>
      </c>
      <c r="AW39" s="401" t="s">
        <v>1267</v>
      </c>
      <c r="AX39" s="401" t="s">
        <v>1267</v>
      </c>
      <c r="AY39" s="401" t="s">
        <v>1267</v>
      </c>
      <c r="AZ39" s="401" t="s">
        <v>1267</v>
      </c>
      <c r="BA39" s="401" t="s">
        <v>1267</v>
      </c>
      <c r="BB39" s="401" t="s">
        <v>1267</v>
      </c>
      <c r="BC39" s="401" t="s">
        <v>1267</v>
      </c>
      <c r="BD39" s="401" t="s">
        <v>1268</v>
      </c>
      <c r="BE39" s="401" t="s">
        <v>1268</v>
      </c>
      <c r="BF39" s="401" t="s">
        <v>1269</v>
      </c>
      <c r="BG39" s="401" t="s">
        <v>1269</v>
      </c>
      <c r="BH39" s="401" t="s">
        <v>1270</v>
      </c>
      <c r="BI39" s="401" t="s">
        <v>1270</v>
      </c>
      <c r="BJ39" s="401" t="s">
        <v>1270</v>
      </c>
      <c r="BK39" s="401" t="s">
        <v>1270</v>
      </c>
      <c r="BL39" s="401" t="s">
        <v>1270</v>
      </c>
      <c r="BM39" s="401" t="s">
        <v>1270</v>
      </c>
      <c r="BN39" s="401" t="s">
        <v>1270</v>
      </c>
      <c r="BO39" s="401" t="s">
        <v>1270</v>
      </c>
      <c r="BP39" s="401" t="s">
        <v>1271</v>
      </c>
      <c r="BQ39" s="401" t="s">
        <v>1271</v>
      </c>
      <c r="BR39" s="401" t="s">
        <v>1271</v>
      </c>
      <c r="BS39" s="401" t="s">
        <v>1268</v>
      </c>
      <c r="BT39" s="401" t="s">
        <v>1272</v>
      </c>
      <c r="BU39" s="401" t="s">
        <v>1272</v>
      </c>
      <c r="BV39" s="401" t="s">
        <v>1272</v>
      </c>
      <c r="BW39" s="401" t="s">
        <v>1272</v>
      </c>
      <c r="BX39" s="401" t="s">
        <v>1272</v>
      </c>
      <c r="BY39" s="401" t="s">
        <v>1272</v>
      </c>
      <c r="BZ39" s="401" t="s">
        <v>1272</v>
      </c>
      <c r="CA39" s="401" t="s">
        <v>1272</v>
      </c>
      <c r="CB39" s="401" t="s">
        <v>1271</v>
      </c>
      <c r="CC39" s="857" t="s">
        <v>1271</v>
      </c>
      <c r="CD39" s="401" t="s">
        <v>1271</v>
      </c>
      <c r="CE39" s="401" t="s">
        <v>1271</v>
      </c>
      <c r="CF39" s="401" t="s">
        <v>1271</v>
      </c>
      <c r="CG39" s="401" t="s">
        <v>1271</v>
      </c>
      <c r="CH39" s="401" t="s">
        <v>1272</v>
      </c>
      <c r="CI39" s="401" t="s">
        <v>1272</v>
      </c>
      <c r="CJ39" s="401" t="s">
        <v>1272</v>
      </c>
      <c r="CK39" s="401" t="s">
        <v>1272</v>
      </c>
      <c r="CL39" s="401" t="s">
        <v>1272</v>
      </c>
      <c r="CM39" s="401" t="s">
        <v>1272</v>
      </c>
      <c r="CN39" s="401" t="s">
        <v>1272</v>
      </c>
      <c r="CO39" s="401" t="s">
        <v>1272</v>
      </c>
      <c r="CP39" s="401" t="s">
        <v>1271</v>
      </c>
      <c r="CQ39" s="401" t="s">
        <v>1271</v>
      </c>
      <c r="CR39" s="401" t="s">
        <v>1271</v>
      </c>
      <c r="CS39" s="401" t="s">
        <v>1271</v>
      </c>
      <c r="CT39" s="401" t="s">
        <v>1271</v>
      </c>
      <c r="CU39" s="401" t="s">
        <v>1271</v>
      </c>
      <c r="CV39" s="401" t="s">
        <v>1271</v>
      </c>
      <c r="CW39" s="401" t="s">
        <v>1271</v>
      </c>
      <c r="CX39" s="401" t="s">
        <v>1271</v>
      </c>
      <c r="CY39" s="401" t="s">
        <v>1271</v>
      </c>
      <c r="CZ39" s="401" t="s">
        <v>1271</v>
      </c>
      <c r="DA39" s="401" t="s">
        <v>1271</v>
      </c>
      <c r="DB39" s="401" t="s">
        <v>1271</v>
      </c>
      <c r="DC39" s="401" t="s">
        <v>1271</v>
      </c>
      <c r="DD39" s="401" t="s">
        <v>1271</v>
      </c>
      <c r="DE39" s="401" t="s">
        <v>1271</v>
      </c>
      <c r="DF39" s="401" t="s">
        <v>1271</v>
      </c>
      <c r="DG39" s="401" t="s">
        <v>1271</v>
      </c>
      <c r="DH39" s="401" t="s">
        <v>1271</v>
      </c>
      <c r="DI39" s="401" t="s">
        <v>1271</v>
      </c>
      <c r="DJ39" s="401" t="s">
        <v>1271</v>
      </c>
      <c r="DK39" s="401" t="s">
        <v>1271</v>
      </c>
      <c r="DL39" s="401" t="s">
        <v>1271</v>
      </c>
      <c r="DM39" s="401" t="s">
        <v>1271</v>
      </c>
      <c r="DN39" s="401" t="s">
        <v>1271</v>
      </c>
      <c r="DO39" s="401" t="s">
        <v>1271</v>
      </c>
      <c r="DP39" s="401" t="s">
        <v>1268</v>
      </c>
      <c r="DQ39" s="401" t="s">
        <v>1273</v>
      </c>
      <c r="DR39" s="401" t="s">
        <v>1268</v>
      </c>
      <c r="DS39" s="498"/>
      <c r="DT39" s="402"/>
      <c r="DU39" s="403"/>
      <c r="DV39" s="403"/>
      <c r="DW39" s="403"/>
      <c r="DX39" s="403"/>
      <c r="DY39" s="403"/>
      <c r="DZ39" s="595"/>
      <c r="EA39" s="403"/>
      <c r="EB39" s="403"/>
      <c r="EC39" s="595"/>
      <c r="ED39" s="403"/>
      <c r="EE39" s="403"/>
      <c r="EF39" s="403"/>
      <c r="EG39" s="403"/>
      <c r="EH39" s="403"/>
      <c r="EI39" s="403"/>
      <c r="EJ39" s="403"/>
      <c r="EK39" s="403"/>
      <c r="EL39" s="595"/>
      <c r="EM39" s="403" t="s">
        <v>1274</v>
      </c>
      <c r="EN39" s="403" t="s">
        <v>1275</v>
      </c>
      <c r="EO39" s="403" t="s">
        <v>1276</v>
      </c>
      <c r="EP39" s="403" t="s">
        <v>1277</v>
      </c>
      <c r="EQ39" s="403" t="s">
        <v>1277</v>
      </c>
      <c r="ER39" s="403" t="s">
        <v>1277</v>
      </c>
      <c r="ES39" s="403" t="s">
        <v>1266</v>
      </c>
      <c r="ET39" s="403" t="s">
        <v>1266</v>
      </c>
      <c r="EU39" s="403" t="s">
        <v>1266</v>
      </c>
      <c r="EV39" s="403" t="s">
        <v>1266</v>
      </c>
      <c r="EW39" s="403" t="s">
        <v>1266</v>
      </c>
      <c r="EX39" s="403" t="s">
        <v>1266</v>
      </c>
      <c r="EY39" s="403" t="s">
        <v>1266</v>
      </c>
      <c r="EZ39" s="403" t="s">
        <v>1266</v>
      </c>
      <c r="FA39" s="403" t="s">
        <v>1266</v>
      </c>
      <c r="FB39" s="403" t="s">
        <v>1266</v>
      </c>
      <c r="FC39" s="403" t="s">
        <v>1266</v>
      </c>
      <c r="FD39" s="403" t="s">
        <v>1266</v>
      </c>
      <c r="FE39" s="595"/>
      <c r="FF39" s="403"/>
      <c r="FG39" s="403"/>
      <c r="FH39" s="403"/>
      <c r="FI39" s="403"/>
      <c r="FJ39" s="403"/>
      <c r="FK39" s="403"/>
      <c r="FL39" s="403"/>
      <c r="FM39" s="403"/>
      <c r="FN39" s="403"/>
      <c r="FO39" s="403"/>
      <c r="FP39" s="403"/>
      <c r="FQ39" s="403"/>
      <c r="FR39" s="403"/>
      <c r="FS39" s="403"/>
      <c r="FT39" s="403"/>
      <c r="FU39" s="403"/>
      <c r="FV39" s="403"/>
      <c r="FW39" s="403"/>
      <c r="FX39" s="403"/>
      <c r="FY39" s="403"/>
      <c r="FZ39" s="403"/>
      <c r="GA39" s="403"/>
      <c r="GB39" s="403"/>
      <c r="GC39" s="403"/>
      <c r="GD39" s="403"/>
      <c r="GE39" s="403"/>
      <c r="GF39" s="403"/>
      <c r="GG39" s="403"/>
      <c r="GH39" s="403"/>
      <c r="GI39" s="403"/>
      <c r="GJ39" s="403"/>
      <c r="GK39" s="403"/>
      <c r="GL39" s="403"/>
      <c r="GM39" s="403"/>
      <c r="GN39" s="403"/>
      <c r="GO39" s="403"/>
      <c r="GP39" s="403"/>
      <c r="GQ39" s="403"/>
      <c r="GR39" s="403"/>
      <c r="GS39" s="403"/>
      <c r="GT39" s="403"/>
      <c r="GU39" s="403"/>
      <c r="GV39" s="403"/>
      <c r="GW39" s="403"/>
      <c r="GX39" s="403"/>
      <c r="GY39" s="403"/>
      <c r="GZ39" s="403"/>
      <c r="HA39" s="403"/>
      <c r="HB39" s="403"/>
      <c r="HC39" s="403"/>
      <c r="HD39" s="595"/>
      <c r="HE39" s="403"/>
      <c r="HF39" s="403"/>
      <c r="HG39" s="403"/>
      <c r="HH39" s="403"/>
      <c r="HI39" s="403"/>
      <c r="HJ39" s="595"/>
      <c r="HK39" s="403" t="s">
        <v>1266</v>
      </c>
      <c r="HL39" s="403" t="s">
        <v>1266</v>
      </c>
      <c r="HM39" s="403" t="s">
        <v>1266</v>
      </c>
      <c r="HN39" s="403" t="s">
        <v>1266</v>
      </c>
      <c r="HO39" s="403" t="s">
        <v>1266</v>
      </c>
      <c r="HP39" s="403" t="s">
        <v>1266</v>
      </c>
      <c r="HQ39" s="403" t="s">
        <v>1266</v>
      </c>
      <c r="HR39" s="403" t="s">
        <v>1266</v>
      </c>
      <c r="HS39" s="403" t="s">
        <v>1266</v>
      </c>
      <c r="HT39" s="403" t="s">
        <v>1266</v>
      </c>
      <c r="HU39" s="403" t="s">
        <v>1266</v>
      </c>
      <c r="HV39" s="403" t="s">
        <v>1266</v>
      </c>
      <c r="HW39" s="595"/>
      <c r="HX39" s="403" t="s">
        <v>1266</v>
      </c>
      <c r="HY39" s="403" t="s">
        <v>1266</v>
      </c>
      <c r="HZ39" s="403" t="s">
        <v>1266</v>
      </c>
      <c r="IA39" s="403" t="s">
        <v>1266</v>
      </c>
      <c r="IB39" s="403" t="s">
        <v>1266</v>
      </c>
      <c r="IC39" s="403" t="s">
        <v>1266</v>
      </c>
      <c r="ID39" s="403" t="s">
        <v>1266</v>
      </c>
      <c r="IE39" s="403" t="s">
        <v>1266</v>
      </c>
      <c r="IF39" s="403" t="s">
        <v>1266</v>
      </c>
      <c r="IG39" s="403" t="s">
        <v>1266</v>
      </c>
      <c r="IH39" s="403" t="s">
        <v>1266</v>
      </c>
      <c r="II39" s="403" t="s">
        <v>1266</v>
      </c>
      <c r="IJ39" s="595"/>
      <c r="IK39" s="403" t="s">
        <v>1266</v>
      </c>
      <c r="IL39" s="403" t="s">
        <v>1266</v>
      </c>
      <c r="IM39" s="403" t="s">
        <v>1266</v>
      </c>
      <c r="IN39" s="404"/>
      <c r="IO39" s="405"/>
      <c r="IP39" s="619"/>
      <c r="IQ39" s="406"/>
      <c r="IR39" s="406"/>
      <c r="IS39" s="406"/>
      <c r="IT39" s="406"/>
      <c r="IU39" s="406"/>
      <c r="IV39" s="406"/>
      <c r="IW39" s="406"/>
      <c r="IX39" s="406"/>
      <c r="IY39" s="406"/>
      <c r="IZ39" s="406"/>
      <c r="JA39" s="406"/>
      <c r="JB39" s="406"/>
      <c r="JC39" s="406"/>
      <c r="JD39" s="406"/>
      <c r="JE39" s="406"/>
      <c r="JF39" s="406"/>
      <c r="JG39" s="406"/>
      <c r="JH39" s="406" t="s">
        <v>1278</v>
      </c>
      <c r="JI39" s="406" t="s">
        <v>1278</v>
      </c>
      <c r="JJ39" s="407"/>
      <c r="JK39" s="408"/>
      <c r="JL39" s="409"/>
      <c r="JM39" s="409"/>
      <c r="JN39" s="409"/>
      <c r="JO39" s="409"/>
      <c r="JP39" s="409"/>
      <c r="JQ39" s="409"/>
      <c r="JR39" s="409"/>
      <c r="JS39" s="409"/>
      <c r="JT39" s="409"/>
      <c r="JU39" s="409"/>
      <c r="JV39" s="409"/>
      <c r="JW39" s="409"/>
      <c r="JX39" s="409"/>
      <c r="JY39" s="409" t="s">
        <v>1279</v>
      </c>
      <c r="JZ39" s="409" t="s">
        <v>1279</v>
      </c>
      <c r="KA39" s="409" t="s">
        <v>1279</v>
      </c>
      <c r="KB39" s="409" t="s">
        <v>1279</v>
      </c>
      <c r="KC39" s="409" t="s">
        <v>1279</v>
      </c>
      <c r="KD39" s="409" t="s">
        <v>1279</v>
      </c>
      <c r="KE39" s="409" t="s">
        <v>1279</v>
      </c>
      <c r="KF39" s="409" t="s">
        <v>1279</v>
      </c>
      <c r="KG39" s="409" t="s">
        <v>1279</v>
      </c>
      <c r="KH39" s="409" t="s">
        <v>1279</v>
      </c>
      <c r="KI39" s="409" t="s">
        <v>1279</v>
      </c>
      <c r="KJ39" s="429"/>
      <c r="KK39" s="411" t="s">
        <v>1280</v>
      </c>
      <c r="KL39" s="547"/>
      <c r="KM39" s="412"/>
      <c r="KN39" s="412"/>
      <c r="KO39" s="412"/>
      <c r="KP39" s="412"/>
      <c r="KQ39" s="458"/>
      <c r="KR39" s="460"/>
      <c r="KS39" s="462" t="s">
        <v>1281</v>
      </c>
      <c r="KT39" s="462" t="s">
        <v>1281</v>
      </c>
      <c r="KU39" s="462" t="s">
        <v>1281</v>
      </c>
      <c r="KV39" s="462" t="s">
        <v>1281</v>
      </c>
      <c r="KW39" s="462" t="s">
        <v>1281</v>
      </c>
      <c r="KX39" s="462" t="s">
        <v>1281</v>
      </c>
      <c r="KY39" s="462" t="s">
        <v>1281</v>
      </c>
      <c r="KZ39" s="462" t="s">
        <v>1281</v>
      </c>
      <c r="LA39" s="462" t="s">
        <v>1281</v>
      </c>
      <c r="LB39" s="462" t="s">
        <v>1281</v>
      </c>
      <c r="LC39" s="462" t="s">
        <v>1281</v>
      </c>
      <c r="LD39" s="462" t="s">
        <v>1281</v>
      </c>
      <c r="LE39" s="462" t="s">
        <v>1281</v>
      </c>
      <c r="LF39" s="462" t="s">
        <v>1281</v>
      </c>
      <c r="LG39" s="462" t="s">
        <v>1281</v>
      </c>
      <c r="LH39" s="462" t="s">
        <v>1281</v>
      </c>
      <c r="LI39" s="462"/>
      <c r="LJ39" s="462" t="s">
        <v>1281</v>
      </c>
      <c r="LK39" s="462" t="s">
        <v>1282</v>
      </c>
      <c r="LL39" s="462"/>
      <c r="LM39" s="462"/>
      <c r="LN39" s="462"/>
      <c r="LO39" s="462"/>
      <c r="LP39" s="462"/>
      <c r="LQ39" s="462"/>
      <c r="LR39" s="462"/>
      <c r="LS39" s="462"/>
      <c r="LT39" s="734"/>
      <c r="LU39" s="611"/>
      <c r="LV39" s="586"/>
      <c r="LW39" s="610" t="s">
        <v>1283</v>
      </c>
      <c r="LX39" s="610" t="s">
        <v>1283</v>
      </c>
      <c r="LY39" s="610" t="s">
        <v>1283</v>
      </c>
      <c r="LZ39" s="610" t="s">
        <v>1283</v>
      </c>
      <c r="MA39" s="610" t="s">
        <v>1284</v>
      </c>
      <c r="MB39" s="610" t="s">
        <v>1284</v>
      </c>
      <c r="MC39" s="610" t="s">
        <v>1284</v>
      </c>
      <c r="MD39" s="610" t="s">
        <v>1285</v>
      </c>
      <c r="ME39" s="610" t="s">
        <v>1283</v>
      </c>
      <c r="MF39" s="610" t="s">
        <v>1283</v>
      </c>
      <c r="MG39" s="610" t="s">
        <v>1283</v>
      </c>
      <c r="MH39" s="610" t="s">
        <v>1283</v>
      </c>
      <c r="MI39" s="610" t="s">
        <v>1283</v>
      </c>
      <c r="MJ39" s="610" t="s">
        <v>1283</v>
      </c>
      <c r="MK39" s="610" t="s">
        <v>1283</v>
      </c>
      <c r="ML39" s="610" t="s">
        <v>1283</v>
      </c>
      <c r="MM39" s="610" t="s">
        <v>1283</v>
      </c>
      <c r="MN39" s="610" t="s">
        <v>1283</v>
      </c>
      <c r="MO39" s="610" t="s">
        <v>1283</v>
      </c>
      <c r="MP39" s="610" t="s">
        <v>1286</v>
      </c>
      <c r="MQ39" s="610" t="s">
        <v>1286</v>
      </c>
      <c r="MR39" s="610" t="s">
        <v>1286</v>
      </c>
      <c r="MS39" s="610" t="s">
        <v>1286</v>
      </c>
      <c r="MT39" s="610" t="s">
        <v>1286</v>
      </c>
      <c r="MU39" s="610" t="s">
        <v>1286</v>
      </c>
      <c r="MV39" s="610" t="s">
        <v>1287</v>
      </c>
      <c r="MW39" s="586" t="s">
        <v>1288</v>
      </c>
      <c r="MX39" s="417" t="s">
        <v>1288</v>
      </c>
      <c r="MY39" s="417" t="s">
        <v>1288</v>
      </c>
      <c r="MZ39" s="417" t="s">
        <v>1288</v>
      </c>
      <c r="NA39" s="417" t="s">
        <v>1288</v>
      </c>
      <c r="NB39" s="417" t="s">
        <v>1288</v>
      </c>
      <c r="NC39" s="417" t="s">
        <v>1288</v>
      </c>
      <c r="ND39" s="417" t="s">
        <v>1289</v>
      </c>
      <c r="NE39" s="417" t="s">
        <v>1289</v>
      </c>
      <c r="NF39" s="417" t="s">
        <v>1288</v>
      </c>
      <c r="NG39" s="417" t="s">
        <v>1288</v>
      </c>
      <c r="NH39" s="417" t="s">
        <v>1288</v>
      </c>
      <c r="NI39" s="417" t="s">
        <v>1288</v>
      </c>
      <c r="NJ39" s="417" t="s">
        <v>1288</v>
      </c>
      <c r="NK39" s="417" t="s">
        <v>1288</v>
      </c>
      <c r="NL39" s="417" t="s">
        <v>1288</v>
      </c>
      <c r="NM39" s="417" t="s">
        <v>1288</v>
      </c>
      <c r="NN39" s="417" t="s">
        <v>1288</v>
      </c>
      <c r="NO39" s="417" t="s">
        <v>1290</v>
      </c>
      <c r="NP39" s="417" t="s">
        <v>1291</v>
      </c>
      <c r="NQ39" s="417" t="s">
        <v>1291</v>
      </c>
      <c r="NR39" s="417" t="s">
        <v>1292</v>
      </c>
      <c r="NS39" s="417" t="s">
        <v>1290</v>
      </c>
      <c r="NT39" s="417" t="s">
        <v>1290</v>
      </c>
      <c r="NU39" s="417" t="s">
        <v>1290</v>
      </c>
      <c r="NV39" s="417" t="s">
        <v>1290</v>
      </c>
      <c r="NW39" s="417" t="s">
        <v>1290</v>
      </c>
      <c r="NX39" s="417" t="s">
        <v>1290</v>
      </c>
      <c r="NY39" s="417" t="s">
        <v>1289</v>
      </c>
      <c r="NZ39" s="611" t="s">
        <v>1293</v>
      </c>
      <c r="OA39" s="635"/>
      <c r="OB39" s="638" t="s">
        <v>1294</v>
      </c>
      <c r="OC39" s="638" t="s">
        <v>1294</v>
      </c>
      <c r="OD39" s="638" t="s">
        <v>1294</v>
      </c>
      <c r="OE39" s="638" t="s">
        <v>1294</v>
      </c>
      <c r="OF39" s="638"/>
      <c r="OG39" s="638"/>
      <c r="OH39" s="638"/>
      <c r="OI39" s="638"/>
      <c r="OJ39" s="638"/>
      <c r="OK39" s="638"/>
      <c r="OL39" s="638"/>
      <c r="OM39" s="638"/>
      <c r="ON39" s="635"/>
      <c r="OO39" s="638"/>
      <c r="OP39" s="638"/>
      <c r="OQ39" s="638"/>
      <c r="OR39" s="638"/>
      <c r="OS39" s="638"/>
      <c r="OT39" s="638"/>
      <c r="OU39" s="638"/>
      <c r="OV39" s="638"/>
      <c r="OW39" s="638"/>
      <c r="OX39" s="638"/>
      <c r="OY39" s="638"/>
      <c r="OZ39" s="638"/>
      <c r="PA39" s="638"/>
      <c r="PB39" s="638"/>
      <c r="PC39" s="638"/>
      <c r="PD39" s="638"/>
      <c r="PE39" s="638"/>
      <c r="PF39" s="638"/>
      <c r="PG39" s="638"/>
      <c r="PH39" s="640"/>
      <c r="PI39" s="666"/>
      <c r="PJ39" s="666"/>
      <c r="PK39" s="666"/>
      <c r="PL39" s="420" t="s">
        <v>1295</v>
      </c>
      <c r="PM39" s="420" t="s">
        <v>1295</v>
      </c>
      <c r="PN39" s="420" t="s">
        <v>1295</v>
      </c>
      <c r="PO39" s="550" t="s">
        <v>1266</v>
      </c>
    </row>
    <row r="40" spans="1:431">
      <c r="A40" s="418" t="s">
        <v>1296</v>
      </c>
      <c r="B40" s="623" t="s">
        <v>1297</v>
      </c>
      <c r="C40" s="380" t="s">
        <v>438</v>
      </c>
      <c r="D40" s="380" t="s">
        <v>529</v>
      </c>
      <c r="E40" s="380" t="s">
        <v>1241</v>
      </c>
      <c r="F40" s="380" t="s">
        <v>1298</v>
      </c>
      <c r="G40" s="494"/>
      <c r="H40" s="419">
        <v>0.78500000000000003</v>
      </c>
      <c r="I40" s="419">
        <v>0.78500000000000003</v>
      </c>
      <c r="J40" s="419">
        <v>0.78500000000000003</v>
      </c>
      <c r="K40" s="419">
        <v>0.78500000000000003</v>
      </c>
      <c r="L40" s="419">
        <v>0.78500000000000003</v>
      </c>
      <c r="M40" s="419">
        <v>0.78500000000000003</v>
      </c>
      <c r="N40" s="419">
        <v>0.78500000000000003</v>
      </c>
      <c r="O40" s="419">
        <v>0.78500000000000003</v>
      </c>
      <c r="P40" s="419">
        <v>0.78500000000000003</v>
      </c>
      <c r="Q40" s="419">
        <v>0.78500000000000003</v>
      </c>
      <c r="R40" s="419">
        <v>0.78500000000000003</v>
      </c>
      <c r="S40" s="419">
        <v>0.78500000000000003</v>
      </c>
      <c r="T40" s="420">
        <v>0.78500000000000003</v>
      </c>
      <c r="U40" s="420">
        <v>0.78200000000000003</v>
      </c>
      <c r="V40" s="420">
        <v>0.78200000000000003</v>
      </c>
      <c r="W40" s="420">
        <v>0.78200000000000003</v>
      </c>
      <c r="X40" s="420">
        <v>0.78200000000000003</v>
      </c>
      <c r="Y40" s="420">
        <v>0.78200000000000003</v>
      </c>
      <c r="Z40" s="420">
        <v>0.78200000000000003</v>
      </c>
      <c r="AA40" s="420">
        <v>0.78200000000000003</v>
      </c>
      <c r="AB40" s="420">
        <v>0.78200000000000003</v>
      </c>
      <c r="AC40" s="420">
        <v>0.78200000000000003</v>
      </c>
      <c r="AD40" s="420">
        <v>0.78200000000000003</v>
      </c>
      <c r="AE40" s="420">
        <v>0.78200000000000003</v>
      </c>
      <c r="AF40" s="420">
        <v>0.78200000000000003</v>
      </c>
      <c r="AG40" s="420">
        <v>0.78200000000000003</v>
      </c>
      <c r="AH40" s="420">
        <v>0.8</v>
      </c>
      <c r="AI40" s="420">
        <v>0.8</v>
      </c>
      <c r="AJ40" s="420">
        <v>0.8</v>
      </c>
      <c r="AK40" s="420">
        <v>0.8</v>
      </c>
      <c r="AL40" s="420">
        <v>0.8</v>
      </c>
      <c r="AM40" s="420">
        <v>0.8</v>
      </c>
      <c r="AN40" s="420">
        <v>0.78200000000000003</v>
      </c>
      <c r="AO40" s="420">
        <v>0.8</v>
      </c>
      <c r="AP40" s="420">
        <v>0.8</v>
      </c>
      <c r="AQ40" s="420">
        <v>0.78200000000000003</v>
      </c>
      <c r="AR40" s="420">
        <v>0.8</v>
      </c>
      <c r="AS40" s="420">
        <v>0.8</v>
      </c>
      <c r="AT40" s="420">
        <v>0.8</v>
      </c>
      <c r="AU40" s="420">
        <v>0.8</v>
      </c>
      <c r="AV40" s="420">
        <v>0.8</v>
      </c>
      <c r="AW40" s="420">
        <v>0.8</v>
      </c>
      <c r="AX40" s="420">
        <v>0.8</v>
      </c>
      <c r="AY40" s="420">
        <v>0.8</v>
      </c>
      <c r="AZ40" s="420">
        <v>0.8</v>
      </c>
      <c r="BA40" s="420">
        <v>0.8</v>
      </c>
      <c r="BB40" s="420">
        <v>0.8</v>
      </c>
      <c r="BC40" s="420">
        <v>0.8</v>
      </c>
      <c r="BD40" s="420">
        <v>0.8</v>
      </c>
      <c r="BE40" s="420">
        <v>0.8</v>
      </c>
      <c r="BF40" s="420">
        <v>0.8</v>
      </c>
      <c r="BG40" s="420">
        <v>0.8</v>
      </c>
      <c r="BH40" s="420">
        <v>0.8</v>
      </c>
      <c r="BI40" s="420">
        <v>0.8</v>
      </c>
      <c r="BJ40" s="420">
        <v>0.8</v>
      </c>
      <c r="BK40" s="420">
        <v>0.8</v>
      </c>
      <c r="BL40" s="420">
        <v>0.8</v>
      </c>
      <c r="BM40" s="420">
        <v>0.8</v>
      </c>
      <c r="BN40" s="420">
        <v>0.8</v>
      </c>
      <c r="BO40" s="420">
        <v>0.8</v>
      </c>
      <c r="BP40" s="420">
        <v>0.8</v>
      </c>
      <c r="BQ40" s="420">
        <v>0.8</v>
      </c>
      <c r="BR40" s="420">
        <v>0.8</v>
      </c>
      <c r="BS40" s="420">
        <v>0.8</v>
      </c>
      <c r="BT40" s="420">
        <v>0.8</v>
      </c>
      <c r="BU40" s="420">
        <v>0.8</v>
      </c>
      <c r="BV40" s="420">
        <v>0.8</v>
      </c>
      <c r="BW40" s="420">
        <v>0.8</v>
      </c>
      <c r="BX40" s="420">
        <v>0.8</v>
      </c>
      <c r="BY40" s="420">
        <v>0.8</v>
      </c>
      <c r="BZ40" s="420">
        <v>0.8</v>
      </c>
      <c r="CA40" s="420">
        <v>0.8</v>
      </c>
      <c r="CB40" s="420">
        <v>0.8</v>
      </c>
      <c r="CC40" s="858">
        <v>0.08</v>
      </c>
      <c r="CD40" s="420">
        <v>0.8</v>
      </c>
      <c r="CE40" s="420">
        <v>0.8</v>
      </c>
      <c r="CF40" s="420">
        <v>0.8</v>
      </c>
      <c r="CG40" s="420">
        <v>0.8</v>
      </c>
      <c r="CH40" s="420">
        <v>0.8</v>
      </c>
      <c r="CI40" s="420">
        <v>0.8</v>
      </c>
      <c r="CJ40" s="420">
        <v>0.8</v>
      </c>
      <c r="CK40" s="420">
        <v>0.8</v>
      </c>
      <c r="CL40" s="420">
        <v>0.8</v>
      </c>
      <c r="CM40" s="420">
        <v>0.8</v>
      </c>
      <c r="CN40" s="420">
        <v>0.8</v>
      </c>
      <c r="CO40" s="420">
        <v>0.8</v>
      </c>
      <c r="CP40" s="420">
        <v>0.8</v>
      </c>
      <c r="CQ40" s="420">
        <v>0.8</v>
      </c>
      <c r="CR40" s="420">
        <v>0.8</v>
      </c>
      <c r="CS40" s="420">
        <v>0.8</v>
      </c>
      <c r="CT40" s="420">
        <v>0.8</v>
      </c>
      <c r="CU40" s="420">
        <v>0.8</v>
      </c>
      <c r="CV40" s="420">
        <v>0.8</v>
      </c>
      <c r="CW40" s="420">
        <v>0.8</v>
      </c>
      <c r="CX40" s="420">
        <v>0.8</v>
      </c>
      <c r="CY40" s="420">
        <v>0.8</v>
      </c>
      <c r="CZ40" s="420">
        <v>0.8</v>
      </c>
      <c r="DA40" s="420">
        <v>0.8</v>
      </c>
      <c r="DB40" s="420">
        <v>0.8</v>
      </c>
      <c r="DC40" s="420">
        <v>0.8</v>
      </c>
      <c r="DD40" s="420">
        <v>0.8</v>
      </c>
      <c r="DE40" s="420">
        <v>0.8</v>
      </c>
      <c r="DF40" s="420">
        <v>0.8</v>
      </c>
      <c r="DG40" s="420">
        <v>0.8</v>
      </c>
      <c r="DH40" s="420">
        <v>0.8</v>
      </c>
      <c r="DI40" s="420">
        <v>0.8</v>
      </c>
      <c r="DJ40" s="420">
        <v>0.8</v>
      </c>
      <c r="DK40" s="420">
        <v>0.8</v>
      </c>
      <c r="DL40" s="420">
        <v>0.8</v>
      </c>
      <c r="DM40" s="420">
        <v>0.8</v>
      </c>
      <c r="DN40" s="420">
        <v>0.8</v>
      </c>
      <c r="DO40" s="420">
        <v>0.8</v>
      </c>
      <c r="DP40" s="420">
        <v>0.8</v>
      </c>
      <c r="DQ40" s="420">
        <v>0.8</v>
      </c>
      <c r="DR40" s="420">
        <v>0.8</v>
      </c>
      <c r="DS40" s="499"/>
      <c r="DT40" s="421"/>
      <c r="DU40" s="422"/>
      <c r="DV40" s="422"/>
      <c r="DW40" s="422"/>
      <c r="DX40" s="422"/>
      <c r="DY40" s="422"/>
      <c r="DZ40" s="596"/>
      <c r="EA40" s="422"/>
      <c r="EB40" s="422"/>
      <c r="EC40" s="596"/>
      <c r="ED40" s="422"/>
      <c r="EE40" s="422"/>
      <c r="EF40" s="422"/>
      <c r="EG40" s="422"/>
      <c r="EH40" s="422"/>
      <c r="EI40" s="422"/>
      <c r="EJ40" s="422"/>
      <c r="EK40" s="422"/>
      <c r="EL40" s="596"/>
      <c r="EM40" s="422"/>
      <c r="EN40" s="422"/>
      <c r="EO40" s="422"/>
      <c r="EP40" s="422">
        <v>0.78500000000000003</v>
      </c>
      <c r="EQ40" s="422">
        <v>0.78500000000000003</v>
      </c>
      <c r="ER40" s="422">
        <v>0.78500000000000003</v>
      </c>
      <c r="ES40" s="422">
        <v>0.78500000000000003</v>
      </c>
      <c r="ET40" s="422">
        <v>0.78500000000000003</v>
      </c>
      <c r="EU40" s="422">
        <v>0.78500000000000003</v>
      </c>
      <c r="EV40" s="422">
        <v>0.78500000000000003</v>
      </c>
      <c r="EW40" s="422">
        <v>0.78500000000000003</v>
      </c>
      <c r="EX40" s="422">
        <v>0.78500000000000003</v>
      </c>
      <c r="EY40" s="422">
        <v>0.78500000000000003</v>
      </c>
      <c r="EZ40" s="422">
        <v>0.78500000000000003</v>
      </c>
      <c r="FA40" s="422">
        <v>0.78500000000000003</v>
      </c>
      <c r="FB40" s="422"/>
      <c r="FC40" s="422">
        <v>0.80283700000000002</v>
      </c>
      <c r="FD40" s="422">
        <v>0.80283700000000002</v>
      </c>
      <c r="FE40" s="596"/>
      <c r="FF40" s="422"/>
      <c r="FG40" s="422"/>
      <c r="FH40" s="422"/>
      <c r="FI40" s="422"/>
      <c r="FJ40" s="422"/>
      <c r="FK40" s="422"/>
      <c r="FL40" s="422"/>
      <c r="FM40" s="422"/>
      <c r="FN40" s="422"/>
      <c r="FO40" s="422"/>
      <c r="FP40" s="422"/>
      <c r="FQ40" s="422"/>
      <c r="FR40" s="422"/>
      <c r="FS40" s="422"/>
      <c r="FT40" s="422"/>
      <c r="FU40" s="422"/>
      <c r="FV40" s="422"/>
      <c r="FW40" s="422"/>
      <c r="FX40" s="422"/>
      <c r="FY40" s="422"/>
      <c r="FZ40" s="422"/>
      <c r="GA40" s="422"/>
      <c r="GB40" s="422"/>
      <c r="GC40" s="422"/>
      <c r="GD40" s="422"/>
      <c r="GE40" s="422"/>
      <c r="GF40" s="422"/>
      <c r="GG40" s="422"/>
      <c r="GH40" s="422"/>
      <c r="GI40" s="422"/>
      <c r="GJ40" s="422"/>
      <c r="GK40" s="422"/>
      <c r="GL40" s="422"/>
      <c r="GM40" s="422"/>
      <c r="GN40" s="422"/>
      <c r="GO40" s="422"/>
      <c r="GP40" s="422"/>
      <c r="GQ40" s="422"/>
      <c r="GR40" s="422"/>
      <c r="GS40" s="422"/>
      <c r="GT40" s="422"/>
      <c r="GU40" s="422"/>
      <c r="GV40" s="422"/>
      <c r="GW40" s="422"/>
      <c r="GX40" s="578">
        <v>3340</v>
      </c>
      <c r="GY40" s="578">
        <v>3290</v>
      </c>
      <c r="GZ40" s="422"/>
      <c r="HA40" s="422"/>
      <c r="HB40" s="422"/>
      <c r="HC40" s="422"/>
      <c r="HD40" s="596"/>
      <c r="HE40" s="422"/>
      <c r="HF40" s="422"/>
      <c r="HG40" s="422"/>
      <c r="HH40" s="422"/>
      <c r="HI40" s="422"/>
      <c r="HJ40" s="596"/>
      <c r="HK40" s="422"/>
      <c r="HL40" s="422"/>
      <c r="HM40" s="422"/>
      <c r="HN40" s="422"/>
      <c r="HO40" s="422"/>
      <c r="HP40" s="422"/>
      <c r="HQ40" s="422"/>
      <c r="HR40" s="422"/>
      <c r="HS40" s="422"/>
      <c r="HT40" s="422"/>
      <c r="HU40" s="422"/>
      <c r="HV40" s="422"/>
      <c r="HW40" s="596"/>
      <c r="HX40" s="422"/>
      <c r="HY40" s="422"/>
      <c r="HZ40" s="422"/>
      <c r="IA40" s="422"/>
      <c r="IB40" s="422"/>
      <c r="IC40" s="422"/>
      <c r="ID40" s="422"/>
      <c r="IE40" s="422"/>
      <c r="IF40" s="422"/>
      <c r="IG40" s="422"/>
      <c r="IH40" s="422"/>
      <c r="II40" s="422"/>
      <c r="IJ40" s="596"/>
      <c r="IK40" s="422">
        <v>0.80283700000000002</v>
      </c>
      <c r="IL40" s="422">
        <v>0.80283700000000002</v>
      </c>
      <c r="IM40" s="422">
        <v>0.80283700000000002</v>
      </c>
      <c r="IN40" s="423"/>
      <c r="IO40" s="424"/>
      <c r="IP40" s="617"/>
      <c r="IQ40" s="425"/>
      <c r="IR40" s="425"/>
      <c r="IS40" s="425"/>
      <c r="IT40" s="425"/>
      <c r="IU40" s="425"/>
      <c r="IV40" s="425"/>
      <c r="IW40" s="425"/>
      <c r="IX40" s="425"/>
      <c r="IY40" s="425"/>
      <c r="IZ40" s="425"/>
      <c r="JA40" s="425"/>
      <c r="JB40" s="425"/>
      <c r="JC40" s="425"/>
      <c r="JD40" s="425"/>
      <c r="JE40" s="425"/>
      <c r="JF40" s="425"/>
      <c r="JG40" s="425"/>
      <c r="JH40" s="425"/>
      <c r="JI40" s="425"/>
      <c r="JJ40" s="426"/>
      <c r="JK40" s="427">
        <v>0.80300000000000005</v>
      </c>
      <c r="JL40" s="428">
        <v>0.80300000000000005</v>
      </c>
      <c r="JM40" s="428">
        <v>0.81100000000000005</v>
      </c>
      <c r="JN40" s="428">
        <v>0.81100000000000005</v>
      </c>
      <c r="JO40" s="428">
        <v>0.81100000000000005</v>
      </c>
      <c r="JP40" s="428">
        <v>0.81100000000000005</v>
      </c>
      <c r="JQ40" s="428"/>
      <c r="JR40" s="428">
        <v>0.80300000000000005</v>
      </c>
      <c r="JS40" s="428">
        <v>0.80300000000000005</v>
      </c>
      <c r="JT40" s="428"/>
      <c r="JU40" s="428"/>
      <c r="JV40" s="428">
        <v>0.80300000000000005</v>
      </c>
      <c r="JW40" s="428">
        <v>0.80300000000000005</v>
      </c>
      <c r="JX40" s="428"/>
      <c r="JY40" s="428">
        <v>0.80300000000000005</v>
      </c>
      <c r="JZ40" s="428">
        <v>0.80300000000000005</v>
      </c>
      <c r="KA40" s="428"/>
      <c r="KB40" s="428"/>
      <c r="KC40" s="428">
        <v>0.81100000000000005</v>
      </c>
      <c r="KD40" s="428">
        <v>0.81100000000000005</v>
      </c>
      <c r="KE40" s="428">
        <v>0.80300000000000005</v>
      </c>
      <c r="KF40" s="428">
        <v>0.80300000000000005</v>
      </c>
      <c r="KG40" s="428">
        <v>0.81100000000000005</v>
      </c>
      <c r="KH40" s="428">
        <v>0.81100000000000005</v>
      </c>
      <c r="KI40" s="428">
        <v>0.81100000000000005</v>
      </c>
      <c r="KJ40" s="429"/>
      <c r="KK40" s="430">
        <v>0.80283700000000002</v>
      </c>
      <c r="KL40" s="545"/>
      <c r="KM40" s="431"/>
      <c r="KN40" s="431"/>
      <c r="KO40" s="431"/>
      <c r="KP40" s="431"/>
      <c r="KQ40" s="463"/>
      <c r="KR40" s="464"/>
      <c r="KS40" s="465"/>
      <c r="KT40" s="466"/>
      <c r="KU40" s="466"/>
      <c r="KV40" s="466"/>
      <c r="KW40" s="466"/>
      <c r="KX40" s="466"/>
      <c r="KY40" s="466"/>
      <c r="KZ40" s="466"/>
      <c r="LA40" s="466"/>
      <c r="LB40" s="466"/>
      <c r="LC40" s="466"/>
      <c r="LD40" s="466"/>
      <c r="LE40" s="466"/>
      <c r="LF40" s="466"/>
      <c r="LG40" s="466"/>
      <c r="LH40" s="466"/>
      <c r="LI40" s="466"/>
      <c r="LJ40" s="466"/>
      <c r="LK40" s="466"/>
      <c r="LL40" s="466"/>
      <c r="LM40" s="466"/>
      <c r="LN40" s="466"/>
      <c r="LO40" s="466"/>
      <c r="LP40" s="466"/>
      <c r="LQ40" s="466"/>
      <c r="LR40" s="466"/>
      <c r="LS40" s="466"/>
      <c r="LT40" s="734"/>
      <c r="LU40" s="611"/>
      <c r="LV40" s="588"/>
      <c r="LW40" s="611">
        <v>0.81</v>
      </c>
      <c r="LX40" s="611">
        <v>0.81</v>
      </c>
      <c r="LY40" s="611">
        <v>0.81</v>
      </c>
      <c r="LZ40" s="611">
        <v>0.81</v>
      </c>
      <c r="MA40" s="611">
        <v>0.81</v>
      </c>
      <c r="MB40" s="611">
        <v>0.81</v>
      </c>
      <c r="MC40" s="611">
        <v>0.81</v>
      </c>
      <c r="MD40" s="611">
        <v>0.81</v>
      </c>
      <c r="ME40" s="611">
        <v>0.81</v>
      </c>
      <c r="MF40" s="611">
        <v>0.81</v>
      </c>
      <c r="MG40" s="611">
        <v>0.81</v>
      </c>
      <c r="MH40" s="611">
        <v>0.81</v>
      </c>
      <c r="MI40" s="611">
        <v>0.81</v>
      </c>
      <c r="MJ40" s="611">
        <v>0.81</v>
      </c>
      <c r="MK40" s="611">
        <v>0.81</v>
      </c>
      <c r="ML40" s="611">
        <v>0.81</v>
      </c>
      <c r="MM40" s="611">
        <v>0.81</v>
      </c>
      <c r="MN40" s="611">
        <v>0.85</v>
      </c>
      <c r="MO40" s="611">
        <v>0.85</v>
      </c>
      <c r="MP40" s="611">
        <v>0.85</v>
      </c>
      <c r="MQ40" s="611">
        <v>0.85</v>
      </c>
      <c r="MR40" s="611">
        <v>0.85</v>
      </c>
      <c r="MS40" s="611">
        <v>0.85</v>
      </c>
      <c r="MT40" s="611">
        <v>0.85</v>
      </c>
      <c r="MU40" s="611">
        <v>0.85</v>
      </c>
      <c r="MV40" s="611">
        <v>0.85</v>
      </c>
      <c r="MW40" s="588">
        <v>0.85</v>
      </c>
      <c r="MX40" s="436">
        <v>0.85</v>
      </c>
      <c r="MY40" s="436">
        <v>0.85</v>
      </c>
      <c r="MZ40" s="436">
        <v>0.85</v>
      </c>
      <c r="NA40" s="436">
        <v>0.85</v>
      </c>
      <c r="NB40" s="436">
        <v>0.85</v>
      </c>
      <c r="NC40" s="436">
        <v>0.85</v>
      </c>
      <c r="ND40" s="436">
        <v>0.85</v>
      </c>
      <c r="NE40" s="436">
        <v>0.85</v>
      </c>
      <c r="NF40" s="436">
        <v>0.85</v>
      </c>
      <c r="NG40" s="436">
        <v>0.85</v>
      </c>
      <c r="NH40" s="436">
        <v>0.85</v>
      </c>
      <c r="NI40" s="436">
        <v>0.85</v>
      </c>
      <c r="NJ40" s="436">
        <v>0.85</v>
      </c>
      <c r="NK40" s="436">
        <v>0.8</v>
      </c>
      <c r="NL40" s="436">
        <v>0.8</v>
      </c>
      <c r="NM40" s="436">
        <v>0.8</v>
      </c>
      <c r="NN40" s="436">
        <v>0.8</v>
      </c>
      <c r="NO40" s="436">
        <v>0.8</v>
      </c>
      <c r="NP40" s="436">
        <v>0.8</v>
      </c>
      <c r="NQ40" s="436">
        <v>0.8</v>
      </c>
      <c r="NR40" s="436">
        <v>0.8</v>
      </c>
      <c r="NS40" s="436">
        <v>0.8</v>
      </c>
      <c r="NT40" s="436">
        <v>0.8</v>
      </c>
      <c r="NU40" s="436">
        <v>0.8</v>
      </c>
      <c r="NV40" s="436">
        <v>0.8</v>
      </c>
      <c r="NW40" s="436">
        <v>0.8</v>
      </c>
      <c r="NX40" s="436">
        <v>0.8</v>
      </c>
      <c r="NY40" s="436">
        <v>0.8</v>
      </c>
      <c r="NZ40" s="611">
        <v>0.8</v>
      </c>
      <c r="OA40" s="635"/>
      <c r="OB40" s="638">
        <v>0.80279999999999996</v>
      </c>
      <c r="OC40" s="638">
        <v>0.80279999999999996</v>
      </c>
      <c r="OD40" s="638">
        <v>0.80279999999999996</v>
      </c>
      <c r="OE40" s="638">
        <v>0.80279999999999996</v>
      </c>
      <c r="OF40" s="638"/>
      <c r="OG40" s="638"/>
      <c r="OH40" s="638"/>
      <c r="OI40" s="638"/>
      <c r="OJ40" s="638"/>
      <c r="OK40" s="638"/>
      <c r="OL40" s="638"/>
      <c r="OM40" s="638"/>
      <c r="ON40" s="635"/>
      <c r="OO40" s="638"/>
      <c r="OP40" s="638"/>
      <c r="OQ40" s="638"/>
      <c r="OR40" s="638"/>
      <c r="OS40" s="638"/>
      <c r="OT40" s="638"/>
      <c r="OU40" s="638"/>
      <c r="OV40" s="638"/>
      <c r="OW40" s="638"/>
      <c r="OX40" s="638"/>
      <c r="OY40" s="638"/>
      <c r="OZ40" s="638"/>
      <c r="PA40" s="638"/>
      <c r="PB40" s="638"/>
      <c r="PC40" s="638"/>
      <c r="PD40" s="638"/>
      <c r="PE40" s="638"/>
      <c r="PF40" s="638"/>
      <c r="PG40" s="638"/>
      <c r="PH40" s="640"/>
      <c r="PI40" s="666"/>
      <c r="PJ40" s="666"/>
      <c r="PK40" s="666">
        <v>0.80283700000000002</v>
      </c>
      <c r="PL40" s="420">
        <v>0.8</v>
      </c>
      <c r="PM40" s="420">
        <v>0.8</v>
      </c>
      <c r="PN40" s="420">
        <v>0.8</v>
      </c>
      <c r="PO40" s="550">
        <v>0.80283700000000002</v>
      </c>
    </row>
    <row r="41" spans="1:431">
      <c r="A41" s="418" t="s">
        <v>1299</v>
      </c>
      <c r="B41" s="623" t="s">
        <v>1300</v>
      </c>
      <c r="C41" s="380" t="s">
        <v>438</v>
      </c>
      <c r="D41" s="380" t="s">
        <v>529</v>
      </c>
      <c r="E41" s="380" t="s">
        <v>1241</v>
      </c>
      <c r="F41" s="380" t="s">
        <v>1301</v>
      </c>
      <c r="G41" s="494"/>
      <c r="H41" s="419">
        <v>138638</v>
      </c>
      <c r="I41" s="419">
        <v>138638</v>
      </c>
      <c r="J41" s="419">
        <v>138638</v>
      </c>
      <c r="K41" s="419">
        <v>138638</v>
      </c>
      <c r="L41" s="419">
        <v>138638</v>
      </c>
      <c r="M41" s="419">
        <v>138638</v>
      </c>
      <c r="N41" s="420">
        <v>130806</v>
      </c>
      <c r="O41" s="420">
        <v>130806</v>
      </c>
      <c r="P41" s="420">
        <v>130806</v>
      </c>
      <c r="Q41" s="420">
        <v>130806</v>
      </c>
      <c r="R41" s="420">
        <v>140795</v>
      </c>
      <c r="S41" s="420">
        <v>140795</v>
      </c>
      <c r="T41" s="420">
        <v>156000</v>
      </c>
      <c r="U41" s="420">
        <f t="shared" ref="U41:AA41" si="2">34000/U40</f>
        <v>43478.260869565216</v>
      </c>
      <c r="V41" s="420">
        <f t="shared" si="2"/>
        <v>43478.260869565216</v>
      </c>
      <c r="W41" s="420">
        <f t="shared" si="2"/>
        <v>43478.260869565216</v>
      </c>
      <c r="X41" s="420">
        <f t="shared" si="2"/>
        <v>43478.260869565216</v>
      </c>
      <c r="Y41" s="420">
        <f t="shared" si="2"/>
        <v>43478.260869565216</v>
      </c>
      <c r="Z41" s="420">
        <f t="shared" si="2"/>
        <v>43478.260869565216</v>
      </c>
      <c r="AA41" s="420">
        <f t="shared" si="2"/>
        <v>43478.260869565216</v>
      </c>
      <c r="AB41" s="420">
        <f t="shared" ref="AB41:AG41" si="3">45000/AB40</f>
        <v>57544.757033248083</v>
      </c>
      <c r="AC41" s="420">
        <f t="shared" si="3"/>
        <v>57544.757033248083</v>
      </c>
      <c r="AD41" s="420">
        <f t="shared" si="3"/>
        <v>57544.757033248083</v>
      </c>
      <c r="AE41" s="420">
        <f t="shared" si="3"/>
        <v>57544.757033248083</v>
      </c>
      <c r="AF41" s="420">
        <f t="shared" si="3"/>
        <v>57544.757033248083</v>
      </c>
      <c r="AG41" s="420">
        <f t="shared" si="3"/>
        <v>57544.757033248083</v>
      </c>
      <c r="AH41" s="420">
        <v>62000</v>
      </c>
      <c r="AI41" s="420">
        <v>62000</v>
      </c>
      <c r="AJ41" s="420">
        <v>62000</v>
      </c>
      <c r="AK41" s="420">
        <v>62000</v>
      </c>
      <c r="AL41" s="420">
        <v>68150</v>
      </c>
      <c r="AM41" s="420">
        <v>68150</v>
      </c>
      <c r="AN41" s="420">
        <f>45000/AN40</f>
        <v>57544.757033248083</v>
      </c>
      <c r="AO41" s="420">
        <v>62000</v>
      </c>
      <c r="AP41" s="420">
        <v>68150</v>
      </c>
      <c r="AQ41" s="420">
        <f>45000/AQ40</f>
        <v>57544.757033248083</v>
      </c>
      <c r="AR41" s="420">
        <v>68150</v>
      </c>
      <c r="AS41" s="420">
        <v>68150</v>
      </c>
      <c r="AT41" s="420">
        <v>55100</v>
      </c>
      <c r="AU41" s="420">
        <v>55100</v>
      </c>
      <c r="AV41" s="420">
        <v>54960</v>
      </c>
      <c r="AW41" s="420">
        <v>55100</v>
      </c>
      <c r="AX41" s="420">
        <v>55100</v>
      </c>
      <c r="AY41" s="420">
        <v>61090</v>
      </c>
      <c r="AZ41" s="420">
        <v>61090</v>
      </c>
      <c r="BA41" s="420">
        <v>61090</v>
      </c>
      <c r="BB41" s="420">
        <v>61090</v>
      </c>
      <c r="BC41" s="420">
        <v>61090</v>
      </c>
      <c r="BD41" s="420">
        <v>23859</v>
      </c>
      <c r="BE41" s="420">
        <v>23859</v>
      </c>
      <c r="BF41" s="420">
        <v>23859</v>
      </c>
      <c r="BG41" s="420">
        <v>23859</v>
      </c>
      <c r="BH41" s="420">
        <v>23859</v>
      </c>
      <c r="BI41" s="420">
        <v>23859</v>
      </c>
      <c r="BJ41" s="420">
        <v>23859</v>
      </c>
      <c r="BK41" s="420">
        <v>23859</v>
      </c>
      <c r="BL41" s="420">
        <v>23859</v>
      </c>
      <c r="BM41" s="420">
        <v>23859</v>
      </c>
      <c r="BN41" s="420">
        <v>23859</v>
      </c>
      <c r="BO41" s="420">
        <v>23859</v>
      </c>
      <c r="BP41" s="420">
        <v>23724.7</v>
      </c>
      <c r="BQ41" s="420">
        <v>23724.7</v>
      </c>
      <c r="BR41" s="420">
        <v>23724.7</v>
      </c>
      <c r="BS41" s="420">
        <v>29031.7</v>
      </c>
      <c r="BT41" s="420">
        <v>23859</v>
      </c>
      <c r="BU41" s="420">
        <v>23859</v>
      </c>
      <c r="BV41" s="420">
        <v>23859</v>
      </c>
      <c r="BW41" s="420">
        <v>23859</v>
      </c>
      <c r="BX41" s="420">
        <v>23859</v>
      </c>
      <c r="BY41" s="420">
        <v>23859</v>
      </c>
      <c r="BZ41" s="420">
        <v>23859</v>
      </c>
      <c r="CA41" s="420">
        <v>23859</v>
      </c>
      <c r="CB41" s="420">
        <v>23724.7</v>
      </c>
      <c r="CC41" s="858">
        <v>23724.7</v>
      </c>
      <c r="CD41" s="420">
        <v>23724.7</v>
      </c>
      <c r="CE41" s="420">
        <v>23724.7</v>
      </c>
      <c r="CF41" s="420">
        <v>23724.7</v>
      </c>
      <c r="CG41" s="420">
        <v>23724.7</v>
      </c>
      <c r="CH41" s="420">
        <v>23700</v>
      </c>
      <c r="CI41" s="420">
        <v>23700</v>
      </c>
      <c r="CJ41" s="420">
        <v>23700</v>
      </c>
      <c r="CK41" s="420">
        <v>23700</v>
      </c>
      <c r="CL41" s="420">
        <v>23700</v>
      </c>
      <c r="CM41" s="420">
        <v>23700</v>
      </c>
      <c r="CN41" s="420">
        <v>23700</v>
      </c>
      <c r="CO41" s="420">
        <v>23700</v>
      </c>
      <c r="CP41" s="420">
        <v>23580</v>
      </c>
      <c r="CQ41" s="420">
        <v>23580</v>
      </c>
      <c r="CR41" s="420">
        <v>23580</v>
      </c>
      <c r="CS41" s="420">
        <v>23580</v>
      </c>
      <c r="CT41" s="420">
        <v>23580</v>
      </c>
      <c r="CU41" s="420">
        <v>23580</v>
      </c>
      <c r="CV41" s="420">
        <v>23580</v>
      </c>
      <c r="CW41" s="420">
        <v>23580</v>
      </c>
      <c r="CX41" s="420">
        <v>23580</v>
      </c>
      <c r="CY41" s="420">
        <v>23580</v>
      </c>
      <c r="CZ41" s="420">
        <v>139090</v>
      </c>
      <c r="DA41" s="420">
        <v>139090</v>
      </c>
      <c r="DB41" s="420">
        <v>139090</v>
      </c>
      <c r="DC41" s="420">
        <v>139090</v>
      </c>
      <c r="DD41" s="420">
        <v>139090</v>
      </c>
      <c r="DE41" s="420">
        <v>97530</v>
      </c>
      <c r="DF41" s="420">
        <v>97530</v>
      </c>
      <c r="DG41" s="420">
        <v>97885</v>
      </c>
      <c r="DH41" s="420">
        <v>97530</v>
      </c>
      <c r="DI41" s="420">
        <v>97530</v>
      </c>
      <c r="DJ41" s="420">
        <v>97885</v>
      </c>
      <c r="DK41" s="420">
        <v>97885</v>
      </c>
      <c r="DL41" s="420">
        <v>97530</v>
      </c>
      <c r="DM41" s="420">
        <v>97885</v>
      </c>
      <c r="DN41" s="420">
        <v>97885</v>
      </c>
      <c r="DO41" s="420">
        <v>97530</v>
      </c>
      <c r="DP41" s="420">
        <v>91300</v>
      </c>
      <c r="DQ41" s="420">
        <v>139090</v>
      </c>
      <c r="DR41" s="420">
        <v>139090</v>
      </c>
      <c r="DS41" s="499"/>
      <c r="DT41" s="421">
        <v>65590</v>
      </c>
      <c r="DU41" s="422">
        <v>90160</v>
      </c>
      <c r="DV41" s="422">
        <v>90290</v>
      </c>
      <c r="DW41" s="422">
        <v>90290</v>
      </c>
      <c r="DX41" s="422">
        <v>90290</v>
      </c>
      <c r="DY41" s="422">
        <v>90290</v>
      </c>
      <c r="DZ41" s="596"/>
      <c r="EA41" s="422">
        <v>13903</v>
      </c>
      <c r="EB41" s="422">
        <v>16665</v>
      </c>
      <c r="EC41" s="596"/>
      <c r="ED41" s="422">
        <v>29069</v>
      </c>
      <c r="EE41" s="422">
        <v>29069</v>
      </c>
      <c r="EF41" s="422">
        <v>29069</v>
      </c>
      <c r="EG41" s="422">
        <v>29069</v>
      </c>
      <c r="EH41" s="422">
        <v>30620</v>
      </c>
      <c r="EI41" s="422">
        <v>30620</v>
      </c>
      <c r="EJ41" s="422">
        <v>30620</v>
      </c>
      <c r="EK41" s="422">
        <v>30510</v>
      </c>
      <c r="EL41" s="596"/>
      <c r="EM41" s="578">
        <v>13399</v>
      </c>
      <c r="EN41" s="578">
        <v>13096</v>
      </c>
      <c r="EO41" s="578">
        <v>15897</v>
      </c>
      <c r="EP41" s="578">
        <v>20102</v>
      </c>
      <c r="EQ41" s="578">
        <v>20102</v>
      </c>
      <c r="ER41" s="578">
        <v>20102</v>
      </c>
      <c r="ES41" s="578">
        <v>26022</v>
      </c>
      <c r="ET41" s="578">
        <v>26022</v>
      </c>
      <c r="EU41" s="578">
        <v>26022</v>
      </c>
      <c r="EV41" s="578">
        <v>26022</v>
      </c>
      <c r="EW41" s="578">
        <v>26022</v>
      </c>
      <c r="EX41" s="578">
        <v>26022</v>
      </c>
      <c r="EY41" s="578">
        <v>26022</v>
      </c>
      <c r="EZ41" s="422">
        <v>26022</v>
      </c>
      <c r="FA41" s="422">
        <v>26022</v>
      </c>
      <c r="FB41" s="422">
        <v>31646</v>
      </c>
      <c r="FC41" s="422">
        <v>25817</v>
      </c>
      <c r="FD41" s="578">
        <v>25817</v>
      </c>
      <c r="FE41" s="596"/>
      <c r="FF41" s="422">
        <v>178700</v>
      </c>
      <c r="FG41" s="422">
        <v>181950</v>
      </c>
      <c r="FH41" s="422">
        <v>183360</v>
      </c>
      <c r="FI41" s="422">
        <v>183360</v>
      </c>
      <c r="FJ41" s="422">
        <v>198370</v>
      </c>
      <c r="FK41" s="422">
        <v>198370</v>
      </c>
      <c r="FL41" s="422">
        <v>198370</v>
      </c>
      <c r="FM41" s="422">
        <v>198370</v>
      </c>
      <c r="FN41" s="422">
        <v>198370</v>
      </c>
      <c r="FO41" s="422">
        <v>198370</v>
      </c>
      <c r="FP41" s="422">
        <v>198370</v>
      </c>
      <c r="FQ41" s="422">
        <v>196950</v>
      </c>
      <c r="FR41" s="422">
        <v>198370</v>
      </c>
      <c r="FS41" s="422">
        <v>198370</v>
      </c>
      <c r="FT41" s="422">
        <v>198370</v>
      </c>
      <c r="FU41" s="422">
        <v>198370</v>
      </c>
      <c r="FV41" s="422">
        <v>196950</v>
      </c>
      <c r="FW41" s="422">
        <v>198370</v>
      </c>
      <c r="FX41" s="422">
        <v>198370</v>
      </c>
      <c r="FY41" s="422">
        <v>198370</v>
      </c>
      <c r="FZ41" s="422">
        <v>198370</v>
      </c>
      <c r="GA41" s="422">
        <v>196950</v>
      </c>
      <c r="GB41" s="422">
        <v>198370</v>
      </c>
      <c r="GC41" s="440">
        <v>183350</v>
      </c>
      <c r="GD41" s="422">
        <v>181950</v>
      </c>
      <c r="GE41" s="422">
        <v>183350</v>
      </c>
      <c r="GF41" s="422">
        <v>181950</v>
      </c>
      <c r="GG41" s="422">
        <v>183350</v>
      </c>
      <c r="GH41" s="422">
        <v>184630</v>
      </c>
      <c r="GI41" s="422">
        <v>190610</v>
      </c>
      <c r="GJ41" s="422">
        <v>189170</v>
      </c>
      <c r="GK41" s="422">
        <v>184630</v>
      </c>
      <c r="GL41" s="422">
        <v>203501</v>
      </c>
      <c r="GM41" s="422">
        <v>204333</v>
      </c>
      <c r="GN41" s="422">
        <v>204333</v>
      </c>
      <c r="GO41" s="422">
        <v>203501</v>
      </c>
      <c r="GP41" s="422">
        <v>204333</v>
      </c>
      <c r="GQ41" s="422">
        <v>204333</v>
      </c>
      <c r="GR41" s="422">
        <v>215991</v>
      </c>
      <c r="GS41" s="422">
        <v>204333</v>
      </c>
      <c r="GT41" s="422">
        <v>204333</v>
      </c>
      <c r="GU41" s="422">
        <v>239363</v>
      </c>
      <c r="GV41" s="422">
        <v>240196</v>
      </c>
      <c r="GW41" s="422">
        <v>240196</v>
      </c>
      <c r="GX41" s="422">
        <v>203501</v>
      </c>
      <c r="GY41" s="422">
        <v>20433</v>
      </c>
      <c r="GZ41" s="422">
        <v>204333</v>
      </c>
      <c r="HA41" s="422">
        <v>203501</v>
      </c>
      <c r="HB41" s="422">
        <v>238610</v>
      </c>
      <c r="HC41" s="422">
        <v>226118</v>
      </c>
      <c r="HD41" s="596"/>
      <c r="HE41" s="422">
        <v>42680</v>
      </c>
      <c r="HF41" s="422">
        <v>42680</v>
      </c>
      <c r="HG41" s="422">
        <v>42680</v>
      </c>
      <c r="HH41" s="422">
        <v>43495</v>
      </c>
      <c r="HI41" s="422">
        <v>43495</v>
      </c>
      <c r="HJ41" s="596"/>
      <c r="HK41" s="422">
        <v>45955</v>
      </c>
      <c r="HL41" s="422">
        <v>63217</v>
      </c>
      <c r="HM41" s="422">
        <v>63216</v>
      </c>
      <c r="HN41" s="422">
        <v>91380</v>
      </c>
      <c r="HO41" s="422">
        <v>63216</v>
      </c>
      <c r="HP41" s="422">
        <v>91380</v>
      </c>
      <c r="HQ41" s="422">
        <v>91380</v>
      </c>
      <c r="HR41" s="422">
        <v>24140</v>
      </c>
      <c r="HS41" s="422">
        <v>24140</v>
      </c>
      <c r="HT41" s="422">
        <v>24140</v>
      </c>
      <c r="HU41" s="422">
        <v>91370</v>
      </c>
      <c r="HV41" s="422">
        <v>91370</v>
      </c>
      <c r="HW41" s="596"/>
      <c r="HX41" s="422">
        <v>117300</v>
      </c>
      <c r="HY41" s="422">
        <v>171100</v>
      </c>
      <c r="HZ41" s="422">
        <v>94240</v>
      </c>
      <c r="IA41" s="422">
        <v>171100</v>
      </c>
      <c r="IB41" s="422">
        <v>133350</v>
      </c>
      <c r="IC41" s="422">
        <v>171100</v>
      </c>
      <c r="ID41" s="422">
        <v>169210</v>
      </c>
      <c r="IE41" s="422">
        <v>169210</v>
      </c>
      <c r="IF41" s="422">
        <v>169210</v>
      </c>
      <c r="IG41" s="422">
        <v>181283</v>
      </c>
      <c r="IH41" s="422">
        <v>181283</v>
      </c>
      <c r="II41" s="422">
        <v>181283</v>
      </c>
      <c r="IJ41" s="596"/>
      <c r="IK41" s="422">
        <v>126206</v>
      </c>
      <c r="IL41" s="422">
        <v>126429</v>
      </c>
      <c r="IM41" s="422">
        <v>126429</v>
      </c>
      <c r="IN41" s="423"/>
      <c r="IO41" s="424">
        <v>8081</v>
      </c>
      <c r="IP41" s="617">
        <v>8081</v>
      </c>
      <c r="IQ41" s="425">
        <v>8081</v>
      </c>
      <c r="IR41" s="425">
        <v>5300</v>
      </c>
      <c r="IS41" s="425">
        <v>8081</v>
      </c>
      <c r="IT41" s="425">
        <v>8081</v>
      </c>
      <c r="IU41" s="425"/>
      <c r="IV41" s="425">
        <v>7934</v>
      </c>
      <c r="IW41" s="425">
        <v>10989.05</v>
      </c>
      <c r="IX41" s="425">
        <v>10989.05</v>
      </c>
      <c r="IY41" s="425">
        <v>10989.05</v>
      </c>
      <c r="IZ41" s="425">
        <v>10989.05</v>
      </c>
      <c r="JA41" s="425">
        <v>11113.97</v>
      </c>
      <c r="JB41" s="425"/>
      <c r="JC41" s="425"/>
      <c r="JD41" s="425"/>
      <c r="JE41" s="425"/>
      <c r="JF41" s="425"/>
      <c r="JG41" s="425"/>
      <c r="JH41" s="425"/>
      <c r="JI41" s="425"/>
      <c r="JJ41" s="426"/>
      <c r="JK41" s="427">
        <v>16800</v>
      </c>
      <c r="JL41" s="428">
        <v>17060</v>
      </c>
      <c r="JM41" s="428">
        <v>11625</v>
      </c>
      <c r="JN41" s="428">
        <v>11625</v>
      </c>
      <c r="JO41" s="601">
        <v>11625</v>
      </c>
      <c r="JP41" s="428">
        <v>11625</v>
      </c>
      <c r="JQ41" s="428"/>
      <c r="JR41" s="601">
        <v>16153</v>
      </c>
      <c r="JS41" s="601">
        <v>16153</v>
      </c>
      <c r="JT41" s="428"/>
      <c r="JU41" s="428"/>
      <c r="JV41" s="601">
        <v>16153</v>
      </c>
      <c r="JW41" s="601">
        <v>16153</v>
      </c>
      <c r="JX41" s="428"/>
      <c r="JY41" s="601">
        <v>5146</v>
      </c>
      <c r="JZ41" s="601">
        <v>6396</v>
      </c>
      <c r="KA41" s="428">
        <v>10264</v>
      </c>
      <c r="KB41" s="428">
        <v>5146</v>
      </c>
      <c r="KC41" s="428">
        <v>5146</v>
      </c>
      <c r="KD41" s="428">
        <v>5146</v>
      </c>
      <c r="KE41" s="428">
        <v>5146</v>
      </c>
      <c r="KF41" s="428">
        <v>6396</v>
      </c>
      <c r="KG41" s="428">
        <v>6396</v>
      </c>
      <c r="KH41" s="428">
        <v>5146</v>
      </c>
      <c r="KI41" s="428">
        <v>5146</v>
      </c>
      <c r="KJ41" s="429"/>
      <c r="KK41" s="430"/>
      <c r="KL41" s="545"/>
      <c r="KM41" s="431"/>
      <c r="KN41" s="431"/>
      <c r="KO41" s="431"/>
      <c r="KP41" s="431"/>
      <c r="KQ41" s="463"/>
      <c r="KR41" s="464"/>
      <c r="KS41" s="465"/>
      <c r="KT41" s="466"/>
      <c r="KU41" s="466"/>
      <c r="KV41" s="466"/>
      <c r="KW41" s="466"/>
      <c r="KX41" s="466"/>
      <c r="KY41" s="466"/>
      <c r="KZ41" s="466"/>
      <c r="LA41" s="466"/>
      <c r="LB41" s="466"/>
      <c r="LC41" s="466"/>
      <c r="LD41" s="466"/>
      <c r="LE41" s="466"/>
      <c r="LF41" s="466"/>
      <c r="LG41" s="466"/>
      <c r="LH41" s="466"/>
      <c r="LI41" s="466"/>
      <c r="LJ41" s="466"/>
      <c r="LK41" s="466"/>
      <c r="LL41" s="466"/>
      <c r="LM41" s="466"/>
      <c r="LN41" s="466"/>
      <c r="LO41" s="466">
        <v>3424.6</v>
      </c>
      <c r="LP41" s="466"/>
      <c r="LQ41" s="466"/>
      <c r="LR41" s="466"/>
      <c r="LS41" s="466"/>
      <c r="LT41" s="734"/>
      <c r="LU41" s="611"/>
      <c r="LV41" s="588"/>
      <c r="LW41" s="611"/>
      <c r="LX41" s="611"/>
      <c r="LY41" s="611"/>
      <c r="LZ41" s="611"/>
      <c r="MA41" s="611"/>
      <c r="MB41" s="611"/>
      <c r="MC41" s="611">
        <v>88552</v>
      </c>
      <c r="MD41" s="588"/>
      <c r="ME41" s="611"/>
      <c r="MF41" s="588"/>
      <c r="MG41" s="611"/>
      <c r="MH41" s="588">
        <v>88552</v>
      </c>
      <c r="MI41" s="611">
        <v>88552</v>
      </c>
      <c r="MJ41" s="588">
        <v>88552</v>
      </c>
      <c r="MK41" s="611">
        <v>88552</v>
      </c>
      <c r="ML41" s="611">
        <v>91891</v>
      </c>
      <c r="MM41" s="611">
        <v>91891</v>
      </c>
      <c r="MN41" s="611">
        <v>91891</v>
      </c>
      <c r="MO41" s="611">
        <v>91891</v>
      </c>
      <c r="MP41" s="611">
        <v>88552</v>
      </c>
      <c r="MQ41" s="611">
        <v>88552</v>
      </c>
      <c r="MR41" s="611">
        <v>91891</v>
      </c>
      <c r="MS41" s="611">
        <v>91891</v>
      </c>
      <c r="MT41" s="611">
        <v>91891</v>
      </c>
      <c r="MU41" s="611">
        <v>91891</v>
      </c>
      <c r="MV41" s="611"/>
      <c r="MW41" s="588"/>
      <c r="MX41" s="436"/>
      <c r="MY41" s="436"/>
      <c r="MZ41" s="436">
        <v>13979</v>
      </c>
      <c r="NA41" s="436">
        <v>13926</v>
      </c>
      <c r="NB41" s="436">
        <v>13926</v>
      </c>
      <c r="NC41" s="436"/>
      <c r="ND41" s="436">
        <v>13926</v>
      </c>
      <c r="NE41" s="436"/>
      <c r="NF41" s="436">
        <v>13926</v>
      </c>
      <c r="NG41" s="436"/>
      <c r="NH41" s="436"/>
      <c r="NI41" s="436">
        <v>13926</v>
      </c>
      <c r="NJ41" s="436">
        <v>13926</v>
      </c>
      <c r="NK41" s="436">
        <v>22129</v>
      </c>
      <c r="NL41" s="436">
        <v>22129</v>
      </c>
      <c r="NM41" s="436">
        <v>26426</v>
      </c>
      <c r="NN41" s="436">
        <v>22126</v>
      </c>
      <c r="NO41" s="436">
        <v>82376</v>
      </c>
      <c r="NP41" s="436">
        <v>137509</v>
      </c>
      <c r="NQ41" s="436">
        <v>137509</v>
      </c>
      <c r="NR41" s="436">
        <v>137509</v>
      </c>
      <c r="NS41" s="436">
        <v>82376</v>
      </c>
      <c r="NT41" s="436">
        <v>137509</v>
      </c>
      <c r="NU41" s="436"/>
      <c r="NV41" s="436">
        <v>146173</v>
      </c>
      <c r="NW41" s="436">
        <v>146173</v>
      </c>
      <c r="NX41" s="436">
        <v>82376</v>
      </c>
      <c r="NY41" s="436">
        <v>22129</v>
      </c>
      <c r="NZ41" s="611">
        <v>22099</v>
      </c>
      <c r="OA41" s="635"/>
      <c r="OB41" s="638">
        <f>OB28/OB40</f>
        <v>90122.072745391139</v>
      </c>
      <c r="OC41" s="638">
        <f>OC28/OC40</f>
        <v>90122.072745391139</v>
      </c>
      <c r="OD41" s="638">
        <f>OD28/OD40</f>
        <v>100741.15595416044</v>
      </c>
      <c r="OE41" s="638">
        <f>OE28/OE40</f>
        <v>120667.66317887395</v>
      </c>
      <c r="OF41" s="638"/>
      <c r="OG41" s="638"/>
      <c r="OH41" s="638"/>
      <c r="OI41" s="638"/>
      <c r="OJ41" s="638"/>
      <c r="OK41" s="638"/>
      <c r="OL41" s="638"/>
      <c r="OM41" s="638"/>
      <c r="ON41" s="635"/>
      <c r="OO41" s="638">
        <v>12842</v>
      </c>
      <c r="OP41" s="638">
        <v>12842</v>
      </c>
      <c r="OQ41" s="638">
        <v>24917</v>
      </c>
      <c r="OR41" s="638">
        <v>24917</v>
      </c>
      <c r="OS41" s="638"/>
      <c r="OT41" s="638"/>
      <c r="OU41" s="638"/>
      <c r="OV41" s="638"/>
      <c r="OW41" s="638"/>
      <c r="OX41" s="638"/>
      <c r="OY41" s="638"/>
      <c r="OZ41" s="638"/>
      <c r="PA41" s="638"/>
      <c r="PB41" s="638"/>
      <c r="PC41" s="638"/>
      <c r="PD41" s="638"/>
      <c r="PE41" s="638"/>
      <c r="PF41" s="638"/>
      <c r="PG41" s="638"/>
      <c r="PH41" s="640"/>
      <c r="PI41" s="666"/>
      <c r="PJ41" s="666"/>
      <c r="PK41" s="666">
        <v>197356</v>
      </c>
      <c r="PL41" s="420">
        <v>324339</v>
      </c>
      <c r="PM41" s="420">
        <v>324339</v>
      </c>
      <c r="PN41" s="420">
        <v>324339</v>
      </c>
      <c r="PO41" s="550">
        <v>25817</v>
      </c>
    </row>
    <row r="42" spans="1:431">
      <c r="A42" s="418" t="s">
        <v>1302</v>
      </c>
      <c r="B42" s="623" t="s">
        <v>1300</v>
      </c>
      <c r="C42" s="380" t="s">
        <v>438</v>
      </c>
      <c r="D42" s="380" t="s">
        <v>529</v>
      </c>
      <c r="E42" s="380" t="s">
        <v>1241</v>
      </c>
      <c r="F42" s="380" t="s">
        <v>1303</v>
      </c>
      <c r="G42" s="494"/>
      <c r="H42" s="419">
        <v>334</v>
      </c>
      <c r="I42" s="419">
        <v>334</v>
      </c>
      <c r="J42" s="419">
        <v>334</v>
      </c>
      <c r="K42" s="419">
        <v>334</v>
      </c>
      <c r="L42" s="419">
        <v>334</v>
      </c>
      <c r="M42" s="419">
        <v>334</v>
      </c>
      <c r="N42" s="420">
        <v>332</v>
      </c>
      <c r="O42" s="420">
        <v>332</v>
      </c>
      <c r="P42" s="420">
        <v>332</v>
      </c>
      <c r="Q42" s="420">
        <v>332</v>
      </c>
      <c r="R42" s="420"/>
      <c r="S42" s="420"/>
      <c r="T42" s="420"/>
      <c r="U42" s="420">
        <f t="shared" ref="U42:Z42" si="4">52/U40</f>
        <v>66.496163682864449</v>
      </c>
      <c r="V42" s="420">
        <f t="shared" si="4"/>
        <v>66.496163682864449</v>
      </c>
      <c r="W42" s="420">
        <f t="shared" si="4"/>
        <v>66.496163682864449</v>
      </c>
      <c r="X42" s="420">
        <f t="shared" si="4"/>
        <v>66.496163682864449</v>
      </c>
      <c r="Y42" s="420">
        <f t="shared" si="4"/>
        <v>66.496163682864449</v>
      </c>
      <c r="Z42" s="420">
        <f t="shared" si="4"/>
        <v>66.496163682864449</v>
      </c>
      <c r="AA42" s="420">
        <f>94/AA40</f>
        <v>120.20460358056266</v>
      </c>
      <c r="AB42" s="420">
        <f t="shared" ref="AB42:AG42" si="5">190/AB40</f>
        <v>242.96675191815856</v>
      </c>
      <c r="AC42" s="420">
        <f t="shared" si="5"/>
        <v>242.96675191815856</v>
      </c>
      <c r="AD42" s="420">
        <f t="shared" si="5"/>
        <v>242.96675191815856</v>
      </c>
      <c r="AE42" s="420">
        <f t="shared" si="5"/>
        <v>242.96675191815856</v>
      </c>
      <c r="AF42" s="420">
        <f t="shared" si="5"/>
        <v>242.96675191815856</v>
      </c>
      <c r="AG42" s="420">
        <f t="shared" si="5"/>
        <v>242.96675191815856</v>
      </c>
      <c r="AH42" s="420">
        <v>238</v>
      </c>
      <c r="AI42" s="420">
        <v>238</v>
      </c>
      <c r="AJ42" s="420">
        <v>238</v>
      </c>
      <c r="AK42" s="420">
        <v>238</v>
      </c>
      <c r="AL42" s="420">
        <v>278</v>
      </c>
      <c r="AM42" s="420">
        <v>278</v>
      </c>
      <c r="AN42" s="420">
        <f>190/AN40</f>
        <v>242.96675191815856</v>
      </c>
      <c r="AO42" s="420">
        <v>238</v>
      </c>
      <c r="AP42" s="420">
        <v>278</v>
      </c>
      <c r="AQ42" s="420">
        <f>190/AQ40</f>
        <v>242.96675191815856</v>
      </c>
      <c r="AR42" s="420">
        <v>278</v>
      </c>
      <c r="AS42" s="420">
        <v>278</v>
      </c>
      <c r="AT42" s="420">
        <v>119</v>
      </c>
      <c r="AU42" s="420">
        <v>119</v>
      </c>
      <c r="AV42" s="420">
        <v>119</v>
      </c>
      <c r="AW42" s="420">
        <v>119</v>
      </c>
      <c r="AX42" s="420">
        <v>119</v>
      </c>
      <c r="AY42" s="420">
        <v>159</v>
      </c>
      <c r="AZ42" s="420">
        <v>159</v>
      </c>
      <c r="BA42" s="420">
        <v>159</v>
      </c>
      <c r="BB42" s="420">
        <v>159</v>
      </c>
      <c r="BC42" s="420">
        <v>159</v>
      </c>
      <c r="BD42" s="420">
        <v>82.1</v>
      </c>
      <c r="BE42" s="420">
        <v>82.1</v>
      </c>
      <c r="BF42" s="420">
        <v>82.1</v>
      </c>
      <c r="BG42" s="420">
        <v>82.1</v>
      </c>
      <c r="BH42" s="420">
        <v>82.1</v>
      </c>
      <c r="BI42" s="420">
        <v>82.1</v>
      </c>
      <c r="BJ42" s="420">
        <v>82.1</v>
      </c>
      <c r="BK42" s="420">
        <v>82.1</v>
      </c>
      <c r="BL42" s="420">
        <v>82.1</v>
      </c>
      <c r="BM42" s="420">
        <v>82.1</v>
      </c>
      <c r="BN42" s="420">
        <v>82.1</v>
      </c>
      <c r="BO42" s="420">
        <v>82.1</v>
      </c>
      <c r="BP42" s="420">
        <v>82.7</v>
      </c>
      <c r="BQ42" s="420">
        <v>82.7</v>
      </c>
      <c r="BR42" s="420">
        <v>82.7</v>
      </c>
      <c r="BS42" s="420">
        <v>121.1</v>
      </c>
      <c r="BT42" s="420">
        <v>82.1</v>
      </c>
      <c r="BU42" s="420">
        <v>82.1</v>
      </c>
      <c r="BV42" s="420">
        <v>82.1</v>
      </c>
      <c r="BW42" s="420">
        <v>82.1</v>
      </c>
      <c r="BX42" s="420">
        <v>82.1</v>
      </c>
      <c r="BY42" s="420">
        <v>82.1</v>
      </c>
      <c r="BZ42" s="420">
        <v>82.1</v>
      </c>
      <c r="CA42" s="420">
        <v>82.1</v>
      </c>
      <c r="CB42" s="420">
        <v>82.1</v>
      </c>
      <c r="CC42" s="858">
        <v>82.1</v>
      </c>
      <c r="CD42" s="420">
        <v>82.1</v>
      </c>
      <c r="CE42" s="420">
        <v>82.1</v>
      </c>
      <c r="CF42" s="420">
        <v>82.1</v>
      </c>
      <c r="CG42" s="420">
        <v>82.1</v>
      </c>
      <c r="CH42" s="420">
        <v>45.8</v>
      </c>
      <c r="CI42" s="420">
        <v>45.8</v>
      </c>
      <c r="CJ42" s="420">
        <v>45.8</v>
      </c>
      <c r="CK42" s="420">
        <v>45.8</v>
      </c>
      <c r="CL42" s="420">
        <v>45.8</v>
      </c>
      <c r="CM42" s="420">
        <v>45.8</v>
      </c>
      <c r="CN42" s="420">
        <v>45.8</v>
      </c>
      <c r="CO42" s="420">
        <v>45.8</v>
      </c>
      <c r="CP42" s="420">
        <v>45.8</v>
      </c>
      <c r="CQ42" s="420">
        <v>45.8</v>
      </c>
      <c r="CR42" s="420">
        <v>45.8</v>
      </c>
      <c r="CS42" s="420">
        <v>45.8</v>
      </c>
      <c r="CT42" s="420">
        <v>45.8</v>
      </c>
      <c r="CU42" s="420">
        <v>45.8</v>
      </c>
      <c r="CV42" s="420">
        <v>45.8</v>
      </c>
      <c r="CW42" s="420">
        <v>45.8</v>
      </c>
      <c r="CX42" s="420">
        <v>45.8</v>
      </c>
      <c r="CY42" s="420">
        <v>45.8</v>
      </c>
      <c r="CZ42" s="420">
        <v>437</v>
      </c>
      <c r="DA42" s="420">
        <v>437</v>
      </c>
      <c r="DB42" s="420">
        <v>437</v>
      </c>
      <c r="DC42" s="420">
        <v>437</v>
      </c>
      <c r="DD42" s="420">
        <v>437</v>
      </c>
      <c r="DE42" s="420">
        <v>354</v>
      </c>
      <c r="DF42" s="420">
        <v>354</v>
      </c>
      <c r="DG42" s="420">
        <v>354</v>
      </c>
      <c r="DH42" s="420">
        <v>354</v>
      </c>
      <c r="DI42" s="420">
        <v>354</v>
      </c>
      <c r="DJ42" s="420">
        <v>354</v>
      </c>
      <c r="DK42" s="420">
        <v>354</v>
      </c>
      <c r="DL42" s="420">
        <v>354</v>
      </c>
      <c r="DM42" s="420">
        <v>354</v>
      </c>
      <c r="DN42" s="420">
        <v>354</v>
      </c>
      <c r="DO42" s="420">
        <v>354</v>
      </c>
      <c r="DP42" s="420">
        <v>169</v>
      </c>
      <c r="DQ42" s="420">
        <v>279</v>
      </c>
      <c r="DR42" s="420">
        <v>279</v>
      </c>
      <c r="DS42" s="499"/>
      <c r="DT42" s="421"/>
      <c r="DU42" s="422"/>
      <c r="DV42" s="422"/>
      <c r="DW42" s="422"/>
      <c r="DX42" s="422"/>
      <c r="DY42" s="422"/>
      <c r="DZ42" s="596"/>
      <c r="EA42" s="422"/>
      <c r="EB42" s="422"/>
      <c r="EC42" s="596"/>
      <c r="ED42" s="422"/>
      <c r="EE42" s="422"/>
      <c r="EF42" s="422"/>
      <c r="EG42" s="422"/>
      <c r="EH42" s="422"/>
      <c r="EI42" s="422"/>
      <c r="EJ42" s="422"/>
      <c r="EK42" s="422"/>
      <c r="EL42" s="596"/>
      <c r="EM42" s="422"/>
      <c r="EN42" s="422"/>
      <c r="EO42" s="422"/>
      <c r="EP42" s="422"/>
      <c r="EQ42" s="422"/>
      <c r="ER42" s="422"/>
      <c r="ES42" s="422"/>
      <c r="ET42" s="422"/>
      <c r="EU42" s="422"/>
      <c r="EV42" s="422"/>
      <c r="EW42" s="422"/>
      <c r="EX42" s="422"/>
      <c r="EY42" s="422"/>
      <c r="EZ42" s="422"/>
      <c r="FA42" s="422"/>
      <c r="FB42" s="422"/>
      <c r="FC42" s="422"/>
      <c r="FD42" s="422"/>
      <c r="FE42" s="596"/>
      <c r="FF42" s="422"/>
      <c r="FG42" s="422"/>
      <c r="FH42" s="422"/>
      <c r="FI42" s="422"/>
      <c r="FJ42" s="422"/>
      <c r="FK42" s="422"/>
      <c r="FL42" s="422"/>
      <c r="FM42" s="422"/>
      <c r="FN42" s="422"/>
      <c r="FO42" s="422"/>
      <c r="FP42" s="422"/>
      <c r="FQ42" s="422"/>
      <c r="FR42" s="422"/>
      <c r="FS42" s="422"/>
      <c r="FT42" s="422"/>
      <c r="FU42" s="422"/>
      <c r="FV42" s="422"/>
      <c r="FW42" s="422"/>
      <c r="FX42" s="422"/>
      <c r="FY42" s="422"/>
      <c r="FZ42" s="422"/>
      <c r="GA42" s="422"/>
      <c r="GB42" s="422"/>
      <c r="GC42" s="422"/>
      <c r="GD42" s="422"/>
      <c r="GE42" s="422"/>
      <c r="GF42" s="422"/>
      <c r="GG42" s="422"/>
      <c r="GH42" s="422"/>
      <c r="GI42" s="422"/>
      <c r="GJ42" s="422"/>
      <c r="GK42" s="422"/>
      <c r="GL42" s="422"/>
      <c r="GM42" s="422"/>
      <c r="GN42" s="422"/>
      <c r="GO42" s="422"/>
      <c r="GP42" s="422"/>
      <c r="GQ42" s="422"/>
      <c r="GR42" s="422"/>
      <c r="GS42" s="422"/>
      <c r="GT42" s="422"/>
      <c r="GU42" s="422"/>
      <c r="GV42" s="422"/>
      <c r="GW42" s="422"/>
      <c r="GX42" s="422"/>
      <c r="GY42" s="422"/>
      <c r="GZ42" s="422"/>
      <c r="HA42" s="422"/>
      <c r="HB42" s="422"/>
      <c r="HC42" s="422"/>
      <c r="HD42" s="596"/>
      <c r="HE42" s="422"/>
      <c r="HF42" s="422"/>
      <c r="HG42" s="422"/>
      <c r="HH42" s="422"/>
      <c r="HI42" s="422"/>
      <c r="HJ42" s="596"/>
      <c r="HK42" s="422"/>
      <c r="HL42" s="422"/>
      <c r="HM42" s="422"/>
      <c r="HN42" s="422"/>
      <c r="HO42" s="422"/>
      <c r="HP42" s="422"/>
      <c r="HQ42" s="422"/>
      <c r="HR42" s="422"/>
      <c r="HS42" s="422"/>
      <c r="HT42" s="422"/>
      <c r="HU42" s="422"/>
      <c r="HV42" s="422"/>
      <c r="HW42" s="596"/>
      <c r="HX42" s="422"/>
      <c r="HY42" s="422"/>
      <c r="HZ42" s="422"/>
      <c r="IA42" s="422"/>
      <c r="IB42" s="422"/>
      <c r="IC42" s="422"/>
      <c r="ID42" s="422"/>
      <c r="IE42" s="422"/>
      <c r="IF42" s="422"/>
      <c r="IG42" s="422"/>
      <c r="IH42" s="422"/>
      <c r="II42" s="422"/>
      <c r="IJ42" s="596"/>
      <c r="IK42" s="422"/>
      <c r="IL42" s="422"/>
      <c r="IM42" s="422"/>
      <c r="IN42" s="423"/>
      <c r="IO42" s="424"/>
      <c r="IP42" s="617"/>
      <c r="IQ42" s="425"/>
      <c r="IR42" s="425"/>
      <c r="IS42" s="425"/>
      <c r="IT42" s="425"/>
      <c r="IU42" s="425"/>
      <c r="IV42" s="425">
        <v>28.2</v>
      </c>
      <c r="IW42" s="425"/>
      <c r="IX42" s="425"/>
      <c r="IY42" s="425"/>
      <c r="IZ42" s="425"/>
      <c r="JA42" s="425"/>
      <c r="JB42" s="425"/>
      <c r="JC42" s="425"/>
      <c r="JD42" s="425"/>
      <c r="JE42" s="425"/>
      <c r="JF42" s="425"/>
      <c r="JG42" s="425"/>
      <c r="JH42" s="425"/>
      <c r="JI42" s="425"/>
      <c r="JJ42" s="426"/>
      <c r="JK42" s="427"/>
      <c r="JL42" s="428"/>
      <c r="JM42" s="428"/>
      <c r="JN42" s="428"/>
      <c r="JO42" s="428"/>
      <c r="JP42" s="428"/>
      <c r="JQ42" s="428"/>
      <c r="JR42" s="428"/>
      <c r="JS42" s="428"/>
      <c r="JT42" s="428"/>
      <c r="JU42" s="428"/>
      <c r="JV42" s="428"/>
      <c r="JW42" s="428"/>
      <c r="JX42" s="428"/>
      <c r="JY42" s="428">
        <v>54</v>
      </c>
      <c r="JZ42" s="428">
        <v>44</v>
      </c>
      <c r="KA42" s="428">
        <v>106</v>
      </c>
      <c r="KB42" s="428">
        <v>54</v>
      </c>
      <c r="KC42" s="428">
        <v>54</v>
      </c>
      <c r="KD42" s="428">
        <v>54</v>
      </c>
      <c r="KE42" s="428">
        <v>54</v>
      </c>
      <c r="KF42" s="428">
        <v>44</v>
      </c>
      <c r="KG42" s="428">
        <v>44</v>
      </c>
      <c r="KH42" s="428">
        <v>54</v>
      </c>
      <c r="KI42" s="428">
        <v>54</v>
      </c>
      <c r="KJ42" s="429"/>
      <c r="KK42" s="430"/>
      <c r="KL42" s="545"/>
      <c r="KM42" s="431"/>
      <c r="KN42" s="431"/>
      <c r="KO42" s="431"/>
      <c r="KP42" s="431"/>
      <c r="KQ42" s="463"/>
      <c r="KR42" s="464"/>
      <c r="KS42" s="465"/>
      <c r="KT42" s="466"/>
      <c r="KU42" s="466"/>
      <c r="KV42" s="466"/>
      <c r="KW42" s="466"/>
      <c r="KX42" s="466"/>
      <c r="KY42" s="466"/>
      <c r="KZ42" s="466"/>
      <c r="LA42" s="466"/>
      <c r="LB42" s="466"/>
      <c r="LC42" s="466"/>
      <c r="LD42" s="466"/>
      <c r="LE42" s="466"/>
      <c r="LF42" s="466"/>
      <c r="LG42" s="466"/>
      <c r="LH42" s="466"/>
      <c r="LI42" s="466"/>
      <c r="LJ42" s="466"/>
      <c r="LK42" s="466" t="s">
        <v>1304</v>
      </c>
      <c r="LL42" s="466"/>
      <c r="LM42" s="466"/>
      <c r="LN42" s="466"/>
      <c r="LO42" s="466"/>
      <c r="LP42" s="466"/>
      <c r="LQ42" s="466"/>
      <c r="LR42" s="466"/>
      <c r="LS42" s="466"/>
      <c r="LT42" s="734"/>
      <c r="LU42" s="611"/>
      <c r="LV42" s="588"/>
      <c r="LW42" s="611"/>
      <c r="LX42" s="611"/>
      <c r="LY42" s="611"/>
      <c r="LZ42" s="611"/>
      <c r="MA42" s="611"/>
      <c r="MB42" s="611"/>
      <c r="MC42" s="611"/>
      <c r="MD42" s="588"/>
      <c r="ME42" s="611"/>
      <c r="MF42" s="588"/>
      <c r="MG42" s="611"/>
      <c r="MH42" s="588"/>
      <c r="MI42" s="611"/>
      <c r="MJ42" s="588"/>
      <c r="MK42" s="611"/>
      <c r="ML42" s="611"/>
      <c r="MM42" s="611"/>
      <c r="MN42" s="611"/>
      <c r="MO42" s="611"/>
      <c r="MP42" s="611"/>
      <c r="MQ42" s="611"/>
      <c r="MR42" s="611"/>
      <c r="MS42" s="611"/>
      <c r="MT42" s="611"/>
      <c r="MU42" s="611"/>
      <c r="MV42" s="611"/>
      <c r="MW42" s="588"/>
      <c r="MX42" s="436"/>
      <c r="MY42" s="436"/>
      <c r="MZ42" s="436"/>
      <c r="NA42" s="436"/>
      <c r="NB42" s="436"/>
      <c r="NC42" s="436"/>
      <c r="ND42" s="436"/>
      <c r="NE42" s="436"/>
      <c r="NF42" s="436"/>
      <c r="NG42" s="436"/>
      <c r="NH42" s="436"/>
      <c r="NI42" s="436"/>
      <c r="NJ42" s="436"/>
      <c r="NK42" s="436"/>
      <c r="NL42" s="436"/>
      <c r="NM42" s="436"/>
      <c r="NN42" s="436"/>
      <c r="NO42" s="436"/>
      <c r="NP42" s="436"/>
      <c r="NQ42" s="436"/>
      <c r="NR42" s="436"/>
      <c r="NS42" s="436"/>
      <c r="NT42" s="436"/>
      <c r="NU42" s="436"/>
      <c r="NV42" s="436"/>
      <c r="NW42" s="436"/>
      <c r="NX42" s="436"/>
      <c r="NY42" s="436"/>
      <c r="NZ42" s="611">
        <v>149.1</v>
      </c>
      <c r="OA42" s="635"/>
      <c r="OB42" s="638">
        <f>4319/OB40</f>
        <v>5379.9202790234185</v>
      </c>
      <c r="OC42" s="638">
        <f>4319/OC40</f>
        <v>5379.9202790234185</v>
      </c>
      <c r="OD42" s="638">
        <f>4828/OD40</f>
        <v>6013.9511709018443</v>
      </c>
      <c r="OE42" s="638">
        <f>5784/OE40</f>
        <v>7204.7832585949182</v>
      </c>
      <c r="OF42" s="638"/>
      <c r="OG42" s="638"/>
      <c r="OH42" s="638"/>
      <c r="OI42" s="638"/>
      <c r="OJ42" s="638"/>
      <c r="OK42" s="638"/>
      <c r="OL42" s="638"/>
      <c r="OM42" s="638"/>
      <c r="ON42" s="635"/>
      <c r="OO42" s="638"/>
      <c r="OP42" s="638"/>
      <c r="OQ42" s="638"/>
      <c r="OR42" s="638"/>
      <c r="OS42" s="638"/>
      <c r="OT42" s="652">
        <v>11728</v>
      </c>
      <c r="OU42" s="652">
        <v>11728</v>
      </c>
      <c r="OV42" s="652">
        <v>11728</v>
      </c>
      <c r="OW42" s="652">
        <v>11728</v>
      </c>
      <c r="OX42" s="652">
        <v>11728</v>
      </c>
      <c r="OY42" s="652">
        <v>11728</v>
      </c>
      <c r="OZ42" s="638"/>
      <c r="PA42" s="638"/>
      <c r="PB42" s="638"/>
      <c r="PC42" s="638"/>
      <c r="PD42" s="638"/>
      <c r="PE42" s="638"/>
      <c r="PF42" s="638"/>
      <c r="PG42" s="638"/>
      <c r="PH42" s="751"/>
      <c r="PI42" s="666"/>
      <c r="PJ42" s="666"/>
      <c r="PK42" s="666"/>
      <c r="PL42" s="420">
        <v>1086</v>
      </c>
      <c r="PM42" s="420">
        <v>1086</v>
      </c>
      <c r="PN42" s="420">
        <v>1086</v>
      </c>
      <c r="PO42" s="550"/>
    </row>
    <row r="43" spans="1:431">
      <c r="A43" s="451" t="s">
        <v>1305</v>
      </c>
      <c r="B43" s="625"/>
      <c r="C43" s="621"/>
      <c r="D43" s="621"/>
      <c r="E43" s="621"/>
      <c r="F43" s="621"/>
      <c r="G43" s="494"/>
      <c r="H43" s="539"/>
      <c r="I43" s="543"/>
      <c r="J43" s="543"/>
      <c r="K43" s="543"/>
      <c r="L43" s="543"/>
      <c r="M43" s="543"/>
      <c r="N43" s="543"/>
      <c r="O43" s="543"/>
      <c r="P43" s="543"/>
      <c r="Q43" s="543"/>
      <c r="R43" s="543"/>
      <c r="S43" s="543"/>
      <c r="T43" s="543"/>
      <c r="U43" s="543"/>
      <c r="V43" s="543"/>
      <c r="W43" s="543"/>
      <c r="X43" s="543"/>
      <c r="Y43" s="543"/>
      <c r="Z43" s="543"/>
      <c r="AA43" s="543"/>
      <c r="AB43" s="543"/>
      <c r="AC43" s="543"/>
      <c r="AD43" s="543"/>
      <c r="AE43" s="543"/>
      <c r="AF43" s="543"/>
      <c r="AG43" s="543"/>
      <c r="AH43" s="543"/>
      <c r="AI43" s="543"/>
      <c r="AJ43" s="543"/>
      <c r="AK43" s="543"/>
      <c r="AL43" s="543"/>
      <c r="AM43" s="543"/>
      <c r="AN43" s="543"/>
      <c r="AO43" s="543"/>
      <c r="AP43" s="543"/>
      <c r="AQ43" s="543"/>
      <c r="AR43" s="543"/>
      <c r="AS43" s="543"/>
      <c r="AT43" s="543"/>
      <c r="AU43" s="543"/>
      <c r="AV43" s="543"/>
      <c r="AW43" s="543"/>
      <c r="AX43" s="543"/>
      <c r="AY43" s="543"/>
      <c r="AZ43" s="543"/>
      <c r="BA43" s="543"/>
      <c r="BB43" s="543"/>
      <c r="BC43" s="543"/>
      <c r="BD43" s="543"/>
      <c r="BE43" s="543"/>
      <c r="BF43" s="543"/>
      <c r="BG43" s="543"/>
      <c r="BH43" s="543"/>
      <c r="BI43" s="543"/>
      <c r="BJ43" s="543"/>
      <c r="BK43" s="543"/>
      <c r="BL43" s="543"/>
      <c r="BM43" s="543"/>
      <c r="BN43" s="543"/>
      <c r="BO43" s="543"/>
      <c r="BP43" s="543"/>
      <c r="BQ43" s="543"/>
      <c r="BR43" s="543"/>
      <c r="BS43" s="543"/>
      <c r="BT43" s="543"/>
      <c r="BU43" s="543"/>
      <c r="BV43" s="543"/>
      <c r="BW43" s="543"/>
      <c r="BX43" s="543"/>
      <c r="BY43" s="543"/>
      <c r="BZ43" s="543"/>
      <c r="CA43" s="543"/>
      <c r="CB43" s="543"/>
      <c r="CC43" s="864"/>
      <c r="CD43" s="543"/>
      <c r="CE43" s="543"/>
      <c r="CF43" s="543"/>
      <c r="CG43" s="543"/>
      <c r="CH43" s="543"/>
      <c r="CI43" s="543"/>
      <c r="CJ43" s="543"/>
      <c r="CK43" s="543"/>
      <c r="CL43" s="543"/>
      <c r="CM43" s="543"/>
      <c r="CN43" s="543"/>
      <c r="CO43" s="543"/>
      <c r="CP43" s="543"/>
      <c r="CQ43" s="543"/>
      <c r="CR43" s="543"/>
      <c r="CS43" s="543"/>
      <c r="CT43" s="543"/>
      <c r="CU43" s="543"/>
      <c r="CV43" s="543"/>
      <c r="CW43" s="543"/>
      <c r="CX43" s="543"/>
      <c r="CY43" s="543"/>
      <c r="CZ43" s="543"/>
      <c r="DA43" s="543"/>
      <c r="DB43" s="543"/>
      <c r="DC43" s="543"/>
      <c r="DD43" s="543"/>
      <c r="DE43" s="543"/>
      <c r="DF43" s="543"/>
      <c r="DG43" s="543"/>
      <c r="DH43" s="543"/>
      <c r="DI43" s="543"/>
      <c r="DJ43" s="543"/>
      <c r="DK43" s="543"/>
      <c r="DL43" s="543"/>
      <c r="DM43" s="543"/>
      <c r="DN43" s="543"/>
      <c r="DO43" s="543"/>
      <c r="DP43" s="543"/>
      <c r="DQ43" s="543"/>
      <c r="DR43" s="543"/>
      <c r="DS43" s="499"/>
      <c r="DT43" s="539"/>
      <c r="DU43" s="540"/>
      <c r="DV43" s="540"/>
      <c r="DW43" s="540"/>
      <c r="DX43" s="540"/>
      <c r="DY43" s="540"/>
      <c r="DZ43" s="540"/>
      <c r="EA43" s="540"/>
      <c r="EB43" s="540"/>
      <c r="EC43" s="540"/>
      <c r="ED43" s="540"/>
      <c r="EE43" s="540"/>
      <c r="EF43" s="540"/>
      <c r="EG43" s="540"/>
      <c r="EH43" s="540"/>
      <c r="EI43" s="540"/>
      <c r="EJ43" s="540"/>
      <c r="EK43" s="540"/>
      <c r="EL43" s="540"/>
      <c r="EM43" s="540"/>
      <c r="EN43" s="540"/>
      <c r="EO43" s="540"/>
      <c r="EP43" s="540"/>
      <c r="EQ43" s="540"/>
      <c r="ER43" s="540"/>
      <c r="ES43" s="540"/>
      <c r="ET43" s="540"/>
      <c r="EU43" s="540"/>
      <c r="EV43" s="540"/>
      <c r="EW43" s="540"/>
      <c r="EX43" s="540"/>
      <c r="EY43" s="540"/>
      <c r="EZ43" s="540"/>
      <c r="FA43" s="540"/>
      <c r="FB43" s="540"/>
      <c r="FC43" s="540"/>
      <c r="FD43" s="540"/>
      <c r="FE43" s="540"/>
      <c r="FF43" s="540"/>
      <c r="FG43" s="540"/>
      <c r="FH43" s="540"/>
      <c r="FI43" s="540"/>
      <c r="FJ43" s="540"/>
      <c r="FK43" s="540"/>
      <c r="FL43" s="540"/>
      <c r="FM43" s="540"/>
      <c r="FN43" s="540"/>
      <c r="FO43" s="540"/>
      <c r="FP43" s="540"/>
      <c r="FQ43" s="540"/>
      <c r="FR43" s="540"/>
      <c r="FS43" s="540"/>
      <c r="FT43" s="540"/>
      <c r="FU43" s="540"/>
      <c r="FV43" s="540"/>
      <c r="FW43" s="540"/>
      <c r="FX43" s="540"/>
      <c r="FY43" s="540"/>
      <c r="FZ43" s="540"/>
      <c r="GA43" s="540"/>
      <c r="GB43" s="540"/>
      <c r="GC43" s="540"/>
      <c r="GD43" s="540"/>
      <c r="GE43" s="540"/>
      <c r="GF43" s="540"/>
      <c r="GG43" s="540"/>
      <c r="GH43" s="540"/>
      <c r="GI43" s="540"/>
      <c r="GJ43" s="540"/>
      <c r="GK43" s="540"/>
      <c r="GL43" s="540"/>
      <c r="GM43" s="540"/>
      <c r="GN43" s="540"/>
      <c r="GO43" s="540"/>
      <c r="GP43" s="540"/>
      <c r="GQ43" s="540"/>
      <c r="GR43" s="540"/>
      <c r="GS43" s="540"/>
      <c r="GT43" s="540"/>
      <c r="GU43" s="540"/>
      <c r="GV43" s="540"/>
      <c r="GW43" s="540"/>
      <c r="GX43" s="540"/>
      <c r="GY43" s="540"/>
      <c r="GZ43" s="540"/>
      <c r="HA43" s="540"/>
      <c r="HB43" s="540"/>
      <c r="HC43" s="540"/>
      <c r="HD43" s="540"/>
      <c r="HE43" s="540"/>
      <c r="HF43" s="540"/>
      <c r="HG43" s="540"/>
      <c r="HH43" s="540"/>
      <c r="HI43" s="540"/>
      <c r="HJ43" s="540"/>
      <c r="HK43" s="540"/>
      <c r="HL43" s="540"/>
      <c r="HM43" s="540"/>
      <c r="HN43" s="540"/>
      <c r="HO43" s="540"/>
      <c r="HP43" s="540"/>
      <c r="HQ43" s="540"/>
      <c r="HR43" s="540"/>
      <c r="HS43" s="540"/>
      <c r="HT43" s="540"/>
      <c r="HU43" s="540"/>
      <c r="HV43" s="540"/>
      <c r="HW43" s="540"/>
      <c r="HX43" s="540"/>
      <c r="HY43" s="540"/>
      <c r="HZ43" s="540"/>
      <c r="IA43" s="540"/>
      <c r="IB43" s="540"/>
      <c r="IC43" s="540"/>
      <c r="ID43" s="540"/>
      <c r="IE43" s="540"/>
      <c r="IF43" s="540"/>
      <c r="IG43" s="540"/>
      <c r="IH43" s="540"/>
      <c r="II43" s="540"/>
      <c r="IJ43" s="540"/>
      <c r="IK43" s="540"/>
      <c r="IL43" s="540"/>
      <c r="IM43" s="540"/>
      <c r="IN43" s="423"/>
      <c r="IO43" s="539"/>
      <c r="IP43" s="542"/>
      <c r="IQ43" s="540"/>
      <c r="IR43" s="540"/>
      <c r="IS43" s="540"/>
      <c r="IT43" s="540"/>
      <c r="IU43" s="540"/>
      <c r="IV43" s="540"/>
      <c r="IW43" s="540"/>
      <c r="IX43" s="540"/>
      <c r="IY43" s="540"/>
      <c r="IZ43" s="540"/>
      <c r="JA43" s="540"/>
      <c r="JB43" s="540"/>
      <c r="JC43" s="540"/>
      <c r="JD43" s="540"/>
      <c r="JE43" s="540"/>
      <c r="JF43" s="540"/>
      <c r="JG43" s="540"/>
      <c r="JH43" s="540"/>
      <c r="JI43" s="540"/>
      <c r="JJ43" s="426"/>
      <c r="JK43" s="539"/>
      <c r="JL43" s="540"/>
      <c r="JM43" s="540"/>
      <c r="JN43" s="540"/>
      <c r="JO43" s="540"/>
      <c r="JP43" s="540"/>
      <c r="JQ43" s="540"/>
      <c r="JR43" s="540"/>
      <c r="JS43" s="540"/>
      <c r="JT43" s="540"/>
      <c r="JU43" s="540"/>
      <c r="JV43" s="540"/>
      <c r="JW43" s="540"/>
      <c r="JX43" s="540"/>
      <c r="JY43" s="540"/>
      <c r="JZ43" s="540"/>
      <c r="KA43" s="540"/>
      <c r="KB43" s="540"/>
      <c r="KC43" s="540"/>
      <c r="KD43" s="540"/>
      <c r="KE43" s="540"/>
      <c r="KF43" s="540"/>
      <c r="KG43" s="540"/>
      <c r="KH43" s="540"/>
      <c r="KI43" s="540"/>
      <c r="KJ43" s="429"/>
      <c r="KK43" s="539"/>
      <c r="KL43" s="542"/>
      <c r="KM43" s="540"/>
      <c r="KN43" s="540"/>
      <c r="KO43" s="540"/>
      <c r="KP43" s="540"/>
      <c r="KQ43" s="463"/>
      <c r="KR43" s="539"/>
      <c r="KS43" s="542"/>
      <c r="KT43" s="540"/>
      <c r="KU43" s="540"/>
      <c r="KV43" s="540"/>
      <c r="KW43" s="540"/>
      <c r="KX43" s="540"/>
      <c r="KY43" s="540"/>
      <c r="KZ43" s="540"/>
      <c r="LA43" s="540"/>
      <c r="LB43" s="540"/>
      <c r="LC43" s="540"/>
      <c r="LD43" s="540"/>
      <c r="LE43" s="540"/>
      <c r="LF43" s="540"/>
      <c r="LG43" s="540"/>
      <c r="LH43" s="540"/>
      <c r="LI43" s="540"/>
      <c r="LJ43" s="540"/>
      <c r="LK43" s="540"/>
      <c r="LL43" s="540"/>
      <c r="LM43" s="540"/>
      <c r="LN43" s="540"/>
      <c r="LO43" s="540"/>
      <c r="LP43" s="540"/>
      <c r="LQ43" s="540"/>
      <c r="LR43" s="540"/>
      <c r="LS43" s="540"/>
      <c r="LT43" s="734"/>
      <c r="LU43" s="543"/>
      <c r="LV43" s="542"/>
      <c r="LW43" s="543"/>
      <c r="LX43" s="543"/>
      <c r="LY43" s="543"/>
      <c r="LZ43" s="543"/>
      <c r="MA43" s="543"/>
      <c r="MB43" s="543"/>
      <c r="MC43" s="543"/>
      <c r="MD43" s="542"/>
      <c r="ME43" s="543"/>
      <c r="MF43" s="542"/>
      <c r="MG43" s="543"/>
      <c r="MH43" s="542"/>
      <c r="MI43" s="543"/>
      <c r="MJ43" s="542"/>
      <c r="MK43" s="543"/>
      <c r="ML43" s="543"/>
      <c r="MM43" s="543"/>
      <c r="MN43" s="543"/>
      <c r="MO43" s="543"/>
      <c r="MP43" s="543"/>
      <c r="MQ43" s="543"/>
      <c r="MR43" s="543"/>
      <c r="MS43" s="543"/>
      <c r="MT43" s="543"/>
      <c r="MU43" s="543"/>
      <c r="MV43" s="543"/>
      <c r="MW43" s="542"/>
      <c r="MX43" s="540"/>
      <c r="MY43" s="540"/>
      <c r="MZ43" s="540"/>
      <c r="NA43" s="540"/>
      <c r="NB43" s="540"/>
      <c r="NC43" s="540"/>
      <c r="ND43" s="540"/>
      <c r="NE43" s="540"/>
      <c r="NF43" s="540"/>
      <c r="NG43" s="540"/>
      <c r="NH43" s="540"/>
      <c r="NI43" s="540"/>
      <c r="NJ43" s="540"/>
      <c r="NK43" s="540"/>
      <c r="NL43" s="540"/>
      <c r="NM43" s="540"/>
      <c r="NN43" s="540"/>
      <c r="NO43" s="540"/>
      <c r="NP43" s="540"/>
      <c r="NQ43" s="540"/>
      <c r="NR43" s="540"/>
      <c r="NS43" s="540"/>
      <c r="NT43" s="540"/>
      <c r="NU43" s="540"/>
      <c r="NV43" s="540"/>
      <c r="NW43" s="540"/>
      <c r="NX43" s="540"/>
      <c r="NY43" s="540"/>
      <c r="NZ43" s="543"/>
      <c r="OA43" s="635"/>
      <c r="OB43" s="637"/>
      <c r="OC43" s="637"/>
      <c r="OD43" s="637"/>
      <c r="OE43" s="637"/>
      <c r="OF43" s="637"/>
      <c r="OG43" s="637"/>
      <c r="OH43" s="637"/>
      <c r="OI43" s="637"/>
      <c r="OJ43" s="637"/>
      <c r="OK43" s="637"/>
      <c r="OL43" s="637"/>
      <c r="OM43" s="637"/>
      <c r="ON43" s="635"/>
      <c r="OO43" s="637"/>
      <c r="OP43" s="637"/>
      <c r="OQ43" s="637"/>
      <c r="OR43" s="637"/>
      <c r="OS43" s="637"/>
      <c r="OT43" s="637"/>
      <c r="OU43" s="637"/>
      <c r="OV43" s="637"/>
      <c r="OW43" s="637"/>
      <c r="OX43" s="637"/>
      <c r="OY43" s="637"/>
      <c r="OZ43" s="637"/>
      <c r="PA43" s="637"/>
      <c r="PB43" s="637"/>
      <c r="PC43" s="637"/>
      <c r="PD43" s="637"/>
      <c r="PE43" s="637"/>
      <c r="PF43" s="637"/>
      <c r="PG43" s="641"/>
      <c r="PH43" s="641"/>
      <c r="PI43" s="543"/>
      <c r="PJ43" s="543"/>
      <c r="PK43" s="543"/>
      <c r="PL43" s="543"/>
      <c r="PM43" s="543"/>
      <c r="PN43" s="543"/>
      <c r="PO43" s="757"/>
    </row>
    <row r="44" spans="1:431">
      <c r="A44" s="418" t="s">
        <v>1306</v>
      </c>
      <c r="B44" s="623" t="s">
        <v>1254</v>
      </c>
      <c r="C44" s="380" t="s">
        <v>438</v>
      </c>
      <c r="D44" s="380" t="s">
        <v>1307</v>
      </c>
      <c r="E44" s="380" t="s">
        <v>1308</v>
      </c>
      <c r="G44" s="494"/>
      <c r="H44" s="419">
        <v>60.3</v>
      </c>
      <c r="I44" s="419">
        <v>60.3</v>
      </c>
      <c r="J44" s="419">
        <v>60.3</v>
      </c>
      <c r="K44" s="419">
        <v>60.3</v>
      </c>
      <c r="L44" s="419">
        <v>60.3</v>
      </c>
      <c r="M44" s="419">
        <v>60.3</v>
      </c>
      <c r="N44" s="420">
        <v>63.45</v>
      </c>
      <c r="O44" s="420">
        <v>63.45</v>
      </c>
      <c r="P44" s="420">
        <v>63.45</v>
      </c>
      <c r="Q44" s="420">
        <v>63.45</v>
      </c>
      <c r="R44" s="420">
        <v>64.75</v>
      </c>
      <c r="S44" s="420">
        <v>64.75</v>
      </c>
      <c r="T44" s="420">
        <v>64.75</v>
      </c>
      <c r="U44" s="420"/>
      <c r="V44" s="420">
        <v>44.83</v>
      </c>
      <c r="W44" s="420">
        <v>44.83</v>
      </c>
      <c r="X44" s="420">
        <v>44.83</v>
      </c>
      <c r="Y44" s="420">
        <v>44.83</v>
      </c>
      <c r="Z44" s="420">
        <v>44.83</v>
      </c>
      <c r="AA44" s="420"/>
      <c r="AB44" s="420">
        <v>44.83</v>
      </c>
      <c r="AC44" s="420">
        <v>44.83</v>
      </c>
      <c r="AD44" s="420">
        <v>44.83</v>
      </c>
      <c r="AE44" s="420">
        <v>44.83</v>
      </c>
      <c r="AF44" s="420">
        <v>44.83</v>
      </c>
      <c r="AG44" s="420">
        <v>44.83</v>
      </c>
      <c r="AH44" s="420"/>
      <c r="AI44" s="420"/>
      <c r="AJ44" s="420"/>
      <c r="AK44" s="420"/>
      <c r="AL44" s="420"/>
      <c r="AM44" s="420"/>
      <c r="AN44" s="420">
        <v>44.83</v>
      </c>
      <c r="AO44" s="420"/>
      <c r="AP44" s="420"/>
      <c r="AQ44" s="420"/>
      <c r="AR44" s="420"/>
      <c r="AS44" s="420"/>
      <c r="AT44" s="420">
        <v>43.9</v>
      </c>
      <c r="AU44" s="420">
        <v>43.9</v>
      </c>
      <c r="AV44" s="420">
        <v>43.9</v>
      </c>
      <c r="AW44" s="420">
        <v>43.9</v>
      </c>
      <c r="AX44" s="420">
        <v>43.9</v>
      </c>
      <c r="AY44" s="420">
        <v>43.9</v>
      </c>
      <c r="AZ44" s="420">
        <v>43.9</v>
      </c>
      <c r="BA44" s="420">
        <v>43.9</v>
      </c>
      <c r="BB44" s="420">
        <v>43.9</v>
      </c>
      <c r="BC44" s="420">
        <v>43.9</v>
      </c>
      <c r="BD44" s="420">
        <v>34.1</v>
      </c>
      <c r="BE44" s="420">
        <v>34.1</v>
      </c>
      <c r="BF44" s="420">
        <v>34.1</v>
      </c>
      <c r="BG44" s="420">
        <v>34.1</v>
      </c>
      <c r="BH44" s="420">
        <v>35.799999999999997</v>
      </c>
      <c r="BI44" s="420">
        <v>35.799999999999997</v>
      </c>
      <c r="BJ44" s="420">
        <v>35.799999999999997</v>
      </c>
      <c r="BK44" s="420">
        <v>35.799999999999997</v>
      </c>
      <c r="BL44" s="420">
        <v>35.799999999999997</v>
      </c>
      <c r="BM44" s="420">
        <v>35.799999999999997</v>
      </c>
      <c r="BN44" s="420">
        <v>35.799999999999997</v>
      </c>
      <c r="BO44" s="420">
        <v>35.799999999999997</v>
      </c>
      <c r="BP44" s="420">
        <v>35.799999999999997</v>
      </c>
      <c r="BQ44" s="420">
        <v>35.799999999999997</v>
      </c>
      <c r="BR44" s="420">
        <v>35.799999999999997</v>
      </c>
      <c r="BS44" s="420">
        <v>35.799999999999997</v>
      </c>
      <c r="BT44" s="420">
        <v>34.1</v>
      </c>
      <c r="BU44" s="420">
        <v>34.1</v>
      </c>
      <c r="BV44" s="420">
        <v>34.1</v>
      </c>
      <c r="BW44" s="420">
        <v>34.1</v>
      </c>
      <c r="BX44" s="420">
        <v>34.1</v>
      </c>
      <c r="BY44" s="420">
        <v>34.1</v>
      </c>
      <c r="BZ44" s="420">
        <v>34.1</v>
      </c>
      <c r="CA44" s="420">
        <v>34.1</v>
      </c>
      <c r="CB44" s="420">
        <v>35.799999999999997</v>
      </c>
      <c r="CC44" s="858">
        <v>35.799999999999997</v>
      </c>
      <c r="CD44" s="420">
        <v>35.799999999999997</v>
      </c>
      <c r="CE44" s="420">
        <v>35.799999999999997</v>
      </c>
      <c r="CF44" s="420">
        <v>35.799999999999997</v>
      </c>
      <c r="CG44" s="420">
        <v>35.799999999999997</v>
      </c>
      <c r="CH44" s="420">
        <v>34.1</v>
      </c>
      <c r="CI44" s="420">
        <v>34.1</v>
      </c>
      <c r="CJ44" s="420">
        <v>34.1</v>
      </c>
      <c r="CK44" s="420">
        <v>34.1</v>
      </c>
      <c r="CL44" s="420">
        <v>34.1</v>
      </c>
      <c r="CM44" s="420">
        <v>34.1</v>
      </c>
      <c r="CN44" s="420">
        <v>34.1</v>
      </c>
      <c r="CO44" s="420">
        <v>34.1</v>
      </c>
      <c r="CP44" s="420">
        <v>35.799999999999997</v>
      </c>
      <c r="CQ44" s="420">
        <v>35.799999999999997</v>
      </c>
      <c r="CR44" s="420">
        <v>35.799999999999997</v>
      </c>
      <c r="CS44" s="420">
        <v>35.799999999999997</v>
      </c>
      <c r="CT44" s="420">
        <v>35.799999999999997</v>
      </c>
      <c r="CU44" s="420">
        <v>35.799999999999997</v>
      </c>
      <c r="CV44" s="420">
        <v>35.799999999999997</v>
      </c>
      <c r="CW44" s="420">
        <v>35.799999999999997</v>
      </c>
      <c r="CX44" s="420">
        <v>35.799999999999997</v>
      </c>
      <c r="CY44" s="420">
        <v>35.799999999999997</v>
      </c>
      <c r="CZ44" s="420">
        <v>60.3</v>
      </c>
      <c r="DA44" s="420">
        <v>60.3</v>
      </c>
      <c r="DB44" s="420">
        <v>60.3</v>
      </c>
      <c r="DC44" s="420">
        <v>60.3</v>
      </c>
      <c r="DD44" s="420">
        <v>60.3</v>
      </c>
      <c r="DE44" s="420">
        <v>60.3</v>
      </c>
      <c r="DF44" s="420">
        <v>60.3</v>
      </c>
      <c r="DG44" s="420">
        <v>60.3</v>
      </c>
      <c r="DH44" s="420">
        <v>60.3</v>
      </c>
      <c r="DI44" s="420">
        <v>60.3</v>
      </c>
      <c r="DJ44" s="420">
        <v>60.3</v>
      </c>
      <c r="DK44" s="420">
        <v>60.3</v>
      </c>
      <c r="DL44" s="420">
        <v>60.3</v>
      </c>
      <c r="DM44" s="420">
        <v>60.3</v>
      </c>
      <c r="DN44" s="420">
        <v>60.3</v>
      </c>
      <c r="DO44" s="420">
        <v>60.3</v>
      </c>
      <c r="DP44" s="420">
        <v>60.3</v>
      </c>
      <c r="DQ44" s="420">
        <v>64</v>
      </c>
      <c r="DR44" s="420">
        <v>64</v>
      </c>
      <c r="DS44" s="499"/>
      <c r="DT44" s="421">
        <v>39.880000000000003</v>
      </c>
      <c r="DU44" s="422">
        <v>44.42</v>
      </c>
      <c r="DV44" s="422">
        <v>44.42</v>
      </c>
      <c r="DW44" s="422">
        <v>44.42</v>
      </c>
      <c r="DX44" s="422">
        <v>44.42</v>
      </c>
      <c r="DY44" s="422">
        <v>44.42</v>
      </c>
      <c r="DZ44" s="596"/>
      <c r="EA44" s="422">
        <v>28.4</v>
      </c>
      <c r="EB44" s="422">
        <v>28.4</v>
      </c>
      <c r="EC44" s="596"/>
      <c r="ED44" s="422">
        <v>32.92</v>
      </c>
      <c r="EE44" s="422">
        <v>32.92</v>
      </c>
      <c r="EF44" s="422">
        <v>32.92</v>
      </c>
      <c r="EG44" s="422">
        <v>32.92</v>
      </c>
      <c r="EH44" s="422">
        <v>32.92</v>
      </c>
      <c r="EI44" s="422">
        <v>32.92</v>
      </c>
      <c r="EJ44" s="422">
        <v>32.92</v>
      </c>
      <c r="EK44" s="422">
        <v>32.92</v>
      </c>
      <c r="EL44" s="596"/>
      <c r="EM44" s="422">
        <v>28.35</v>
      </c>
      <c r="EN44" s="422">
        <v>28.35</v>
      </c>
      <c r="EO44" s="422">
        <v>28.35</v>
      </c>
      <c r="EP44" s="422">
        <v>28.88</v>
      </c>
      <c r="EQ44" s="422">
        <v>28.88</v>
      </c>
      <c r="ER44" s="422">
        <v>28.88</v>
      </c>
      <c r="ES44" s="422">
        <v>34.32</v>
      </c>
      <c r="ET44" s="422">
        <v>34.32</v>
      </c>
      <c r="EU44" s="422">
        <v>35.79</v>
      </c>
      <c r="EV44" s="422">
        <v>34.32</v>
      </c>
      <c r="EW44" s="422">
        <v>34.32</v>
      </c>
      <c r="EX44" s="422">
        <v>35.79</v>
      </c>
      <c r="EY44" s="422">
        <v>34.32</v>
      </c>
      <c r="EZ44" s="422">
        <v>34.32</v>
      </c>
      <c r="FA44" s="422">
        <v>34.32</v>
      </c>
      <c r="FB44" s="422">
        <v>35.79</v>
      </c>
      <c r="FC44" s="422">
        <v>35.92</v>
      </c>
      <c r="FD44" s="422">
        <v>35.92</v>
      </c>
      <c r="FE44" s="596"/>
      <c r="FF44" s="422">
        <v>59.64</v>
      </c>
      <c r="FG44" s="422">
        <v>59.64</v>
      </c>
      <c r="FH44" s="422"/>
      <c r="FI44" s="422"/>
      <c r="FJ44" s="422">
        <v>59.64</v>
      </c>
      <c r="FK44" s="422">
        <v>59.64</v>
      </c>
      <c r="FL44" s="422">
        <v>59.64</v>
      </c>
      <c r="FM44" s="422">
        <v>59.64</v>
      </c>
      <c r="FN44" s="422">
        <v>59.64</v>
      </c>
      <c r="FO44" s="422">
        <v>59.64</v>
      </c>
      <c r="FP44" s="422">
        <v>59.64</v>
      </c>
      <c r="FQ44" s="422">
        <v>59.64</v>
      </c>
      <c r="FR44" s="422">
        <v>59.64</v>
      </c>
      <c r="FS44" s="422">
        <v>59.64</v>
      </c>
      <c r="FT44" s="422">
        <v>59.64</v>
      </c>
      <c r="FU44" s="422">
        <v>59.64</v>
      </c>
      <c r="FV44" s="422">
        <v>59.64</v>
      </c>
      <c r="FW44" s="422">
        <v>59.64</v>
      </c>
      <c r="FX44" s="422">
        <v>59.64</v>
      </c>
      <c r="FY44" s="422">
        <v>59.64</v>
      </c>
      <c r="FZ44" s="422">
        <v>59.64</v>
      </c>
      <c r="GA44" s="422">
        <v>59.64</v>
      </c>
      <c r="GB44" s="422">
        <v>59.64</v>
      </c>
      <c r="GC44" s="422">
        <v>59.64</v>
      </c>
      <c r="GD44" s="422">
        <v>59.64</v>
      </c>
      <c r="GE44" s="422">
        <v>59.64</v>
      </c>
      <c r="GF44" s="422">
        <v>59.64</v>
      </c>
      <c r="GG44" s="422">
        <v>59.64</v>
      </c>
      <c r="GH44" s="422">
        <v>59.64</v>
      </c>
      <c r="GI44" s="422">
        <v>59.64</v>
      </c>
      <c r="GJ44" s="422">
        <v>59.64</v>
      </c>
      <c r="GK44" s="422">
        <v>59.64</v>
      </c>
      <c r="GL44" s="422">
        <v>64.44</v>
      </c>
      <c r="GM44" s="422">
        <v>64.44</v>
      </c>
      <c r="GN44" s="422">
        <v>64.44</v>
      </c>
      <c r="GO44" s="422">
        <v>64.44</v>
      </c>
      <c r="GP44" s="422">
        <v>64.44</v>
      </c>
      <c r="GQ44" s="422">
        <v>64.44</v>
      </c>
      <c r="GR44" s="422">
        <v>64.92</v>
      </c>
      <c r="GS44" s="422">
        <v>64.92</v>
      </c>
      <c r="GT44" s="422">
        <v>64.92</v>
      </c>
      <c r="GU44" s="422">
        <v>64.92</v>
      </c>
      <c r="GV44" s="422">
        <v>64.92</v>
      </c>
      <c r="GW44" s="422">
        <v>64.92</v>
      </c>
      <c r="GX44" s="422">
        <v>64.92</v>
      </c>
      <c r="GY44" s="422">
        <v>64.92</v>
      </c>
      <c r="GZ44" s="422">
        <v>64.92</v>
      </c>
      <c r="HA44" s="422">
        <v>59.63</v>
      </c>
      <c r="HB44" s="422">
        <v>68.400000000000006</v>
      </c>
      <c r="HC44" s="422">
        <v>68.400000000000006</v>
      </c>
      <c r="HD44" s="596"/>
      <c r="HE44" s="422">
        <v>38.049999999999997</v>
      </c>
      <c r="HF44" s="422">
        <v>38.049999999999997</v>
      </c>
      <c r="HG44" s="422">
        <v>38.049999999999997</v>
      </c>
      <c r="HH44" s="422">
        <v>38.06</v>
      </c>
      <c r="HI44" s="422">
        <v>38.06</v>
      </c>
      <c r="HJ44" s="596"/>
      <c r="HK44" s="422">
        <v>47.57</v>
      </c>
      <c r="HL44" s="422">
        <v>47.57</v>
      </c>
      <c r="HM44" s="422">
        <v>47.57</v>
      </c>
      <c r="HN44" s="422">
        <v>47.57</v>
      </c>
      <c r="HO44" s="422">
        <v>47.57</v>
      </c>
      <c r="HP44" s="422">
        <v>47.57</v>
      </c>
      <c r="HQ44" s="422">
        <v>47.57</v>
      </c>
      <c r="HR44" s="422">
        <v>47.57</v>
      </c>
      <c r="HS44" s="422">
        <v>47.57</v>
      </c>
      <c r="HT44" s="422">
        <v>47.57</v>
      </c>
      <c r="HU44" s="422">
        <v>51.92</v>
      </c>
      <c r="HV44" s="422">
        <v>51.92</v>
      </c>
      <c r="HW44" s="596"/>
      <c r="HX44" s="422">
        <v>60.93</v>
      </c>
      <c r="HY44" s="422">
        <v>60.93</v>
      </c>
      <c r="HZ44" s="422">
        <v>60.93</v>
      </c>
      <c r="IA44" s="422">
        <v>60.93</v>
      </c>
      <c r="IB44" s="422">
        <v>60.93</v>
      </c>
      <c r="IC44" s="422">
        <v>60.93</v>
      </c>
      <c r="ID44" s="422">
        <v>60.93</v>
      </c>
      <c r="IE44" s="422">
        <v>60.93</v>
      </c>
      <c r="IF44" s="422">
        <v>60.93</v>
      </c>
      <c r="IG44" s="422">
        <v>64.8</v>
      </c>
      <c r="IH44" s="422">
        <v>64.8</v>
      </c>
      <c r="II44" s="422">
        <v>64.8</v>
      </c>
      <c r="IJ44" s="596"/>
      <c r="IK44" s="422">
        <v>60.12</v>
      </c>
      <c r="IL44" s="422">
        <v>60.12</v>
      </c>
      <c r="IM44" s="422">
        <v>60.12</v>
      </c>
      <c r="IN44" s="423"/>
      <c r="IO44" s="424">
        <v>21.234400000000001</v>
      </c>
      <c r="IP44" s="424">
        <v>21.234400000000001</v>
      </c>
      <c r="IQ44" s="424">
        <v>21.234400000000001</v>
      </c>
      <c r="IR44" s="424">
        <v>21.234400000000001</v>
      </c>
      <c r="IS44" s="424">
        <v>21.234400000000001</v>
      </c>
      <c r="IT44" s="424">
        <v>21.234400000000001</v>
      </c>
      <c r="IU44" s="425"/>
      <c r="IV44" s="425">
        <v>19.399999999999999</v>
      </c>
      <c r="IW44" s="425">
        <v>23.25</v>
      </c>
      <c r="IX44" s="425"/>
      <c r="IY44" s="425"/>
      <c r="IZ44" s="425"/>
      <c r="JA44" s="425"/>
      <c r="JB44" s="425"/>
      <c r="JC44" s="425"/>
      <c r="JD44" s="425"/>
      <c r="JE44" s="425"/>
      <c r="JF44" s="425"/>
      <c r="JG44" s="425"/>
      <c r="JH44" s="425">
        <v>35.1</v>
      </c>
      <c r="JI44" s="425">
        <v>35.1</v>
      </c>
      <c r="JJ44" s="426"/>
      <c r="JK44" s="427">
        <v>33.72</v>
      </c>
      <c r="JL44" s="428">
        <v>35.124000000000002</v>
      </c>
      <c r="JM44" s="428">
        <v>26</v>
      </c>
      <c r="JN44" s="428">
        <v>26</v>
      </c>
      <c r="JO44" s="428">
        <v>26</v>
      </c>
      <c r="JP44" s="428">
        <v>26</v>
      </c>
      <c r="JQ44" s="428">
        <v>28.72</v>
      </c>
      <c r="JR44" s="428">
        <v>28.72</v>
      </c>
      <c r="JS44" s="428">
        <v>28.72</v>
      </c>
      <c r="JT44" s="428">
        <v>28.72</v>
      </c>
      <c r="JU44" s="428">
        <v>28.72</v>
      </c>
      <c r="JV44" s="428">
        <v>28.72</v>
      </c>
      <c r="JW44" s="428">
        <v>28.72</v>
      </c>
      <c r="JX44" s="428">
        <v>28.72</v>
      </c>
      <c r="JY44" s="428">
        <v>20.04</v>
      </c>
      <c r="JZ44" s="428">
        <v>20.04</v>
      </c>
      <c r="KA44" s="428"/>
      <c r="KB44" s="428"/>
      <c r="KC44" s="428">
        <v>20.04</v>
      </c>
      <c r="KD44" s="428">
        <v>20.04</v>
      </c>
      <c r="KE44" s="428">
        <v>20.04</v>
      </c>
      <c r="KF44" s="428">
        <v>20.04</v>
      </c>
      <c r="KG44" s="428">
        <v>20.04</v>
      </c>
      <c r="KH44" s="428">
        <v>20.04</v>
      </c>
      <c r="KI44" s="428">
        <v>20.04</v>
      </c>
      <c r="KJ44" s="429"/>
      <c r="KK44" s="430"/>
      <c r="KL44" s="545"/>
      <c r="KM44" s="431"/>
      <c r="KN44" s="431"/>
      <c r="KO44" s="431"/>
      <c r="KP44" s="431"/>
      <c r="KQ44" s="463"/>
      <c r="KR44" s="464"/>
      <c r="KS44" s="465">
        <v>10.8712</v>
      </c>
      <c r="KT44" s="466">
        <v>10.845800000000001</v>
      </c>
      <c r="KU44" s="466">
        <v>10.845800000000001</v>
      </c>
      <c r="KV44" s="466"/>
      <c r="KW44" s="466"/>
      <c r="KX44" s="466">
        <v>10.820399999999999</v>
      </c>
      <c r="KY44" s="466"/>
      <c r="KZ44" s="466"/>
      <c r="LA44" s="466"/>
      <c r="LB44" s="466"/>
      <c r="LC44" s="466">
        <v>10.845800000000001</v>
      </c>
      <c r="LD44" s="466"/>
      <c r="LE44" s="466"/>
      <c r="LF44" s="466"/>
      <c r="LG44" s="466"/>
      <c r="LH44" s="466"/>
      <c r="LI44" s="466">
        <v>13.3604</v>
      </c>
      <c r="LJ44" s="466">
        <v>13.3604</v>
      </c>
      <c r="LK44" s="466">
        <v>13.4</v>
      </c>
      <c r="LL44" s="466"/>
      <c r="LM44" s="466"/>
      <c r="LN44" s="466"/>
      <c r="LO44" s="466">
        <v>14.58</v>
      </c>
      <c r="LP44" s="466"/>
      <c r="LQ44" s="466"/>
      <c r="LR44" s="466"/>
      <c r="LS44" s="466"/>
      <c r="LT44" s="734"/>
      <c r="LU44" s="611"/>
      <c r="LV44" s="588"/>
      <c r="LW44" s="611"/>
      <c r="LX44" s="611"/>
      <c r="LY44" s="611"/>
      <c r="LZ44" s="611"/>
      <c r="MA44" s="611"/>
      <c r="MB44" s="611"/>
      <c r="MC44" s="611">
        <v>43.4</v>
      </c>
      <c r="MD44" s="588"/>
      <c r="ME44" s="611"/>
      <c r="MF44" s="588"/>
      <c r="MG44" s="611"/>
      <c r="MH44" s="588">
        <v>43.4</v>
      </c>
      <c r="MI44" s="611">
        <v>43.4</v>
      </c>
      <c r="MJ44" s="588">
        <v>43.4</v>
      </c>
      <c r="MK44" s="611">
        <v>43.4</v>
      </c>
      <c r="ML44" s="611">
        <v>45.23</v>
      </c>
      <c r="MM44" s="611">
        <v>45.23</v>
      </c>
      <c r="MN44" s="611">
        <v>45.23</v>
      </c>
      <c r="MO44" s="611">
        <v>45.23</v>
      </c>
      <c r="MP44" s="611">
        <v>45.23</v>
      </c>
      <c r="MQ44" s="611">
        <v>45.23</v>
      </c>
      <c r="MR44" s="611">
        <v>45.23</v>
      </c>
      <c r="MS44" s="611">
        <v>45.23</v>
      </c>
      <c r="MT44" s="611">
        <v>45.23</v>
      </c>
      <c r="MU44" s="611">
        <v>45.23</v>
      </c>
      <c r="MV44" s="611"/>
      <c r="MW44" s="588"/>
      <c r="MX44" s="436"/>
      <c r="MY44" s="436"/>
      <c r="MZ44" s="436">
        <v>27.25</v>
      </c>
      <c r="NA44" s="436">
        <v>27.25</v>
      </c>
      <c r="NB44" s="436">
        <v>28.44</v>
      </c>
      <c r="NC44" s="436"/>
      <c r="ND44" s="436">
        <v>28.44</v>
      </c>
      <c r="NE44" s="436">
        <v>28.44</v>
      </c>
      <c r="NF44" s="436"/>
      <c r="NG44" s="436"/>
      <c r="NH44" s="436"/>
      <c r="NI44" s="436">
        <v>28.44</v>
      </c>
      <c r="NJ44" s="436">
        <v>28.45</v>
      </c>
      <c r="NK44" s="436">
        <v>32.85</v>
      </c>
      <c r="NL44" s="436">
        <v>32.85</v>
      </c>
      <c r="NM44" s="436">
        <v>32.85</v>
      </c>
      <c r="NN44" s="436">
        <v>32.85</v>
      </c>
      <c r="NO44" s="436">
        <v>47.35</v>
      </c>
      <c r="NP44" s="436">
        <v>50.39</v>
      </c>
      <c r="NQ44" s="436">
        <v>50.4</v>
      </c>
      <c r="NR44" s="436">
        <v>50.4</v>
      </c>
      <c r="NS44" s="436">
        <v>47.35</v>
      </c>
      <c r="NT44" s="436">
        <v>50.39</v>
      </c>
      <c r="NU44" s="436">
        <v>47.35</v>
      </c>
      <c r="NV44" s="436">
        <v>51.96</v>
      </c>
      <c r="NW44" s="436">
        <v>51.96</v>
      </c>
      <c r="NX44" s="436"/>
      <c r="NY44" s="436">
        <v>32.85</v>
      </c>
      <c r="NZ44" s="611">
        <v>32.9</v>
      </c>
      <c r="OA44" s="635"/>
      <c r="OB44" s="638">
        <v>47.696399999999997</v>
      </c>
      <c r="OC44" s="638">
        <v>47.696399999999997</v>
      </c>
      <c r="OD44" s="638">
        <v>47.696399999999997</v>
      </c>
      <c r="OE44" s="638">
        <v>50.09</v>
      </c>
      <c r="OF44" s="638"/>
      <c r="OG44" s="638"/>
      <c r="OH44" s="638"/>
      <c r="OI44" s="638"/>
      <c r="OJ44" s="638"/>
      <c r="OK44" s="638"/>
      <c r="OL44" s="638"/>
      <c r="OM44" s="638"/>
      <c r="ON44" s="635"/>
      <c r="OO44" s="638">
        <v>27.29</v>
      </c>
      <c r="OP44" s="638">
        <v>27.29</v>
      </c>
      <c r="OQ44" s="638">
        <v>35.799999999999997</v>
      </c>
      <c r="OR44" s="638">
        <v>35.799999999999997</v>
      </c>
      <c r="OS44" s="638"/>
      <c r="OT44" s="638">
        <v>26.34</v>
      </c>
      <c r="OU44" s="638">
        <v>26.34</v>
      </c>
      <c r="OV44" s="638">
        <v>26.34</v>
      </c>
      <c r="OW44" s="638">
        <v>26.34</v>
      </c>
      <c r="OX44" s="638">
        <v>26.34</v>
      </c>
      <c r="OY44" s="638">
        <v>26.34</v>
      </c>
      <c r="OZ44" s="638"/>
      <c r="PA44" s="638"/>
      <c r="PB44" s="638"/>
      <c r="PC44" s="638"/>
      <c r="PD44" s="638"/>
      <c r="PE44" s="638"/>
      <c r="PF44" s="638"/>
      <c r="PG44" s="640"/>
      <c r="PH44" s="640"/>
      <c r="PI44" s="666">
        <v>71.760000000000005</v>
      </c>
      <c r="PJ44" s="666">
        <v>71.760000000000005</v>
      </c>
      <c r="PK44" s="666">
        <v>71.760000000000005</v>
      </c>
      <c r="PL44" s="420">
        <v>79.75</v>
      </c>
      <c r="PM44" s="420">
        <v>79.75</v>
      </c>
      <c r="PN44" s="420">
        <v>79.75</v>
      </c>
      <c r="PO44" s="550">
        <v>35.92</v>
      </c>
    </row>
    <row r="45" spans="1:431">
      <c r="A45" s="418" t="s">
        <v>1309</v>
      </c>
      <c r="B45" s="623" t="s">
        <v>1254</v>
      </c>
      <c r="C45" s="380" t="s">
        <v>438</v>
      </c>
      <c r="D45" s="380" t="s">
        <v>1307</v>
      </c>
      <c r="E45" s="380" t="s">
        <v>1310</v>
      </c>
      <c r="G45" s="494"/>
      <c r="H45" s="419">
        <v>59.39</v>
      </c>
      <c r="I45" s="419">
        <v>59.39</v>
      </c>
      <c r="J45" s="419">
        <v>59.39</v>
      </c>
      <c r="K45" s="420">
        <v>63.69</v>
      </c>
      <c r="L45" s="420">
        <v>63.69</v>
      </c>
      <c r="M45" s="420">
        <v>63.69</v>
      </c>
      <c r="N45" s="420">
        <v>67.930000000000007</v>
      </c>
      <c r="O45" s="420">
        <v>67.930000000000007</v>
      </c>
      <c r="P45" s="420">
        <v>75.36</v>
      </c>
      <c r="Q45" s="420">
        <v>75.36</v>
      </c>
      <c r="R45" s="420">
        <v>66.8</v>
      </c>
      <c r="S45" s="420">
        <v>66.8</v>
      </c>
      <c r="T45" s="420">
        <v>73.790000000000006</v>
      </c>
      <c r="U45" s="420"/>
      <c r="V45" s="420">
        <v>53.61</v>
      </c>
      <c r="W45" s="420">
        <v>53.61</v>
      </c>
      <c r="X45" s="420">
        <v>53.61</v>
      </c>
      <c r="Y45" s="420">
        <v>53.61</v>
      </c>
      <c r="Z45" s="420">
        <v>53.61</v>
      </c>
      <c r="AA45" s="420"/>
      <c r="AB45" s="420">
        <v>53.61</v>
      </c>
      <c r="AC45" s="420">
        <v>53.61</v>
      </c>
      <c r="AD45" s="420">
        <v>53.61</v>
      </c>
      <c r="AE45" s="420">
        <v>53.61</v>
      </c>
      <c r="AF45" s="420">
        <v>53.61</v>
      </c>
      <c r="AG45" s="420">
        <v>53.61</v>
      </c>
      <c r="AH45" s="420"/>
      <c r="AI45" s="420"/>
      <c r="AJ45" s="420"/>
      <c r="AK45" s="420"/>
      <c r="AL45" s="420"/>
      <c r="AM45" s="420"/>
      <c r="AN45" s="420">
        <v>53.61</v>
      </c>
      <c r="AO45" s="420"/>
      <c r="AP45" s="420"/>
      <c r="AQ45" s="420"/>
      <c r="AR45" s="420"/>
      <c r="AS45" s="420"/>
      <c r="AT45" s="420">
        <v>46.66</v>
      </c>
      <c r="AU45" s="420">
        <v>46.66</v>
      </c>
      <c r="AV45" s="420">
        <v>46.66</v>
      </c>
      <c r="AW45" s="420">
        <v>46.66</v>
      </c>
      <c r="AX45" s="420">
        <v>46.66</v>
      </c>
      <c r="AY45" s="420">
        <v>46.66</v>
      </c>
      <c r="AZ45" s="420">
        <v>46.66</v>
      </c>
      <c r="BA45" s="420">
        <v>46.66</v>
      </c>
      <c r="BB45" s="420">
        <v>46.66</v>
      </c>
      <c r="BC45" s="420">
        <v>46.66</v>
      </c>
      <c r="BD45" s="420">
        <v>31.45</v>
      </c>
      <c r="BE45" s="420">
        <v>31.45</v>
      </c>
      <c r="BF45" s="420">
        <v>31.45</v>
      </c>
      <c r="BG45" s="420">
        <v>31.45</v>
      </c>
      <c r="BH45" s="420">
        <v>33.840000000000003</v>
      </c>
      <c r="BI45" s="420">
        <v>33.840000000000003</v>
      </c>
      <c r="BJ45" s="420">
        <v>33.840000000000003</v>
      </c>
      <c r="BK45" s="420">
        <v>33.840000000000003</v>
      </c>
      <c r="BL45" s="420">
        <v>33.840000000000003</v>
      </c>
      <c r="BM45" s="420">
        <v>33.840000000000003</v>
      </c>
      <c r="BN45" s="420">
        <v>33.840000000000003</v>
      </c>
      <c r="BO45" s="420">
        <v>33.840000000000003</v>
      </c>
      <c r="BP45" s="420">
        <v>33.840000000000003</v>
      </c>
      <c r="BQ45" s="420">
        <v>33.840000000000003</v>
      </c>
      <c r="BR45" s="420">
        <v>33.840000000000003</v>
      </c>
      <c r="BS45" s="420">
        <v>33.840000000000003</v>
      </c>
      <c r="BT45" s="420">
        <v>37.57</v>
      </c>
      <c r="BU45" s="420">
        <v>37.57</v>
      </c>
      <c r="BV45" s="420">
        <v>37.57</v>
      </c>
      <c r="BW45" s="420">
        <v>37.57</v>
      </c>
      <c r="BX45" s="420">
        <v>37.57</v>
      </c>
      <c r="BY45" s="420">
        <v>37.57</v>
      </c>
      <c r="BZ45" s="420">
        <v>37.57</v>
      </c>
      <c r="CA45" s="420">
        <v>37.57</v>
      </c>
      <c r="CB45" s="420">
        <v>37.57</v>
      </c>
      <c r="CC45" s="858">
        <v>37.57</v>
      </c>
      <c r="CD45" s="420">
        <v>37.57</v>
      </c>
      <c r="CE45" s="420">
        <v>37.57</v>
      </c>
      <c r="CF45" s="420">
        <v>37.57</v>
      </c>
      <c r="CG45" s="420">
        <v>37.57</v>
      </c>
      <c r="CH45" s="420">
        <v>44.51</v>
      </c>
      <c r="CI45" s="420">
        <v>44.51</v>
      </c>
      <c r="CJ45" s="420">
        <v>44.51</v>
      </c>
      <c r="CK45" s="420">
        <v>44.51</v>
      </c>
      <c r="CL45" s="420">
        <v>44.51</v>
      </c>
      <c r="CM45" s="420">
        <v>44.51</v>
      </c>
      <c r="CN45" s="420">
        <v>44.51</v>
      </c>
      <c r="CO45" s="420">
        <v>44.51</v>
      </c>
      <c r="CP45" s="420">
        <v>44.51</v>
      </c>
      <c r="CQ45" s="420">
        <v>44.51</v>
      </c>
      <c r="CR45" s="420">
        <v>44.51</v>
      </c>
      <c r="CS45" s="420">
        <v>44.51</v>
      </c>
      <c r="CT45" s="420">
        <v>44.51</v>
      </c>
      <c r="CU45" s="420">
        <v>44.51</v>
      </c>
      <c r="CV45" s="420">
        <v>44.51</v>
      </c>
      <c r="CW45" s="420">
        <v>44.51</v>
      </c>
      <c r="CX45" s="420">
        <v>44.51</v>
      </c>
      <c r="CY45" s="420">
        <v>44.51</v>
      </c>
      <c r="CZ45" s="420">
        <v>58.82</v>
      </c>
      <c r="DA45" s="420">
        <v>58.82</v>
      </c>
      <c r="DB45" s="420">
        <v>58.82</v>
      </c>
      <c r="DC45" s="420">
        <v>58.82</v>
      </c>
      <c r="DD45" s="420">
        <v>58.82</v>
      </c>
      <c r="DE45" s="420">
        <v>58.82</v>
      </c>
      <c r="DF45" s="420">
        <v>58.82</v>
      </c>
      <c r="DG45" s="420">
        <v>63.66</v>
      </c>
      <c r="DH45" s="420">
        <v>63.66</v>
      </c>
      <c r="DI45" s="420">
        <v>63.66</v>
      </c>
      <c r="DJ45" s="420">
        <v>63.66</v>
      </c>
      <c r="DK45" s="420">
        <v>63.66</v>
      </c>
      <c r="DL45" s="420">
        <v>63.66</v>
      </c>
      <c r="DM45" s="420">
        <v>63.66</v>
      </c>
      <c r="DN45" s="420">
        <v>63.66</v>
      </c>
      <c r="DO45" s="420">
        <v>63.66</v>
      </c>
      <c r="DP45" s="420">
        <v>63.12</v>
      </c>
      <c r="DQ45" s="420">
        <v>58.82</v>
      </c>
      <c r="DR45" s="420">
        <v>63.66</v>
      </c>
      <c r="DS45" s="499"/>
      <c r="DT45" s="421">
        <v>44.22</v>
      </c>
      <c r="DU45" s="422">
        <v>46.61</v>
      </c>
      <c r="DV45" s="422">
        <v>46.61</v>
      </c>
      <c r="DW45" s="422">
        <v>46.61</v>
      </c>
      <c r="DX45" s="422">
        <v>46.61</v>
      </c>
      <c r="DY45" s="422">
        <v>46.61</v>
      </c>
      <c r="DZ45" s="596"/>
      <c r="EA45" s="422">
        <v>37.799999999999997</v>
      </c>
      <c r="EB45" s="422">
        <v>37.799999999999997</v>
      </c>
      <c r="EC45" s="596"/>
      <c r="ED45" s="422">
        <v>40.590000000000003</v>
      </c>
      <c r="EE45" s="422">
        <v>40.590000000000003</v>
      </c>
      <c r="EF45" s="422">
        <v>40.590000000000003</v>
      </c>
      <c r="EG45" s="422">
        <v>40.590000000000003</v>
      </c>
      <c r="EH45" s="422">
        <v>46.68</v>
      </c>
      <c r="EI45" s="422">
        <v>46.68</v>
      </c>
      <c r="EJ45" s="422">
        <v>46.68</v>
      </c>
      <c r="EK45" s="422">
        <v>46.68</v>
      </c>
      <c r="EL45" s="596"/>
      <c r="EM45" s="422">
        <v>27.61</v>
      </c>
      <c r="EN45" s="422">
        <v>30.53</v>
      </c>
      <c r="EO45" s="422">
        <v>30.53</v>
      </c>
      <c r="EP45" s="422">
        <v>33.4</v>
      </c>
      <c r="EQ45" s="422">
        <v>36.4</v>
      </c>
      <c r="ER45" s="422">
        <v>31.01</v>
      </c>
      <c r="ES45" s="422">
        <v>31.24</v>
      </c>
      <c r="ET45" s="422">
        <v>33.630000000000003</v>
      </c>
      <c r="EU45" s="422">
        <v>33.630000000000003</v>
      </c>
      <c r="EV45" s="422">
        <v>33.630000000000003</v>
      </c>
      <c r="EW45" s="422">
        <v>39.47</v>
      </c>
      <c r="EX45" s="422">
        <v>39.47</v>
      </c>
      <c r="EY45" s="422">
        <v>42.11</v>
      </c>
      <c r="EZ45" s="422">
        <v>42.11</v>
      </c>
      <c r="FA45" s="422">
        <v>42.11</v>
      </c>
      <c r="FB45" s="422">
        <v>33.630000000000003</v>
      </c>
      <c r="FC45" s="422">
        <v>39.520000000000003</v>
      </c>
      <c r="FD45" s="422">
        <v>42.11</v>
      </c>
      <c r="FE45" s="596"/>
      <c r="FF45" s="422">
        <v>69.8</v>
      </c>
      <c r="FG45" s="422">
        <v>69.8</v>
      </c>
      <c r="FH45" s="422"/>
      <c r="FI45" s="422"/>
      <c r="FJ45" s="422">
        <v>69.8</v>
      </c>
      <c r="FK45" s="422">
        <v>69.8</v>
      </c>
      <c r="FL45" s="422">
        <v>69.8</v>
      </c>
      <c r="FM45" s="422">
        <v>69.8</v>
      </c>
      <c r="FN45" s="422">
        <v>69.8</v>
      </c>
      <c r="FO45" s="422">
        <v>69.8</v>
      </c>
      <c r="FP45" s="422">
        <v>69.8</v>
      </c>
      <c r="FQ45" s="422">
        <v>69.8</v>
      </c>
      <c r="FR45" s="422">
        <v>69.8</v>
      </c>
      <c r="FS45" s="422">
        <v>69.8</v>
      </c>
      <c r="FT45" s="422">
        <v>68.599999999999994</v>
      </c>
      <c r="FU45" s="422">
        <v>68.599999999999994</v>
      </c>
      <c r="FV45" s="422">
        <v>68.599999999999994</v>
      </c>
      <c r="FW45" s="422">
        <v>68.599999999999994</v>
      </c>
      <c r="FX45" s="422">
        <v>68.599999999999994</v>
      </c>
      <c r="FY45" s="422">
        <v>68.599999999999994</v>
      </c>
      <c r="FZ45" s="422">
        <v>68.599999999999994</v>
      </c>
      <c r="GA45" s="422">
        <v>68.599999999999994</v>
      </c>
      <c r="GB45" s="422">
        <v>68.599999999999994</v>
      </c>
      <c r="GC45" s="422">
        <v>68.599999999999994</v>
      </c>
      <c r="GD45" s="422">
        <v>68.599999999999994</v>
      </c>
      <c r="GE45" s="422">
        <v>68.599999999999994</v>
      </c>
      <c r="GF45" s="422">
        <v>68.599999999999994</v>
      </c>
      <c r="GG45" s="422">
        <v>68.599999999999994</v>
      </c>
      <c r="GH45" s="422">
        <v>56.31</v>
      </c>
      <c r="GI45" s="422">
        <v>56.31</v>
      </c>
      <c r="GJ45" s="422">
        <v>56.31</v>
      </c>
      <c r="GK45" s="422">
        <v>56.31</v>
      </c>
      <c r="GL45" s="422">
        <v>70.67</v>
      </c>
      <c r="GM45" s="422">
        <v>70.67</v>
      </c>
      <c r="GN45" s="422">
        <v>70.67</v>
      </c>
      <c r="GO45" s="422">
        <v>70.67</v>
      </c>
      <c r="GP45" s="422">
        <v>70.67</v>
      </c>
      <c r="GQ45" s="422">
        <v>70.67</v>
      </c>
      <c r="GR45" s="422">
        <v>70.67</v>
      </c>
      <c r="GS45" s="422">
        <v>70.67</v>
      </c>
      <c r="GT45" s="422">
        <v>70.67</v>
      </c>
      <c r="GU45" s="422">
        <v>70.67</v>
      </c>
      <c r="GV45" s="422">
        <v>70.67</v>
      </c>
      <c r="GW45" s="422">
        <v>70.67</v>
      </c>
      <c r="GX45" s="422">
        <v>70.67</v>
      </c>
      <c r="GY45" s="422">
        <v>70.67</v>
      </c>
      <c r="GZ45" s="422">
        <v>70.67</v>
      </c>
      <c r="HA45" s="422">
        <v>70.67</v>
      </c>
      <c r="HB45" s="422">
        <v>76.25</v>
      </c>
      <c r="HC45" s="422">
        <v>76.25</v>
      </c>
      <c r="HD45" s="596"/>
      <c r="HE45" s="422">
        <v>47.32</v>
      </c>
      <c r="HF45" s="422">
        <v>47.32</v>
      </c>
      <c r="HG45" s="422">
        <v>47.32</v>
      </c>
      <c r="HH45" s="422">
        <v>54.43</v>
      </c>
      <c r="HI45" s="422">
        <v>54.43</v>
      </c>
      <c r="HJ45" s="596"/>
      <c r="HK45" s="422">
        <v>48.51</v>
      </c>
      <c r="HL45" s="422">
        <v>48.51</v>
      </c>
      <c r="HM45" s="422">
        <v>48.51</v>
      </c>
      <c r="HN45" s="422">
        <v>48.51</v>
      </c>
      <c r="HO45" s="422">
        <v>54.94</v>
      </c>
      <c r="HP45" s="422">
        <v>54.94</v>
      </c>
      <c r="HQ45" s="422">
        <v>54.94</v>
      </c>
      <c r="HR45" s="422">
        <v>54.94</v>
      </c>
      <c r="HS45" s="422">
        <v>54.94</v>
      </c>
      <c r="HT45" s="422">
        <v>54.94</v>
      </c>
      <c r="HU45" s="422">
        <v>61.37</v>
      </c>
      <c r="HV45" s="422">
        <v>61.37</v>
      </c>
      <c r="HW45" s="596"/>
      <c r="HX45" s="422">
        <v>63.73</v>
      </c>
      <c r="HY45" s="422">
        <v>63.73</v>
      </c>
      <c r="HZ45" s="422">
        <v>63.73</v>
      </c>
      <c r="IA45" s="422">
        <v>63.73</v>
      </c>
      <c r="IB45" s="422">
        <v>63.73</v>
      </c>
      <c r="IC45" s="422">
        <v>63.73</v>
      </c>
      <c r="ID45" s="422">
        <v>73.86</v>
      </c>
      <c r="IE45" s="422">
        <v>73.86</v>
      </c>
      <c r="IF45" s="422">
        <v>73.86</v>
      </c>
      <c r="IG45" s="422">
        <v>63.73</v>
      </c>
      <c r="IH45" s="422">
        <v>73.86</v>
      </c>
      <c r="II45" s="422">
        <v>63.73</v>
      </c>
      <c r="IJ45" s="596"/>
      <c r="IK45" s="422">
        <v>55.91</v>
      </c>
      <c r="IL45" s="422">
        <v>62</v>
      </c>
      <c r="IM45" s="422">
        <v>67.48</v>
      </c>
      <c r="IN45" s="423"/>
      <c r="IO45" s="424">
        <v>26.771599999999999</v>
      </c>
      <c r="IP45" s="424">
        <v>26.771599999999999</v>
      </c>
      <c r="IQ45" s="424">
        <v>26.771599999999999</v>
      </c>
      <c r="IR45" s="424">
        <v>26.771599999999999</v>
      </c>
      <c r="IS45" s="424">
        <v>26.771599999999999</v>
      </c>
      <c r="IT45" s="424">
        <v>26.771599999999999</v>
      </c>
      <c r="IU45" s="425"/>
      <c r="IV45" s="425">
        <v>20.9</v>
      </c>
      <c r="IW45" s="425">
        <v>32.299999999999997</v>
      </c>
      <c r="IX45" s="425"/>
      <c r="IY45" s="425"/>
      <c r="IZ45" s="425"/>
      <c r="JA45" s="425"/>
      <c r="JB45" s="425"/>
      <c r="JC45" s="425"/>
      <c r="JD45" s="425"/>
      <c r="JE45" s="425"/>
      <c r="JF45" s="425"/>
      <c r="JG45" s="425"/>
      <c r="JH45" s="425">
        <v>34.9</v>
      </c>
      <c r="JI45" s="425">
        <v>38.700000000000003</v>
      </c>
      <c r="JJ45" s="426"/>
      <c r="JK45" s="427">
        <v>36.237000000000002</v>
      </c>
      <c r="JL45" s="428">
        <v>41.603000000000002</v>
      </c>
      <c r="JM45" s="428">
        <v>29.9</v>
      </c>
      <c r="JN45" s="428">
        <v>29.9</v>
      </c>
      <c r="JO45" s="428">
        <v>31.68</v>
      </c>
      <c r="JP45" s="428">
        <v>31.68</v>
      </c>
      <c r="JQ45" s="428">
        <v>36.24</v>
      </c>
      <c r="JR45" s="428">
        <v>36.24</v>
      </c>
      <c r="JS45" s="428">
        <v>36.24</v>
      </c>
      <c r="JT45" s="428">
        <v>36.24</v>
      </c>
      <c r="JU45" s="428">
        <v>36.24</v>
      </c>
      <c r="JV45" s="428">
        <v>38.659999999999997</v>
      </c>
      <c r="JW45" s="428">
        <v>38.659999999999997</v>
      </c>
      <c r="JX45" s="428">
        <v>38.659999999999997</v>
      </c>
      <c r="JY45" s="428">
        <v>26.33</v>
      </c>
      <c r="JZ45" s="428">
        <v>26.33</v>
      </c>
      <c r="KA45" s="428"/>
      <c r="KB45" s="428"/>
      <c r="KC45" s="428">
        <v>29.87</v>
      </c>
      <c r="KD45" s="428">
        <v>29.87</v>
      </c>
      <c r="KE45" s="428">
        <v>29.87</v>
      </c>
      <c r="KF45" s="428">
        <v>29.87</v>
      </c>
      <c r="KG45" s="428">
        <v>29.87</v>
      </c>
      <c r="KH45" s="428">
        <v>29.87</v>
      </c>
      <c r="KI45" s="428">
        <v>29.87</v>
      </c>
      <c r="KJ45" s="429"/>
      <c r="KK45" s="430"/>
      <c r="KL45" s="545"/>
      <c r="KM45" s="431"/>
      <c r="KN45" s="431"/>
      <c r="KO45" s="431"/>
      <c r="KP45" s="431"/>
      <c r="KQ45" s="463"/>
      <c r="KR45" s="464"/>
      <c r="KS45" s="465">
        <v>13.182600000000001</v>
      </c>
      <c r="KT45" s="466">
        <v>13.182600000000001</v>
      </c>
      <c r="KU45" s="466">
        <v>13.182600000000001</v>
      </c>
      <c r="KV45" s="466"/>
      <c r="KW45" s="466"/>
      <c r="KX45" s="466">
        <v>13.1572</v>
      </c>
      <c r="KY45" s="466"/>
      <c r="KZ45" s="466"/>
      <c r="LA45" s="466"/>
      <c r="LB45" s="466"/>
      <c r="LC45" s="466">
        <v>14.503399999999999</v>
      </c>
      <c r="LD45" s="466"/>
      <c r="LE45" s="466"/>
      <c r="LF45" s="466"/>
      <c r="LG45" s="466"/>
      <c r="LH45" s="466"/>
      <c r="LI45" s="466">
        <v>14.50334</v>
      </c>
      <c r="LJ45" s="466">
        <v>14.833600000000001</v>
      </c>
      <c r="LK45" s="466">
        <v>14.8</v>
      </c>
      <c r="LL45" s="466"/>
      <c r="LM45" s="466"/>
      <c r="LN45" s="466"/>
      <c r="LO45" s="466">
        <v>17.77</v>
      </c>
      <c r="LP45" s="466"/>
      <c r="LQ45" s="466"/>
      <c r="LR45" s="466"/>
      <c r="LS45" s="466"/>
      <c r="LT45" s="734"/>
      <c r="LU45" s="611"/>
      <c r="LV45" s="588"/>
      <c r="LW45" s="611"/>
      <c r="LX45" s="611"/>
      <c r="LY45" s="611"/>
      <c r="LZ45" s="611"/>
      <c r="MA45" s="611"/>
      <c r="MB45" s="611"/>
      <c r="MC45" s="611">
        <v>45.93</v>
      </c>
      <c r="MD45" s="588"/>
      <c r="ME45" s="611"/>
      <c r="MF45" s="588"/>
      <c r="MG45" s="611"/>
      <c r="MH45" s="588">
        <v>45.93</v>
      </c>
      <c r="MI45" s="611">
        <v>45.93</v>
      </c>
      <c r="MJ45" s="588">
        <v>57.12</v>
      </c>
      <c r="MK45" s="611">
        <v>57.12</v>
      </c>
      <c r="ML45" s="611">
        <v>48.01</v>
      </c>
      <c r="MM45" s="611">
        <v>48.01</v>
      </c>
      <c r="MN45" s="611">
        <v>57.12</v>
      </c>
      <c r="MO45" s="611">
        <v>57.12</v>
      </c>
      <c r="MP45" s="611">
        <v>57.12</v>
      </c>
      <c r="MQ45" s="611">
        <v>57.12</v>
      </c>
      <c r="MR45" s="611">
        <v>48.01</v>
      </c>
      <c r="MS45" s="611">
        <v>48.01</v>
      </c>
      <c r="MT45" s="611">
        <v>57.12</v>
      </c>
      <c r="MU45" s="611">
        <v>57.12</v>
      </c>
      <c r="MV45" s="611"/>
      <c r="MW45" s="588"/>
      <c r="MX45" s="436"/>
      <c r="MY45" s="436"/>
      <c r="MZ45" s="436">
        <v>31.82</v>
      </c>
      <c r="NA45" s="436">
        <v>31.82</v>
      </c>
      <c r="NB45" s="436">
        <v>31.82</v>
      </c>
      <c r="NC45" s="436"/>
      <c r="ND45" s="436">
        <v>36.36</v>
      </c>
      <c r="NE45" s="436">
        <v>36.36</v>
      </c>
      <c r="NF45" s="436"/>
      <c r="NG45" s="436"/>
      <c r="NH45" s="436"/>
      <c r="NI45" s="436">
        <v>38.28</v>
      </c>
      <c r="NJ45" s="436">
        <v>40.72</v>
      </c>
      <c r="NK45" s="436">
        <v>45.02</v>
      </c>
      <c r="NL45" s="436">
        <v>45.03</v>
      </c>
      <c r="NM45" s="436">
        <v>45.02</v>
      </c>
      <c r="NN45" s="436">
        <v>39.75</v>
      </c>
      <c r="NO45" s="436">
        <v>55.55</v>
      </c>
      <c r="NP45" s="436">
        <v>55.54</v>
      </c>
      <c r="NQ45" s="436">
        <v>55.35</v>
      </c>
      <c r="NR45" s="436">
        <v>55.35</v>
      </c>
      <c r="NS45" s="436">
        <v>55.55</v>
      </c>
      <c r="NT45" s="436">
        <v>55.54</v>
      </c>
      <c r="NU45" s="436">
        <v>55.55</v>
      </c>
      <c r="NV45" s="436">
        <v>61.21</v>
      </c>
      <c r="NW45" s="436">
        <v>61.21</v>
      </c>
      <c r="NX45" s="436"/>
      <c r="NY45" s="436">
        <v>45.02</v>
      </c>
      <c r="NZ45" s="611">
        <v>43</v>
      </c>
      <c r="OA45" s="635"/>
      <c r="OB45" s="638">
        <v>54.17</v>
      </c>
      <c r="OC45" s="638">
        <v>54.17</v>
      </c>
      <c r="OD45" s="638">
        <v>54.17</v>
      </c>
      <c r="OE45" s="638">
        <v>50.04</v>
      </c>
      <c r="OF45" s="638"/>
      <c r="OG45" s="638"/>
      <c r="OH45" s="638"/>
      <c r="OI45" s="638"/>
      <c r="OJ45" s="638"/>
      <c r="OK45" s="638"/>
      <c r="OL45" s="638"/>
      <c r="OM45" s="638"/>
      <c r="ON45" s="635"/>
      <c r="OO45" s="638">
        <v>33.46</v>
      </c>
      <c r="OP45" s="638">
        <v>33.46</v>
      </c>
      <c r="OQ45" s="638">
        <v>38.9</v>
      </c>
      <c r="OR45" s="638">
        <v>38.9</v>
      </c>
      <c r="OS45" s="638"/>
      <c r="OT45" s="638">
        <v>26.19</v>
      </c>
      <c r="OU45" s="638">
        <v>28.55</v>
      </c>
      <c r="OV45" s="638">
        <v>31</v>
      </c>
      <c r="OW45" s="638">
        <v>26.19</v>
      </c>
      <c r="OX45" s="638">
        <v>28.55</v>
      </c>
      <c r="OY45" s="638">
        <v>31</v>
      </c>
      <c r="OZ45" s="638"/>
      <c r="PA45" s="638"/>
      <c r="PB45" s="638"/>
      <c r="PC45" s="638"/>
      <c r="PD45" s="638"/>
      <c r="PE45" s="638"/>
      <c r="PF45" s="638"/>
      <c r="PG45" s="640"/>
      <c r="PH45" s="640"/>
      <c r="PI45" s="666">
        <v>69.8</v>
      </c>
      <c r="PJ45" s="666">
        <v>69.8</v>
      </c>
      <c r="PK45" s="666">
        <v>76.73</v>
      </c>
      <c r="PL45" s="420">
        <v>72.73</v>
      </c>
      <c r="PM45" s="420">
        <v>72.73</v>
      </c>
      <c r="PN45" s="420">
        <v>72.73</v>
      </c>
      <c r="PO45" s="550">
        <v>39.520000000000003</v>
      </c>
    </row>
    <row r="46" spans="1:431">
      <c r="A46" s="418" t="s">
        <v>1311</v>
      </c>
      <c r="B46" s="623" t="s">
        <v>1254</v>
      </c>
      <c r="C46" s="380" t="s">
        <v>438</v>
      </c>
      <c r="D46" s="380" t="s">
        <v>1307</v>
      </c>
      <c r="E46" s="380" t="s">
        <v>1311</v>
      </c>
      <c r="G46" s="494"/>
      <c r="H46" s="419">
        <v>16.829999999999998</v>
      </c>
      <c r="I46" s="419">
        <v>16.829999999999998</v>
      </c>
      <c r="J46" s="419">
        <v>16.829999999999998</v>
      </c>
      <c r="K46" s="420">
        <v>16.989999999999998</v>
      </c>
      <c r="L46" s="420">
        <v>16.989999999999998</v>
      </c>
      <c r="M46" s="420">
        <v>16.989999999999998</v>
      </c>
      <c r="N46" s="420">
        <v>17.53</v>
      </c>
      <c r="O46" s="420">
        <v>17.53</v>
      </c>
      <c r="P46" s="420">
        <v>17.93</v>
      </c>
      <c r="Q46" s="420">
        <v>17.93</v>
      </c>
      <c r="R46" s="420">
        <v>17.05</v>
      </c>
      <c r="S46" s="420">
        <v>17.05</v>
      </c>
      <c r="T46" s="420">
        <v>17.079999999999998</v>
      </c>
      <c r="U46" s="420"/>
      <c r="V46" s="420">
        <v>16.7</v>
      </c>
      <c r="W46" s="420">
        <v>16.7</v>
      </c>
      <c r="X46" s="420">
        <v>16.7</v>
      </c>
      <c r="Y46" s="420">
        <v>16.7</v>
      </c>
      <c r="Z46" s="420">
        <v>16.7</v>
      </c>
      <c r="AA46" s="420"/>
      <c r="AB46" s="420">
        <v>16.72</v>
      </c>
      <c r="AC46" s="420">
        <v>16.72</v>
      </c>
      <c r="AD46" s="420">
        <v>16.72</v>
      </c>
      <c r="AE46" s="420">
        <v>16.72</v>
      </c>
      <c r="AF46" s="420">
        <v>16.72</v>
      </c>
      <c r="AG46" s="420">
        <v>16.72</v>
      </c>
      <c r="AH46" s="420"/>
      <c r="AI46" s="420"/>
      <c r="AJ46" s="420"/>
      <c r="AK46" s="420"/>
      <c r="AL46" s="420"/>
      <c r="AM46" s="420"/>
      <c r="AN46" s="420">
        <v>16.72</v>
      </c>
      <c r="AO46" s="420"/>
      <c r="AP46" s="420"/>
      <c r="AQ46" s="420"/>
      <c r="AR46" s="420"/>
      <c r="AS46" s="420"/>
      <c r="AT46" s="420">
        <v>15.7</v>
      </c>
      <c r="AU46" s="420">
        <v>15.7</v>
      </c>
      <c r="AV46" s="420">
        <v>15.7</v>
      </c>
      <c r="AW46" s="420">
        <v>15.7</v>
      </c>
      <c r="AX46" s="420">
        <v>15.7</v>
      </c>
      <c r="AY46" s="420">
        <v>15.58</v>
      </c>
      <c r="AZ46" s="420">
        <v>15.58</v>
      </c>
      <c r="BA46" s="420">
        <v>15.58</v>
      </c>
      <c r="BB46" s="420">
        <v>15.58</v>
      </c>
      <c r="BC46" s="420">
        <v>15.58</v>
      </c>
      <c r="BD46" s="420">
        <v>12.79</v>
      </c>
      <c r="BE46" s="420">
        <v>12.79</v>
      </c>
      <c r="BF46" s="420">
        <v>12.79</v>
      </c>
      <c r="BG46" s="420">
        <v>12.79</v>
      </c>
      <c r="BH46" s="420">
        <v>12.01</v>
      </c>
      <c r="BI46" s="420">
        <v>12.01</v>
      </c>
      <c r="BJ46" s="420">
        <v>12.01</v>
      </c>
      <c r="BK46" s="420">
        <v>12.01</v>
      </c>
      <c r="BL46" s="420">
        <v>12.01</v>
      </c>
      <c r="BM46" s="420">
        <v>12.01</v>
      </c>
      <c r="BN46" s="420">
        <v>12.01</v>
      </c>
      <c r="BO46" s="420">
        <v>12.01</v>
      </c>
      <c r="BP46" s="420">
        <v>12.01</v>
      </c>
      <c r="BQ46" s="420">
        <v>12.01</v>
      </c>
      <c r="BR46" s="420">
        <v>12.01</v>
      </c>
      <c r="BS46" s="420">
        <v>11.76</v>
      </c>
      <c r="BT46" s="420">
        <v>11.98</v>
      </c>
      <c r="BU46" s="420">
        <v>11.98</v>
      </c>
      <c r="BV46" s="420">
        <v>11.98</v>
      </c>
      <c r="BW46" s="420">
        <v>11.98</v>
      </c>
      <c r="BX46" s="420">
        <v>11.98</v>
      </c>
      <c r="BY46" s="420">
        <v>11.98</v>
      </c>
      <c r="BZ46" s="420">
        <v>11.98</v>
      </c>
      <c r="CA46" s="420">
        <v>11.98</v>
      </c>
      <c r="CB46" s="420">
        <v>11.98</v>
      </c>
      <c r="CC46" s="858">
        <v>11.98</v>
      </c>
      <c r="CD46" s="420">
        <v>11.98</v>
      </c>
      <c r="CE46" s="420">
        <v>11.98</v>
      </c>
      <c r="CF46" s="420">
        <v>11.98</v>
      </c>
      <c r="CG46" s="420">
        <v>11.98</v>
      </c>
      <c r="CH46" s="420">
        <v>11.97</v>
      </c>
      <c r="CI46" s="420">
        <v>11.97</v>
      </c>
      <c r="CJ46" s="420">
        <v>11.97</v>
      </c>
      <c r="CK46" s="420">
        <v>11.97</v>
      </c>
      <c r="CL46" s="420">
        <v>11.97</v>
      </c>
      <c r="CM46" s="420">
        <v>11.97</v>
      </c>
      <c r="CN46" s="420">
        <v>11.97</v>
      </c>
      <c r="CO46" s="420">
        <v>11.97</v>
      </c>
      <c r="CP46" s="420">
        <v>11.97</v>
      </c>
      <c r="CQ46" s="420">
        <v>11.97</v>
      </c>
      <c r="CR46" s="420">
        <v>11.97</v>
      </c>
      <c r="CS46" s="420">
        <v>11.97</v>
      </c>
      <c r="CT46" s="420">
        <v>11.97</v>
      </c>
      <c r="CU46" s="420">
        <v>11.97</v>
      </c>
      <c r="CV46" s="420">
        <v>11.97</v>
      </c>
      <c r="CW46" s="420">
        <v>11.97</v>
      </c>
      <c r="CX46" s="420">
        <v>11.97</v>
      </c>
      <c r="CY46" s="420">
        <v>11.97</v>
      </c>
      <c r="CZ46" s="420">
        <v>17.38</v>
      </c>
      <c r="DA46" s="420">
        <v>17.38</v>
      </c>
      <c r="DB46" s="420">
        <v>17.38</v>
      </c>
      <c r="DC46" s="420">
        <v>17.38</v>
      </c>
      <c r="DD46" s="420">
        <v>17.38</v>
      </c>
      <c r="DE46" s="420">
        <v>16.88</v>
      </c>
      <c r="DF46" s="420">
        <v>16.88</v>
      </c>
      <c r="DG46" s="420">
        <v>16.829999999999998</v>
      </c>
      <c r="DH46" s="420">
        <v>16.829999999999998</v>
      </c>
      <c r="DI46" s="420">
        <v>16.829999999999998</v>
      </c>
      <c r="DJ46" s="420">
        <v>16.829999999999998</v>
      </c>
      <c r="DK46" s="420">
        <v>16.829999999999998</v>
      </c>
      <c r="DL46" s="420">
        <v>16.829999999999998</v>
      </c>
      <c r="DM46" s="420">
        <v>16.829999999999998</v>
      </c>
      <c r="DN46" s="420">
        <v>16.829999999999998</v>
      </c>
      <c r="DO46" s="420">
        <v>16.829999999999998</v>
      </c>
      <c r="DP46" s="420">
        <v>18.95</v>
      </c>
      <c r="DQ46" s="420">
        <v>17.38</v>
      </c>
      <c r="DR46" s="420">
        <v>16.79</v>
      </c>
      <c r="DS46" s="499"/>
      <c r="DT46" s="421">
        <v>12.68</v>
      </c>
      <c r="DU46" s="422">
        <v>12.78</v>
      </c>
      <c r="DV46" s="422">
        <v>12.75</v>
      </c>
      <c r="DW46" s="422">
        <v>12.75</v>
      </c>
      <c r="DX46" s="422">
        <v>12.75</v>
      </c>
      <c r="DY46" s="422">
        <v>12.75</v>
      </c>
      <c r="DZ46" s="596"/>
      <c r="EA46" s="422">
        <v>8.8000000000000007</v>
      </c>
      <c r="EB46" s="422">
        <v>8.8000000000000007</v>
      </c>
      <c r="EC46" s="596"/>
      <c r="ED46" s="422">
        <v>9.68</v>
      </c>
      <c r="EE46" s="422">
        <v>9.68</v>
      </c>
      <c r="EF46" s="422">
        <v>9.68</v>
      </c>
      <c r="EG46" s="422">
        <v>9.68</v>
      </c>
      <c r="EH46" s="422">
        <v>9.61</v>
      </c>
      <c r="EI46" s="422">
        <v>9.61</v>
      </c>
      <c r="EJ46" s="422">
        <v>9.61</v>
      </c>
      <c r="EK46" s="422">
        <v>9.61</v>
      </c>
      <c r="EL46" s="596"/>
      <c r="EM46" s="422">
        <v>11.23</v>
      </c>
      <c r="EN46" s="422">
        <v>11.23</v>
      </c>
      <c r="EO46" s="422">
        <v>11.23</v>
      </c>
      <c r="EP46" s="422">
        <v>11.07</v>
      </c>
      <c r="EQ46" s="422">
        <v>11.07</v>
      </c>
      <c r="ER46" s="422">
        <v>11.07</v>
      </c>
      <c r="ES46" s="422">
        <v>12.7</v>
      </c>
      <c r="ET46" s="422">
        <v>12.67</v>
      </c>
      <c r="EU46" s="422">
        <v>12.57</v>
      </c>
      <c r="EV46" s="422">
        <v>12.67</v>
      </c>
      <c r="EW46" s="422">
        <v>12.62</v>
      </c>
      <c r="EX46" s="422">
        <v>12.55</v>
      </c>
      <c r="EY46" s="422">
        <v>12.55</v>
      </c>
      <c r="EZ46" s="422">
        <v>12.55</v>
      </c>
      <c r="FA46" s="422">
        <v>12.55</v>
      </c>
      <c r="FB46" s="422">
        <v>12.57</v>
      </c>
      <c r="FC46" s="422">
        <v>11.86</v>
      </c>
      <c r="FD46" s="422">
        <v>11.89</v>
      </c>
      <c r="FE46" s="596"/>
      <c r="FF46" s="422">
        <v>18.34</v>
      </c>
      <c r="FG46" s="422">
        <v>18.34</v>
      </c>
      <c r="FH46" s="422"/>
      <c r="FI46" s="422"/>
      <c r="FJ46" s="422">
        <v>18.34</v>
      </c>
      <c r="FK46" s="422">
        <v>18.34</v>
      </c>
      <c r="FL46" s="422">
        <v>18.34</v>
      </c>
      <c r="FM46" s="422">
        <v>18.34</v>
      </c>
      <c r="FN46" s="422">
        <v>18.34</v>
      </c>
      <c r="FO46" s="422">
        <v>18.34</v>
      </c>
      <c r="FP46" s="422">
        <v>18.34</v>
      </c>
      <c r="FQ46" s="422">
        <v>18.309999999999999</v>
      </c>
      <c r="FR46" s="422">
        <v>18.309999999999999</v>
      </c>
      <c r="FS46" s="422">
        <v>18.309999999999999</v>
      </c>
      <c r="FT46" s="422">
        <v>18.34</v>
      </c>
      <c r="FU46" s="422">
        <v>18.34</v>
      </c>
      <c r="FV46" s="422">
        <v>18.309999999999999</v>
      </c>
      <c r="FW46" s="422">
        <v>18.309999999999999</v>
      </c>
      <c r="FX46" s="422">
        <v>18.309999999999999</v>
      </c>
      <c r="FY46" s="422">
        <v>18.309999999999999</v>
      </c>
      <c r="FZ46" s="422">
        <v>18.309999999999999</v>
      </c>
      <c r="GA46" s="422">
        <v>18.309999999999999</v>
      </c>
      <c r="GB46" s="422">
        <v>18.309999999999999</v>
      </c>
      <c r="GC46" s="422">
        <v>18.34</v>
      </c>
      <c r="GD46" s="422">
        <v>18.34</v>
      </c>
      <c r="GE46" s="422">
        <v>18.34</v>
      </c>
      <c r="GF46" s="422">
        <v>18.34</v>
      </c>
      <c r="GG46" s="422">
        <v>18.34</v>
      </c>
      <c r="GH46" s="422">
        <v>19.84</v>
      </c>
      <c r="GI46" s="422">
        <v>19.84</v>
      </c>
      <c r="GJ46" s="422">
        <v>19.84</v>
      </c>
      <c r="GK46" s="422">
        <v>19.84</v>
      </c>
      <c r="GL46" s="422">
        <v>18.8</v>
      </c>
      <c r="GM46" s="422">
        <v>18.8</v>
      </c>
      <c r="GN46" s="422">
        <v>18.8</v>
      </c>
      <c r="GO46" s="422">
        <v>18.8</v>
      </c>
      <c r="GP46" s="422">
        <v>18.8</v>
      </c>
      <c r="GQ46" s="422">
        <v>18.8</v>
      </c>
      <c r="GR46" s="422">
        <v>18.78</v>
      </c>
      <c r="GS46" s="422">
        <v>18.78</v>
      </c>
      <c r="GT46" s="422">
        <v>18.78</v>
      </c>
      <c r="GU46" s="422">
        <v>19.059999999999999</v>
      </c>
      <c r="GV46" s="422">
        <v>19.059999999999999</v>
      </c>
      <c r="GW46" s="422">
        <v>19.059999999999999</v>
      </c>
      <c r="GX46" s="422">
        <v>18.87</v>
      </c>
      <c r="GY46" s="422">
        <v>18.87</v>
      </c>
      <c r="GZ46" s="422">
        <v>18.87</v>
      </c>
      <c r="HA46" s="422">
        <v>18.34</v>
      </c>
      <c r="HB46" s="422">
        <v>18.97</v>
      </c>
      <c r="HC46" s="422">
        <v>18.97</v>
      </c>
      <c r="HD46" s="596"/>
      <c r="HE46" s="422">
        <v>13.49</v>
      </c>
      <c r="HF46" s="422">
        <v>13.49</v>
      </c>
      <c r="HG46" s="422">
        <v>13.49</v>
      </c>
      <c r="HH46" s="422">
        <v>13.56</v>
      </c>
      <c r="HI46" s="422">
        <v>13.56</v>
      </c>
      <c r="HJ46" s="596"/>
      <c r="HK46" s="422">
        <v>15.6</v>
      </c>
      <c r="HL46" s="422">
        <v>15.6</v>
      </c>
      <c r="HM46" s="422">
        <v>15.6</v>
      </c>
      <c r="HN46" s="422">
        <v>15.6</v>
      </c>
      <c r="HO46" s="422">
        <v>15.39</v>
      </c>
      <c r="HP46" s="422">
        <v>15.39</v>
      </c>
      <c r="HQ46" s="422">
        <v>15.39</v>
      </c>
      <c r="HR46" s="422">
        <v>15.44</v>
      </c>
      <c r="HS46" s="422">
        <v>15.44</v>
      </c>
      <c r="HT46" s="422">
        <v>15.44</v>
      </c>
      <c r="HU46" s="422">
        <v>16.68</v>
      </c>
      <c r="HV46" s="422">
        <v>16.68</v>
      </c>
      <c r="HW46" s="596"/>
      <c r="HX46" s="422">
        <v>18.420000000000002</v>
      </c>
      <c r="HY46" s="422">
        <v>18.420000000000002</v>
      </c>
      <c r="HZ46" s="422">
        <v>18.420000000000002</v>
      </c>
      <c r="IA46" s="422">
        <v>18.420000000000002</v>
      </c>
      <c r="IB46" s="422">
        <v>18.420000000000002</v>
      </c>
      <c r="IC46" s="422">
        <v>18.420000000000002</v>
      </c>
      <c r="ID46" s="422">
        <v>18.420000000000002</v>
      </c>
      <c r="IE46" s="422">
        <v>18.420000000000002</v>
      </c>
      <c r="IF46" s="422">
        <v>18.420000000000002</v>
      </c>
      <c r="IG46" s="422">
        <v>18.48</v>
      </c>
      <c r="IH46" s="422">
        <v>18.239999999999998</v>
      </c>
      <c r="II46" s="422">
        <v>18.579999999999998</v>
      </c>
      <c r="IJ46" s="596"/>
      <c r="IK46" s="422">
        <v>16.59</v>
      </c>
      <c r="IL46" s="422">
        <v>16.809999999999999</v>
      </c>
      <c r="IM46" s="422">
        <v>16.89</v>
      </c>
      <c r="IN46" s="423"/>
      <c r="IO46" s="424">
        <v>6.2</v>
      </c>
      <c r="IP46" s="617">
        <v>6.2</v>
      </c>
      <c r="IQ46" s="425">
        <v>6.18</v>
      </c>
      <c r="IR46" s="425">
        <v>6.2</v>
      </c>
      <c r="IS46" s="425">
        <v>6.2</v>
      </c>
      <c r="IT46" s="425">
        <v>6.18</v>
      </c>
      <c r="IU46" s="425"/>
      <c r="IV46" s="425">
        <v>6.2</v>
      </c>
      <c r="IW46" s="425">
        <v>7.51</v>
      </c>
      <c r="IX46" s="425"/>
      <c r="IY46" s="425"/>
      <c r="IZ46" s="425"/>
      <c r="JA46" s="425"/>
      <c r="JB46" s="425"/>
      <c r="JC46" s="425"/>
      <c r="JD46" s="425"/>
      <c r="JE46" s="425"/>
      <c r="JF46" s="425"/>
      <c r="JG46" s="425"/>
      <c r="JH46" s="425">
        <v>11.8</v>
      </c>
      <c r="JI46" s="425">
        <v>11.5</v>
      </c>
      <c r="JJ46" s="426"/>
      <c r="JK46" s="427">
        <v>10.69</v>
      </c>
      <c r="JL46" s="428">
        <v>10.71</v>
      </c>
      <c r="JM46" s="428">
        <v>9.82</v>
      </c>
      <c r="JN46" s="428">
        <v>9.82</v>
      </c>
      <c r="JO46" s="428">
        <v>9.86</v>
      </c>
      <c r="JP46" s="428">
        <v>9.86</v>
      </c>
      <c r="JQ46" s="428">
        <v>10.57</v>
      </c>
      <c r="JR46" s="428">
        <v>10.57</v>
      </c>
      <c r="JS46" s="428">
        <v>10.57</v>
      </c>
      <c r="JT46" s="428">
        <v>10.57</v>
      </c>
      <c r="JU46" s="428">
        <v>10.57</v>
      </c>
      <c r="JV46" s="428">
        <v>10.57</v>
      </c>
      <c r="JW46" s="428">
        <v>10.57</v>
      </c>
      <c r="JX46" s="428">
        <v>10.57</v>
      </c>
      <c r="JY46" s="428">
        <v>6.76</v>
      </c>
      <c r="JZ46" s="428">
        <v>6.76</v>
      </c>
      <c r="KA46" s="428"/>
      <c r="KB46" s="428"/>
      <c r="KC46" s="428">
        <v>6.75</v>
      </c>
      <c r="KD46" s="428">
        <v>6.75</v>
      </c>
      <c r="KE46" s="428">
        <v>6.75</v>
      </c>
      <c r="KF46" s="428">
        <v>6.75</v>
      </c>
      <c r="KG46" s="428">
        <v>6.75</v>
      </c>
      <c r="KH46" s="428">
        <v>6.75</v>
      </c>
      <c r="KI46" s="428">
        <v>6.75</v>
      </c>
      <c r="KJ46" s="429"/>
      <c r="KK46" s="430"/>
      <c r="KL46" s="545"/>
      <c r="KM46" s="431"/>
      <c r="KN46" s="431"/>
      <c r="KO46" s="431"/>
      <c r="KP46" s="431"/>
      <c r="KQ46" s="463"/>
      <c r="KR46" s="464"/>
      <c r="KS46" s="465">
        <v>3.7338</v>
      </c>
      <c r="KT46" s="466">
        <v>3.8353999999999999</v>
      </c>
      <c r="KU46" s="466">
        <v>3.8353999999999999</v>
      </c>
      <c r="KV46" s="466"/>
      <c r="KW46" s="466"/>
      <c r="KX46" s="466">
        <v>3.7084000000000001</v>
      </c>
      <c r="KY46" s="466"/>
      <c r="KZ46" s="466"/>
      <c r="LA46" s="466"/>
      <c r="LB46" s="466"/>
      <c r="LC46" s="466">
        <v>3.7387999999999999</v>
      </c>
      <c r="LD46" s="466"/>
      <c r="LE46" s="466"/>
      <c r="LF46" s="466"/>
      <c r="LG46" s="466"/>
      <c r="LH46" s="466"/>
      <c r="LI46" s="466">
        <v>3.7338</v>
      </c>
      <c r="LJ46" s="466">
        <v>3.7338</v>
      </c>
      <c r="LK46" s="466">
        <v>3.75</v>
      </c>
      <c r="LL46" s="466"/>
      <c r="LM46" s="466"/>
      <c r="LN46" s="466"/>
      <c r="LO46" s="466">
        <v>4.3899999999999997</v>
      </c>
      <c r="LP46" s="466"/>
      <c r="LQ46" s="466"/>
      <c r="LR46" s="466"/>
      <c r="LS46" s="466"/>
      <c r="LT46" s="734"/>
      <c r="LU46" s="611"/>
      <c r="LV46" s="588"/>
      <c r="LW46" s="611"/>
      <c r="LX46" s="611"/>
      <c r="LY46" s="611"/>
      <c r="LZ46" s="611"/>
      <c r="MA46" s="611"/>
      <c r="MB46" s="611"/>
      <c r="MC46" s="611">
        <v>13.24</v>
      </c>
      <c r="MD46" s="588"/>
      <c r="ME46" s="611"/>
      <c r="MF46" s="588"/>
      <c r="MG46" s="611"/>
      <c r="MH46" s="588">
        <v>13.33</v>
      </c>
      <c r="MI46" s="611">
        <v>13.28</v>
      </c>
      <c r="MJ46" s="588">
        <v>13.17</v>
      </c>
      <c r="MK46" s="611">
        <v>13.16</v>
      </c>
      <c r="ML46" s="611">
        <v>13.18</v>
      </c>
      <c r="MM46" s="611">
        <v>13.2</v>
      </c>
      <c r="MN46" s="611">
        <v>13.11</v>
      </c>
      <c r="MO46" s="611">
        <v>13.14</v>
      </c>
      <c r="MP46" s="611">
        <v>13.17</v>
      </c>
      <c r="MQ46" s="611">
        <v>13.16</v>
      </c>
      <c r="MR46" s="611">
        <v>13.18</v>
      </c>
      <c r="MS46" s="611">
        <v>13.2</v>
      </c>
      <c r="MT46" s="611">
        <v>13.11</v>
      </c>
      <c r="MU46" s="611">
        <v>13.14</v>
      </c>
      <c r="MV46" s="611"/>
      <c r="MW46" s="588"/>
      <c r="MX46" s="436"/>
      <c r="MY46" s="436"/>
      <c r="MZ46" s="436">
        <v>8.4</v>
      </c>
      <c r="NA46" s="436">
        <v>8.4</v>
      </c>
      <c r="NB46" s="436">
        <v>8.4</v>
      </c>
      <c r="NC46" s="436"/>
      <c r="ND46" s="436">
        <v>8.5</v>
      </c>
      <c r="NE46" s="436">
        <v>8.5</v>
      </c>
      <c r="NF46" s="436"/>
      <c r="NG46" s="436"/>
      <c r="NH46" s="436"/>
      <c r="NI46" s="436">
        <v>8.6999999999999993</v>
      </c>
      <c r="NJ46" s="436">
        <v>8.8000000000000007</v>
      </c>
      <c r="NK46" s="436">
        <v>9.1999999999999993</v>
      </c>
      <c r="NL46" s="436">
        <v>9.1999999999999993</v>
      </c>
      <c r="NM46" s="436">
        <v>9.1999999999999993</v>
      </c>
      <c r="NN46" s="436">
        <v>9.5</v>
      </c>
      <c r="NO46" s="436">
        <v>17.53</v>
      </c>
      <c r="NP46" s="436">
        <v>17.55</v>
      </c>
      <c r="NQ46" s="436">
        <v>17.55</v>
      </c>
      <c r="NR46" s="436">
        <v>17.55</v>
      </c>
      <c r="NS46" s="436">
        <v>17.53</v>
      </c>
      <c r="NT46" s="436">
        <v>17.55</v>
      </c>
      <c r="NU46" s="436">
        <v>17.53</v>
      </c>
      <c r="NV46" s="436">
        <v>17.600000000000001</v>
      </c>
      <c r="NW46" s="436">
        <v>17.600000000000001</v>
      </c>
      <c r="NX46" s="436"/>
      <c r="NY46" s="436">
        <v>9.1999999999999993</v>
      </c>
      <c r="NZ46" s="611">
        <v>9.3000000000000007</v>
      </c>
      <c r="OA46" s="635"/>
      <c r="OB46" s="638">
        <v>17.62</v>
      </c>
      <c r="OC46" s="638">
        <v>17.62</v>
      </c>
      <c r="OD46" s="638">
        <v>17.62</v>
      </c>
      <c r="OE46" s="638">
        <v>16.87</v>
      </c>
      <c r="OF46" s="638"/>
      <c r="OG46" s="638"/>
      <c r="OH46" s="638"/>
      <c r="OI46" s="638"/>
      <c r="OJ46" s="638"/>
      <c r="OK46" s="638"/>
      <c r="OL46" s="638"/>
      <c r="OM46" s="638"/>
      <c r="ON46" s="635"/>
      <c r="OO46" s="638">
        <v>8.6059999999999999</v>
      </c>
      <c r="OP46" s="638">
        <v>8.6059999999999999</v>
      </c>
      <c r="OQ46" s="638">
        <v>11.95</v>
      </c>
      <c r="OR46" s="638">
        <v>11.95</v>
      </c>
      <c r="OS46" s="638"/>
      <c r="OT46" s="638">
        <v>8.61</v>
      </c>
      <c r="OU46" s="638">
        <v>8.61</v>
      </c>
      <c r="OV46" s="638">
        <v>8.59</v>
      </c>
      <c r="OW46" s="638">
        <v>8.61</v>
      </c>
      <c r="OX46" s="638">
        <v>8.61</v>
      </c>
      <c r="OY46" s="638">
        <v>8.59</v>
      </c>
      <c r="OZ46" s="638"/>
      <c r="PA46" s="638"/>
      <c r="PB46" s="638"/>
      <c r="PC46" s="638"/>
      <c r="PD46" s="638"/>
      <c r="PE46" s="638"/>
      <c r="PF46" s="638"/>
      <c r="PG46" s="640"/>
      <c r="PH46" s="640"/>
      <c r="PI46" s="666"/>
      <c r="PJ46" s="666"/>
      <c r="PK46" s="666">
        <v>19.53</v>
      </c>
      <c r="PL46" s="420">
        <v>24.1</v>
      </c>
      <c r="PM46" s="420">
        <v>24.1</v>
      </c>
      <c r="PN46" s="420">
        <v>24.1</v>
      </c>
      <c r="PO46" s="550">
        <v>11.86</v>
      </c>
    </row>
    <row r="47" spans="1:431" ht="15.75">
      <c r="A47" s="510" t="s">
        <v>1312</v>
      </c>
      <c r="B47" s="626"/>
      <c r="C47" s="622"/>
      <c r="D47" s="622"/>
      <c r="E47" s="622"/>
      <c r="F47" s="622"/>
      <c r="G47" s="494"/>
      <c r="H47" s="511"/>
      <c r="I47" s="512"/>
      <c r="J47" s="512"/>
      <c r="K47" s="512"/>
      <c r="L47" s="512"/>
      <c r="M47" s="512"/>
      <c r="N47" s="512"/>
      <c r="O47" s="512"/>
      <c r="P47" s="512"/>
      <c r="Q47" s="512"/>
      <c r="R47" s="512"/>
      <c r="S47" s="512"/>
      <c r="T47" s="512"/>
      <c r="U47" s="512"/>
      <c r="V47" s="512"/>
      <c r="W47" s="512"/>
      <c r="X47" s="512"/>
      <c r="Y47" s="512"/>
      <c r="Z47" s="512"/>
      <c r="AA47" s="512"/>
      <c r="AB47" s="512"/>
      <c r="AC47" s="512"/>
      <c r="AD47" s="512"/>
      <c r="AE47" s="512"/>
      <c r="AF47" s="512"/>
      <c r="AG47" s="512"/>
      <c r="AH47" s="512"/>
      <c r="AI47" s="512"/>
      <c r="AJ47" s="512"/>
      <c r="AK47" s="512"/>
      <c r="AL47" s="512"/>
      <c r="AM47" s="512"/>
      <c r="AN47" s="512"/>
      <c r="AO47" s="512"/>
      <c r="AP47" s="512"/>
      <c r="AQ47" s="512"/>
      <c r="AR47" s="512"/>
      <c r="AS47" s="512"/>
      <c r="AT47" s="512"/>
      <c r="AU47" s="512"/>
      <c r="AV47" s="512"/>
      <c r="AW47" s="512"/>
      <c r="AX47" s="512"/>
      <c r="AY47" s="512"/>
      <c r="AZ47" s="512"/>
      <c r="BA47" s="512"/>
      <c r="BB47" s="512"/>
      <c r="BC47" s="512"/>
      <c r="BD47" s="512"/>
      <c r="BE47" s="512"/>
      <c r="BF47" s="512"/>
      <c r="BG47" s="512"/>
      <c r="BH47" s="512"/>
      <c r="BI47" s="512"/>
      <c r="BJ47" s="512"/>
      <c r="BK47" s="512"/>
      <c r="BL47" s="512"/>
      <c r="BM47" s="512"/>
      <c r="BN47" s="512"/>
      <c r="BO47" s="512"/>
      <c r="BP47" s="512"/>
      <c r="BQ47" s="512"/>
      <c r="BR47" s="512"/>
      <c r="BS47" s="512"/>
      <c r="BT47" s="512"/>
      <c r="BU47" s="512"/>
      <c r="BV47" s="512"/>
      <c r="BW47" s="512"/>
      <c r="BX47" s="512"/>
      <c r="BY47" s="512"/>
      <c r="BZ47" s="512"/>
      <c r="CA47" s="512"/>
      <c r="CB47" s="512"/>
      <c r="CC47" s="865"/>
      <c r="CD47" s="512"/>
      <c r="CE47" s="512"/>
      <c r="CF47" s="512"/>
      <c r="CG47" s="512"/>
      <c r="CH47" s="512"/>
      <c r="CI47" s="512"/>
      <c r="CJ47" s="512"/>
      <c r="CK47" s="512"/>
      <c r="CL47" s="512"/>
      <c r="CM47" s="512"/>
      <c r="CN47" s="512"/>
      <c r="CO47" s="512"/>
      <c r="CP47" s="512"/>
      <c r="CQ47" s="512"/>
      <c r="CR47" s="512"/>
      <c r="CS47" s="512"/>
      <c r="CT47" s="512"/>
      <c r="CU47" s="512"/>
      <c r="CV47" s="512"/>
      <c r="CW47" s="512"/>
      <c r="CX47" s="512"/>
      <c r="CY47" s="512"/>
      <c r="CZ47" s="512"/>
      <c r="DA47" s="512"/>
      <c r="DB47" s="512"/>
      <c r="DC47" s="512"/>
      <c r="DD47" s="512"/>
      <c r="DE47" s="512"/>
      <c r="DF47" s="512"/>
      <c r="DG47" s="512"/>
      <c r="DH47" s="512"/>
      <c r="DI47" s="512"/>
      <c r="DJ47" s="512"/>
      <c r="DK47" s="512"/>
      <c r="DL47" s="512"/>
      <c r="DM47" s="512"/>
      <c r="DN47" s="512"/>
      <c r="DO47" s="512"/>
      <c r="DP47" s="512"/>
      <c r="DQ47" s="512"/>
      <c r="DR47" s="512"/>
      <c r="DS47" s="499"/>
      <c r="DT47" s="511"/>
      <c r="DU47" s="513"/>
      <c r="DV47" s="513"/>
      <c r="DW47" s="513"/>
      <c r="DX47" s="513"/>
      <c r="DY47" s="513"/>
      <c r="DZ47" s="540"/>
      <c r="EA47" s="513"/>
      <c r="EB47" s="513"/>
      <c r="EC47" s="540"/>
      <c r="ED47" s="513"/>
      <c r="EE47" s="513"/>
      <c r="EF47" s="513"/>
      <c r="EG47" s="513"/>
      <c r="EH47" s="513"/>
      <c r="EI47" s="513"/>
      <c r="EJ47" s="513"/>
      <c r="EK47" s="513"/>
      <c r="EL47" s="540"/>
      <c r="EM47" s="513"/>
      <c r="EN47" s="513"/>
      <c r="EO47" s="513"/>
      <c r="EP47" s="513"/>
      <c r="EQ47" s="513"/>
      <c r="ER47" s="513"/>
      <c r="ES47" s="513"/>
      <c r="ET47" s="513"/>
      <c r="EU47" s="513"/>
      <c r="EV47" s="513"/>
      <c r="EW47" s="513"/>
      <c r="EX47" s="513"/>
      <c r="EY47" s="513"/>
      <c r="EZ47" s="513"/>
      <c r="FA47" s="513"/>
      <c r="FB47" s="513"/>
      <c r="FC47" s="513"/>
      <c r="FD47" s="513"/>
      <c r="FE47" s="540"/>
      <c r="FF47" s="513"/>
      <c r="FG47" s="513"/>
      <c r="FH47" s="513"/>
      <c r="FI47" s="513"/>
      <c r="FJ47" s="513"/>
      <c r="FK47" s="513"/>
      <c r="FL47" s="513"/>
      <c r="FM47" s="513"/>
      <c r="FN47" s="513"/>
      <c r="FO47" s="513"/>
      <c r="FP47" s="513"/>
      <c r="FQ47" s="513"/>
      <c r="FR47" s="513"/>
      <c r="FS47" s="513"/>
      <c r="FT47" s="513"/>
      <c r="FU47" s="513"/>
      <c r="FV47" s="513"/>
      <c r="FW47" s="513"/>
      <c r="FX47" s="513"/>
      <c r="FY47" s="513"/>
      <c r="FZ47" s="513"/>
      <c r="GA47" s="513"/>
      <c r="GB47" s="513"/>
      <c r="GC47" s="513"/>
      <c r="GD47" s="513"/>
      <c r="GE47" s="513"/>
      <c r="GF47" s="513"/>
      <c r="GG47" s="513"/>
      <c r="GH47" s="513"/>
      <c r="GI47" s="513"/>
      <c r="GJ47" s="513"/>
      <c r="GK47" s="513"/>
      <c r="GL47" s="513"/>
      <c r="GM47" s="513"/>
      <c r="GN47" s="513"/>
      <c r="GO47" s="513"/>
      <c r="GP47" s="513"/>
      <c r="GQ47" s="513"/>
      <c r="GR47" s="513"/>
      <c r="GS47" s="513"/>
      <c r="GT47" s="513"/>
      <c r="GU47" s="513"/>
      <c r="GV47" s="513"/>
      <c r="GW47" s="513"/>
      <c r="GX47" s="513"/>
      <c r="GY47" s="513"/>
      <c r="GZ47" s="513"/>
      <c r="HA47" s="513"/>
      <c r="HB47" s="513"/>
      <c r="HC47" s="513"/>
      <c r="HD47" s="540"/>
      <c r="HE47" s="513"/>
      <c r="HF47" s="513"/>
      <c r="HG47" s="513"/>
      <c r="HH47" s="513"/>
      <c r="HI47" s="513"/>
      <c r="HJ47" s="540"/>
      <c r="HK47" s="513"/>
      <c r="HL47" s="513"/>
      <c r="HM47" s="513"/>
      <c r="HN47" s="513"/>
      <c r="HO47" s="513"/>
      <c r="HP47" s="513"/>
      <c r="HQ47" s="513"/>
      <c r="HR47" s="513"/>
      <c r="HS47" s="513"/>
      <c r="HT47" s="513"/>
      <c r="HU47" s="513"/>
      <c r="HV47" s="513"/>
      <c r="HW47" s="540"/>
      <c r="HX47" s="513"/>
      <c r="HY47" s="513"/>
      <c r="HZ47" s="513"/>
      <c r="IA47" s="513"/>
      <c r="IB47" s="513"/>
      <c r="IC47" s="513"/>
      <c r="ID47" s="513"/>
      <c r="IE47" s="513"/>
      <c r="IF47" s="513"/>
      <c r="IG47" s="513"/>
      <c r="IH47" s="513"/>
      <c r="II47" s="513"/>
      <c r="IJ47" s="540"/>
      <c r="IK47" s="513"/>
      <c r="IL47" s="513"/>
      <c r="IM47" s="513"/>
      <c r="IN47" s="423"/>
      <c r="IO47" s="511"/>
      <c r="IP47" s="514"/>
      <c r="IQ47" s="513"/>
      <c r="IR47" s="513"/>
      <c r="IS47" s="513"/>
      <c r="IT47" s="513"/>
      <c r="IU47" s="513"/>
      <c r="IV47" s="513"/>
      <c r="IW47" s="513"/>
      <c r="IX47" s="513"/>
      <c r="IY47" s="513"/>
      <c r="IZ47" s="513"/>
      <c r="JA47" s="513"/>
      <c r="JB47" s="513"/>
      <c r="JC47" s="513"/>
      <c r="JD47" s="513"/>
      <c r="JE47" s="513"/>
      <c r="JF47" s="513"/>
      <c r="JG47" s="513"/>
      <c r="JH47" s="513"/>
      <c r="JI47" s="513"/>
      <c r="JJ47" s="426"/>
      <c r="JK47" s="511"/>
      <c r="JL47" s="513"/>
      <c r="JM47" s="513"/>
      <c r="JN47" s="513"/>
      <c r="JO47" s="513"/>
      <c r="JP47" s="513"/>
      <c r="JQ47" s="513"/>
      <c r="JR47" s="513"/>
      <c r="JS47" s="513"/>
      <c r="JT47" s="513"/>
      <c r="JU47" s="513"/>
      <c r="JV47" s="513"/>
      <c r="JW47" s="513"/>
      <c r="JX47" s="513"/>
      <c r="JY47" s="513"/>
      <c r="JZ47" s="513"/>
      <c r="KA47" s="513"/>
      <c r="KB47" s="513"/>
      <c r="KC47" s="513"/>
      <c r="KD47" s="513"/>
      <c r="KE47" s="513"/>
      <c r="KF47" s="513"/>
      <c r="KG47" s="513"/>
      <c r="KH47" s="513"/>
      <c r="KI47" s="513"/>
      <c r="KJ47" s="429"/>
      <c r="KK47" s="511"/>
      <c r="KL47" s="514"/>
      <c r="KM47" s="513"/>
      <c r="KN47" s="513"/>
      <c r="KO47" s="513"/>
      <c r="KP47" s="513"/>
      <c r="KQ47" s="463"/>
      <c r="KR47" s="511"/>
      <c r="KS47" s="514"/>
      <c r="KT47" s="513"/>
      <c r="KU47" s="513"/>
      <c r="KV47" s="513"/>
      <c r="KW47" s="513"/>
      <c r="KX47" s="513"/>
      <c r="KY47" s="513"/>
      <c r="KZ47" s="513"/>
      <c r="LA47" s="513"/>
      <c r="LB47" s="513"/>
      <c r="LC47" s="513"/>
      <c r="LD47" s="513"/>
      <c r="LE47" s="513"/>
      <c r="LF47" s="513"/>
      <c r="LG47" s="513"/>
      <c r="LH47" s="513"/>
      <c r="LI47" s="513"/>
      <c r="LJ47" s="513"/>
      <c r="LK47" s="513"/>
      <c r="LL47" s="513"/>
      <c r="LM47" s="513"/>
      <c r="LN47" s="513"/>
      <c r="LO47" s="513"/>
      <c r="LP47" s="513"/>
      <c r="LQ47" s="513"/>
      <c r="LR47" s="513"/>
      <c r="LS47" s="513"/>
      <c r="LT47" s="734"/>
      <c r="LU47" s="512"/>
      <c r="LV47" s="514"/>
      <c r="LW47" s="512"/>
      <c r="LX47" s="512"/>
      <c r="LY47" s="512"/>
      <c r="LZ47" s="512"/>
      <c r="MA47" s="512"/>
      <c r="MB47" s="512"/>
      <c r="MC47" s="512"/>
      <c r="MD47" s="514"/>
      <c r="ME47" s="512"/>
      <c r="MF47" s="514"/>
      <c r="MG47" s="512"/>
      <c r="MH47" s="514"/>
      <c r="MI47" s="512"/>
      <c r="MJ47" s="514"/>
      <c r="MK47" s="512"/>
      <c r="ML47" s="512"/>
      <c r="MM47" s="512"/>
      <c r="MN47" s="512"/>
      <c r="MO47" s="512"/>
      <c r="MP47" s="512"/>
      <c r="MQ47" s="512"/>
      <c r="MR47" s="512"/>
      <c r="MS47" s="512"/>
      <c r="MT47" s="512"/>
      <c r="MU47" s="512"/>
      <c r="MV47" s="512"/>
      <c r="MW47" s="514"/>
      <c r="MX47" s="513"/>
      <c r="MY47" s="513"/>
      <c r="MZ47" s="513"/>
      <c r="NA47" s="513"/>
      <c r="NB47" s="513"/>
      <c r="NC47" s="513"/>
      <c r="ND47" s="513"/>
      <c r="NE47" s="513"/>
      <c r="NF47" s="513"/>
      <c r="NG47" s="513"/>
      <c r="NH47" s="513"/>
      <c r="NI47" s="513"/>
      <c r="NJ47" s="513"/>
      <c r="NK47" s="513"/>
      <c r="NL47" s="513"/>
      <c r="NM47" s="513"/>
      <c r="NN47" s="513"/>
      <c r="NO47" s="513"/>
      <c r="NP47" s="513"/>
      <c r="NQ47" s="513"/>
      <c r="NR47" s="513"/>
      <c r="NS47" s="513"/>
      <c r="NT47" s="513"/>
      <c r="NU47" s="513"/>
      <c r="NV47" s="513"/>
      <c r="NW47" s="513"/>
      <c r="NX47" s="513"/>
      <c r="NY47" s="513"/>
      <c r="NZ47" s="512"/>
      <c r="OA47" s="635"/>
      <c r="OB47" s="513"/>
      <c r="OC47" s="513"/>
      <c r="OD47" s="513"/>
      <c r="OE47" s="513"/>
      <c r="OF47" s="513"/>
      <c r="OG47" s="513"/>
      <c r="OH47" s="513"/>
      <c r="OI47" s="513"/>
      <c r="OJ47" s="513"/>
      <c r="OK47" s="513"/>
      <c r="OL47" s="513"/>
      <c r="OM47" s="512"/>
      <c r="ON47" s="635"/>
      <c r="OO47" s="513"/>
      <c r="OP47" s="513"/>
      <c r="OQ47" s="513"/>
      <c r="OR47" s="513"/>
      <c r="OS47" s="513"/>
      <c r="OT47" s="513"/>
      <c r="OU47" s="513"/>
      <c r="OV47" s="513"/>
      <c r="OW47" s="513"/>
      <c r="OX47" s="513"/>
      <c r="OY47" s="513"/>
      <c r="OZ47" s="513"/>
      <c r="PA47" s="513"/>
      <c r="PB47" s="513"/>
      <c r="PC47" s="513"/>
      <c r="PD47" s="513"/>
      <c r="PE47" s="513"/>
      <c r="PF47" s="513"/>
      <c r="PG47" s="513"/>
      <c r="PH47" s="513"/>
      <c r="PI47" s="543"/>
      <c r="PJ47" s="543"/>
      <c r="PK47" s="543"/>
      <c r="PL47" s="543"/>
      <c r="PM47" s="543"/>
      <c r="PN47" s="543"/>
      <c r="PO47" s="758"/>
    </row>
    <row r="48" spans="1:431">
      <c r="A48" s="418" t="s">
        <v>1313</v>
      </c>
      <c r="B48" s="627" t="s">
        <v>1254</v>
      </c>
      <c r="C48" s="380" t="s">
        <v>438</v>
      </c>
      <c r="D48" s="380" t="s">
        <v>1307</v>
      </c>
      <c r="E48" s="516" t="s">
        <v>1313</v>
      </c>
      <c r="F48" s="516"/>
      <c r="G48" s="494"/>
      <c r="H48" s="419">
        <v>2.5</v>
      </c>
      <c r="I48" s="419">
        <v>2.5</v>
      </c>
      <c r="J48" s="419">
        <v>2.5</v>
      </c>
      <c r="K48" s="420">
        <v>2.5</v>
      </c>
      <c r="L48" s="420">
        <v>2.5</v>
      </c>
      <c r="M48" s="420">
        <v>2.5</v>
      </c>
      <c r="N48" s="420">
        <v>2.67</v>
      </c>
      <c r="O48" s="420">
        <v>2.67</v>
      </c>
      <c r="P48" s="420">
        <v>2.67</v>
      </c>
      <c r="Q48" s="420">
        <v>2.67</v>
      </c>
      <c r="R48" s="420"/>
      <c r="S48" s="420"/>
      <c r="T48" s="420"/>
      <c r="U48" s="420"/>
      <c r="V48" s="420"/>
      <c r="W48" s="420"/>
      <c r="X48" s="420"/>
      <c r="Y48" s="420"/>
      <c r="Z48" s="420"/>
      <c r="AA48" s="420"/>
      <c r="AB48" s="420"/>
      <c r="AC48" s="420"/>
      <c r="AD48" s="420"/>
      <c r="AE48" s="420"/>
      <c r="AF48" s="420"/>
      <c r="AG48" s="420"/>
      <c r="AH48" s="420"/>
      <c r="AI48" s="420"/>
      <c r="AJ48" s="420"/>
      <c r="AK48" s="420"/>
      <c r="AL48" s="420"/>
      <c r="AM48" s="420"/>
      <c r="AN48" s="420"/>
      <c r="AO48" s="420"/>
      <c r="AP48" s="420"/>
      <c r="AQ48" s="420"/>
      <c r="AR48" s="420"/>
      <c r="AS48" s="420"/>
      <c r="AT48" s="420">
        <v>2.1800000000000002</v>
      </c>
      <c r="AU48" s="420">
        <v>2.1800000000000002</v>
      </c>
      <c r="AV48" s="420">
        <v>2.1800000000000002</v>
      </c>
      <c r="AW48" s="420">
        <v>2.1800000000000002</v>
      </c>
      <c r="AX48" s="420">
        <v>2.1800000000000002</v>
      </c>
      <c r="AY48" s="420">
        <v>2.1800000000000002</v>
      </c>
      <c r="AZ48" s="420">
        <v>2.1800000000000002</v>
      </c>
      <c r="BA48" s="420">
        <v>2.1800000000000002</v>
      </c>
      <c r="BB48" s="420">
        <v>2.1800000000000002</v>
      </c>
      <c r="BC48" s="420">
        <v>2.1800000000000002</v>
      </c>
      <c r="BD48" s="420">
        <v>1.5720000000000001</v>
      </c>
      <c r="BE48" s="420">
        <v>1.5720000000000001</v>
      </c>
      <c r="BF48" s="420">
        <v>1.5720000000000001</v>
      </c>
      <c r="BG48" s="420">
        <v>1.5720000000000001</v>
      </c>
      <c r="BH48" s="420">
        <v>1.579</v>
      </c>
      <c r="BI48" s="420">
        <v>1.579</v>
      </c>
      <c r="BJ48" s="420">
        <v>1.579</v>
      </c>
      <c r="BK48" s="420">
        <v>1.579</v>
      </c>
      <c r="BL48" s="420">
        <v>1.579</v>
      </c>
      <c r="BM48" s="420">
        <v>1.579</v>
      </c>
      <c r="BN48" s="420">
        <v>1.579</v>
      </c>
      <c r="BO48" s="420">
        <v>1.579</v>
      </c>
      <c r="BP48" s="420">
        <v>1.008</v>
      </c>
      <c r="BQ48" s="420">
        <v>1.008</v>
      </c>
      <c r="BR48" s="420">
        <v>1.008</v>
      </c>
      <c r="BS48" s="420">
        <v>1.008</v>
      </c>
      <c r="BT48" s="420">
        <v>1.56</v>
      </c>
      <c r="BU48" s="420">
        <v>1.56</v>
      </c>
      <c r="BV48" s="420">
        <v>1.56</v>
      </c>
      <c r="BW48" s="420">
        <v>1.56</v>
      </c>
      <c r="BX48" s="420">
        <v>1.56</v>
      </c>
      <c r="BY48" s="420">
        <v>1.56</v>
      </c>
      <c r="BZ48" s="420">
        <v>1.56</v>
      </c>
      <c r="CA48" s="420">
        <v>1.56</v>
      </c>
      <c r="CB48" s="420">
        <v>1.0449999999999999</v>
      </c>
      <c r="CC48" s="858">
        <v>1.0449999999999999</v>
      </c>
      <c r="CD48" s="420">
        <v>1.0449999999999999</v>
      </c>
      <c r="CE48" s="420">
        <v>1.0449999999999999</v>
      </c>
      <c r="CF48" s="420">
        <v>1.0449999999999999</v>
      </c>
      <c r="CG48" s="420">
        <v>1.0449999999999999</v>
      </c>
      <c r="CH48" s="420">
        <v>1.492</v>
      </c>
      <c r="CI48" s="420">
        <v>1.492</v>
      </c>
      <c r="CJ48" s="420">
        <v>1.492</v>
      </c>
      <c r="CK48" s="420">
        <v>1.492</v>
      </c>
      <c r="CL48" s="420">
        <v>1.492</v>
      </c>
      <c r="CM48" s="420">
        <v>1.492</v>
      </c>
      <c r="CN48" s="420">
        <v>1.492</v>
      </c>
      <c r="CO48" s="420">
        <v>1.492</v>
      </c>
      <c r="CP48" s="420">
        <v>1.0720000000000001</v>
      </c>
      <c r="CQ48" s="420">
        <v>1.0720000000000001</v>
      </c>
      <c r="CR48" s="420">
        <v>1.0720000000000001</v>
      </c>
      <c r="CS48" s="420">
        <v>1.0720000000000001</v>
      </c>
      <c r="CT48" s="420">
        <v>1.0720000000000001</v>
      </c>
      <c r="CU48" s="420">
        <v>1.0720000000000001</v>
      </c>
      <c r="CV48" s="420">
        <v>1.0720000000000001</v>
      </c>
      <c r="CW48" s="420">
        <v>1.0720000000000001</v>
      </c>
      <c r="CX48" s="420">
        <v>1.0720000000000001</v>
      </c>
      <c r="CY48" s="420">
        <v>1.0720000000000001</v>
      </c>
      <c r="CZ48" s="420">
        <v>2.5099999999999998</v>
      </c>
      <c r="DA48" s="420">
        <v>2.5099999999999998</v>
      </c>
      <c r="DB48" s="420">
        <v>2.5099999999999998</v>
      </c>
      <c r="DC48" s="420">
        <v>2.5099999999999998</v>
      </c>
      <c r="DD48" s="420">
        <v>2.5099999999999998</v>
      </c>
      <c r="DE48" s="420">
        <v>2.52</v>
      </c>
      <c r="DF48" s="420">
        <v>2.52</v>
      </c>
      <c r="DG48" s="420">
        <v>2.5099999999999998</v>
      </c>
      <c r="DH48" s="420">
        <v>2.5099999999999998</v>
      </c>
      <c r="DI48" s="420">
        <v>2.5099999999999998</v>
      </c>
      <c r="DJ48" s="420">
        <v>2.5099999999999998</v>
      </c>
      <c r="DK48" s="420">
        <v>2.5099999999999998</v>
      </c>
      <c r="DL48" s="420">
        <v>2.5099999999999998</v>
      </c>
      <c r="DM48" s="420">
        <v>2.5099999999999998</v>
      </c>
      <c r="DN48" s="420">
        <v>2.5099999999999998</v>
      </c>
      <c r="DO48" s="420">
        <v>2.5099999999999998</v>
      </c>
      <c r="DP48" s="420"/>
      <c r="DQ48" s="420"/>
      <c r="DR48" s="420"/>
      <c r="DS48" s="499"/>
      <c r="DT48" s="421"/>
      <c r="DU48" s="422"/>
      <c r="DV48" s="422"/>
      <c r="DW48" s="422"/>
      <c r="DX48" s="422"/>
      <c r="DY48" s="422"/>
      <c r="DZ48" s="596"/>
      <c r="EA48" s="422"/>
      <c r="EB48" s="422"/>
      <c r="EC48" s="596"/>
      <c r="ED48" s="422"/>
      <c r="EE48" s="422"/>
      <c r="EF48" s="422"/>
      <c r="EG48" s="422"/>
      <c r="EH48" s="422"/>
      <c r="EI48" s="422"/>
      <c r="EJ48" s="422"/>
      <c r="EK48" s="422"/>
      <c r="EL48" s="596"/>
      <c r="EM48" s="422"/>
      <c r="EN48" s="422">
        <v>1.61</v>
      </c>
      <c r="EO48" s="422">
        <v>1.61</v>
      </c>
      <c r="EP48" s="422">
        <v>1.56</v>
      </c>
      <c r="EQ48" s="422">
        <v>1.57</v>
      </c>
      <c r="ER48" s="422">
        <v>1.57</v>
      </c>
      <c r="ES48" s="422">
        <v>1.0900000000000001</v>
      </c>
      <c r="ET48" s="422">
        <v>1.38</v>
      </c>
      <c r="EU48" s="422">
        <v>1.1499999999999999</v>
      </c>
      <c r="EV48" s="422"/>
      <c r="EW48" s="422">
        <v>1.66</v>
      </c>
      <c r="EX48" s="422">
        <v>1.2</v>
      </c>
      <c r="EY48" s="422">
        <v>1.65</v>
      </c>
      <c r="EZ48" s="422">
        <v>1.1499999999999999</v>
      </c>
      <c r="FA48" s="422">
        <v>1.1499999999999999</v>
      </c>
      <c r="FB48" s="422">
        <v>1.1499999999999999</v>
      </c>
      <c r="FC48" s="422">
        <v>1.66</v>
      </c>
      <c r="FD48" s="422"/>
      <c r="FE48" s="596"/>
      <c r="FF48" s="422">
        <v>4.0640000000000001</v>
      </c>
      <c r="FG48" s="422">
        <v>4.0640000000000001</v>
      </c>
      <c r="FH48" s="422">
        <v>4.0640000000000001</v>
      </c>
      <c r="FI48" s="422">
        <v>4.0640000000000001</v>
      </c>
      <c r="FJ48" s="422">
        <v>4.0640000000000001</v>
      </c>
      <c r="FK48" s="422">
        <v>4.0640000000000001</v>
      </c>
      <c r="FL48" s="422">
        <v>4.0640000000000001</v>
      </c>
      <c r="FM48" s="422">
        <v>4.0640000000000001</v>
      </c>
      <c r="FN48" s="422">
        <v>4.0640000000000001</v>
      </c>
      <c r="FO48" s="422">
        <v>4.0640000000000001</v>
      </c>
      <c r="FP48" s="422">
        <v>4.0640000000000001</v>
      </c>
      <c r="FQ48" s="422">
        <v>4.0640000000000001</v>
      </c>
      <c r="FR48" s="422">
        <v>4.0640000000000001</v>
      </c>
      <c r="FS48" s="422">
        <v>4.0640000000000001</v>
      </c>
      <c r="FT48" s="422">
        <v>4.0640000000000001</v>
      </c>
      <c r="FU48" s="422">
        <v>4.0640000000000001</v>
      </c>
      <c r="FV48" s="422">
        <v>4.0640000000000001</v>
      </c>
      <c r="FW48" s="422">
        <v>4.0640000000000001</v>
      </c>
      <c r="FX48" s="422">
        <v>4.0640000000000001</v>
      </c>
      <c r="FY48" s="422">
        <v>4.0640000000000001</v>
      </c>
      <c r="FZ48" s="422">
        <v>4.0640000000000001</v>
      </c>
      <c r="GA48" s="422">
        <v>4.0640000000000001</v>
      </c>
      <c r="GB48" s="422">
        <v>4.0640000000000001</v>
      </c>
      <c r="GC48" s="422">
        <v>4.0640000000000001</v>
      </c>
      <c r="GD48" s="422">
        <v>4.0640000000000001</v>
      </c>
      <c r="GE48" s="422">
        <v>4.0640000000000001</v>
      </c>
      <c r="GF48" s="422">
        <v>4.0640000000000001</v>
      </c>
      <c r="GG48" s="422">
        <v>4.0640000000000001</v>
      </c>
      <c r="GH48" s="422"/>
      <c r="GI48" s="422"/>
      <c r="GJ48" s="422"/>
      <c r="GK48" s="422"/>
      <c r="GL48" s="422"/>
      <c r="GM48" s="422"/>
      <c r="GN48" s="422"/>
      <c r="GO48" s="422"/>
      <c r="GP48" s="422"/>
      <c r="GQ48" s="422"/>
      <c r="GR48" s="422"/>
      <c r="GS48" s="422"/>
      <c r="GT48" s="422"/>
      <c r="GU48" s="422"/>
      <c r="GV48" s="422"/>
      <c r="GW48" s="422"/>
      <c r="GX48" s="422"/>
      <c r="GY48" s="422"/>
      <c r="GZ48" s="422"/>
      <c r="HA48" s="422"/>
      <c r="HB48" s="422"/>
      <c r="HC48" s="422"/>
      <c r="HD48" s="596"/>
      <c r="HE48" s="422"/>
      <c r="HF48" s="422"/>
      <c r="HG48" s="422"/>
      <c r="HH48" s="422"/>
      <c r="HI48" s="422"/>
      <c r="HJ48" s="596"/>
      <c r="HK48" s="422"/>
      <c r="HL48" s="422"/>
      <c r="HM48" s="422"/>
      <c r="HN48" s="422"/>
      <c r="HO48" s="422"/>
      <c r="HP48" s="422"/>
      <c r="HQ48" s="422"/>
      <c r="HR48" s="422"/>
      <c r="HS48" s="422"/>
      <c r="HT48" s="422"/>
      <c r="HU48" s="422"/>
      <c r="HV48" s="422"/>
      <c r="HW48" s="596"/>
      <c r="HX48" s="422"/>
      <c r="HY48" s="422"/>
      <c r="HZ48" s="422"/>
      <c r="IA48" s="422"/>
      <c r="IB48" s="422"/>
      <c r="IC48" s="422"/>
      <c r="ID48" s="422"/>
      <c r="IE48" s="422"/>
      <c r="IF48" s="422"/>
      <c r="IG48" s="422"/>
      <c r="IH48" s="422"/>
      <c r="II48" s="422"/>
      <c r="IJ48" s="596"/>
      <c r="IK48" s="422"/>
      <c r="IL48" s="422"/>
      <c r="IM48" s="422"/>
      <c r="IN48" s="423"/>
      <c r="IO48" s="424"/>
      <c r="IP48" s="617"/>
      <c r="IQ48" s="425"/>
      <c r="IR48" s="425"/>
      <c r="IS48" s="425"/>
      <c r="IT48" s="425"/>
      <c r="IU48" s="425"/>
      <c r="IV48" s="425"/>
      <c r="IW48" s="425"/>
      <c r="IX48" s="425"/>
      <c r="IY48" s="425"/>
      <c r="IZ48" s="425"/>
      <c r="JA48" s="425"/>
      <c r="JB48" s="425"/>
      <c r="JC48" s="425"/>
      <c r="JD48" s="425"/>
      <c r="JE48" s="425"/>
      <c r="JF48" s="425"/>
      <c r="JG48" s="425"/>
      <c r="JH48" s="425"/>
      <c r="JI48" s="425"/>
      <c r="JJ48" s="426"/>
      <c r="JK48" s="427"/>
      <c r="JL48" s="428"/>
      <c r="JM48" s="428"/>
      <c r="JN48" s="428"/>
      <c r="JO48" s="428"/>
      <c r="JP48" s="428"/>
      <c r="JQ48" s="428"/>
      <c r="JR48" s="428"/>
      <c r="JS48" s="428"/>
      <c r="JT48" s="428"/>
      <c r="JU48" s="428"/>
      <c r="JV48" s="428"/>
      <c r="JW48" s="428"/>
      <c r="JX48" s="428"/>
      <c r="JY48" s="428"/>
      <c r="JZ48" s="428"/>
      <c r="KA48" s="428"/>
      <c r="KB48" s="428"/>
      <c r="KC48" s="428"/>
      <c r="KD48" s="428"/>
      <c r="KE48" s="428"/>
      <c r="KF48" s="428"/>
      <c r="KG48" s="428"/>
      <c r="KH48" s="428"/>
      <c r="KI48" s="428"/>
      <c r="KJ48" s="429"/>
      <c r="KK48" s="430"/>
      <c r="KL48" s="545"/>
      <c r="KM48" s="431"/>
      <c r="KN48" s="431"/>
      <c r="KO48" s="431"/>
      <c r="KP48" s="431"/>
      <c r="KQ48" s="463"/>
      <c r="KR48" s="464"/>
      <c r="KS48" s="465"/>
      <c r="KT48" s="466"/>
      <c r="KU48" s="466"/>
      <c r="KV48" s="466"/>
      <c r="KW48" s="466"/>
      <c r="KX48" s="466"/>
      <c r="KY48" s="466"/>
      <c r="KZ48" s="466"/>
      <c r="LA48" s="466"/>
      <c r="LB48" s="466"/>
      <c r="LC48" s="466"/>
      <c r="LD48" s="466"/>
      <c r="LE48" s="466"/>
      <c r="LF48" s="466"/>
      <c r="LG48" s="466"/>
      <c r="LH48" s="466"/>
      <c r="LI48" s="466"/>
      <c r="LJ48" s="466"/>
      <c r="LK48" s="466"/>
      <c r="LL48" s="466"/>
      <c r="LM48" s="466"/>
      <c r="LN48" s="466"/>
      <c r="LO48" s="466"/>
      <c r="LP48" s="466"/>
      <c r="LQ48" s="466"/>
      <c r="LR48" s="466"/>
      <c r="LS48" s="466"/>
      <c r="LT48" s="734"/>
      <c r="LU48" s="611"/>
      <c r="LV48" s="588"/>
      <c r="LW48" s="611"/>
      <c r="LX48" s="611"/>
      <c r="LY48" s="611"/>
      <c r="LZ48" s="611"/>
      <c r="MA48" s="611"/>
      <c r="MB48" s="611"/>
      <c r="MC48" s="611">
        <v>2.1669999999999998</v>
      </c>
      <c r="MD48" s="588"/>
      <c r="ME48" s="611"/>
      <c r="MF48" s="588"/>
      <c r="MG48" s="611"/>
      <c r="MH48" s="588">
        <v>2.1669999999999998</v>
      </c>
      <c r="MI48" s="611">
        <v>2.1669999999999998</v>
      </c>
      <c r="MJ48" s="588">
        <v>2.157</v>
      </c>
      <c r="MK48" s="611">
        <v>2.157</v>
      </c>
      <c r="ML48" s="611">
        <v>2.1669999999999998</v>
      </c>
      <c r="MM48" s="611">
        <v>2.1669999999999998</v>
      </c>
      <c r="MN48" s="611">
        <v>2.157</v>
      </c>
      <c r="MO48" s="611">
        <v>2.157</v>
      </c>
      <c r="MP48" s="611">
        <v>2.157</v>
      </c>
      <c r="MQ48" s="611">
        <v>2.157</v>
      </c>
      <c r="MR48" s="611">
        <v>2.1669999999999998</v>
      </c>
      <c r="MS48" s="611">
        <v>2.1669999999999998</v>
      </c>
      <c r="MT48" s="611">
        <v>2.157</v>
      </c>
      <c r="MU48" s="611">
        <v>2.157</v>
      </c>
      <c r="MV48" s="611"/>
      <c r="MW48" s="588"/>
      <c r="MX48" s="436"/>
      <c r="MY48" s="436"/>
      <c r="MZ48" s="436">
        <v>1.4</v>
      </c>
      <c r="NA48" s="436">
        <v>1.4</v>
      </c>
      <c r="NB48" s="436">
        <v>1.468</v>
      </c>
      <c r="NC48" s="436"/>
      <c r="ND48" s="436">
        <v>1.468</v>
      </c>
      <c r="NE48" s="436">
        <v>1.468</v>
      </c>
      <c r="NF48" s="436"/>
      <c r="NG48" s="436"/>
      <c r="NH48" s="436"/>
      <c r="NI48" s="436">
        <v>1.468</v>
      </c>
      <c r="NJ48" s="436">
        <v>1.468</v>
      </c>
      <c r="NK48" s="436">
        <v>1.2869999999999999</v>
      </c>
      <c r="NL48" s="436">
        <v>1.2869999999999999</v>
      </c>
      <c r="NM48" s="436">
        <v>1.2869999999999999</v>
      </c>
      <c r="NN48" s="436">
        <v>1.2889999999999999</v>
      </c>
      <c r="NO48" s="436">
        <v>3.2480000000000002</v>
      </c>
      <c r="NP48" s="436">
        <v>2.79</v>
      </c>
      <c r="NQ48" s="436">
        <v>2.79</v>
      </c>
      <c r="NR48" s="436">
        <v>2.79</v>
      </c>
      <c r="NS48" s="436">
        <v>3.2480000000000002</v>
      </c>
      <c r="NT48" s="436">
        <v>2.79</v>
      </c>
      <c r="NU48" s="436">
        <v>3.2480000000000002</v>
      </c>
      <c r="NV48" s="436">
        <v>2.7930000000000001</v>
      </c>
      <c r="NW48" s="436">
        <v>2.7930000000000001</v>
      </c>
      <c r="NX48" s="436"/>
      <c r="NY48" s="436">
        <v>1.2869999999999999</v>
      </c>
      <c r="NZ48" s="611">
        <v>1.2849999999999999</v>
      </c>
      <c r="OA48" s="635"/>
      <c r="OB48" s="638">
        <v>2.7063999999999999</v>
      </c>
      <c r="OC48" s="638">
        <v>2.7063999999999999</v>
      </c>
      <c r="OD48" s="638">
        <v>2.7063999999999999</v>
      </c>
      <c r="OE48" s="638">
        <v>2.2707000000000002</v>
      </c>
      <c r="OF48" s="638"/>
      <c r="OG48" s="638"/>
      <c r="OH48" s="638"/>
      <c r="OI48" s="638"/>
      <c r="OJ48" s="638"/>
      <c r="OK48" s="638"/>
      <c r="OL48" s="638"/>
      <c r="OM48" s="638"/>
      <c r="ON48" s="635"/>
      <c r="OO48" s="638"/>
      <c r="OP48" s="638"/>
      <c r="OQ48" s="638"/>
      <c r="OR48" s="638"/>
      <c r="OS48" s="638"/>
      <c r="OT48" s="638"/>
      <c r="OU48" s="638"/>
      <c r="OV48" s="638"/>
      <c r="OW48" s="638"/>
      <c r="OX48" s="638"/>
      <c r="OY48" s="638"/>
      <c r="OZ48" s="638"/>
      <c r="PA48" s="638"/>
      <c r="PB48" s="638"/>
      <c r="PC48" s="638"/>
      <c r="PD48" s="638"/>
      <c r="PE48" s="638"/>
      <c r="PF48" s="638"/>
      <c r="PG48" s="640"/>
      <c r="PH48" s="640"/>
      <c r="PI48" s="666"/>
      <c r="PJ48" s="666"/>
      <c r="PK48" s="666">
        <v>2.6</v>
      </c>
      <c r="PL48" s="420">
        <v>3.98</v>
      </c>
      <c r="PM48" s="420">
        <v>3.98</v>
      </c>
      <c r="PN48" s="420">
        <v>3.98</v>
      </c>
      <c r="PO48" s="550">
        <v>1.66</v>
      </c>
    </row>
    <row r="49" spans="1:431">
      <c r="A49" s="418" t="s">
        <v>1314</v>
      </c>
      <c r="B49" s="623" t="s">
        <v>1315</v>
      </c>
      <c r="C49" s="380" t="s">
        <v>438</v>
      </c>
      <c r="D49" s="380" t="s">
        <v>1307</v>
      </c>
      <c r="E49" s="380" t="s">
        <v>1316</v>
      </c>
      <c r="G49" s="494"/>
      <c r="H49" s="419">
        <v>30</v>
      </c>
      <c r="I49" s="419">
        <v>30</v>
      </c>
      <c r="J49" s="419">
        <v>30</v>
      </c>
      <c r="K49" s="419">
        <v>30</v>
      </c>
      <c r="L49" s="419">
        <v>30</v>
      </c>
      <c r="M49" s="419">
        <v>30</v>
      </c>
      <c r="N49" s="420"/>
      <c r="O49" s="420"/>
      <c r="P49" s="420"/>
      <c r="Q49" s="420"/>
      <c r="R49" s="420"/>
      <c r="S49" s="420"/>
      <c r="T49" s="420"/>
      <c r="U49" s="420"/>
      <c r="V49" s="420"/>
      <c r="W49" s="420"/>
      <c r="X49" s="420"/>
      <c r="Y49" s="420"/>
      <c r="Z49" s="420"/>
      <c r="AA49" s="420"/>
      <c r="AB49" s="420"/>
      <c r="AC49" s="420"/>
      <c r="AD49" s="420"/>
      <c r="AE49" s="420"/>
      <c r="AF49" s="420"/>
      <c r="AG49" s="420"/>
      <c r="AH49" s="420"/>
      <c r="AI49" s="420"/>
      <c r="AJ49" s="420"/>
      <c r="AK49" s="420"/>
      <c r="AL49" s="420"/>
      <c r="AM49" s="420"/>
      <c r="AN49" s="420"/>
      <c r="AO49" s="420"/>
      <c r="AP49" s="420"/>
      <c r="AQ49" s="420"/>
      <c r="AR49" s="420"/>
      <c r="AS49" s="420"/>
      <c r="AT49" s="420">
        <v>30.63</v>
      </c>
      <c r="AU49" s="420">
        <v>30.63</v>
      </c>
      <c r="AV49" s="420">
        <v>30.63</v>
      </c>
      <c r="AW49" s="420">
        <v>30.63</v>
      </c>
      <c r="AX49" s="420">
        <v>30.63</v>
      </c>
      <c r="AY49" s="420">
        <v>30.63</v>
      </c>
      <c r="AZ49" s="420">
        <v>30.63</v>
      </c>
      <c r="BA49" s="420">
        <v>30.63</v>
      </c>
      <c r="BB49" s="420">
        <v>30.63</v>
      </c>
      <c r="BC49" s="420">
        <v>30.63</v>
      </c>
      <c r="BD49" s="420">
        <v>27</v>
      </c>
      <c r="BE49" s="420">
        <v>27</v>
      </c>
      <c r="BF49" s="420">
        <v>27</v>
      </c>
      <c r="BG49" s="420">
        <v>27</v>
      </c>
      <c r="BH49" s="420">
        <v>27</v>
      </c>
      <c r="BI49" s="420">
        <v>27</v>
      </c>
      <c r="BJ49" s="420">
        <v>27</v>
      </c>
      <c r="BK49" s="420">
        <v>27</v>
      </c>
      <c r="BL49" s="420">
        <v>27</v>
      </c>
      <c r="BM49" s="420">
        <v>27</v>
      </c>
      <c r="BN49" s="420">
        <v>27</v>
      </c>
      <c r="BO49" s="420">
        <v>27</v>
      </c>
      <c r="BP49" s="420">
        <v>27</v>
      </c>
      <c r="BQ49" s="420">
        <v>27</v>
      </c>
      <c r="BR49" s="420">
        <v>27</v>
      </c>
      <c r="BS49" s="420">
        <v>27</v>
      </c>
      <c r="BT49" s="420">
        <v>27</v>
      </c>
      <c r="BU49" s="420">
        <v>27</v>
      </c>
      <c r="BV49" s="420">
        <v>27</v>
      </c>
      <c r="BW49" s="420">
        <v>27</v>
      </c>
      <c r="BX49" s="420">
        <v>27</v>
      </c>
      <c r="BY49" s="420">
        <v>27</v>
      </c>
      <c r="BZ49" s="420">
        <v>27</v>
      </c>
      <c r="CA49" s="420">
        <v>27</v>
      </c>
      <c r="CB49" s="420">
        <v>27</v>
      </c>
      <c r="CC49" s="858">
        <v>27</v>
      </c>
      <c r="CD49" s="420">
        <v>27</v>
      </c>
      <c r="CE49" s="420">
        <v>27</v>
      </c>
      <c r="CF49" s="420">
        <v>27</v>
      </c>
      <c r="CG49" s="420">
        <v>27</v>
      </c>
      <c r="CH49" s="420">
        <v>27</v>
      </c>
      <c r="CI49" s="420">
        <v>27</v>
      </c>
      <c r="CJ49" s="420">
        <v>27</v>
      </c>
      <c r="CK49" s="420">
        <v>27</v>
      </c>
      <c r="CL49" s="420">
        <v>27</v>
      </c>
      <c r="CM49" s="420">
        <v>27</v>
      </c>
      <c r="CN49" s="420">
        <v>27</v>
      </c>
      <c r="CO49" s="420">
        <v>27</v>
      </c>
      <c r="CP49" s="420">
        <v>27</v>
      </c>
      <c r="CQ49" s="420">
        <v>27</v>
      </c>
      <c r="CR49" s="420">
        <v>27</v>
      </c>
      <c r="CS49" s="420">
        <v>27</v>
      </c>
      <c r="CT49" s="420">
        <v>27</v>
      </c>
      <c r="CU49" s="420">
        <v>27</v>
      </c>
      <c r="CV49" s="420">
        <v>27</v>
      </c>
      <c r="CW49" s="420">
        <v>27</v>
      </c>
      <c r="CX49" s="420">
        <v>27</v>
      </c>
      <c r="CY49" s="420">
        <v>27</v>
      </c>
      <c r="CZ49" s="420">
        <v>32</v>
      </c>
      <c r="DA49" s="420">
        <v>32</v>
      </c>
      <c r="DB49" s="420">
        <v>32</v>
      </c>
      <c r="DC49" s="420">
        <v>32</v>
      </c>
      <c r="DD49" s="420">
        <v>32</v>
      </c>
      <c r="DE49" s="420">
        <v>32</v>
      </c>
      <c r="DF49" s="420">
        <v>32</v>
      </c>
      <c r="DG49" s="420">
        <v>32</v>
      </c>
      <c r="DH49" s="420">
        <v>32</v>
      </c>
      <c r="DI49" s="420">
        <v>32</v>
      </c>
      <c r="DJ49" s="420">
        <v>32</v>
      </c>
      <c r="DK49" s="420">
        <v>32</v>
      </c>
      <c r="DL49" s="420">
        <v>32</v>
      </c>
      <c r="DM49" s="420">
        <v>32</v>
      </c>
      <c r="DN49" s="420">
        <v>32</v>
      </c>
      <c r="DO49" s="420">
        <v>32</v>
      </c>
      <c r="DP49" s="420"/>
      <c r="DQ49" s="420"/>
      <c r="DR49" s="420"/>
      <c r="DS49" s="499"/>
      <c r="DT49" s="421"/>
      <c r="DU49" s="422"/>
      <c r="DV49" s="422"/>
      <c r="DW49" s="422"/>
      <c r="DX49" s="422"/>
      <c r="DY49" s="422"/>
      <c r="DZ49" s="596"/>
      <c r="EA49" s="422"/>
      <c r="EB49" s="422"/>
      <c r="EC49" s="596"/>
      <c r="ED49" s="422"/>
      <c r="EE49" s="422"/>
      <c r="EF49" s="422"/>
      <c r="EG49" s="422"/>
      <c r="EH49" s="422"/>
      <c r="EI49" s="422"/>
      <c r="EJ49" s="422"/>
      <c r="EK49" s="422"/>
      <c r="EL49" s="596"/>
      <c r="EM49" s="422"/>
      <c r="EN49" s="422">
        <v>36</v>
      </c>
      <c r="EO49" s="422">
        <v>36</v>
      </c>
      <c r="EP49" s="422">
        <v>36</v>
      </c>
      <c r="EQ49" s="422">
        <v>36</v>
      </c>
      <c r="ER49" s="422">
        <v>36</v>
      </c>
      <c r="ES49" s="422">
        <v>35</v>
      </c>
      <c r="ET49" s="422">
        <v>35</v>
      </c>
      <c r="EU49" s="422">
        <v>35</v>
      </c>
      <c r="EV49" s="422"/>
      <c r="EW49" s="422">
        <v>36</v>
      </c>
      <c r="EX49" s="422">
        <v>35</v>
      </c>
      <c r="EY49" s="422">
        <v>35</v>
      </c>
      <c r="EZ49" s="422">
        <v>35</v>
      </c>
      <c r="FA49" s="422">
        <v>35</v>
      </c>
      <c r="FB49" s="422">
        <v>35</v>
      </c>
      <c r="FC49" s="422">
        <v>36</v>
      </c>
      <c r="FD49" s="422"/>
      <c r="FE49" s="596"/>
      <c r="FF49" s="422">
        <v>42</v>
      </c>
      <c r="FG49" s="422">
        <v>42</v>
      </c>
      <c r="FH49" s="422">
        <v>42</v>
      </c>
      <c r="FI49" s="422">
        <v>42</v>
      </c>
      <c r="FJ49" s="422">
        <v>42</v>
      </c>
      <c r="FK49" s="422">
        <v>42</v>
      </c>
      <c r="FL49" s="422">
        <v>42</v>
      </c>
      <c r="FM49" s="422">
        <v>42</v>
      </c>
      <c r="FN49" s="422">
        <v>42</v>
      </c>
      <c r="FO49" s="422">
        <v>42</v>
      </c>
      <c r="FP49" s="422">
        <v>42</v>
      </c>
      <c r="FQ49" s="422">
        <v>42</v>
      </c>
      <c r="FR49" s="422">
        <v>42</v>
      </c>
      <c r="FS49" s="422">
        <v>42</v>
      </c>
      <c r="FT49" s="422">
        <v>42</v>
      </c>
      <c r="FU49" s="422">
        <v>42</v>
      </c>
      <c r="FV49" s="422">
        <v>42</v>
      </c>
      <c r="FW49" s="422">
        <v>42</v>
      </c>
      <c r="FX49" s="422">
        <v>42</v>
      </c>
      <c r="FY49" s="422">
        <v>42</v>
      </c>
      <c r="FZ49" s="422">
        <v>42</v>
      </c>
      <c r="GA49" s="422">
        <v>42</v>
      </c>
      <c r="GB49" s="422">
        <v>42</v>
      </c>
      <c r="GC49" s="422">
        <v>42</v>
      </c>
      <c r="GD49" s="422">
        <v>42</v>
      </c>
      <c r="GE49" s="422">
        <v>42</v>
      </c>
      <c r="GF49" s="422">
        <v>42</v>
      </c>
      <c r="GG49" s="422">
        <v>42</v>
      </c>
      <c r="GH49" s="422"/>
      <c r="GI49" s="422"/>
      <c r="GJ49" s="422"/>
      <c r="GK49" s="422"/>
      <c r="GL49" s="422"/>
      <c r="GM49" s="422"/>
      <c r="GN49" s="422"/>
      <c r="GO49" s="422"/>
      <c r="GP49" s="422"/>
      <c r="GQ49" s="422"/>
      <c r="GR49" s="422"/>
      <c r="GS49" s="422"/>
      <c r="GT49" s="422"/>
      <c r="GU49" s="422"/>
      <c r="GV49" s="422"/>
      <c r="GW49" s="422"/>
      <c r="GX49" s="422"/>
      <c r="GY49" s="422"/>
      <c r="GZ49" s="422"/>
      <c r="HA49" s="422"/>
      <c r="HB49" s="422"/>
      <c r="HC49" s="422"/>
      <c r="HD49" s="596"/>
      <c r="HE49" s="422"/>
      <c r="HF49" s="422"/>
      <c r="HG49" s="422"/>
      <c r="HH49" s="422"/>
      <c r="HI49" s="422"/>
      <c r="HJ49" s="596"/>
      <c r="HK49" s="422"/>
      <c r="HL49" s="422"/>
      <c r="HM49" s="422"/>
      <c r="HN49" s="422"/>
      <c r="HO49" s="422"/>
      <c r="HP49" s="422"/>
      <c r="HQ49" s="422"/>
      <c r="HR49" s="422"/>
      <c r="HS49" s="422"/>
      <c r="HT49" s="422"/>
      <c r="HU49" s="422"/>
      <c r="HV49" s="422"/>
      <c r="HW49" s="596"/>
      <c r="HX49" s="422"/>
      <c r="HY49" s="422"/>
      <c r="HZ49" s="422"/>
      <c r="IA49" s="422"/>
      <c r="IB49" s="422"/>
      <c r="IC49" s="422"/>
      <c r="ID49" s="422"/>
      <c r="IE49" s="422"/>
      <c r="IF49" s="422"/>
      <c r="IG49" s="422"/>
      <c r="IH49" s="422"/>
      <c r="II49" s="422"/>
      <c r="IJ49" s="596"/>
      <c r="IK49" s="422"/>
      <c r="IL49" s="422"/>
      <c r="IM49" s="422"/>
      <c r="IN49" s="423"/>
      <c r="IO49" s="424"/>
      <c r="IP49" s="617"/>
      <c r="IQ49" s="425"/>
      <c r="IR49" s="425"/>
      <c r="IS49" s="425"/>
      <c r="IT49" s="425"/>
      <c r="IU49" s="425"/>
      <c r="IV49" s="425"/>
      <c r="IW49" s="425"/>
      <c r="IX49" s="425"/>
      <c r="IY49" s="425"/>
      <c r="IZ49" s="425"/>
      <c r="JA49" s="425"/>
      <c r="JB49" s="425"/>
      <c r="JC49" s="425"/>
      <c r="JD49" s="425"/>
      <c r="JE49" s="425"/>
      <c r="JF49" s="425"/>
      <c r="JG49" s="425"/>
      <c r="JH49" s="425"/>
      <c r="JI49" s="425"/>
      <c r="JJ49" s="426"/>
      <c r="JK49" s="427"/>
      <c r="JL49" s="428"/>
      <c r="JM49" s="428"/>
      <c r="JN49" s="428"/>
      <c r="JO49" s="428"/>
      <c r="JP49" s="428"/>
      <c r="JQ49" s="428"/>
      <c r="JR49" s="428"/>
      <c r="JS49" s="428"/>
      <c r="JT49" s="428"/>
      <c r="JU49" s="428"/>
      <c r="JV49" s="428"/>
      <c r="JW49" s="428"/>
      <c r="JX49" s="428"/>
      <c r="JY49" s="428"/>
      <c r="JZ49" s="428"/>
      <c r="KA49" s="428"/>
      <c r="KB49" s="428"/>
      <c r="KC49" s="428"/>
      <c r="KD49" s="428"/>
      <c r="KE49" s="428"/>
      <c r="KF49" s="428"/>
      <c r="KG49" s="428"/>
      <c r="KH49" s="428"/>
      <c r="KI49" s="428"/>
      <c r="KJ49" s="429"/>
      <c r="KK49" s="430"/>
      <c r="KL49" s="545"/>
      <c r="KM49" s="431"/>
      <c r="KN49" s="431"/>
      <c r="KO49" s="431"/>
      <c r="KP49" s="431"/>
      <c r="KQ49" s="463"/>
      <c r="KR49" s="464"/>
      <c r="KS49" s="465"/>
      <c r="KT49" s="466"/>
      <c r="KU49" s="466"/>
      <c r="KV49" s="466"/>
      <c r="KW49" s="466"/>
      <c r="KX49" s="466"/>
      <c r="KY49" s="466"/>
      <c r="KZ49" s="466"/>
      <c r="LA49" s="466"/>
      <c r="LB49" s="466"/>
      <c r="LC49" s="466"/>
      <c r="LD49" s="466"/>
      <c r="LE49" s="466"/>
      <c r="LF49" s="466"/>
      <c r="LG49" s="466"/>
      <c r="LH49" s="466"/>
      <c r="LI49" s="466"/>
      <c r="LJ49" s="466"/>
      <c r="LK49" s="466"/>
      <c r="LL49" s="466"/>
      <c r="LM49" s="466"/>
      <c r="LN49" s="466"/>
      <c r="LO49" s="466"/>
      <c r="LP49" s="466"/>
      <c r="LQ49" s="466"/>
      <c r="LR49" s="466"/>
      <c r="LS49" s="466"/>
      <c r="LT49" s="734"/>
      <c r="LU49" s="611"/>
      <c r="LV49" s="588"/>
      <c r="LW49" s="611"/>
      <c r="LX49" s="611"/>
      <c r="LY49" s="611"/>
      <c r="LZ49" s="611"/>
      <c r="MA49" s="611"/>
      <c r="MB49" s="611"/>
      <c r="MC49" s="611">
        <v>34</v>
      </c>
      <c r="MD49" s="588"/>
      <c r="ME49" s="611"/>
      <c r="MF49" s="588"/>
      <c r="MG49" s="611"/>
      <c r="MH49" s="588">
        <v>34</v>
      </c>
      <c r="MI49" s="611">
        <v>34</v>
      </c>
      <c r="MJ49" s="588">
        <v>34</v>
      </c>
      <c r="MK49" s="611">
        <v>34</v>
      </c>
      <c r="ML49" s="611">
        <v>34</v>
      </c>
      <c r="MM49" s="611">
        <v>34</v>
      </c>
      <c r="MN49" s="611">
        <v>34</v>
      </c>
      <c r="MO49" s="611">
        <v>34</v>
      </c>
      <c r="MP49" s="611">
        <v>34</v>
      </c>
      <c r="MQ49" s="611">
        <v>34</v>
      </c>
      <c r="MR49" s="611">
        <v>34</v>
      </c>
      <c r="MS49" s="611">
        <v>34</v>
      </c>
      <c r="MT49" s="611">
        <v>34</v>
      </c>
      <c r="MU49" s="611">
        <v>34</v>
      </c>
      <c r="MV49" s="611"/>
      <c r="MW49" s="588"/>
      <c r="MX49" s="436"/>
      <c r="MY49" s="436"/>
      <c r="MZ49" s="436">
        <v>28</v>
      </c>
      <c r="NA49" s="436">
        <v>28</v>
      </c>
      <c r="NB49" s="436">
        <v>28</v>
      </c>
      <c r="NC49" s="436"/>
      <c r="ND49" s="436">
        <v>28</v>
      </c>
      <c r="NE49" s="436">
        <v>28</v>
      </c>
      <c r="NF49" s="436"/>
      <c r="NG49" s="436"/>
      <c r="NH49" s="436"/>
      <c r="NI49" s="436">
        <v>28</v>
      </c>
      <c r="NJ49" s="436">
        <v>28</v>
      </c>
      <c r="NK49" s="436">
        <v>28</v>
      </c>
      <c r="NL49" s="436">
        <v>28</v>
      </c>
      <c r="NM49" s="436">
        <v>28</v>
      </c>
      <c r="NN49" s="436">
        <v>28</v>
      </c>
      <c r="NO49" s="436">
        <v>38</v>
      </c>
      <c r="NP49" s="436">
        <v>38</v>
      </c>
      <c r="NQ49" s="436">
        <v>38</v>
      </c>
      <c r="NR49" s="436">
        <v>38</v>
      </c>
      <c r="NS49" s="436">
        <v>38</v>
      </c>
      <c r="NT49" s="436">
        <v>38</v>
      </c>
      <c r="NU49" s="436">
        <v>38</v>
      </c>
      <c r="NV49" s="436">
        <v>38</v>
      </c>
      <c r="NW49" s="436">
        <v>38</v>
      </c>
      <c r="NX49" s="436"/>
      <c r="NY49" s="436">
        <v>28</v>
      </c>
      <c r="NZ49" s="611">
        <v>28</v>
      </c>
      <c r="OA49" s="635"/>
      <c r="OB49" s="638">
        <v>37</v>
      </c>
      <c r="OC49" s="638">
        <v>37</v>
      </c>
      <c r="OD49" s="638">
        <v>37</v>
      </c>
      <c r="OE49" s="638">
        <v>38</v>
      </c>
      <c r="OF49" s="638"/>
      <c r="OG49" s="638"/>
      <c r="OH49" s="638"/>
      <c r="OI49" s="638"/>
      <c r="OJ49" s="638"/>
      <c r="OK49" s="638"/>
      <c r="OL49" s="638"/>
      <c r="OM49" s="638"/>
      <c r="ON49" s="635"/>
      <c r="OO49" s="638">
        <v>25</v>
      </c>
      <c r="OP49" s="638">
        <v>25</v>
      </c>
      <c r="OQ49" s="638"/>
      <c r="OR49" s="638"/>
      <c r="OS49" s="638"/>
      <c r="OT49" s="638"/>
      <c r="OU49" s="638"/>
      <c r="OV49" s="638"/>
      <c r="OW49" s="638"/>
      <c r="OX49" s="638"/>
      <c r="OY49" s="638"/>
      <c r="OZ49" s="638"/>
      <c r="PA49" s="638"/>
      <c r="PB49" s="638"/>
      <c r="PC49" s="638"/>
      <c r="PD49" s="638"/>
      <c r="PE49" s="638"/>
      <c r="PF49" s="638"/>
      <c r="PG49" s="640"/>
      <c r="PH49" s="640"/>
      <c r="PI49" s="666"/>
      <c r="PJ49" s="666"/>
      <c r="PK49" s="666">
        <v>32</v>
      </c>
      <c r="PL49" s="420">
        <v>33.5</v>
      </c>
      <c r="PM49" s="420">
        <v>33.5</v>
      </c>
      <c r="PN49" s="420">
        <v>33.5</v>
      </c>
      <c r="PO49" s="550">
        <v>36</v>
      </c>
    </row>
    <row r="50" spans="1:431">
      <c r="A50" s="418" t="s">
        <v>1317</v>
      </c>
      <c r="B50" s="623" t="s">
        <v>1254</v>
      </c>
      <c r="C50" s="380" t="s">
        <v>438</v>
      </c>
      <c r="D50" s="380" t="s">
        <v>1307</v>
      </c>
      <c r="E50" s="380" t="s">
        <v>1317</v>
      </c>
      <c r="G50" s="494"/>
      <c r="H50" s="419">
        <v>10.5</v>
      </c>
      <c r="I50" s="419">
        <v>10.5</v>
      </c>
      <c r="J50" s="419">
        <v>10.5</v>
      </c>
      <c r="K50" s="419">
        <v>10.5</v>
      </c>
      <c r="L50" s="419">
        <v>10.5</v>
      </c>
      <c r="M50" s="419">
        <v>10.5</v>
      </c>
      <c r="N50" s="420">
        <v>12.18</v>
      </c>
      <c r="O50" s="420">
        <v>12.18</v>
      </c>
      <c r="P50" s="420">
        <v>12.18</v>
      </c>
      <c r="Q50" s="420">
        <v>12.18</v>
      </c>
      <c r="R50" s="420">
        <v>7.86</v>
      </c>
      <c r="S50" s="420">
        <v>7.86</v>
      </c>
      <c r="T50" s="420"/>
      <c r="U50" s="420"/>
      <c r="V50" s="420"/>
      <c r="W50" s="420"/>
      <c r="X50" s="420"/>
      <c r="Y50" s="420"/>
      <c r="Z50" s="420"/>
      <c r="AA50" s="420"/>
      <c r="AB50" s="420"/>
      <c r="AC50" s="420"/>
      <c r="AD50" s="420"/>
      <c r="AE50" s="420"/>
      <c r="AF50" s="420"/>
      <c r="AG50" s="420"/>
      <c r="AH50" s="420"/>
      <c r="AI50" s="420"/>
      <c r="AJ50" s="420"/>
      <c r="AK50" s="420"/>
      <c r="AL50" s="420"/>
      <c r="AM50" s="420"/>
      <c r="AN50" s="420"/>
      <c r="AO50" s="420"/>
      <c r="AP50" s="420"/>
      <c r="AQ50" s="420"/>
      <c r="AR50" s="420"/>
      <c r="AS50" s="420"/>
      <c r="AT50" s="420">
        <v>8.5399999999999991</v>
      </c>
      <c r="AU50" s="420">
        <v>8.5399999999999991</v>
      </c>
      <c r="AV50" s="420">
        <v>8.5399999999999991</v>
      </c>
      <c r="AW50" s="420">
        <v>8.5399999999999991</v>
      </c>
      <c r="AX50" s="420">
        <v>8.5399999999999991</v>
      </c>
      <c r="AY50" s="420">
        <v>8.5399999999999991</v>
      </c>
      <c r="AZ50" s="420">
        <v>8.5399999999999991</v>
      </c>
      <c r="BA50" s="420">
        <v>8.5399999999999991</v>
      </c>
      <c r="BB50" s="420">
        <v>8.5399999999999991</v>
      </c>
      <c r="BC50" s="420">
        <v>8.5399999999999991</v>
      </c>
      <c r="BD50" s="420">
        <v>7.0279999999999996</v>
      </c>
      <c r="BE50" s="420">
        <v>7.0279999999999996</v>
      </c>
      <c r="BF50" s="420">
        <v>7.0279999999999996</v>
      </c>
      <c r="BG50" s="420">
        <v>7.0279999999999996</v>
      </c>
      <c r="BH50" s="420">
        <v>7.04</v>
      </c>
      <c r="BI50" s="420">
        <v>7.04</v>
      </c>
      <c r="BJ50" s="420">
        <v>7.04</v>
      </c>
      <c r="BK50" s="420">
        <v>7.04</v>
      </c>
      <c r="BL50" s="420">
        <v>7.04</v>
      </c>
      <c r="BM50" s="420">
        <v>7.04</v>
      </c>
      <c r="BN50" s="420">
        <v>7.04</v>
      </c>
      <c r="BO50" s="420">
        <v>7.04</v>
      </c>
      <c r="BP50" s="420">
        <v>7.04</v>
      </c>
      <c r="BQ50" s="420">
        <v>7.04</v>
      </c>
      <c r="BR50" s="420">
        <v>7.04</v>
      </c>
      <c r="BS50" s="420">
        <v>7.04</v>
      </c>
      <c r="BT50" s="420">
        <v>7.04</v>
      </c>
      <c r="BU50" s="420">
        <v>7.04</v>
      </c>
      <c r="BV50" s="420">
        <v>7.04</v>
      </c>
      <c r="BW50" s="420">
        <v>7.04</v>
      </c>
      <c r="BX50" s="420">
        <v>7.04</v>
      </c>
      <c r="BY50" s="420">
        <v>7.04</v>
      </c>
      <c r="BZ50" s="420">
        <v>7.04</v>
      </c>
      <c r="CA50" s="420">
        <v>7.04</v>
      </c>
      <c r="CB50" s="420">
        <v>7.0190000000000001</v>
      </c>
      <c r="CC50" s="858">
        <v>7.0190000000000001</v>
      </c>
      <c r="CD50" s="420">
        <v>7.0190000000000001</v>
      </c>
      <c r="CE50" s="420">
        <v>7.0190000000000001</v>
      </c>
      <c r="CF50" s="420">
        <v>7.0190000000000001</v>
      </c>
      <c r="CG50" s="420">
        <v>7.0190000000000001</v>
      </c>
      <c r="CH50" s="420">
        <v>7.2039999999999997</v>
      </c>
      <c r="CI50" s="420">
        <v>7.2039999999999997</v>
      </c>
      <c r="CJ50" s="420">
        <v>7.2039999999999997</v>
      </c>
      <c r="CK50" s="420">
        <v>7.2039999999999997</v>
      </c>
      <c r="CL50" s="420">
        <v>7.2039999999999997</v>
      </c>
      <c r="CM50" s="420">
        <v>7.2039999999999997</v>
      </c>
      <c r="CN50" s="420">
        <v>7.2039999999999997</v>
      </c>
      <c r="CO50" s="420">
        <v>7.2039999999999997</v>
      </c>
      <c r="CP50" s="420">
        <v>7.24</v>
      </c>
      <c r="CQ50" s="420">
        <v>7.24</v>
      </c>
      <c r="CR50" s="420">
        <v>7.24</v>
      </c>
      <c r="CS50" s="420">
        <v>7.24</v>
      </c>
      <c r="CT50" s="420">
        <v>7.24</v>
      </c>
      <c r="CU50" s="420">
        <v>7.24</v>
      </c>
      <c r="CV50" s="420">
        <v>7.24</v>
      </c>
      <c r="CW50" s="420">
        <v>7.24</v>
      </c>
      <c r="CX50" s="420">
        <v>7.24</v>
      </c>
      <c r="CY50" s="420">
        <v>7.24</v>
      </c>
      <c r="CZ50" s="420">
        <v>11.52</v>
      </c>
      <c r="DA50" s="420">
        <v>11.52</v>
      </c>
      <c r="DB50" s="420">
        <v>11.52</v>
      </c>
      <c r="DC50" s="420">
        <v>11.52</v>
      </c>
      <c r="DD50" s="420">
        <v>11.52</v>
      </c>
      <c r="DE50" s="420">
        <v>11.59</v>
      </c>
      <c r="DF50" s="420">
        <v>11.59</v>
      </c>
      <c r="DG50" s="420">
        <v>11.519</v>
      </c>
      <c r="DH50" s="420">
        <v>11.519</v>
      </c>
      <c r="DI50" s="420">
        <v>11.519</v>
      </c>
      <c r="DJ50" s="420">
        <v>11.519</v>
      </c>
      <c r="DK50" s="420">
        <v>11.519</v>
      </c>
      <c r="DL50" s="420">
        <v>11.519</v>
      </c>
      <c r="DM50" s="420">
        <v>11.519</v>
      </c>
      <c r="DN50" s="420">
        <v>11.519</v>
      </c>
      <c r="DO50" s="420">
        <v>11.519</v>
      </c>
      <c r="DP50" s="420"/>
      <c r="DQ50" s="420"/>
      <c r="DR50" s="420"/>
      <c r="DS50" s="499"/>
      <c r="DT50" s="421"/>
      <c r="DU50" s="422"/>
      <c r="DV50" s="422"/>
      <c r="DW50" s="422"/>
      <c r="DX50" s="422"/>
      <c r="DY50" s="422"/>
      <c r="DZ50" s="596"/>
      <c r="EA50" s="422"/>
      <c r="EB50" s="422"/>
      <c r="EC50" s="596"/>
      <c r="ED50" s="422"/>
      <c r="EE50" s="422"/>
      <c r="EF50" s="422"/>
      <c r="EG50" s="422"/>
      <c r="EH50" s="422"/>
      <c r="EI50" s="422"/>
      <c r="EJ50" s="422"/>
      <c r="EK50" s="422"/>
      <c r="EL50" s="596"/>
      <c r="EM50" s="422"/>
      <c r="EN50" s="422">
        <v>5.95</v>
      </c>
      <c r="EO50" s="422">
        <v>5.95</v>
      </c>
      <c r="EP50" s="422">
        <v>5.8</v>
      </c>
      <c r="EQ50" s="422">
        <v>5.95</v>
      </c>
      <c r="ER50" s="422">
        <v>5.95</v>
      </c>
      <c r="ES50" s="422">
        <v>6.16</v>
      </c>
      <c r="ET50" s="422">
        <v>6.4</v>
      </c>
      <c r="EU50" s="422">
        <v>6.4</v>
      </c>
      <c r="EV50" s="422"/>
      <c r="EW50" s="422">
        <v>6.8</v>
      </c>
      <c r="EX50" s="422">
        <v>6.4</v>
      </c>
      <c r="EY50" s="422">
        <v>6.4</v>
      </c>
      <c r="EZ50" s="422">
        <v>6.4</v>
      </c>
      <c r="FA50" s="422">
        <v>6.4</v>
      </c>
      <c r="FB50" s="422">
        <v>6.4</v>
      </c>
      <c r="FC50" s="422">
        <v>6.8</v>
      </c>
      <c r="FD50" s="422"/>
      <c r="FE50" s="596"/>
      <c r="FF50" s="422">
        <v>14.99</v>
      </c>
      <c r="FG50" s="422">
        <v>14.99</v>
      </c>
      <c r="FH50" s="422">
        <v>14.99</v>
      </c>
      <c r="FI50" s="422">
        <v>14.99</v>
      </c>
      <c r="FJ50" s="422">
        <v>14.99</v>
      </c>
      <c r="FK50" s="422">
        <v>14.99</v>
      </c>
      <c r="FL50" s="422">
        <v>14.99</v>
      </c>
      <c r="FM50" s="422">
        <v>14.99</v>
      </c>
      <c r="FN50" s="422">
        <v>14.99</v>
      </c>
      <c r="FO50" s="422">
        <v>14.99</v>
      </c>
      <c r="FP50" s="422">
        <v>14.99</v>
      </c>
      <c r="FQ50" s="422">
        <v>14.99</v>
      </c>
      <c r="FR50" s="422">
        <v>14.99</v>
      </c>
      <c r="FS50" s="422">
        <v>14.99</v>
      </c>
      <c r="FT50" s="422">
        <v>14.99</v>
      </c>
      <c r="FU50" s="422">
        <v>14.99</v>
      </c>
      <c r="FV50" s="422">
        <v>14.99</v>
      </c>
      <c r="FW50" s="422">
        <v>14.99</v>
      </c>
      <c r="FX50" s="422">
        <v>14.99</v>
      </c>
      <c r="FY50" s="422">
        <v>14.99</v>
      </c>
      <c r="FZ50" s="422">
        <v>14.99</v>
      </c>
      <c r="GA50" s="422">
        <v>14.99</v>
      </c>
      <c r="GB50" s="422">
        <v>14.99</v>
      </c>
      <c r="GC50" s="422">
        <v>14.99</v>
      </c>
      <c r="GD50" s="422">
        <v>14.99</v>
      </c>
      <c r="GE50" s="422">
        <v>14.99</v>
      </c>
      <c r="GF50" s="422">
        <v>14.99</v>
      </c>
      <c r="GG50" s="422">
        <v>14.99</v>
      </c>
      <c r="GH50" s="422"/>
      <c r="GI50" s="422"/>
      <c r="GJ50" s="422"/>
      <c r="GK50" s="422"/>
      <c r="GL50" s="422"/>
      <c r="GM50" s="422"/>
      <c r="GN50" s="422"/>
      <c r="GO50" s="422"/>
      <c r="GP50" s="422"/>
      <c r="GQ50" s="422"/>
      <c r="GR50" s="422"/>
      <c r="GS50" s="422"/>
      <c r="GT50" s="422"/>
      <c r="GU50" s="422"/>
      <c r="GV50" s="422"/>
      <c r="GW50" s="422"/>
      <c r="GX50" s="422"/>
      <c r="GY50" s="422"/>
      <c r="GZ50" s="422"/>
      <c r="HA50" s="422"/>
      <c r="HB50" s="422"/>
      <c r="HC50" s="422"/>
      <c r="HD50" s="596"/>
      <c r="HE50" s="422"/>
      <c r="HF50" s="422"/>
      <c r="HG50" s="422"/>
      <c r="HH50" s="422"/>
      <c r="HI50" s="422"/>
      <c r="HJ50" s="596"/>
      <c r="HK50" s="422"/>
      <c r="HL50" s="422"/>
      <c r="HM50" s="422"/>
      <c r="HN50" s="422"/>
      <c r="HO50" s="422"/>
      <c r="HP50" s="422"/>
      <c r="HQ50" s="422"/>
      <c r="HR50" s="422"/>
      <c r="HS50" s="422"/>
      <c r="HT50" s="422"/>
      <c r="HU50" s="422"/>
      <c r="HV50" s="422"/>
      <c r="HW50" s="596"/>
      <c r="HX50" s="422"/>
      <c r="HY50" s="422"/>
      <c r="HZ50" s="422"/>
      <c r="IA50" s="422"/>
      <c r="IB50" s="422"/>
      <c r="IC50" s="422"/>
      <c r="ID50" s="422"/>
      <c r="IE50" s="422"/>
      <c r="IF50" s="422"/>
      <c r="IG50" s="422"/>
      <c r="IH50" s="422"/>
      <c r="II50" s="422"/>
      <c r="IJ50" s="596"/>
      <c r="IK50" s="422"/>
      <c r="IL50" s="422"/>
      <c r="IM50" s="422"/>
      <c r="IN50" s="423"/>
      <c r="IO50" s="424"/>
      <c r="IP50" s="617"/>
      <c r="IQ50" s="425"/>
      <c r="IR50" s="425"/>
      <c r="IS50" s="425"/>
      <c r="IT50" s="425"/>
      <c r="IU50" s="425"/>
      <c r="IV50" s="425"/>
      <c r="IW50" s="425"/>
      <c r="IX50" s="425"/>
      <c r="IY50" s="425"/>
      <c r="IZ50" s="425"/>
      <c r="JA50" s="425"/>
      <c r="JB50" s="425"/>
      <c r="JC50" s="425"/>
      <c r="JD50" s="425"/>
      <c r="JE50" s="425"/>
      <c r="JF50" s="425"/>
      <c r="JG50" s="425"/>
      <c r="JH50" s="425"/>
      <c r="JI50" s="425"/>
      <c r="JJ50" s="426"/>
      <c r="JK50" s="427"/>
      <c r="JL50" s="428"/>
      <c r="JM50" s="428"/>
      <c r="JN50" s="428"/>
      <c r="JO50" s="428"/>
      <c r="JP50" s="428"/>
      <c r="JQ50" s="428"/>
      <c r="JR50" s="428"/>
      <c r="JS50" s="428"/>
      <c r="JT50" s="428"/>
      <c r="JU50" s="428"/>
      <c r="JV50" s="428"/>
      <c r="JW50" s="428"/>
      <c r="JX50" s="428"/>
      <c r="JY50" s="428"/>
      <c r="JZ50" s="428"/>
      <c r="KA50" s="428"/>
      <c r="KB50" s="428"/>
      <c r="KC50" s="428"/>
      <c r="KD50" s="428"/>
      <c r="KE50" s="428"/>
      <c r="KF50" s="428"/>
      <c r="KG50" s="428"/>
      <c r="KH50" s="428"/>
      <c r="KI50" s="428"/>
      <c r="KJ50" s="429"/>
      <c r="KK50" s="430"/>
      <c r="KL50" s="545"/>
      <c r="KM50" s="431"/>
      <c r="KN50" s="431"/>
      <c r="KO50" s="431"/>
      <c r="KP50" s="431"/>
      <c r="KQ50" s="463"/>
      <c r="KR50" s="464"/>
      <c r="KS50" s="465"/>
      <c r="KT50" s="466"/>
      <c r="KU50" s="466"/>
      <c r="KV50" s="466"/>
      <c r="KW50" s="466"/>
      <c r="KX50" s="466"/>
      <c r="KY50" s="466"/>
      <c r="KZ50" s="466"/>
      <c r="LA50" s="466"/>
      <c r="LB50" s="466"/>
      <c r="LC50" s="466"/>
      <c r="LD50" s="466"/>
      <c r="LE50" s="466"/>
      <c r="LF50" s="466"/>
      <c r="LG50" s="466"/>
      <c r="LH50" s="466"/>
      <c r="LI50" s="466"/>
      <c r="LJ50" s="466"/>
      <c r="LK50" s="466"/>
      <c r="LL50" s="466"/>
      <c r="LM50" s="466"/>
      <c r="LN50" s="466"/>
      <c r="LO50" s="466"/>
      <c r="LP50" s="466"/>
      <c r="LQ50" s="466"/>
      <c r="LR50" s="466"/>
      <c r="LS50" s="466"/>
      <c r="LT50" s="734"/>
      <c r="LU50" s="611"/>
      <c r="LV50" s="588"/>
      <c r="LW50" s="611"/>
      <c r="LX50" s="611"/>
      <c r="LY50" s="611"/>
      <c r="LZ50" s="611"/>
      <c r="MA50" s="611"/>
      <c r="MB50" s="611"/>
      <c r="MC50" s="611">
        <v>10.413</v>
      </c>
      <c r="MD50" s="588"/>
      <c r="ME50" s="611"/>
      <c r="MF50" s="588"/>
      <c r="MG50" s="611"/>
      <c r="MH50" s="588">
        <v>10.413</v>
      </c>
      <c r="MI50" s="611">
        <v>10.413</v>
      </c>
      <c r="MJ50" s="588">
        <v>10.414</v>
      </c>
      <c r="MK50" s="611">
        <v>10.414</v>
      </c>
      <c r="ML50" s="611">
        <v>10.413</v>
      </c>
      <c r="MM50" s="611">
        <v>10.413</v>
      </c>
      <c r="MN50" s="611">
        <v>10.414</v>
      </c>
      <c r="MO50" s="611">
        <v>10.414</v>
      </c>
      <c r="MP50" s="611">
        <v>10.414</v>
      </c>
      <c r="MQ50" s="611">
        <v>10.414</v>
      </c>
      <c r="MR50" s="611">
        <v>10.413</v>
      </c>
      <c r="MS50" s="611">
        <v>10.413</v>
      </c>
      <c r="MT50" s="611">
        <v>10.414</v>
      </c>
      <c r="MU50" s="611">
        <v>10.414</v>
      </c>
      <c r="MV50" s="611"/>
      <c r="MW50" s="588"/>
      <c r="MX50" s="436"/>
      <c r="MY50" s="436"/>
      <c r="MZ50" s="436">
        <v>4.7409999999999997</v>
      </c>
      <c r="NA50" s="436">
        <v>4.7409999999999997</v>
      </c>
      <c r="NB50" s="436">
        <v>4.9180000000000001</v>
      </c>
      <c r="NC50" s="436"/>
      <c r="ND50" s="436">
        <v>4.9180000000000001</v>
      </c>
      <c r="NE50" s="436">
        <v>4.9180000000000001</v>
      </c>
      <c r="NF50" s="436"/>
      <c r="NG50" s="436"/>
      <c r="NH50" s="436"/>
      <c r="NI50" s="436">
        <v>4.9180000000000001</v>
      </c>
      <c r="NJ50" s="436">
        <v>4.9180000000000001</v>
      </c>
      <c r="NK50" s="436">
        <v>6.16</v>
      </c>
      <c r="NL50" s="436">
        <v>6.16</v>
      </c>
      <c r="NM50" s="436">
        <v>6.16</v>
      </c>
      <c r="NN50" s="436">
        <v>6.6420000000000003</v>
      </c>
      <c r="NO50" s="436">
        <v>11.77</v>
      </c>
      <c r="NP50" s="436">
        <v>11.85</v>
      </c>
      <c r="NQ50" s="436">
        <v>11.85</v>
      </c>
      <c r="NR50" s="436">
        <v>11.85</v>
      </c>
      <c r="NS50" s="436">
        <v>11.77</v>
      </c>
      <c r="NT50" s="436">
        <v>11.85</v>
      </c>
      <c r="NU50" s="436">
        <v>11.77</v>
      </c>
      <c r="NV50" s="436">
        <v>12.656000000000001</v>
      </c>
      <c r="NW50" s="436">
        <v>12.656000000000001</v>
      </c>
      <c r="NX50" s="436"/>
      <c r="NY50" s="436">
        <v>6.16</v>
      </c>
      <c r="NZ50" s="611">
        <v>6.1539999999999999</v>
      </c>
      <c r="OA50" s="635"/>
      <c r="OB50" s="638">
        <v>12.4383</v>
      </c>
      <c r="OC50" s="638">
        <v>12.4383</v>
      </c>
      <c r="OD50" s="638">
        <v>12.4383</v>
      </c>
      <c r="OE50" s="638">
        <v>11.9008</v>
      </c>
      <c r="OF50" s="638"/>
      <c r="OG50" s="638"/>
      <c r="OH50" s="638"/>
      <c r="OI50" s="638"/>
      <c r="OJ50" s="638"/>
      <c r="OK50" s="638"/>
      <c r="OL50" s="638"/>
      <c r="OM50" s="638"/>
      <c r="ON50" s="635"/>
      <c r="OO50" s="638"/>
      <c r="OP50" s="638"/>
      <c r="OQ50" s="638"/>
      <c r="OR50" s="638"/>
      <c r="OS50" s="638"/>
      <c r="OT50" s="638"/>
      <c r="OU50" s="638"/>
      <c r="OV50" s="638"/>
      <c r="OW50" s="638"/>
      <c r="OX50" s="638"/>
      <c r="OY50" s="638"/>
      <c r="OZ50" s="638"/>
      <c r="PA50" s="638"/>
      <c r="PB50" s="638"/>
      <c r="PC50" s="638"/>
      <c r="PD50" s="638"/>
      <c r="PE50" s="638"/>
      <c r="PF50" s="638"/>
      <c r="PG50" s="640"/>
      <c r="PH50" s="640"/>
      <c r="PI50" s="666"/>
      <c r="PJ50" s="666"/>
      <c r="PK50" s="666">
        <v>14.113764</v>
      </c>
      <c r="PL50" s="420">
        <v>17.670000000000002</v>
      </c>
      <c r="PM50" s="420">
        <v>17.670000000000002</v>
      </c>
      <c r="PN50" s="420">
        <v>17.670000000000002</v>
      </c>
      <c r="PO50" s="550">
        <v>6.8</v>
      </c>
    </row>
    <row r="51" spans="1:431">
      <c r="A51" s="418" t="s">
        <v>1318</v>
      </c>
      <c r="B51" s="623" t="s">
        <v>1319</v>
      </c>
      <c r="C51" s="380" t="s">
        <v>438</v>
      </c>
      <c r="D51" s="380" t="s">
        <v>1307</v>
      </c>
      <c r="E51" s="380" t="s">
        <v>1320</v>
      </c>
      <c r="G51" s="494"/>
      <c r="H51" s="419">
        <v>361.6</v>
      </c>
      <c r="I51" s="419">
        <v>361.6</v>
      </c>
      <c r="J51" s="419">
        <v>361.6</v>
      </c>
      <c r="K51" s="419">
        <v>361.6</v>
      </c>
      <c r="L51" s="419">
        <v>361.6</v>
      </c>
      <c r="M51" s="419">
        <v>361.6</v>
      </c>
      <c r="N51" s="420"/>
      <c r="O51" s="420"/>
      <c r="P51" s="420"/>
      <c r="Q51" s="420"/>
      <c r="R51" s="420"/>
      <c r="S51" s="420"/>
      <c r="T51" s="420"/>
      <c r="U51" s="420"/>
      <c r="V51" s="420"/>
      <c r="W51" s="420"/>
      <c r="X51" s="420"/>
      <c r="Y51" s="420"/>
      <c r="Z51" s="420"/>
      <c r="AA51" s="420"/>
      <c r="AB51" s="420"/>
      <c r="AC51" s="420"/>
      <c r="AD51" s="420"/>
      <c r="AE51" s="420"/>
      <c r="AF51" s="420"/>
      <c r="AG51" s="420"/>
      <c r="AH51" s="420"/>
      <c r="AI51" s="420"/>
      <c r="AJ51" s="420"/>
      <c r="AK51" s="420"/>
      <c r="AL51" s="420"/>
      <c r="AM51" s="420"/>
      <c r="AN51" s="420"/>
      <c r="AO51" s="420"/>
      <c r="AP51" s="420"/>
      <c r="AQ51" s="420"/>
      <c r="AR51" s="420"/>
      <c r="AS51" s="420"/>
      <c r="AT51" s="420">
        <v>219</v>
      </c>
      <c r="AU51" s="420">
        <v>219</v>
      </c>
      <c r="AV51" s="420">
        <v>219</v>
      </c>
      <c r="AW51" s="420">
        <v>219</v>
      </c>
      <c r="AX51" s="420">
        <v>219</v>
      </c>
      <c r="AY51" s="420">
        <v>219</v>
      </c>
      <c r="AZ51" s="420">
        <v>219</v>
      </c>
      <c r="BA51" s="420">
        <v>219</v>
      </c>
      <c r="BB51" s="420">
        <v>219</v>
      </c>
      <c r="BC51" s="420">
        <v>219</v>
      </c>
      <c r="BD51" s="420">
        <v>124</v>
      </c>
      <c r="BE51" s="420">
        <v>124</v>
      </c>
      <c r="BF51" s="420">
        <v>124</v>
      </c>
      <c r="BG51" s="420">
        <v>124</v>
      </c>
      <c r="BH51" s="420">
        <v>124.78</v>
      </c>
      <c r="BI51" s="420">
        <v>124.78</v>
      </c>
      <c r="BJ51" s="420">
        <v>124.78</v>
      </c>
      <c r="BK51" s="420">
        <v>124.78</v>
      </c>
      <c r="BL51" s="420">
        <v>124.78</v>
      </c>
      <c r="BM51" s="420">
        <v>124.78</v>
      </c>
      <c r="BN51" s="420">
        <v>124.78</v>
      </c>
      <c r="BO51" s="420">
        <v>124.78</v>
      </c>
      <c r="BP51" s="420">
        <v>127.32</v>
      </c>
      <c r="BQ51" s="420">
        <v>127.32</v>
      </c>
      <c r="BR51" s="420">
        <v>127.32</v>
      </c>
      <c r="BS51" s="420">
        <v>127.32</v>
      </c>
      <c r="BT51" s="420">
        <v>125.82</v>
      </c>
      <c r="BU51" s="420">
        <v>125.82</v>
      </c>
      <c r="BV51" s="420">
        <v>125.82</v>
      </c>
      <c r="BW51" s="420">
        <v>125.82</v>
      </c>
      <c r="BX51" s="420">
        <v>125.82</v>
      </c>
      <c r="BY51" s="420">
        <v>125.82</v>
      </c>
      <c r="BZ51" s="420">
        <v>125.82</v>
      </c>
      <c r="CA51" s="420">
        <v>125.82</v>
      </c>
      <c r="CB51" s="420">
        <v>126.57</v>
      </c>
      <c r="CC51" s="858">
        <v>126.57</v>
      </c>
      <c r="CD51" s="420">
        <v>126.57</v>
      </c>
      <c r="CE51" s="420">
        <v>126.57</v>
      </c>
      <c r="CF51" s="420">
        <v>126.57</v>
      </c>
      <c r="CG51" s="420">
        <v>126.57</v>
      </c>
      <c r="CH51" s="420">
        <v>130.13999999999999</v>
      </c>
      <c r="CI51" s="420">
        <v>130.13999999999999</v>
      </c>
      <c r="CJ51" s="420">
        <v>130.13999999999999</v>
      </c>
      <c r="CK51" s="420">
        <v>130.13999999999999</v>
      </c>
      <c r="CL51" s="420">
        <v>130.13999999999999</v>
      </c>
      <c r="CM51" s="420">
        <v>130.13999999999999</v>
      </c>
      <c r="CN51" s="420">
        <v>130.13999999999999</v>
      </c>
      <c r="CO51" s="420">
        <v>130.13999999999999</v>
      </c>
      <c r="CP51" s="420">
        <v>131.13</v>
      </c>
      <c r="CQ51" s="420">
        <v>131.13</v>
      </c>
      <c r="CR51" s="420">
        <v>131.13</v>
      </c>
      <c r="CS51" s="420">
        <v>131.13</v>
      </c>
      <c r="CT51" s="420">
        <v>131.13</v>
      </c>
      <c r="CU51" s="420">
        <v>131.13</v>
      </c>
      <c r="CV51" s="420">
        <v>131.13</v>
      </c>
      <c r="CW51" s="420">
        <v>131.13</v>
      </c>
      <c r="CX51" s="420">
        <v>131.13</v>
      </c>
      <c r="CY51" s="420">
        <v>131.13</v>
      </c>
      <c r="CZ51" s="420">
        <v>373.06</v>
      </c>
      <c r="DA51" s="420">
        <v>373.06</v>
      </c>
      <c r="DB51" s="420">
        <v>373.06</v>
      </c>
      <c r="DC51" s="420">
        <v>373.06</v>
      </c>
      <c r="DD51" s="420">
        <v>373.06</v>
      </c>
      <c r="DE51" s="420">
        <v>374.46</v>
      </c>
      <c r="DF51" s="420">
        <v>374.46</v>
      </c>
      <c r="DG51" s="420">
        <v>374.88</v>
      </c>
      <c r="DH51" s="420">
        <v>374.88</v>
      </c>
      <c r="DI51" s="420">
        <v>374.88</v>
      </c>
      <c r="DJ51" s="420">
        <v>374.88</v>
      </c>
      <c r="DK51" s="420">
        <v>374.88</v>
      </c>
      <c r="DL51" s="420">
        <v>374.88</v>
      </c>
      <c r="DM51" s="420">
        <v>374.88</v>
      </c>
      <c r="DN51" s="420">
        <v>374.88</v>
      </c>
      <c r="DO51" s="420">
        <v>374.88</v>
      </c>
      <c r="DP51" s="420"/>
      <c r="DQ51" s="420"/>
      <c r="DR51" s="420"/>
      <c r="DS51" s="499"/>
      <c r="DT51" s="421"/>
      <c r="DU51" s="422"/>
      <c r="DV51" s="422"/>
      <c r="DW51" s="422"/>
      <c r="DX51" s="422"/>
      <c r="DY51" s="422"/>
      <c r="DZ51" s="596"/>
      <c r="EA51" s="422"/>
      <c r="EB51" s="422"/>
      <c r="EC51" s="596"/>
      <c r="ED51" s="422"/>
      <c r="EE51" s="422"/>
      <c r="EF51" s="422"/>
      <c r="EG51" s="422"/>
      <c r="EH51" s="422"/>
      <c r="EI51" s="422"/>
      <c r="EJ51" s="422"/>
      <c r="EK51" s="422"/>
      <c r="EL51" s="596"/>
      <c r="EM51" s="422"/>
      <c r="EN51" s="422">
        <v>98.02</v>
      </c>
      <c r="EO51" s="422">
        <v>98.02</v>
      </c>
      <c r="EP51" s="422">
        <v>102.46</v>
      </c>
      <c r="EQ51" s="422">
        <v>102.5</v>
      </c>
      <c r="ER51" s="422">
        <v>102.04</v>
      </c>
      <c r="ES51" s="422">
        <v>112</v>
      </c>
      <c r="ET51" s="422">
        <v>120</v>
      </c>
      <c r="EU51" s="422">
        <v>121.6</v>
      </c>
      <c r="EV51" s="422"/>
      <c r="EW51" s="422">
        <v>128.69999999999999</v>
      </c>
      <c r="EX51" s="422">
        <v>120.7</v>
      </c>
      <c r="EY51" s="422">
        <v>122.5</v>
      </c>
      <c r="EZ51" s="422">
        <v>121.5</v>
      </c>
      <c r="FA51" s="422">
        <v>121.5</v>
      </c>
      <c r="FB51" s="422">
        <v>121</v>
      </c>
      <c r="FC51" s="422"/>
      <c r="FD51" s="422"/>
      <c r="FE51" s="596"/>
      <c r="FF51" s="422">
        <v>551</v>
      </c>
      <c r="FG51" s="422">
        <v>551</v>
      </c>
      <c r="FH51" s="422">
        <v>551</v>
      </c>
      <c r="FI51" s="422">
        <v>551</v>
      </c>
      <c r="FJ51" s="422">
        <v>551</v>
      </c>
      <c r="FK51" s="422">
        <v>551</v>
      </c>
      <c r="FL51" s="422">
        <v>551</v>
      </c>
      <c r="FM51" s="422">
        <v>551</v>
      </c>
      <c r="FN51" s="422">
        <v>551</v>
      </c>
      <c r="FO51" s="422">
        <v>551</v>
      </c>
      <c r="FP51" s="422">
        <v>551</v>
      </c>
      <c r="FQ51" s="422">
        <v>551</v>
      </c>
      <c r="FR51" s="422">
        <v>551</v>
      </c>
      <c r="FS51" s="422">
        <v>551</v>
      </c>
      <c r="FT51" s="422">
        <v>551</v>
      </c>
      <c r="FU51" s="422">
        <v>551</v>
      </c>
      <c r="FV51" s="422">
        <v>551</v>
      </c>
      <c r="FW51" s="422">
        <v>551</v>
      </c>
      <c r="FX51" s="422">
        <v>551</v>
      </c>
      <c r="FY51" s="422">
        <v>551</v>
      </c>
      <c r="FZ51" s="422">
        <v>551</v>
      </c>
      <c r="GA51" s="422">
        <v>551</v>
      </c>
      <c r="GB51" s="422">
        <v>551</v>
      </c>
      <c r="GC51" s="422">
        <v>551</v>
      </c>
      <c r="GD51" s="422">
        <v>551</v>
      </c>
      <c r="GE51" s="422">
        <v>551</v>
      </c>
      <c r="GF51" s="422">
        <v>551</v>
      </c>
      <c r="GG51" s="422">
        <v>551</v>
      </c>
      <c r="GH51" s="422"/>
      <c r="GI51" s="422"/>
      <c r="GJ51" s="422"/>
      <c r="GK51" s="422"/>
      <c r="GL51" s="422"/>
      <c r="GM51" s="422"/>
      <c r="GN51" s="422"/>
      <c r="GO51" s="422"/>
      <c r="GP51" s="422"/>
      <c r="GQ51" s="422"/>
      <c r="GR51" s="422"/>
      <c r="GS51" s="422"/>
      <c r="GT51" s="422"/>
      <c r="GU51" s="422"/>
      <c r="GV51" s="422"/>
      <c r="GW51" s="422"/>
      <c r="GX51" s="422"/>
      <c r="GY51" s="422"/>
      <c r="GZ51" s="422"/>
      <c r="HA51" s="422"/>
      <c r="HB51" s="422"/>
      <c r="HC51" s="422"/>
      <c r="HD51" s="596"/>
      <c r="HE51" s="422"/>
      <c r="HF51" s="422"/>
      <c r="HG51" s="422"/>
      <c r="HH51" s="422"/>
      <c r="HI51" s="422"/>
      <c r="HJ51" s="596"/>
      <c r="HK51" s="422"/>
      <c r="HL51" s="422"/>
      <c r="HM51" s="422"/>
      <c r="HN51" s="422"/>
      <c r="HO51" s="422"/>
      <c r="HP51" s="422"/>
      <c r="HQ51" s="422"/>
      <c r="HR51" s="422"/>
      <c r="HS51" s="422"/>
      <c r="HT51" s="422"/>
      <c r="HU51" s="422"/>
      <c r="HV51" s="422"/>
      <c r="HW51" s="596"/>
      <c r="HX51" s="422"/>
      <c r="HY51" s="422"/>
      <c r="HZ51" s="422"/>
      <c r="IA51" s="422"/>
      <c r="IB51" s="422"/>
      <c r="IC51" s="422"/>
      <c r="ID51" s="422"/>
      <c r="IE51" s="422"/>
      <c r="IF51" s="422"/>
      <c r="IG51" s="422"/>
      <c r="IH51" s="422"/>
      <c r="II51" s="422"/>
      <c r="IJ51" s="596"/>
      <c r="IK51" s="422"/>
      <c r="IL51" s="422"/>
      <c r="IM51" s="422"/>
      <c r="IN51" s="423"/>
      <c r="IO51" s="424"/>
      <c r="IP51" s="617"/>
      <c r="IQ51" s="425"/>
      <c r="IR51" s="425"/>
      <c r="IS51" s="425"/>
      <c r="IT51" s="425"/>
      <c r="IU51" s="425"/>
      <c r="IV51" s="425">
        <v>48.5</v>
      </c>
      <c r="IW51" s="425">
        <v>70.61</v>
      </c>
      <c r="IX51" s="425"/>
      <c r="IY51" s="425"/>
      <c r="IZ51" s="425"/>
      <c r="JA51" s="425"/>
      <c r="JB51" s="425"/>
      <c r="JC51" s="425"/>
      <c r="JD51" s="425"/>
      <c r="JE51" s="425"/>
      <c r="JF51" s="425"/>
      <c r="JG51" s="425"/>
      <c r="JH51" s="425"/>
      <c r="JI51" s="425"/>
      <c r="JJ51" s="426"/>
      <c r="JK51" s="427">
        <v>103</v>
      </c>
      <c r="JL51" s="428">
        <v>103</v>
      </c>
      <c r="JM51" s="428">
        <v>72.72</v>
      </c>
      <c r="JN51" s="428">
        <v>72.72</v>
      </c>
      <c r="JO51" s="428">
        <v>72.72</v>
      </c>
      <c r="JP51" s="428">
        <v>72.72</v>
      </c>
      <c r="JQ51" s="428">
        <v>92.53</v>
      </c>
      <c r="JR51" s="428">
        <v>92.53</v>
      </c>
      <c r="JS51" s="428">
        <v>92.53</v>
      </c>
      <c r="JT51" s="428">
        <v>92.53</v>
      </c>
      <c r="JU51" s="428">
        <v>92.53</v>
      </c>
      <c r="JV51" s="428">
        <v>92.53</v>
      </c>
      <c r="JW51" s="428">
        <v>92.53</v>
      </c>
      <c r="JX51" s="428">
        <v>92.53</v>
      </c>
      <c r="JY51" s="428">
        <v>51.18</v>
      </c>
      <c r="JZ51" s="428">
        <v>51.18</v>
      </c>
      <c r="KA51" s="428"/>
      <c r="KB51" s="428"/>
      <c r="KC51" s="428">
        <v>51.18</v>
      </c>
      <c r="KD51" s="428">
        <v>51.18</v>
      </c>
      <c r="KE51" s="428">
        <v>51.18</v>
      </c>
      <c r="KF51" s="428">
        <v>51.18</v>
      </c>
      <c r="KG51" s="428">
        <v>51.18</v>
      </c>
      <c r="KH51" s="428">
        <v>51.18</v>
      </c>
      <c r="KI51" s="428">
        <v>51.18</v>
      </c>
      <c r="KJ51" s="429"/>
      <c r="KK51" s="430"/>
      <c r="KL51" s="545"/>
      <c r="KM51" s="431"/>
      <c r="KN51" s="431"/>
      <c r="KO51" s="431"/>
      <c r="KP51" s="431"/>
      <c r="KQ51" s="463"/>
      <c r="KR51" s="464"/>
      <c r="KS51" s="465"/>
      <c r="KT51" s="466"/>
      <c r="KU51" s="466"/>
      <c r="KV51" s="466"/>
      <c r="KW51" s="466"/>
      <c r="KX51" s="466"/>
      <c r="KY51" s="466"/>
      <c r="KZ51" s="466"/>
      <c r="LA51" s="466"/>
      <c r="LB51" s="466"/>
      <c r="LC51" s="466"/>
      <c r="LD51" s="466"/>
      <c r="LE51" s="466"/>
      <c r="LF51" s="466"/>
      <c r="LG51" s="466"/>
      <c r="LH51" s="466"/>
      <c r="LI51" s="466"/>
      <c r="LJ51" s="466"/>
      <c r="LK51" s="466">
        <v>24.6</v>
      </c>
      <c r="LL51" s="466"/>
      <c r="LM51" s="466"/>
      <c r="LN51" s="466"/>
      <c r="LO51" s="466">
        <v>28.95</v>
      </c>
      <c r="LP51" s="466"/>
      <c r="LQ51" s="466"/>
      <c r="LR51" s="466"/>
      <c r="LS51" s="466"/>
      <c r="LT51" s="734"/>
      <c r="LU51" s="611"/>
      <c r="LV51" s="588"/>
      <c r="LW51" s="611"/>
      <c r="LX51" s="611"/>
      <c r="LY51" s="611"/>
      <c r="LZ51" s="611"/>
      <c r="MA51" s="611"/>
      <c r="MB51" s="611"/>
      <c r="MC51" s="611">
        <v>277.2</v>
      </c>
      <c r="MD51" s="588"/>
      <c r="ME51" s="611"/>
      <c r="MF51" s="588"/>
      <c r="MG51" s="611"/>
      <c r="MH51" s="588">
        <v>277.88</v>
      </c>
      <c r="MI51" s="611">
        <v>277.88</v>
      </c>
      <c r="MJ51" s="588">
        <v>277.88</v>
      </c>
      <c r="MK51" s="611">
        <v>277.88</v>
      </c>
      <c r="ML51" s="611">
        <v>277.87</v>
      </c>
      <c r="MM51" s="611">
        <v>277.87</v>
      </c>
      <c r="MN51" s="611">
        <v>277.88</v>
      </c>
      <c r="MO51" s="611">
        <v>277.88</v>
      </c>
      <c r="MP51" s="611">
        <v>277.88</v>
      </c>
      <c r="MQ51" s="611">
        <v>277.88</v>
      </c>
      <c r="MR51" s="611">
        <v>277.87</v>
      </c>
      <c r="MS51" s="611">
        <v>277.87</v>
      </c>
      <c r="MT51" s="611">
        <v>277.88</v>
      </c>
      <c r="MU51" s="611">
        <v>277.88</v>
      </c>
      <c r="MV51" s="611"/>
      <c r="MW51" s="588"/>
      <c r="MX51" s="436"/>
      <c r="MY51" s="436"/>
      <c r="MZ51" s="436">
        <v>85.584999999999994</v>
      </c>
      <c r="NA51" s="436">
        <v>85.584999999999994</v>
      </c>
      <c r="NB51" s="436">
        <v>91.66</v>
      </c>
      <c r="NC51" s="436"/>
      <c r="ND51" s="436">
        <v>92.146000000000001</v>
      </c>
      <c r="NE51" s="436">
        <v>92.146000000000001</v>
      </c>
      <c r="NF51" s="436"/>
      <c r="NG51" s="436"/>
      <c r="NH51" s="436"/>
      <c r="NI51" s="436">
        <v>92.156000000000006</v>
      </c>
      <c r="NJ51" s="436">
        <v>92.156000000000006</v>
      </c>
      <c r="NK51" s="436">
        <v>116.66</v>
      </c>
      <c r="NL51" s="436">
        <v>116.66</v>
      </c>
      <c r="NM51" s="436">
        <v>116.66</v>
      </c>
      <c r="NN51" s="436">
        <v>118.31</v>
      </c>
      <c r="NO51" s="436">
        <v>346.5</v>
      </c>
      <c r="NP51" s="436">
        <v>362.16</v>
      </c>
      <c r="NQ51" s="436">
        <v>362.16</v>
      </c>
      <c r="NR51" s="436">
        <v>362.16</v>
      </c>
      <c r="NS51" s="436">
        <v>346.5</v>
      </c>
      <c r="NT51" s="436">
        <v>362.16</v>
      </c>
      <c r="NU51" s="436">
        <v>346.5</v>
      </c>
      <c r="NV51" s="436">
        <v>373.41899999999998</v>
      </c>
      <c r="NW51" s="436">
        <v>373.41899999999998</v>
      </c>
      <c r="NX51" s="436"/>
      <c r="NY51" s="436">
        <v>116.66</v>
      </c>
      <c r="NZ51" s="611">
        <v>116.54</v>
      </c>
      <c r="OA51" s="635"/>
      <c r="OB51" s="638">
        <v>353.81670000000003</v>
      </c>
      <c r="OC51" s="638">
        <v>353.81670000000003</v>
      </c>
      <c r="OD51" s="638">
        <v>353.81670000000003</v>
      </c>
      <c r="OE51" s="638">
        <v>346.17180000000002</v>
      </c>
      <c r="OF51" s="638"/>
      <c r="OG51" s="638"/>
      <c r="OH51" s="638"/>
      <c r="OI51" s="638"/>
      <c r="OJ51" s="638"/>
      <c r="OK51" s="638"/>
      <c r="OL51" s="638"/>
      <c r="OM51" s="638"/>
      <c r="ON51" s="635"/>
      <c r="OO51" s="638">
        <v>79.86</v>
      </c>
      <c r="OP51" s="638">
        <v>79.86</v>
      </c>
      <c r="OQ51" s="638"/>
      <c r="OR51" s="638"/>
      <c r="OS51" s="638"/>
      <c r="OT51" s="638">
        <v>77.3</v>
      </c>
      <c r="OU51" s="638">
        <v>77.3</v>
      </c>
      <c r="OV51" s="638">
        <v>77.3</v>
      </c>
      <c r="OW51" s="638">
        <v>77.3</v>
      </c>
      <c r="OX51" s="638">
        <v>77.3</v>
      </c>
      <c r="OY51" s="638">
        <v>77.3</v>
      </c>
      <c r="OZ51" s="638"/>
      <c r="PA51" s="638"/>
      <c r="PB51" s="638"/>
      <c r="PC51" s="638"/>
      <c r="PD51" s="638"/>
      <c r="PE51" s="638"/>
      <c r="PF51" s="638"/>
      <c r="PG51" s="640"/>
      <c r="PH51" s="640"/>
      <c r="PI51" s="666"/>
      <c r="PJ51" s="666"/>
      <c r="PK51" s="666">
        <v>523</v>
      </c>
      <c r="PL51" s="420">
        <v>845</v>
      </c>
      <c r="PM51" s="420">
        <v>845</v>
      </c>
      <c r="PN51" s="420">
        <v>845</v>
      </c>
      <c r="PO51" s="550"/>
    </row>
    <row r="52" spans="1:431">
      <c r="A52" s="418" t="s">
        <v>1321</v>
      </c>
      <c r="B52" s="623" t="s">
        <v>1213</v>
      </c>
      <c r="C52" s="380" t="s">
        <v>438</v>
      </c>
      <c r="D52" s="380" t="s">
        <v>1307</v>
      </c>
      <c r="E52" s="380" t="s">
        <v>1322</v>
      </c>
      <c r="G52" s="494"/>
      <c r="H52" s="419" t="s">
        <v>2716</v>
      </c>
      <c r="I52" s="419" t="s">
        <v>2716</v>
      </c>
      <c r="J52" s="419" t="s">
        <v>2716</v>
      </c>
      <c r="K52" s="419" t="s">
        <v>2716</v>
      </c>
      <c r="L52" s="419" t="s">
        <v>2716</v>
      </c>
      <c r="M52" s="419" t="s">
        <v>2716</v>
      </c>
      <c r="N52" s="420" t="s">
        <v>2716</v>
      </c>
      <c r="O52" s="420" t="s">
        <v>2716</v>
      </c>
      <c r="P52" s="420" t="s">
        <v>2716</v>
      </c>
      <c r="Q52" s="420" t="s">
        <v>2716</v>
      </c>
      <c r="R52" s="420" t="s">
        <v>2715</v>
      </c>
      <c r="S52" s="420" t="s">
        <v>2715</v>
      </c>
      <c r="T52" s="420" t="s">
        <v>2715</v>
      </c>
      <c r="U52" s="420" t="s">
        <v>2720</v>
      </c>
      <c r="V52" s="420" t="s">
        <v>2720</v>
      </c>
      <c r="W52" s="420" t="s">
        <v>2720</v>
      </c>
      <c r="X52" s="420" t="s">
        <v>2720</v>
      </c>
      <c r="Y52" s="420" t="s">
        <v>2720</v>
      </c>
      <c r="Z52" s="420" t="s">
        <v>2720</v>
      </c>
      <c r="AA52" s="420" t="s">
        <v>2720</v>
      </c>
      <c r="AB52" s="420" t="s">
        <v>2720</v>
      </c>
      <c r="AC52" s="420" t="s">
        <v>2720</v>
      </c>
      <c r="AD52" s="420" t="s">
        <v>2720</v>
      </c>
      <c r="AE52" s="420" t="s">
        <v>2720</v>
      </c>
      <c r="AF52" s="420" t="s">
        <v>2720</v>
      </c>
      <c r="AG52" s="420" t="s">
        <v>2720</v>
      </c>
      <c r="AH52" s="420" t="s">
        <v>2711</v>
      </c>
      <c r="AI52" s="420" t="s">
        <v>2711</v>
      </c>
      <c r="AJ52" s="420" t="s">
        <v>2711</v>
      </c>
      <c r="AK52" s="420" t="s">
        <v>2711</v>
      </c>
      <c r="AL52" s="420" t="s">
        <v>2711</v>
      </c>
      <c r="AM52" s="420" t="s">
        <v>2711</v>
      </c>
      <c r="AN52" s="420" t="s">
        <v>2720</v>
      </c>
      <c r="AO52" s="420" t="s">
        <v>2711</v>
      </c>
      <c r="AP52" s="420" t="s">
        <v>2711</v>
      </c>
      <c r="AQ52" s="420" t="s">
        <v>2720</v>
      </c>
      <c r="AR52" s="420" t="s">
        <v>2711</v>
      </c>
      <c r="AS52" s="420" t="s">
        <v>2711</v>
      </c>
      <c r="AT52" s="420" t="s">
        <v>2720</v>
      </c>
      <c r="AU52" s="420" t="s">
        <v>2720</v>
      </c>
      <c r="AV52" s="420" t="s">
        <v>2720</v>
      </c>
      <c r="AW52" s="420" t="s">
        <v>2720</v>
      </c>
      <c r="AX52" s="420" t="s">
        <v>2720</v>
      </c>
      <c r="AY52" s="420" t="s">
        <v>2711</v>
      </c>
      <c r="AZ52" s="420" t="s">
        <v>2711</v>
      </c>
      <c r="BA52" s="420" t="s">
        <v>2711</v>
      </c>
      <c r="BB52" s="420" t="s">
        <v>2711</v>
      </c>
      <c r="BC52" s="420" t="s">
        <v>2711</v>
      </c>
      <c r="BD52" s="420" t="s">
        <v>2711</v>
      </c>
      <c r="BE52" s="420" t="s">
        <v>2711</v>
      </c>
      <c r="BF52" s="420" t="s">
        <v>2711</v>
      </c>
      <c r="BG52" s="420" t="s">
        <v>2711</v>
      </c>
      <c r="BH52" s="420" t="s">
        <v>2711</v>
      </c>
      <c r="BI52" s="420" t="s">
        <v>2711</v>
      </c>
      <c r="BJ52" s="420" t="s">
        <v>2711</v>
      </c>
      <c r="BK52" s="420" t="s">
        <v>2711</v>
      </c>
      <c r="BL52" s="420" t="s">
        <v>2711</v>
      </c>
      <c r="BM52" s="420" t="s">
        <v>2711</v>
      </c>
      <c r="BN52" s="420" t="s">
        <v>2711</v>
      </c>
      <c r="BO52" s="420" t="s">
        <v>2711</v>
      </c>
      <c r="BP52" s="420" t="s">
        <v>2715</v>
      </c>
      <c r="BQ52" s="420" t="s">
        <v>2715</v>
      </c>
      <c r="BR52" s="420" t="s">
        <v>2715</v>
      </c>
      <c r="BS52" s="420" t="s">
        <v>2715</v>
      </c>
      <c r="BT52" s="420" t="s">
        <v>2711</v>
      </c>
      <c r="BU52" s="420" t="s">
        <v>2711</v>
      </c>
      <c r="BV52" s="420" t="s">
        <v>2711</v>
      </c>
      <c r="BW52" s="420" t="s">
        <v>2711</v>
      </c>
      <c r="BX52" s="420" t="s">
        <v>2711</v>
      </c>
      <c r="BY52" s="420" t="s">
        <v>2711</v>
      </c>
      <c r="BZ52" s="420" t="s">
        <v>2711</v>
      </c>
      <c r="CA52" s="420" t="s">
        <v>2711</v>
      </c>
      <c r="CB52" s="420" t="s">
        <v>2715</v>
      </c>
      <c r="CC52" s="858" t="s">
        <v>2715</v>
      </c>
      <c r="CD52" s="420" t="s">
        <v>2715</v>
      </c>
      <c r="CE52" s="420" t="s">
        <v>2715</v>
      </c>
      <c r="CF52" s="420" t="s">
        <v>2715</v>
      </c>
      <c r="CG52" s="420" t="s">
        <v>2715</v>
      </c>
      <c r="CH52" s="420" t="s">
        <v>2711</v>
      </c>
      <c r="CI52" s="420" t="s">
        <v>2711</v>
      </c>
      <c r="CJ52" s="420" t="s">
        <v>2711</v>
      </c>
      <c r="CK52" s="420" t="s">
        <v>2711</v>
      </c>
      <c r="CL52" s="420" t="s">
        <v>2711</v>
      </c>
      <c r="CM52" s="420" t="s">
        <v>2711</v>
      </c>
      <c r="CN52" s="420" t="s">
        <v>2711</v>
      </c>
      <c r="CO52" s="420" t="s">
        <v>2711</v>
      </c>
      <c r="CP52" s="420" t="s">
        <v>2715</v>
      </c>
      <c r="CQ52" s="420" t="s">
        <v>2715</v>
      </c>
      <c r="CR52" s="420" t="s">
        <v>2715</v>
      </c>
      <c r="CS52" s="420" t="s">
        <v>2715</v>
      </c>
      <c r="CT52" s="420" t="s">
        <v>2715</v>
      </c>
      <c r="CU52" s="420" t="s">
        <v>2715</v>
      </c>
      <c r="CV52" s="420" t="s">
        <v>2715</v>
      </c>
      <c r="CW52" s="420" t="s">
        <v>2715</v>
      </c>
      <c r="CX52" s="420" t="s">
        <v>2715</v>
      </c>
      <c r="CY52" s="420" t="s">
        <v>2715</v>
      </c>
      <c r="CZ52" s="420" t="s">
        <v>2716</v>
      </c>
      <c r="DA52" s="420" t="s">
        <v>2716</v>
      </c>
      <c r="DB52" s="420" t="s">
        <v>2716</v>
      </c>
      <c r="DC52" s="420" t="s">
        <v>2716</v>
      </c>
      <c r="DD52" s="420" t="s">
        <v>2716</v>
      </c>
      <c r="DE52" s="420" t="s">
        <v>2716</v>
      </c>
      <c r="DF52" s="420" t="s">
        <v>2716</v>
      </c>
      <c r="DG52" s="420" t="s">
        <v>2716</v>
      </c>
      <c r="DH52" s="420" t="s">
        <v>2716</v>
      </c>
      <c r="DI52" s="420" t="s">
        <v>2716</v>
      </c>
      <c r="DJ52" s="420" t="s">
        <v>2716</v>
      </c>
      <c r="DK52" s="420" t="s">
        <v>2716</v>
      </c>
      <c r="DL52" s="420" t="s">
        <v>2716</v>
      </c>
      <c r="DM52" s="420" t="s">
        <v>2716</v>
      </c>
      <c r="DN52" s="420" t="s">
        <v>2716</v>
      </c>
      <c r="DO52" s="420" t="s">
        <v>2716</v>
      </c>
      <c r="DP52" s="420" t="s">
        <v>2716</v>
      </c>
      <c r="DQ52" s="420" t="s">
        <v>2715</v>
      </c>
      <c r="DR52" s="420" t="s">
        <v>2715</v>
      </c>
      <c r="DS52" s="499"/>
      <c r="DT52" s="421" t="s">
        <v>2720</v>
      </c>
      <c r="DU52" s="421" t="s">
        <v>2720</v>
      </c>
      <c r="DV52" s="421" t="s">
        <v>2720</v>
      </c>
      <c r="DW52" s="421" t="s">
        <v>2720</v>
      </c>
      <c r="DX52" s="421" t="s">
        <v>2720</v>
      </c>
      <c r="DY52" s="421" t="s">
        <v>2720</v>
      </c>
      <c r="DZ52" s="596"/>
      <c r="EA52" s="421" t="s">
        <v>2720</v>
      </c>
      <c r="EB52" s="421" t="s">
        <v>2720</v>
      </c>
      <c r="EC52" s="596"/>
      <c r="ED52" s="421" t="s">
        <v>2720</v>
      </c>
      <c r="EE52" s="421" t="s">
        <v>2720</v>
      </c>
      <c r="EF52" s="421" t="s">
        <v>2720</v>
      </c>
      <c r="EG52" s="421" t="s">
        <v>2720</v>
      </c>
      <c r="EH52" s="421" t="s">
        <v>2720</v>
      </c>
      <c r="EI52" s="421" t="s">
        <v>2720</v>
      </c>
      <c r="EJ52" s="421" t="s">
        <v>2720</v>
      </c>
      <c r="EK52" s="421" t="s">
        <v>2720</v>
      </c>
      <c r="EL52" s="596"/>
      <c r="EM52" s="421" t="s">
        <v>2720</v>
      </c>
      <c r="EN52" s="421" t="s">
        <v>2720</v>
      </c>
      <c r="EO52" s="421" t="s">
        <v>2720</v>
      </c>
      <c r="EP52" s="421" t="s">
        <v>2720</v>
      </c>
      <c r="EQ52" s="421" t="s">
        <v>2720</v>
      </c>
      <c r="ER52" s="421" t="s">
        <v>2720</v>
      </c>
      <c r="ES52" s="422" t="s">
        <v>2715</v>
      </c>
      <c r="ET52" s="422" t="s">
        <v>2715</v>
      </c>
      <c r="EU52" s="422" t="s">
        <v>2721</v>
      </c>
      <c r="EV52" s="422" t="s">
        <v>2715</v>
      </c>
      <c r="EW52" s="422" t="s">
        <v>2715</v>
      </c>
      <c r="EX52" s="422" t="s">
        <v>2715</v>
      </c>
      <c r="EY52" s="422" t="s">
        <v>2715</v>
      </c>
      <c r="EZ52" s="422" t="s">
        <v>2715</v>
      </c>
      <c r="FA52" s="422" t="s">
        <v>2715</v>
      </c>
      <c r="FB52" s="422" t="s">
        <v>2715</v>
      </c>
      <c r="FC52" s="422" t="s">
        <v>2721</v>
      </c>
      <c r="FD52" s="422" t="s">
        <v>2721</v>
      </c>
      <c r="FE52" s="596"/>
      <c r="FF52" s="421" t="s">
        <v>2720</v>
      </c>
      <c r="FG52" s="421" t="s">
        <v>2720</v>
      </c>
      <c r="FH52" s="421" t="s">
        <v>2720</v>
      </c>
      <c r="FI52" s="421" t="s">
        <v>2720</v>
      </c>
      <c r="FJ52" s="421" t="s">
        <v>2720</v>
      </c>
      <c r="FK52" s="421" t="s">
        <v>2720</v>
      </c>
      <c r="FL52" s="421" t="s">
        <v>2720</v>
      </c>
      <c r="FM52" s="421" t="s">
        <v>2720</v>
      </c>
      <c r="FN52" s="421" t="s">
        <v>2720</v>
      </c>
      <c r="FO52" s="421" t="s">
        <v>2720</v>
      </c>
      <c r="FP52" s="421" t="s">
        <v>2720</v>
      </c>
      <c r="FQ52" s="421" t="s">
        <v>2720</v>
      </c>
      <c r="FR52" s="421" t="s">
        <v>2720</v>
      </c>
      <c r="FS52" s="421" t="s">
        <v>2720</v>
      </c>
      <c r="FT52" s="421" t="s">
        <v>2720</v>
      </c>
      <c r="FU52" s="421" t="s">
        <v>2720</v>
      </c>
      <c r="FV52" s="421" t="s">
        <v>2720</v>
      </c>
      <c r="FW52" s="421" t="s">
        <v>2720</v>
      </c>
      <c r="FX52" s="421" t="s">
        <v>2720</v>
      </c>
      <c r="FY52" s="421" t="s">
        <v>2720</v>
      </c>
      <c r="FZ52" s="421" t="s">
        <v>2720</v>
      </c>
      <c r="GA52" s="421" t="s">
        <v>2720</v>
      </c>
      <c r="GB52" s="421" t="s">
        <v>2720</v>
      </c>
      <c r="GC52" s="421" t="s">
        <v>2720</v>
      </c>
      <c r="GD52" s="421" t="s">
        <v>2720</v>
      </c>
      <c r="GE52" s="421" t="s">
        <v>2720</v>
      </c>
      <c r="GF52" s="421" t="s">
        <v>2720</v>
      </c>
      <c r="GG52" s="421" t="s">
        <v>2720</v>
      </c>
      <c r="GH52" s="422"/>
      <c r="GI52" s="422"/>
      <c r="GJ52" s="422"/>
      <c r="GK52" s="422"/>
      <c r="GL52" s="422" t="s">
        <v>2716</v>
      </c>
      <c r="GM52" s="422" t="s">
        <v>2716</v>
      </c>
      <c r="GN52" s="422" t="s">
        <v>2716</v>
      </c>
      <c r="GO52" s="422" t="s">
        <v>2716</v>
      </c>
      <c r="GP52" s="422" t="s">
        <v>2716</v>
      </c>
      <c r="GQ52" s="422" t="s">
        <v>2716</v>
      </c>
      <c r="GR52" s="422" t="s">
        <v>2716</v>
      </c>
      <c r="GS52" s="422" t="s">
        <v>2716</v>
      </c>
      <c r="GT52" s="422" t="s">
        <v>2716</v>
      </c>
      <c r="GU52" s="422" t="s">
        <v>2716</v>
      </c>
      <c r="GV52" s="422" t="s">
        <v>2716</v>
      </c>
      <c r="GW52" s="422" t="s">
        <v>2716</v>
      </c>
      <c r="GX52" s="422" t="s">
        <v>2716</v>
      </c>
      <c r="GY52" s="422" t="s">
        <v>2716</v>
      </c>
      <c r="GZ52" s="422" t="s">
        <v>2716</v>
      </c>
      <c r="HA52" s="422" t="s">
        <v>2720</v>
      </c>
      <c r="HB52" s="422" t="s">
        <v>2714</v>
      </c>
      <c r="HC52" s="422" t="s">
        <v>2714</v>
      </c>
      <c r="HD52" s="596"/>
      <c r="HE52" s="422" t="s">
        <v>2720</v>
      </c>
      <c r="HF52" s="422" t="s">
        <v>2720</v>
      </c>
      <c r="HG52" s="422" t="s">
        <v>2720</v>
      </c>
      <c r="HH52" s="422" t="s">
        <v>2720</v>
      </c>
      <c r="HI52" s="422" t="s">
        <v>2720</v>
      </c>
      <c r="HJ52" s="596"/>
      <c r="HK52" s="422" t="s">
        <v>2720</v>
      </c>
      <c r="HL52" s="422" t="s">
        <v>2720</v>
      </c>
      <c r="HM52" s="422" t="s">
        <v>2720</v>
      </c>
      <c r="HN52" s="422" t="s">
        <v>2720</v>
      </c>
      <c r="HO52" s="422" t="s">
        <v>2720</v>
      </c>
      <c r="HP52" s="422" t="s">
        <v>2720</v>
      </c>
      <c r="HQ52" s="422" t="s">
        <v>2720</v>
      </c>
      <c r="HR52" s="422" t="s">
        <v>2720</v>
      </c>
      <c r="HS52" s="422" t="s">
        <v>2720</v>
      </c>
      <c r="HT52" s="422" t="s">
        <v>2720</v>
      </c>
      <c r="HU52" s="422" t="s">
        <v>2714</v>
      </c>
      <c r="HV52" s="422" t="s">
        <v>2714</v>
      </c>
      <c r="HW52" s="596"/>
      <c r="HX52" s="422" t="s">
        <v>2720</v>
      </c>
      <c r="HY52" s="422" t="s">
        <v>2720</v>
      </c>
      <c r="HZ52" s="422" t="s">
        <v>2720</v>
      </c>
      <c r="IA52" s="422" t="s">
        <v>2720</v>
      </c>
      <c r="IB52" s="422" t="s">
        <v>2720</v>
      </c>
      <c r="IC52" s="422" t="s">
        <v>2720</v>
      </c>
      <c r="ID52" s="422" t="s">
        <v>2720</v>
      </c>
      <c r="IE52" s="422" t="s">
        <v>2720</v>
      </c>
      <c r="IF52" s="422" t="s">
        <v>2720</v>
      </c>
      <c r="IG52" s="422" t="s">
        <v>2714</v>
      </c>
      <c r="IH52" s="422" t="s">
        <v>2714</v>
      </c>
      <c r="II52" s="422" t="s">
        <v>2714</v>
      </c>
      <c r="IJ52" s="596"/>
      <c r="IK52" s="422" t="s">
        <v>2714</v>
      </c>
      <c r="IL52" s="422" t="s">
        <v>2714</v>
      </c>
      <c r="IM52" s="422" t="s">
        <v>2714</v>
      </c>
      <c r="IN52" s="423"/>
      <c r="IO52" s="424" t="s">
        <v>2716</v>
      </c>
      <c r="IP52" s="424" t="s">
        <v>2716</v>
      </c>
      <c r="IQ52" s="424" t="s">
        <v>2716</v>
      </c>
      <c r="IR52" s="424" t="s">
        <v>2716</v>
      </c>
      <c r="IS52" s="424" t="s">
        <v>2716</v>
      </c>
      <c r="IT52" s="424" t="s">
        <v>2716</v>
      </c>
      <c r="IU52" s="425" t="s">
        <v>2716</v>
      </c>
      <c r="IV52" s="425" t="s">
        <v>2716</v>
      </c>
      <c r="IW52" s="425" t="s">
        <v>2716</v>
      </c>
      <c r="IX52" s="425" t="s">
        <v>2716</v>
      </c>
      <c r="IY52" s="425" t="s">
        <v>2716</v>
      </c>
      <c r="IZ52" s="425" t="s">
        <v>2716</v>
      </c>
      <c r="JA52" s="425" t="s">
        <v>2716</v>
      </c>
      <c r="JB52" s="425" t="s">
        <v>2715</v>
      </c>
      <c r="JC52" s="425" t="s">
        <v>2720</v>
      </c>
      <c r="JD52" s="425" t="s">
        <v>2715</v>
      </c>
      <c r="JE52" s="425" t="s">
        <v>2715</v>
      </c>
      <c r="JF52" s="425" t="s">
        <v>2715</v>
      </c>
      <c r="JG52" s="425" t="s">
        <v>2715</v>
      </c>
      <c r="JH52" s="425" t="s">
        <v>2715</v>
      </c>
      <c r="JI52" s="425" t="s">
        <v>2715</v>
      </c>
      <c r="JJ52" s="426"/>
      <c r="JK52" s="427" t="s">
        <v>2716</v>
      </c>
      <c r="JL52" s="428" t="s">
        <v>2716</v>
      </c>
      <c r="JM52" s="428" t="s">
        <v>2716</v>
      </c>
      <c r="JN52" s="428" t="s">
        <v>2716</v>
      </c>
      <c r="JO52" s="428" t="s">
        <v>2716</v>
      </c>
      <c r="JP52" s="428" t="s">
        <v>2716</v>
      </c>
      <c r="JQ52" s="428" t="s">
        <v>2716</v>
      </c>
      <c r="JR52" s="428" t="s">
        <v>2716</v>
      </c>
      <c r="JS52" s="428" t="s">
        <v>2716</v>
      </c>
      <c r="JT52" s="428" t="s">
        <v>2716</v>
      </c>
      <c r="JU52" s="428" t="s">
        <v>2716</v>
      </c>
      <c r="JV52" s="428" t="s">
        <v>2716</v>
      </c>
      <c r="JW52" s="428" t="s">
        <v>2716</v>
      </c>
      <c r="JX52" s="428" t="s">
        <v>2716</v>
      </c>
      <c r="JY52" s="428"/>
      <c r="JZ52" s="428"/>
      <c r="KA52" s="428"/>
      <c r="KB52" s="428"/>
      <c r="KC52" s="428"/>
      <c r="KD52" s="428"/>
      <c r="KE52" s="428"/>
      <c r="KF52" s="428"/>
      <c r="KG52" s="428"/>
      <c r="KH52" s="428"/>
      <c r="KI52" s="428"/>
      <c r="KJ52" s="429"/>
      <c r="KK52" s="430"/>
      <c r="KL52" s="545"/>
      <c r="KM52" s="431"/>
      <c r="KN52" s="431"/>
      <c r="KO52" s="431"/>
      <c r="KP52" s="431"/>
      <c r="KQ52" s="463"/>
      <c r="KR52" s="464"/>
      <c r="KS52" s="465"/>
      <c r="KT52" s="466"/>
      <c r="KU52" s="466"/>
      <c r="KV52" s="466"/>
      <c r="KW52" s="466"/>
      <c r="KX52" s="466"/>
      <c r="KY52" s="466"/>
      <c r="KZ52" s="466"/>
      <c r="LA52" s="466"/>
      <c r="LB52" s="466"/>
      <c r="LC52" s="466"/>
      <c r="LD52" s="466"/>
      <c r="LE52" s="466"/>
      <c r="LF52" s="466"/>
      <c r="LG52" s="466"/>
      <c r="LH52" s="466"/>
      <c r="LI52" s="466"/>
      <c r="LJ52" s="466"/>
      <c r="LK52" s="466"/>
      <c r="LL52" s="466"/>
      <c r="LM52" s="466"/>
      <c r="LN52" s="466"/>
      <c r="LO52" s="466"/>
      <c r="LP52" s="466"/>
      <c r="LQ52" s="466"/>
      <c r="LR52" s="466"/>
      <c r="LS52" s="466"/>
      <c r="LT52" s="734"/>
      <c r="LU52" s="611" t="s">
        <v>2720</v>
      </c>
      <c r="LV52" s="611" t="s">
        <v>2720</v>
      </c>
      <c r="LW52" s="611" t="s">
        <v>2720</v>
      </c>
      <c r="LX52" s="611" t="s">
        <v>2720</v>
      </c>
      <c r="LY52" s="611" t="s">
        <v>2720</v>
      </c>
      <c r="LZ52" s="611" t="s">
        <v>2720</v>
      </c>
      <c r="MA52" s="611" t="s">
        <v>2720</v>
      </c>
      <c r="MB52" s="611" t="s">
        <v>2720</v>
      </c>
      <c r="MC52" s="611" t="s">
        <v>2720</v>
      </c>
      <c r="MD52" s="611" t="s">
        <v>2720</v>
      </c>
      <c r="ME52" s="611" t="s">
        <v>2720</v>
      </c>
      <c r="MF52" s="611" t="s">
        <v>2720</v>
      </c>
      <c r="MG52" s="611" t="s">
        <v>2720</v>
      </c>
      <c r="MH52" s="611" t="s">
        <v>2720</v>
      </c>
      <c r="MI52" s="611" t="s">
        <v>2720</v>
      </c>
      <c r="MJ52" s="611" t="s">
        <v>2720</v>
      </c>
      <c r="MK52" s="611" t="s">
        <v>2720</v>
      </c>
      <c r="ML52" s="611" t="s">
        <v>2720</v>
      </c>
      <c r="MM52" s="611" t="s">
        <v>2720</v>
      </c>
      <c r="MN52" s="611" t="s">
        <v>2720</v>
      </c>
      <c r="MO52" s="611" t="s">
        <v>2720</v>
      </c>
      <c r="MP52" s="611" t="s">
        <v>2720</v>
      </c>
      <c r="MQ52" s="611" t="s">
        <v>2720</v>
      </c>
      <c r="MR52" s="611" t="s">
        <v>2720</v>
      </c>
      <c r="MS52" s="611" t="s">
        <v>2720</v>
      </c>
      <c r="MT52" s="611" t="s">
        <v>2720</v>
      </c>
      <c r="MU52" s="611" t="s">
        <v>2720</v>
      </c>
      <c r="MV52" s="611" t="s">
        <v>2720</v>
      </c>
      <c r="MW52" s="611" t="s">
        <v>2720</v>
      </c>
      <c r="MX52" s="611" t="s">
        <v>2720</v>
      </c>
      <c r="MY52" s="611" t="s">
        <v>2720</v>
      </c>
      <c r="MZ52" s="611" t="s">
        <v>2720</v>
      </c>
      <c r="NA52" s="611" t="s">
        <v>2720</v>
      </c>
      <c r="NB52" s="611" t="s">
        <v>2720</v>
      </c>
      <c r="NC52" s="611" t="s">
        <v>2720</v>
      </c>
      <c r="ND52" s="611" t="s">
        <v>2720</v>
      </c>
      <c r="NE52" s="611" t="s">
        <v>2720</v>
      </c>
      <c r="NF52" s="611" t="s">
        <v>2720</v>
      </c>
      <c r="NG52" s="611" t="s">
        <v>2720</v>
      </c>
      <c r="NH52" s="611" t="s">
        <v>2720</v>
      </c>
      <c r="NI52" s="611" t="s">
        <v>2720</v>
      </c>
      <c r="NJ52" s="611" t="s">
        <v>2720</v>
      </c>
      <c r="NK52" s="611" t="s">
        <v>2720</v>
      </c>
      <c r="NL52" s="611" t="s">
        <v>2720</v>
      </c>
      <c r="NM52" s="611" t="s">
        <v>2720</v>
      </c>
      <c r="NN52" s="611" t="s">
        <v>2720</v>
      </c>
      <c r="NO52" s="611" t="s">
        <v>2720</v>
      </c>
      <c r="NP52" s="611" t="s">
        <v>2720</v>
      </c>
      <c r="NQ52" s="611" t="s">
        <v>2720</v>
      </c>
      <c r="NR52" s="611" t="s">
        <v>2720</v>
      </c>
      <c r="NS52" s="611" t="s">
        <v>2720</v>
      </c>
      <c r="NT52" s="611" t="s">
        <v>2720</v>
      </c>
      <c r="NU52" s="611" t="s">
        <v>2720</v>
      </c>
      <c r="NV52" s="436" t="s">
        <v>2711</v>
      </c>
      <c r="NW52" s="436" t="s">
        <v>2711</v>
      </c>
      <c r="NX52" s="611" t="s">
        <v>2720</v>
      </c>
      <c r="NY52" s="611" t="s">
        <v>2720</v>
      </c>
      <c r="NZ52" s="611" t="s">
        <v>2720</v>
      </c>
      <c r="OA52" s="635"/>
      <c r="OB52" s="638" t="s">
        <v>2720</v>
      </c>
      <c r="OC52" s="638" t="s">
        <v>2720</v>
      </c>
      <c r="OD52" s="638" t="s">
        <v>2720</v>
      </c>
      <c r="OE52" s="638" t="s">
        <v>2720</v>
      </c>
      <c r="OF52" s="638"/>
      <c r="OG52" s="638"/>
      <c r="OH52" s="638"/>
      <c r="OI52" s="638"/>
      <c r="OJ52" s="638"/>
      <c r="OK52" s="638"/>
      <c r="OL52" s="638"/>
      <c r="OM52" s="638"/>
      <c r="ON52" s="635"/>
      <c r="OO52" s="638" t="s">
        <v>2716</v>
      </c>
      <c r="OP52" s="638" t="s">
        <v>2716</v>
      </c>
      <c r="OQ52" s="638" t="s">
        <v>2716</v>
      </c>
      <c r="OR52" s="638" t="s">
        <v>2716</v>
      </c>
      <c r="OS52" s="638"/>
      <c r="OT52" s="638"/>
      <c r="OU52" s="638"/>
      <c r="OV52" s="638"/>
      <c r="OW52" s="638"/>
      <c r="OX52" s="638"/>
      <c r="OY52" s="638"/>
      <c r="OZ52" s="638"/>
      <c r="PA52" s="638"/>
      <c r="PB52" s="638"/>
      <c r="PC52" s="638"/>
      <c r="PD52" s="638"/>
      <c r="PE52" s="638"/>
      <c r="PF52" s="638"/>
      <c r="PG52" s="640"/>
      <c r="PH52" s="640"/>
      <c r="PI52" s="666" t="s">
        <v>2710</v>
      </c>
      <c r="PJ52" s="666" t="s">
        <v>2710</v>
      </c>
      <c r="PK52" s="666" t="s">
        <v>2710</v>
      </c>
      <c r="PL52" s="420" t="s">
        <v>2711</v>
      </c>
      <c r="PM52" s="420" t="s">
        <v>2711</v>
      </c>
      <c r="PN52" s="420" t="s">
        <v>2711</v>
      </c>
      <c r="PO52" s="550" t="s">
        <v>2721</v>
      </c>
    </row>
    <row r="53" spans="1:431">
      <c r="A53" s="418" t="s">
        <v>1323</v>
      </c>
      <c r="B53" s="623" t="s">
        <v>1254</v>
      </c>
      <c r="C53" s="380" t="s">
        <v>438</v>
      </c>
      <c r="D53" s="380" t="s">
        <v>1307</v>
      </c>
      <c r="E53" s="380" t="s">
        <v>1324</v>
      </c>
      <c r="G53" s="494"/>
      <c r="H53" s="419">
        <v>7.27</v>
      </c>
      <c r="I53" s="419">
        <v>7.27</v>
      </c>
      <c r="J53" s="419">
        <v>7.27</v>
      </c>
      <c r="K53" s="419">
        <v>7.27</v>
      </c>
      <c r="L53" s="419">
        <v>7.27</v>
      </c>
      <c r="M53" s="419">
        <v>7.27</v>
      </c>
      <c r="N53" s="420">
        <v>8.3699999999999992</v>
      </c>
      <c r="O53" s="420">
        <v>8.3699999999999992</v>
      </c>
      <c r="P53" s="420">
        <v>8.3699999999999992</v>
      </c>
      <c r="Q53" s="420">
        <v>8.3699999999999992</v>
      </c>
      <c r="R53" s="420"/>
      <c r="S53" s="420"/>
      <c r="T53" s="420"/>
      <c r="U53" s="420">
        <v>6.6080639999999997</v>
      </c>
      <c r="V53" s="420">
        <v>6.6080639999999997</v>
      </c>
      <c r="W53" s="420">
        <v>6.6080639999999997</v>
      </c>
      <c r="X53" s="420">
        <v>6.6080639999999997</v>
      </c>
      <c r="Y53" s="420">
        <v>6.6080639999999997</v>
      </c>
      <c r="Z53" s="420">
        <v>6.6080639999999997</v>
      </c>
      <c r="AA53" s="420">
        <v>6.6080639999999997</v>
      </c>
      <c r="AB53" s="420">
        <v>6.6080639999999997</v>
      </c>
      <c r="AC53" s="420">
        <v>6.6080639999999997</v>
      </c>
      <c r="AD53" s="420">
        <v>6.6080639999999997</v>
      </c>
      <c r="AE53" s="420">
        <v>6.6080639999999997</v>
      </c>
      <c r="AF53" s="420">
        <v>6.6080639999999997</v>
      </c>
      <c r="AG53" s="420">
        <v>6.6080639999999997</v>
      </c>
      <c r="AH53" s="420">
        <v>6.6080639999999997</v>
      </c>
      <c r="AI53" s="420">
        <v>6.6080639999999997</v>
      </c>
      <c r="AJ53" s="420">
        <v>6.6080639999999997</v>
      </c>
      <c r="AK53" s="420">
        <v>6.6080639999999997</v>
      </c>
      <c r="AL53" s="420">
        <v>6.6080639999999997</v>
      </c>
      <c r="AM53" s="420">
        <v>6.6080639999999997</v>
      </c>
      <c r="AN53" s="420">
        <v>6.6080639999999997</v>
      </c>
      <c r="AO53" s="420">
        <v>6.6080639999999997</v>
      </c>
      <c r="AP53" s="420">
        <v>6.6080639999999997</v>
      </c>
      <c r="AQ53" s="420">
        <v>6.6080639999999997</v>
      </c>
      <c r="AR53" s="420">
        <v>6.6080639999999997</v>
      </c>
      <c r="AS53" s="420">
        <v>6.6080639999999997</v>
      </c>
      <c r="AT53" s="420">
        <v>5.828792</v>
      </c>
      <c r="AU53" s="420">
        <v>5.828792</v>
      </c>
      <c r="AV53" s="420">
        <v>5.828792</v>
      </c>
      <c r="AW53" s="420">
        <v>5.828792</v>
      </c>
      <c r="AX53" s="420">
        <v>5.828792</v>
      </c>
      <c r="AY53" s="420">
        <v>5.828792</v>
      </c>
      <c r="AZ53" s="420">
        <v>5.828792</v>
      </c>
      <c r="BA53" s="420">
        <v>5.828792</v>
      </c>
      <c r="BB53" s="420">
        <v>5.828792</v>
      </c>
      <c r="BC53" s="420">
        <v>5.828792</v>
      </c>
      <c r="BD53" s="420">
        <v>4.1935000000000002</v>
      </c>
      <c r="BE53" s="420">
        <v>4.1935000000000002</v>
      </c>
      <c r="BF53" s="420">
        <v>4.1935000000000002</v>
      </c>
      <c r="BG53" s="420">
        <v>4.1935000000000002</v>
      </c>
      <c r="BH53" s="420">
        <v>4.1935000000000002</v>
      </c>
      <c r="BI53" s="420">
        <v>4.1935000000000002</v>
      </c>
      <c r="BJ53" s="420">
        <v>4.1935000000000002</v>
      </c>
      <c r="BK53" s="420">
        <v>4.1935000000000002</v>
      </c>
      <c r="BL53" s="420">
        <v>4.1935000000000002</v>
      </c>
      <c r="BM53" s="420">
        <v>4.1935000000000002</v>
      </c>
      <c r="BN53" s="420">
        <v>4.1935000000000002</v>
      </c>
      <c r="BO53" s="420">
        <v>4.1935000000000002</v>
      </c>
      <c r="BP53" s="420">
        <v>4.1935000000000002</v>
      </c>
      <c r="BQ53" s="420">
        <v>4.1935000000000002</v>
      </c>
      <c r="BR53" s="420">
        <v>4.1935000000000002</v>
      </c>
      <c r="BS53" s="420">
        <v>4.1935000000000002</v>
      </c>
      <c r="BT53" s="420">
        <v>4.1935000000000002</v>
      </c>
      <c r="BU53" s="420">
        <v>4.1935000000000002</v>
      </c>
      <c r="BV53" s="420">
        <v>4.1935000000000002</v>
      </c>
      <c r="BW53" s="420">
        <v>4.1935000000000002</v>
      </c>
      <c r="BX53" s="420">
        <v>4.1935000000000002</v>
      </c>
      <c r="BY53" s="420">
        <v>4.1935000000000002</v>
      </c>
      <c r="BZ53" s="420">
        <v>4.1935000000000002</v>
      </c>
      <c r="CA53" s="420">
        <v>4.1935000000000002</v>
      </c>
      <c r="CB53" s="420">
        <v>4.1935000000000002</v>
      </c>
      <c r="CC53" s="858">
        <v>4.1935000000000002</v>
      </c>
      <c r="CD53" s="420">
        <v>4.1935000000000002</v>
      </c>
      <c r="CE53" s="420">
        <v>4.1935000000000002</v>
      </c>
      <c r="CF53" s="420">
        <v>4.1935000000000002</v>
      </c>
      <c r="CG53" s="420">
        <v>4.1935000000000002</v>
      </c>
      <c r="CH53" s="420">
        <v>4.1935000000000002</v>
      </c>
      <c r="CI53" s="420">
        <v>4.1935000000000002</v>
      </c>
      <c r="CJ53" s="420">
        <v>4.1935000000000002</v>
      </c>
      <c r="CK53" s="420">
        <v>4.1935000000000002</v>
      </c>
      <c r="CL53" s="420">
        <v>4.1935000000000002</v>
      </c>
      <c r="CM53" s="420">
        <v>4.1935000000000002</v>
      </c>
      <c r="CN53" s="420">
        <v>4.1935000000000002</v>
      </c>
      <c r="CO53" s="420">
        <v>4.1935000000000002</v>
      </c>
      <c r="CP53" s="420">
        <v>4.1935000000000002</v>
      </c>
      <c r="CQ53" s="420">
        <v>4.1935000000000002</v>
      </c>
      <c r="CR53" s="420">
        <v>4.1935000000000002</v>
      </c>
      <c r="CS53" s="420">
        <v>4.1935000000000002</v>
      </c>
      <c r="CT53" s="420">
        <v>4.1935000000000002</v>
      </c>
      <c r="CU53" s="420">
        <v>4.1935000000000002</v>
      </c>
      <c r="CV53" s="420">
        <v>4.1935000000000002</v>
      </c>
      <c r="CW53" s="420">
        <v>4.1935000000000002</v>
      </c>
      <c r="CX53" s="420">
        <v>4.1935000000000002</v>
      </c>
      <c r="CY53" s="420">
        <v>4.1935000000000002</v>
      </c>
      <c r="CZ53" s="420">
        <v>7.27</v>
      </c>
      <c r="DA53" s="420">
        <v>7.27</v>
      </c>
      <c r="DB53" s="420">
        <v>7.27</v>
      </c>
      <c r="DC53" s="420">
        <v>7.27</v>
      </c>
      <c r="DD53" s="420">
        <v>7.27</v>
      </c>
      <c r="DE53" s="420">
        <v>7.27</v>
      </c>
      <c r="DF53" s="420">
        <v>7.27</v>
      </c>
      <c r="DG53" s="420">
        <v>7.27</v>
      </c>
      <c r="DH53" s="420">
        <v>7.27</v>
      </c>
      <c r="DI53" s="420">
        <v>7.27</v>
      </c>
      <c r="DJ53" s="420">
        <v>7.27</v>
      </c>
      <c r="DK53" s="420">
        <v>7.27</v>
      </c>
      <c r="DL53" s="420">
        <v>7.27</v>
      </c>
      <c r="DM53" s="420">
        <v>7.27</v>
      </c>
      <c r="DN53" s="420">
        <v>7.27</v>
      </c>
      <c r="DO53" s="420">
        <v>7.27</v>
      </c>
      <c r="DP53" s="420">
        <v>7.27</v>
      </c>
      <c r="DQ53" s="420">
        <v>7.27</v>
      </c>
      <c r="DR53" s="420">
        <v>7.27</v>
      </c>
      <c r="DS53" s="499"/>
      <c r="DT53" s="421">
        <v>6.1442600000000001</v>
      </c>
      <c r="DU53" s="422">
        <v>6.9164199999999996</v>
      </c>
      <c r="DV53" s="422">
        <v>6.9164199999999996</v>
      </c>
      <c r="DW53" s="422">
        <v>6.9164199999999996</v>
      </c>
      <c r="DX53" s="422">
        <v>6.9164199999999996</v>
      </c>
      <c r="DY53" s="422">
        <v>6.9164199999999996</v>
      </c>
      <c r="DZ53" s="596"/>
      <c r="EA53" s="422">
        <v>3.74396</v>
      </c>
      <c r="EB53" s="422">
        <v>3.74396</v>
      </c>
      <c r="EC53" s="596"/>
      <c r="ED53" s="422">
        <v>4.5897800000000002</v>
      </c>
      <c r="EE53" s="422">
        <v>4.5897800000000002</v>
      </c>
      <c r="EF53" s="422">
        <v>4.5897800000000002</v>
      </c>
      <c r="EG53" s="422">
        <v>4.5897800000000002</v>
      </c>
      <c r="EH53" s="422">
        <v>4.5897800000000002</v>
      </c>
      <c r="EI53" s="422">
        <v>4.5897800000000002</v>
      </c>
      <c r="EJ53" s="422">
        <v>4.5897800000000002</v>
      </c>
      <c r="EK53" s="422">
        <v>4.5897800000000002</v>
      </c>
      <c r="EL53" s="596"/>
      <c r="EM53" s="422">
        <v>3.4163000000000001</v>
      </c>
      <c r="EN53" s="422">
        <v>3.4163000000000001</v>
      </c>
      <c r="EO53" s="422">
        <v>3.4163000000000001</v>
      </c>
      <c r="EP53" s="422">
        <v>3.4163000000000001</v>
      </c>
      <c r="EQ53" s="422">
        <v>3.4163000000000001</v>
      </c>
      <c r="ER53" s="422">
        <v>3.4163000000000001</v>
      </c>
      <c r="ES53" s="422">
        <v>3.9575740000000001</v>
      </c>
      <c r="ET53" s="422">
        <v>3.9575740000000001</v>
      </c>
      <c r="EU53" s="422">
        <v>3.9575740000000001</v>
      </c>
      <c r="EV53" s="422">
        <v>3.9575740000000001</v>
      </c>
      <c r="EW53" s="422">
        <v>3.9575740000000001</v>
      </c>
      <c r="EX53" s="422">
        <v>3.9575740000000001</v>
      </c>
      <c r="EY53" s="422">
        <v>3.9575740000000001</v>
      </c>
      <c r="EZ53" s="422">
        <v>3.9575740000000001</v>
      </c>
      <c r="FA53" s="422">
        <v>3.9575740000000001</v>
      </c>
      <c r="FB53" s="422">
        <v>3.9575740000000001</v>
      </c>
      <c r="FC53" s="422">
        <v>3.9575740000000001</v>
      </c>
      <c r="FD53" s="422">
        <v>3.9575740000000001</v>
      </c>
      <c r="FE53" s="596"/>
      <c r="FF53" s="422">
        <v>8.3261199999999995</v>
      </c>
      <c r="FG53" s="422">
        <v>8.3261199999999995</v>
      </c>
      <c r="FH53" s="422">
        <v>8.3261199999999995</v>
      </c>
      <c r="FI53" s="422">
        <v>8.3261199999999995</v>
      </c>
      <c r="FJ53" s="422">
        <v>8.3261199999999995</v>
      </c>
      <c r="FK53" s="422">
        <v>8.3261199999999995</v>
      </c>
      <c r="FL53" s="422">
        <v>8.3261199999999995</v>
      </c>
      <c r="FM53" s="422">
        <v>8.3261199999999995</v>
      </c>
      <c r="FN53" s="422">
        <v>8.3261199999999995</v>
      </c>
      <c r="FO53" s="422">
        <v>8.3261199999999995</v>
      </c>
      <c r="FP53" s="422">
        <v>8.3261199999999995</v>
      </c>
      <c r="FQ53" s="422">
        <v>8.3261199999999995</v>
      </c>
      <c r="FR53" s="422">
        <v>8.3261199999999995</v>
      </c>
      <c r="FS53" s="422">
        <v>8.3261199999999995</v>
      </c>
      <c r="FT53" s="422">
        <v>8.3261199999999995</v>
      </c>
      <c r="FU53" s="422">
        <v>8.3261199999999995</v>
      </c>
      <c r="FV53" s="422">
        <v>8.3261199999999995</v>
      </c>
      <c r="FW53" s="422">
        <v>8.3261199999999995</v>
      </c>
      <c r="FX53" s="422">
        <v>8.3261199999999995</v>
      </c>
      <c r="FY53" s="422">
        <v>8.3261199999999995</v>
      </c>
      <c r="FZ53" s="422">
        <v>8.3261199999999995</v>
      </c>
      <c r="GA53" s="422">
        <v>8.3261199999999995</v>
      </c>
      <c r="GB53" s="422">
        <v>8.3261199999999995</v>
      </c>
      <c r="GC53" s="422">
        <v>8.3261199999999995</v>
      </c>
      <c r="GD53" s="422">
        <v>8.3261199999999995</v>
      </c>
      <c r="GE53" s="422">
        <v>8.3261199999999995</v>
      </c>
      <c r="GF53" s="422">
        <v>8.3261199999999995</v>
      </c>
      <c r="GG53" s="422">
        <v>8.3261199999999995</v>
      </c>
      <c r="GH53" s="422"/>
      <c r="GI53" s="422"/>
      <c r="GJ53" s="422"/>
      <c r="GK53" s="422"/>
      <c r="GL53" s="422">
        <v>8.3261199999999995</v>
      </c>
      <c r="GM53" s="422">
        <v>8.3261199999999995</v>
      </c>
      <c r="GN53" s="422">
        <v>8.3261199999999995</v>
      </c>
      <c r="GO53" s="422">
        <v>8.3261199999999995</v>
      </c>
      <c r="GP53" s="422">
        <v>8.3261199999999995</v>
      </c>
      <c r="GQ53" s="422">
        <v>8.3261199999999995</v>
      </c>
      <c r="GR53" s="422">
        <v>8.3261199999999995</v>
      </c>
      <c r="GS53" s="422">
        <v>8.3261199999999995</v>
      </c>
      <c r="GT53" s="422">
        <v>8.3261199999999995</v>
      </c>
      <c r="GU53" s="422">
        <v>8.3261199999999995</v>
      </c>
      <c r="GV53" s="422">
        <v>8.3261199999999995</v>
      </c>
      <c r="GW53" s="422">
        <v>8.3261199999999995</v>
      </c>
      <c r="GX53" s="422">
        <v>8.3261199999999995</v>
      </c>
      <c r="GY53" s="422">
        <v>8.3261199999999995</v>
      </c>
      <c r="GZ53" s="422">
        <v>8.3261199999999995</v>
      </c>
      <c r="HA53" s="422">
        <v>8.3261199999999995</v>
      </c>
      <c r="HB53" s="422"/>
      <c r="HC53" s="422"/>
      <c r="HD53" s="596"/>
      <c r="HE53" s="422">
        <v>5.0723799999999999</v>
      </c>
      <c r="HF53" s="422">
        <v>5.0723799999999999</v>
      </c>
      <c r="HG53" s="422">
        <v>5.0723799999999999</v>
      </c>
      <c r="HH53" s="422">
        <v>5.0723799999999999</v>
      </c>
      <c r="HI53" s="422">
        <v>5.0723799999999999</v>
      </c>
      <c r="HJ53" s="596"/>
      <c r="HK53" s="422">
        <v>6.0324999999999998</v>
      </c>
      <c r="HL53" s="422">
        <v>6.0324999999999998</v>
      </c>
      <c r="HM53" s="422">
        <v>6.0324999999999998</v>
      </c>
      <c r="HN53" s="422">
        <v>6.0324999999999998</v>
      </c>
      <c r="HO53" s="422">
        <v>6.0324999999999998</v>
      </c>
      <c r="HP53" s="422">
        <v>6.0324999999999998</v>
      </c>
      <c r="HQ53" s="422">
        <v>6.0324999999999998</v>
      </c>
      <c r="HR53" s="422">
        <v>6.0324999999999998</v>
      </c>
      <c r="HS53" s="422">
        <v>6.0324999999999998</v>
      </c>
      <c r="HT53" s="422">
        <v>6.0324999999999998</v>
      </c>
      <c r="HU53" s="422">
        <v>6.0324999999999998</v>
      </c>
      <c r="HV53" s="422">
        <v>6.0324999999999998</v>
      </c>
      <c r="HW53" s="596"/>
      <c r="HX53" s="422">
        <v>7.0741540000000001</v>
      </c>
      <c r="HY53" s="422">
        <v>7.0741540000000001</v>
      </c>
      <c r="HZ53" s="422">
        <v>7.0741540000000001</v>
      </c>
      <c r="IA53" s="422">
        <v>7.0741540000000001</v>
      </c>
      <c r="IB53" s="422">
        <v>7.0741540000000001</v>
      </c>
      <c r="IC53" s="422">
        <v>7.0741540000000001</v>
      </c>
      <c r="ID53" s="422">
        <v>7.0741540000000001</v>
      </c>
      <c r="IE53" s="422">
        <v>7.0741540000000001</v>
      </c>
      <c r="IF53" s="422">
        <v>7.0741540000000001</v>
      </c>
      <c r="IG53" s="422">
        <v>7.0741540000000001</v>
      </c>
      <c r="IH53" s="422">
        <v>7.0741540000000001</v>
      </c>
      <c r="II53" s="422">
        <v>7.0741540000000001</v>
      </c>
      <c r="IJ53" s="596"/>
      <c r="IK53" s="422">
        <v>6.2712599999999998</v>
      </c>
      <c r="IL53" s="422">
        <v>6.2712599999999998</v>
      </c>
      <c r="IM53" s="422">
        <v>6.2712599999999998</v>
      </c>
      <c r="IN53" s="423"/>
      <c r="IO53" s="424">
        <v>2.525522</v>
      </c>
      <c r="IP53" s="617"/>
      <c r="IQ53" s="617"/>
      <c r="IR53" s="617"/>
      <c r="IS53" s="617"/>
      <c r="IT53" s="617"/>
      <c r="IU53" s="425">
        <v>3.9</v>
      </c>
      <c r="IV53" s="425">
        <v>3.9</v>
      </c>
      <c r="IW53" s="425">
        <v>3.3828990000000001</v>
      </c>
      <c r="IX53" s="425">
        <v>3.3828990000000001</v>
      </c>
      <c r="IY53" s="425">
        <v>3.3828990000000001</v>
      </c>
      <c r="IZ53" s="425">
        <v>3.3828990000000001</v>
      </c>
      <c r="JA53" s="425">
        <v>3.480308</v>
      </c>
      <c r="JB53" s="425">
        <v>4.5</v>
      </c>
      <c r="JC53" s="425">
        <v>2.3531575999999998</v>
      </c>
      <c r="JD53" s="425">
        <v>2.3531575999999998</v>
      </c>
      <c r="JE53" s="425">
        <v>2.3531575999999998</v>
      </c>
      <c r="JF53" s="425">
        <v>2.3531575999999998</v>
      </c>
      <c r="JG53" s="425">
        <v>2.3531575999999998</v>
      </c>
      <c r="JH53" s="425"/>
      <c r="JI53" s="425"/>
      <c r="JJ53" s="426"/>
      <c r="JK53" s="427">
        <v>3.665</v>
      </c>
      <c r="JL53" s="428">
        <v>3.665</v>
      </c>
      <c r="JM53" s="428">
        <v>3.194</v>
      </c>
      <c r="JN53" s="428">
        <v>3.194</v>
      </c>
      <c r="JO53" s="428">
        <v>3.194</v>
      </c>
      <c r="JP53" s="428">
        <v>3.194</v>
      </c>
      <c r="JQ53" s="428">
        <v>3.6819999999999999</v>
      </c>
      <c r="JR53" s="428">
        <v>3.6819999999999999</v>
      </c>
      <c r="JS53" s="428">
        <v>3.6819999999999999</v>
      </c>
      <c r="JT53" s="428">
        <v>3.6819999999999999</v>
      </c>
      <c r="JU53" s="428">
        <v>3.6819999999999999</v>
      </c>
      <c r="JV53" s="428">
        <v>3.6819999999999999</v>
      </c>
      <c r="JW53" s="428">
        <v>3.6819999999999999</v>
      </c>
      <c r="JX53" s="428">
        <v>3.6819999999999999</v>
      </c>
      <c r="JY53" s="428">
        <v>2.8651200000000001</v>
      </c>
      <c r="JZ53" s="428">
        <v>2.8651200000000001</v>
      </c>
      <c r="KA53" s="428">
        <v>2.8651200000000001</v>
      </c>
      <c r="KB53" s="428">
        <v>2.8651200000000001</v>
      </c>
      <c r="KC53" s="428">
        <v>2.8651200000000001</v>
      </c>
      <c r="KD53" s="428">
        <v>2.8651200000000001</v>
      </c>
      <c r="KE53" s="428">
        <v>2.8651200000000001</v>
      </c>
      <c r="KF53" s="428">
        <v>2.8651200000000001</v>
      </c>
      <c r="KG53" s="428">
        <v>2.8651200000000001</v>
      </c>
      <c r="KH53" s="428">
        <v>2.8651200000000001</v>
      </c>
      <c r="KI53" s="428">
        <v>2.8651200000000001</v>
      </c>
      <c r="KJ53" s="429"/>
      <c r="KK53" s="430">
        <v>2.191004</v>
      </c>
      <c r="KL53" s="545">
        <v>2.191004</v>
      </c>
      <c r="KM53" s="431">
        <v>2.191004</v>
      </c>
      <c r="KN53" s="431">
        <v>2.191004</v>
      </c>
      <c r="KO53" s="431"/>
      <c r="KP53" s="431"/>
      <c r="KQ53" s="463"/>
      <c r="KR53" s="464">
        <v>2.1459443999999999</v>
      </c>
      <c r="KS53" s="465">
        <v>2.1459443999999999</v>
      </c>
      <c r="KT53" s="466">
        <v>2.1459443999999999</v>
      </c>
      <c r="KU53" s="466">
        <v>2.1459443999999999</v>
      </c>
      <c r="KV53" s="466">
        <v>2.1459443999999999</v>
      </c>
      <c r="KW53" s="466">
        <v>2.1459443999999999</v>
      </c>
      <c r="KX53" s="466">
        <v>2.1459443999999999</v>
      </c>
      <c r="KY53" s="466">
        <v>2.1459443999999999</v>
      </c>
      <c r="KZ53" s="466">
        <v>2.1459443999999999</v>
      </c>
      <c r="LA53" s="466">
        <v>2.1459443999999999</v>
      </c>
      <c r="LB53" s="466">
        <v>2.1459443999999999</v>
      </c>
      <c r="LC53" s="466">
        <v>2.1459443999999999</v>
      </c>
      <c r="LD53" s="466">
        <v>2.1459443999999999</v>
      </c>
      <c r="LE53" s="466">
        <v>2.1459443999999999</v>
      </c>
      <c r="LF53" s="466">
        <v>2.1459443999999999</v>
      </c>
      <c r="LG53" s="466">
        <v>2.1459443999999999</v>
      </c>
      <c r="LH53" s="466">
        <v>2.1459443999999999</v>
      </c>
      <c r="LI53" s="466">
        <v>2.0342859999999998</v>
      </c>
      <c r="LJ53" s="466">
        <v>2.0342859999999998</v>
      </c>
      <c r="LK53" s="466">
        <v>2.0342859999999998</v>
      </c>
      <c r="LL53" s="466">
        <v>2.1018500000000002</v>
      </c>
      <c r="LM53" s="466">
        <v>2.1018500000000002</v>
      </c>
      <c r="LN53" s="466"/>
      <c r="LO53" s="466"/>
      <c r="LP53" s="466"/>
      <c r="LQ53" s="466"/>
      <c r="LR53" s="466"/>
      <c r="LS53" s="466"/>
      <c r="LT53" s="734"/>
      <c r="LU53" s="611"/>
      <c r="LV53" s="588"/>
      <c r="LW53" s="611">
        <v>6.7564000000000002</v>
      </c>
      <c r="LX53" s="611">
        <v>6.7564000000000002</v>
      </c>
      <c r="LY53" s="611">
        <v>6.7564000000000002</v>
      </c>
      <c r="LZ53" s="611">
        <v>6.7564000000000002</v>
      </c>
      <c r="MA53" s="611">
        <v>6.7564000000000002</v>
      </c>
      <c r="MB53" s="611">
        <v>6.7564000000000002</v>
      </c>
      <c r="MC53" s="611">
        <v>6.7564000000000002</v>
      </c>
      <c r="MD53" s="588">
        <v>6.7564000000000002</v>
      </c>
      <c r="ME53" s="611">
        <v>6.7564000000000002</v>
      </c>
      <c r="MF53" s="588">
        <v>6.7564000000000002</v>
      </c>
      <c r="MG53" s="611">
        <v>6.7564000000000002</v>
      </c>
      <c r="MH53" s="588">
        <v>6.7564000000000002</v>
      </c>
      <c r="MI53" s="611">
        <v>6.7564000000000002</v>
      </c>
      <c r="MJ53" s="588">
        <v>7.00786</v>
      </c>
      <c r="MK53" s="611">
        <v>7.00786</v>
      </c>
      <c r="ML53" s="611">
        <v>6.9278500000000003</v>
      </c>
      <c r="MM53" s="611">
        <v>6.9278500000000003</v>
      </c>
      <c r="MN53" s="611">
        <v>6.9278500000000003</v>
      </c>
      <c r="MO53" s="611">
        <v>6.9278500000000003</v>
      </c>
      <c r="MP53" s="611">
        <v>7.00786</v>
      </c>
      <c r="MQ53" s="611">
        <v>7.00786</v>
      </c>
      <c r="MR53" s="611">
        <v>6.9278500000000003</v>
      </c>
      <c r="MS53" s="611">
        <v>6.9278500000000003</v>
      </c>
      <c r="MT53" s="611">
        <v>6.9278500000000003</v>
      </c>
      <c r="MU53" s="611">
        <v>6.9278500000000003</v>
      </c>
      <c r="MV53" s="611">
        <v>3.5941000000000001</v>
      </c>
      <c r="MW53" s="588">
        <v>3.5941000000000001</v>
      </c>
      <c r="MX53" s="436">
        <v>3.5941000000000001</v>
      </c>
      <c r="MY53" s="436">
        <v>3.5941000000000001</v>
      </c>
      <c r="MZ53" s="436">
        <v>3.5941000000000001</v>
      </c>
      <c r="NA53" s="436">
        <v>3.5941000000000001</v>
      </c>
      <c r="NB53" s="436">
        <v>3.74396</v>
      </c>
      <c r="NC53" s="436">
        <v>3.74396</v>
      </c>
      <c r="ND53" s="436">
        <v>3.74396</v>
      </c>
      <c r="NE53" s="436">
        <v>3.74396</v>
      </c>
      <c r="NF53" s="436">
        <v>3.74396</v>
      </c>
      <c r="NG53" s="436">
        <v>3.74396</v>
      </c>
      <c r="NH53" s="436">
        <v>3.74396</v>
      </c>
      <c r="NI53" s="436">
        <v>3.74396</v>
      </c>
      <c r="NJ53" s="436">
        <v>3.74396</v>
      </c>
      <c r="NK53" s="436">
        <v>4.0259</v>
      </c>
      <c r="NL53" s="436">
        <v>4.0259</v>
      </c>
      <c r="NM53" s="436">
        <v>4.0259</v>
      </c>
      <c r="NN53" s="436">
        <v>4.0259</v>
      </c>
      <c r="NO53" s="436">
        <v>7.6373227999999997</v>
      </c>
      <c r="NP53" s="436">
        <v>7.5128120000000003</v>
      </c>
      <c r="NQ53" s="436">
        <v>7.5128120000000003</v>
      </c>
      <c r="NR53" s="436">
        <v>7.5128120000000003</v>
      </c>
      <c r="NS53" s="436">
        <v>7.6373227999999997</v>
      </c>
      <c r="NT53" s="436">
        <v>7.5128120000000003</v>
      </c>
      <c r="NU53" s="436">
        <v>7.6373227999999997</v>
      </c>
      <c r="NV53" s="436">
        <v>7.5133200000000002</v>
      </c>
      <c r="NW53" s="436">
        <v>7.5133200000000002</v>
      </c>
      <c r="NX53" s="436">
        <v>7.6373227999999997</v>
      </c>
      <c r="NY53" s="436">
        <v>4.0259</v>
      </c>
      <c r="NZ53" s="611">
        <v>4.0259</v>
      </c>
      <c r="OA53" s="635"/>
      <c r="OB53" s="638">
        <v>7.4549000000000003</v>
      </c>
      <c r="OC53" s="638">
        <v>7.4549000000000003</v>
      </c>
      <c r="OD53" s="638">
        <v>7.4549000000000003</v>
      </c>
      <c r="OE53" s="638">
        <v>7.4549000000000003</v>
      </c>
      <c r="OF53" s="638"/>
      <c r="OG53" s="638"/>
      <c r="OH53" s="638"/>
      <c r="OI53" s="638"/>
      <c r="OJ53" s="638"/>
      <c r="OK53" s="638"/>
      <c r="OL53" s="638"/>
      <c r="OM53" s="638"/>
      <c r="ON53" s="635"/>
      <c r="OO53" s="638"/>
      <c r="OP53" s="638"/>
      <c r="OQ53" s="638"/>
      <c r="OR53" s="638"/>
      <c r="OS53" s="638"/>
      <c r="OT53" s="638"/>
      <c r="OU53" s="638"/>
      <c r="OV53" s="638"/>
      <c r="OW53" s="638"/>
      <c r="OX53" s="638"/>
      <c r="OY53" s="638"/>
      <c r="OZ53" s="638"/>
      <c r="PA53" s="638"/>
      <c r="PB53" s="638"/>
      <c r="PC53" s="638"/>
      <c r="PD53" s="638"/>
      <c r="PE53" s="638"/>
      <c r="PF53" s="638"/>
      <c r="PG53" s="640"/>
      <c r="PH53" s="640"/>
      <c r="PI53" s="666"/>
      <c r="PJ53" s="666"/>
      <c r="PK53" s="666"/>
      <c r="PL53" s="420"/>
      <c r="PM53" s="420"/>
      <c r="PN53" s="420"/>
      <c r="PO53" s="550"/>
    </row>
    <row r="54" spans="1:431" ht="15.75">
      <c r="A54" s="510" t="s">
        <v>1325</v>
      </c>
      <c r="B54" s="623"/>
      <c r="G54" s="494"/>
      <c r="H54" s="511"/>
      <c r="I54" s="512"/>
      <c r="J54" s="512"/>
      <c r="K54" s="512"/>
      <c r="L54" s="512"/>
      <c r="M54" s="512"/>
      <c r="N54" s="512"/>
      <c r="O54" s="512"/>
      <c r="P54" s="512"/>
      <c r="Q54" s="512"/>
      <c r="R54" s="512"/>
      <c r="S54" s="512"/>
      <c r="T54" s="512"/>
      <c r="U54" s="512"/>
      <c r="V54" s="512"/>
      <c r="W54" s="512"/>
      <c r="X54" s="512"/>
      <c r="Y54" s="512"/>
      <c r="Z54" s="512"/>
      <c r="AA54" s="512"/>
      <c r="AB54" s="512"/>
      <c r="AC54" s="512"/>
      <c r="AD54" s="512"/>
      <c r="AE54" s="512"/>
      <c r="AF54" s="512"/>
      <c r="AG54" s="512"/>
      <c r="AH54" s="512"/>
      <c r="AI54" s="512"/>
      <c r="AJ54" s="512"/>
      <c r="AK54" s="512"/>
      <c r="AL54" s="512"/>
      <c r="AM54" s="512"/>
      <c r="AN54" s="512"/>
      <c r="AO54" s="512"/>
      <c r="AP54" s="512"/>
      <c r="AQ54" s="512"/>
      <c r="AR54" s="512"/>
      <c r="AS54" s="512"/>
      <c r="AT54" s="512"/>
      <c r="AU54" s="512"/>
      <c r="AV54" s="512"/>
      <c r="AW54" s="512"/>
      <c r="AX54" s="512"/>
      <c r="AY54" s="512"/>
      <c r="AZ54" s="512"/>
      <c r="BA54" s="512"/>
      <c r="BB54" s="512"/>
      <c r="BC54" s="512"/>
      <c r="BD54" s="512"/>
      <c r="BE54" s="512"/>
      <c r="BF54" s="512"/>
      <c r="BG54" s="512"/>
      <c r="BH54" s="512"/>
      <c r="BI54" s="512"/>
      <c r="BJ54" s="512"/>
      <c r="BK54" s="512"/>
      <c r="BL54" s="512"/>
      <c r="BM54" s="512"/>
      <c r="BN54" s="512"/>
      <c r="BO54" s="512"/>
      <c r="BP54" s="512"/>
      <c r="BQ54" s="512"/>
      <c r="BR54" s="512"/>
      <c r="BS54" s="512"/>
      <c r="BT54" s="512"/>
      <c r="BU54" s="512"/>
      <c r="BV54" s="512"/>
      <c r="BW54" s="512"/>
      <c r="BX54" s="512"/>
      <c r="BY54" s="512"/>
      <c r="BZ54" s="512"/>
      <c r="CA54" s="512"/>
      <c r="CB54" s="512"/>
      <c r="CC54" s="865"/>
      <c r="CD54" s="512"/>
      <c r="CE54" s="512"/>
      <c r="CF54" s="512"/>
      <c r="CG54" s="512"/>
      <c r="CH54" s="512"/>
      <c r="CI54" s="512"/>
      <c r="CJ54" s="512"/>
      <c r="CK54" s="512"/>
      <c r="CL54" s="512"/>
      <c r="CM54" s="512"/>
      <c r="CN54" s="512"/>
      <c r="CO54" s="512"/>
      <c r="CP54" s="512"/>
      <c r="CQ54" s="512"/>
      <c r="CR54" s="512"/>
      <c r="CS54" s="512"/>
      <c r="CT54" s="512"/>
      <c r="CU54" s="512"/>
      <c r="CV54" s="512"/>
      <c r="CW54" s="512"/>
      <c r="CX54" s="512"/>
      <c r="CY54" s="512"/>
      <c r="CZ54" s="512"/>
      <c r="DA54" s="512"/>
      <c r="DB54" s="512"/>
      <c r="DC54" s="512"/>
      <c r="DD54" s="512"/>
      <c r="DE54" s="512"/>
      <c r="DF54" s="512"/>
      <c r="DG54" s="512"/>
      <c r="DH54" s="512"/>
      <c r="DI54" s="512"/>
      <c r="DJ54" s="512"/>
      <c r="DK54" s="512"/>
      <c r="DL54" s="512"/>
      <c r="DM54" s="512"/>
      <c r="DN54" s="512"/>
      <c r="DO54" s="512"/>
      <c r="DP54" s="512"/>
      <c r="DQ54" s="512"/>
      <c r="DR54" s="512"/>
      <c r="DS54" s="499"/>
      <c r="DT54" s="511"/>
      <c r="DU54" s="513"/>
      <c r="DV54" s="513"/>
      <c r="DW54" s="513"/>
      <c r="DX54" s="513"/>
      <c r="DY54" s="513"/>
      <c r="DZ54" s="540"/>
      <c r="EA54" s="513"/>
      <c r="EB54" s="513"/>
      <c r="EC54" s="540"/>
      <c r="ED54" s="513"/>
      <c r="EE54" s="513"/>
      <c r="EF54" s="513"/>
      <c r="EG54" s="513"/>
      <c r="EH54" s="513"/>
      <c r="EI54" s="513"/>
      <c r="EJ54" s="513"/>
      <c r="EK54" s="513"/>
      <c r="EL54" s="540"/>
      <c r="EM54" s="513"/>
      <c r="EN54" s="513"/>
      <c r="EO54" s="513"/>
      <c r="EP54" s="513"/>
      <c r="EQ54" s="513"/>
      <c r="ER54" s="513"/>
      <c r="ES54" s="513"/>
      <c r="ET54" s="513"/>
      <c r="EU54" s="513"/>
      <c r="EV54" s="513"/>
      <c r="EW54" s="513"/>
      <c r="EX54" s="513"/>
      <c r="EY54" s="513"/>
      <c r="EZ54" s="513"/>
      <c r="FA54" s="513"/>
      <c r="FB54" s="513"/>
      <c r="FC54" s="513"/>
      <c r="FD54" s="513"/>
      <c r="FE54" s="540"/>
      <c r="FF54" s="513"/>
      <c r="FG54" s="513"/>
      <c r="FH54" s="513"/>
      <c r="FI54" s="513"/>
      <c r="FJ54" s="513"/>
      <c r="FK54" s="513"/>
      <c r="FL54" s="513"/>
      <c r="FM54" s="513"/>
      <c r="FN54" s="513"/>
      <c r="FO54" s="513"/>
      <c r="FP54" s="513"/>
      <c r="FQ54" s="513"/>
      <c r="FR54" s="513"/>
      <c r="FS54" s="513"/>
      <c r="FT54" s="513"/>
      <c r="FU54" s="513"/>
      <c r="FV54" s="513"/>
      <c r="FW54" s="513"/>
      <c r="FX54" s="513"/>
      <c r="FY54" s="513"/>
      <c r="FZ54" s="513"/>
      <c r="GA54" s="513"/>
      <c r="GB54" s="513"/>
      <c r="GC54" s="513"/>
      <c r="GD54" s="513"/>
      <c r="GE54" s="513"/>
      <c r="GF54" s="513"/>
      <c r="GG54" s="513"/>
      <c r="GH54" s="513"/>
      <c r="GI54" s="513"/>
      <c r="GJ54" s="513"/>
      <c r="GK54" s="513"/>
      <c r="GL54" s="513"/>
      <c r="GM54" s="513"/>
      <c r="GN54" s="513"/>
      <c r="GO54" s="513"/>
      <c r="GP54" s="513"/>
      <c r="GQ54" s="513"/>
      <c r="GR54" s="513"/>
      <c r="GS54" s="513"/>
      <c r="GT54" s="513"/>
      <c r="GU54" s="513"/>
      <c r="GV54" s="513"/>
      <c r="GW54" s="513"/>
      <c r="GX54" s="513"/>
      <c r="GY54" s="513"/>
      <c r="GZ54" s="513"/>
      <c r="HA54" s="513"/>
      <c r="HB54" s="513"/>
      <c r="HC54" s="513"/>
      <c r="HD54" s="540"/>
      <c r="HE54" s="513"/>
      <c r="HF54" s="513"/>
      <c r="HG54" s="513"/>
      <c r="HH54" s="513"/>
      <c r="HI54" s="513"/>
      <c r="HJ54" s="540"/>
      <c r="HK54" s="513"/>
      <c r="HL54" s="513"/>
      <c r="HM54" s="513"/>
      <c r="HN54" s="513"/>
      <c r="HO54" s="513"/>
      <c r="HP54" s="513"/>
      <c r="HQ54" s="513"/>
      <c r="HR54" s="513"/>
      <c r="HS54" s="513"/>
      <c r="HT54" s="513"/>
      <c r="HU54" s="513"/>
      <c r="HV54" s="513"/>
      <c r="HW54" s="540"/>
      <c r="HX54" s="513"/>
      <c r="HY54" s="513"/>
      <c r="HZ54" s="513"/>
      <c r="IA54" s="513"/>
      <c r="IB54" s="513"/>
      <c r="IC54" s="513"/>
      <c r="ID54" s="513"/>
      <c r="IE54" s="513"/>
      <c r="IF54" s="513"/>
      <c r="IG54" s="513"/>
      <c r="IH54" s="513"/>
      <c r="II54" s="513"/>
      <c r="IJ54" s="540"/>
      <c r="IK54" s="513"/>
      <c r="IL54" s="513"/>
      <c r="IM54" s="513"/>
      <c r="IN54" s="423"/>
      <c r="IO54" s="511"/>
      <c r="IP54" s="514"/>
      <c r="IQ54" s="513"/>
      <c r="IR54" s="513"/>
      <c r="IS54" s="513"/>
      <c r="IT54" s="513"/>
      <c r="IU54" s="513"/>
      <c r="IV54" s="513"/>
      <c r="IW54" s="513"/>
      <c r="IX54" s="513"/>
      <c r="IY54" s="513"/>
      <c r="IZ54" s="513"/>
      <c r="JA54" s="513"/>
      <c r="JB54" s="513"/>
      <c r="JC54" s="513"/>
      <c r="JD54" s="513"/>
      <c r="JE54" s="513"/>
      <c r="JF54" s="513"/>
      <c r="JG54" s="513"/>
      <c r="JH54" s="513"/>
      <c r="JI54" s="513"/>
      <c r="JJ54" s="426"/>
      <c r="JK54" s="511"/>
      <c r="JL54" s="513"/>
      <c r="JM54" s="513"/>
      <c r="JN54" s="513"/>
      <c r="JO54" s="513"/>
      <c r="JP54" s="513"/>
      <c r="JQ54" s="513"/>
      <c r="JR54" s="513"/>
      <c r="JS54" s="513"/>
      <c r="JT54" s="513"/>
      <c r="JU54" s="513"/>
      <c r="JV54" s="513"/>
      <c r="JW54" s="513"/>
      <c r="JX54" s="513"/>
      <c r="JY54" s="513"/>
      <c r="JZ54" s="513"/>
      <c r="KA54" s="513"/>
      <c r="KB54" s="513"/>
      <c r="KC54" s="513"/>
      <c r="KD54" s="513"/>
      <c r="KE54" s="513"/>
      <c r="KF54" s="513"/>
      <c r="KG54" s="513"/>
      <c r="KH54" s="513"/>
      <c r="KI54" s="513"/>
      <c r="KJ54" s="429"/>
      <c r="KK54" s="511"/>
      <c r="KL54" s="514"/>
      <c r="KM54" s="513"/>
      <c r="KN54" s="513"/>
      <c r="KO54" s="513"/>
      <c r="KP54" s="513"/>
      <c r="KQ54" s="463"/>
      <c r="KR54" s="511"/>
      <c r="KS54" s="514"/>
      <c r="KT54" s="513"/>
      <c r="KU54" s="513"/>
      <c r="KV54" s="513"/>
      <c r="KW54" s="513"/>
      <c r="KX54" s="513"/>
      <c r="KY54" s="513"/>
      <c r="KZ54" s="513"/>
      <c r="LA54" s="513"/>
      <c r="LB54" s="513"/>
      <c r="LC54" s="513"/>
      <c r="LD54" s="513"/>
      <c r="LE54" s="513"/>
      <c r="LF54" s="513"/>
      <c r="LG54" s="513"/>
      <c r="LH54" s="513"/>
      <c r="LI54" s="513"/>
      <c r="LJ54" s="513"/>
      <c r="LK54" s="513"/>
      <c r="LL54" s="513"/>
      <c r="LM54" s="513"/>
      <c r="LN54" s="513"/>
      <c r="LO54" s="513"/>
      <c r="LP54" s="513"/>
      <c r="LQ54" s="513"/>
      <c r="LR54" s="513"/>
      <c r="LS54" s="513"/>
      <c r="LT54" s="734"/>
      <c r="LU54" s="512"/>
      <c r="LV54" s="514"/>
      <c r="LW54" s="512"/>
      <c r="LX54" s="512"/>
      <c r="LY54" s="512"/>
      <c r="LZ54" s="512"/>
      <c r="MA54" s="512"/>
      <c r="MB54" s="512"/>
      <c r="MC54" s="512"/>
      <c r="MD54" s="514"/>
      <c r="ME54" s="512"/>
      <c r="MF54" s="514"/>
      <c r="MG54" s="512"/>
      <c r="MH54" s="514"/>
      <c r="MI54" s="512"/>
      <c r="MJ54" s="514"/>
      <c r="MK54" s="512"/>
      <c r="ML54" s="512"/>
      <c r="MM54" s="512"/>
      <c r="MN54" s="512"/>
      <c r="MO54" s="512"/>
      <c r="MP54" s="512"/>
      <c r="MQ54" s="512"/>
      <c r="MR54" s="512"/>
      <c r="MS54" s="512"/>
      <c r="MT54" s="512"/>
      <c r="MU54" s="512"/>
      <c r="MV54" s="512"/>
      <c r="MW54" s="514"/>
      <c r="MX54" s="513"/>
      <c r="MY54" s="513"/>
      <c r="MZ54" s="513"/>
      <c r="NA54" s="513"/>
      <c r="NB54" s="513"/>
      <c r="NC54" s="513"/>
      <c r="ND54" s="513"/>
      <c r="NE54" s="513"/>
      <c r="NF54" s="513"/>
      <c r="NG54" s="513"/>
      <c r="NH54" s="513"/>
      <c r="NI54" s="513"/>
      <c r="NJ54" s="513"/>
      <c r="NK54" s="513"/>
      <c r="NL54" s="513"/>
      <c r="NM54" s="513"/>
      <c r="NN54" s="513"/>
      <c r="NO54" s="513"/>
      <c r="NP54" s="513"/>
      <c r="NQ54" s="513"/>
      <c r="NR54" s="513"/>
      <c r="NS54" s="513"/>
      <c r="NT54" s="513"/>
      <c r="NU54" s="513"/>
      <c r="NV54" s="513"/>
      <c r="NW54" s="513"/>
      <c r="NX54" s="513"/>
      <c r="NY54" s="513"/>
      <c r="NZ54" s="512"/>
      <c r="OA54" s="635"/>
      <c r="OB54" s="637"/>
      <c r="OC54" s="637"/>
      <c r="OD54" s="637"/>
      <c r="OE54" s="637"/>
      <c r="OF54" s="637"/>
      <c r="OG54" s="637"/>
      <c r="OH54" s="637"/>
      <c r="OI54" s="637"/>
      <c r="OJ54" s="637"/>
      <c r="OK54" s="637"/>
      <c r="OL54" s="637"/>
      <c r="OM54" s="637"/>
      <c r="ON54" s="635"/>
      <c r="OO54" s="637"/>
      <c r="OP54" s="637"/>
      <c r="OQ54" s="637"/>
      <c r="OR54" s="637"/>
      <c r="OS54" s="637"/>
      <c r="OT54" s="637"/>
      <c r="OU54" s="637"/>
      <c r="OV54" s="637"/>
      <c r="OW54" s="637"/>
      <c r="OX54" s="637"/>
      <c r="OY54" s="637"/>
      <c r="OZ54" s="637"/>
      <c r="PA54" s="637"/>
      <c r="PB54" s="637"/>
      <c r="PC54" s="637"/>
      <c r="PD54" s="637"/>
      <c r="PE54" s="637"/>
      <c r="PF54" s="637"/>
      <c r="PG54" s="641"/>
      <c r="PH54" s="641"/>
      <c r="PI54" s="543"/>
      <c r="PJ54" s="543"/>
      <c r="PK54" s="543"/>
      <c r="PL54" s="543"/>
      <c r="PM54" s="543"/>
      <c r="PN54" s="543"/>
      <c r="PO54" s="758"/>
    </row>
    <row r="55" spans="1:431">
      <c r="A55" s="418" t="s">
        <v>1326</v>
      </c>
      <c r="B55" s="623" t="s">
        <v>898</v>
      </c>
      <c r="C55" s="380" t="s">
        <v>420</v>
      </c>
      <c r="D55" s="380" t="s">
        <v>1327</v>
      </c>
      <c r="G55" s="494"/>
      <c r="H55" s="419">
        <v>2</v>
      </c>
      <c r="I55" s="420">
        <v>2</v>
      </c>
      <c r="J55" s="420">
        <v>2</v>
      </c>
      <c r="K55" s="420">
        <v>2</v>
      </c>
      <c r="L55" s="420">
        <v>2</v>
      </c>
      <c r="M55" s="420">
        <v>2</v>
      </c>
      <c r="N55" s="420">
        <v>2</v>
      </c>
      <c r="O55" s="420">
        <v>2</v>
      </c>
      <c r="P55" s="420">
        <v>2</v>
      </c>
      <c r="Q55" s="420">
        <v>2</v>
      </c>
      <c r="R55" s="420">
        <v>2</v>
      </c>
      <c r="S55" s="420">
        <v>2</v>
      </c>
      <c r="T55" s="420"/>
      <c r="U55" s="420">
        <v>3</v>
      </c>
      <c r="V55" s="420">
        <v>3</v>
      </c>
      <c r="W55" s="420">
        <v>3</v>
      </c>
      <c r="X55" s="420">
        <v>3</v>
      </c>
      <c r="Y55" s="420">
        <v>3</v>
      </c>
      <c r="Z55" s="420">
        <v>2</v>
      </c>
      <c r="AA55" s="420">
        <v>3</v>
      </c>
      <c r="AB55" s="420">
        <v>3</v>
      </c>
      <c r="AC55" s="420">
        <v>3</v>
      </c>
      <c r="AD55" s="420">
        <v>3</v>
      </c>
      <c r="AE55" s="420">
        <v>3</v>
      </c>
      <c r="AF55" s="420">
        <v>2</v>
      </c>
      <c r="AG55" s="420">
        <v>2</v>
      </c>
      <c r="AH55" s="420">
        <v>2</v>
      </c>
      <c r="AI55" s="420">
        <v>2</v>
      </c>
      <c r="AJ55" s="420">
        <v>2</v>
      </c>
      <c r="AK55" s="420">
        <v>2</v>
      </c>
      <c r="AL55" s="420">
        <v>2</v>
      </c>
      <c r="AM55" s="420">
        <v>2</v>
      </c>
      <c r="AN55" s="420">
        <v>3</v>
      </c>
      <c r="AO55" s="420">
        <v>2</v>
      </c>
      <c r="AP55" s="420">
        <v>2</v>
      </c>
      <c r="AQ55" s="420">
        <v>3</v>
      </c>
      <c r="AR55" s="420">
        <v>2</v>
      </c>
      <c r="AS55" s="420">
        <v>2</v>
      </c>
      <c r="AT55" s="420">
        <v>2</v>
      </c>
      <c r="AU55" s="420">
        <v>2</v>
      </c>
      <c r="AV55" s="420">
        <v>2</v>
      </c>
      <c r="AW55" s="420">
        <v>2</v>
      </c>
      <c r="AX55" s="420">
        <v>2</v>
      </c>
      <c r="AY55" s="420">
        <v>2</v>
      </c>
      <c r="AZ55" s="420">
        <v>2</v>
      </c>
      <c r="BA55" s="420">
        <v>2</v>
      </c>
      <c r="BB55" s="420">
        <v>2</v>
      </c>
      <c r="BC55" s="420">
        <v>2</v>
      </c>
      <c r="BD55" s="420">
        <v>2</v>
      </c>
      <c r="BE55" s="420">
        <v>2</v>
      </c>
      <c r="BF55" s="420">
        <v>2</v>
      </c>
      <c r="BG55" s="420">
        <v>2</v>
      </c>
      <c r="BH55" s="420">
        <v>2</v>
      </c>
      <c r="BI55" s="420">
        <v>2</v>
      </c>
      <c r="BJ55" s="420">
        <v>2</v>
      </c>
      <c r="BK55" s="420">
        <v>2</v>
      </c>
      <c r="BL55" s="420">
        <v>2</v>
      </c>
      <c r="BM55" s="420">
        <v>2</v>
      </c>
      <c r="BN55" s="420">
        <v>2</v>
      </c>
      <c r="BO55" s="420">
        <v>2</v>
      </c>
      <c r="BP55" s="420">
        <v>2</v>
      </c>
      <c r="BQ55" s="420">
        <v>2</v>
      </c>
      <c r="BR55" s="420">
        <v>2</v>
      </c>
      <c r="BS55" s="420">
        <v>2</v>
      </c>
      <c r="BT55" s="420">
        <v>2</v>
      </c>
      <c r="BU55" s="420">
        <v>2</v>
      </c>
      <c r="BV55" s="420">
        <v>2</v>
      </c>
      <c r="BW55" s="420">
        <v>2</v>
      </c>
      <c r="BX55" s="420">
        <v>2</v>
      </c>
      <c r="BY55" s="420">
        <v>2</v>
      </c>
      <c r="BZ55" s="420">
        <v>2</v>
      </c>
      <c r="CA55" s="420">
        <v>2</v>
      </c>
      <c r="CB55" s="420">
        <v>2</v>
      </c>
      <c r="CC55" s="858">
        <v>2</v>
      </c>
      <c r="CD55" s="420">
        <v>2</v>
      </c>
      <c r="CE55" s="420">
        <v>2</v>
      </c>
      <c r="CF55" s="420">
        <v>2</v>
      </c>
      <c r="CG55" s="420">
        <v>2</v>
      </c>
      <c r="CH55" s="420">
        <v>2</v>
      </c>
      <c r="CI55" s="420">
        <v>2</v>
      </c>
      <c r="CJ55" s="420">
        <v>2</v>
      </c>
      <c r="CK55" s="420">
        <v>2</v>
      </c>
      <c r="CL55" s="420">
        <v>2</v>
      </c>
      <c r="CM55" s="420">
        <v>2</v>
      </c>
      <c r="CN55" s="420">
        <v>2</v>
      </c>
      <c r="CO55" s="420">
        <v>2</v>
      </c>
      <c r="CP55" s="420">
        <v>2</v>
      </c>
      <c r="CQ55" s="420">
        <v>2</v>
      </c>
      <c r="CR55" s="420">
        <v>2</v>
      </c>
      <c r="CS55" s="420">
        <v>2</v>
      </c>
      <c r="CT55" s="420">
        <v>2</v>
      </c>
      <c r="CU55" s="420">
        <v>2</v>
      </c>
      <c r="CV55" s="420">
        <v>2</v>
      </c>
      <c r="CW55" s="420">
        <v>2</v>
      </c>
      <c r="CX55" s="420">
        <v>2</v>
      </c>
      <c r="CY55" s="420">
        <v>2</v>
      </c>
      <c r="CZ55" s="420">
        <v>2</v>
      </c>
      <c r="DA55" s="420">
        <v>2</v>
      </c>
      <c r="DB55" s="420">
        <v>2</v>
      </c>
      <c r="DC55" s="420">
        <v>2</v>
      </c>
      <c r="DD55" s="420">
        <v>2</v>
      </c>
      <c r="DE55" s="420">
        <v>2</v>
      </c>
      <c r="DF55" s="420">
        <v>2</v>
      </c>
      <c r="DG55" s="420">
        <v>2</v>
      </c>
      <c r="DH55" s="420">
        <v>2</v>
      </c>
      <c r="DI55" s="420">
        <v>2</v>
      </c>
      <c r="DJ55" s="420">
        <v>2</v>
      </c>
      <c r="DK55" s="420">
        <v>2</v>
      </c>
      <c r="DL55" s="420">
        <v>2</v>
      </c>
      <c r="DM55" s="420">
        <v>2</v>
      </c>
      <c r="DN55" s="420">
        <v>2</v>
      </c>
      <c r="DO55" s="420">
        <v>2</v>
      </c>
      <c r="DP55" s="420">
        <v>2</v>
      </c>
      <c r="DQ55" s="420">
        <v>2</v>
      </c>
      <c r="DR55" s="420">
        <v>2</v>
      </c>
      <c r="DS55" s="499"/>
      <c r="DT55" s="421">
        <v>3</v>
      </c>
      <c r="DU55" s="421">
        <v>3</v>
      </c>
      <c r="DV55" s="421">
        <v>3</v>
      </c>
      <c r="DW55" s="421">
        <v>3</v>
      </c>
      <c r="DX55" s="421">
        <v>3</v>
      </c>
      <c r="DY55" s="421">
        <v>3</v>
      </c>
      <c r="DZ55" s="596"/>
      <c r="EA55" s="422">
        <v>2</v>
      </c>
      <c r="EB55" s="422">
        <v>2</v>
      </c>
      <c r="EC55" s="596"/>
      <c r="ED55" s="422">
        <v>3</v>
      </c>
      <c r="EE55" s="422">
        <v>3</v>
      </c>
      <c r="EF55" s="422">
        <v>3</v>
      </c>
      <c r="EG55" s="422">
        <v>3</v>
      </c>
      <c r="EH55" s="422">
        <v>3</v>
      </c>
      <c r="EI55" s="422">
        <v>3</v>
      </c>
      <c r="EJ55" s="422">
        <v>3</v>
      </c>
      <c r="EK55" s="422">
        <v>3</v>
      </c>
      <c r="EL55" s="596"/>
      <c r="EM55" s="422">
        <v>2</v>
      </c>
      <c r="EN55" s="422">
        <v>2</v>
      </c>
      <c r="EO55" s="422">
        <v>2</v>
      </c>
      <c r="EP55" s="422">
        <v>2</v>
      </c>
      <c r="EQ55" s="422">
        <v>2</v>
      </c>
      <c r="ER55" s="422">
        <v>2</v>
      </c>
      <c r="ES55" s="422">
        <v>2</v>
      </c>
      <c r="ET55" s="422">
        <v>2</v>
      </c>
      <c r="EU55" s="422">
        <v>2</v>
      </c>
      <c r="EV55" s="422">
        <v>2</v>
      </c>
      <c r="EW55" s="422">
        <v>2</v>
      </c>
      <c r="EX55" s="422">
        <v>2</v>
      </c>
      <c r="EY55" s="422">
        <v>2</v>
      </c>
      <c r="EZ55" s="422">
        <v>2</v>
      </c>
      <c r="FA55" s="422">
        <v>2</v>
      </c>
      <c r="FB55" s="422"/>
      <c r="FC55" s="422"/>
      <c r="FD55" s="422"/>
      <c r="FE55" s="596"/>
      <c r="FF55" s="422">
        <v>3</v>
      </c>
      <c r="FG55" s="422">
        <v>3</v>
      </c>
      <c r="FH55" s="422">
        <v>3</v>
      </c>
      <c r="FI55" s="422">
        <v>3</v>
      </c>
      <c r="FJ55" s="422">
        <v>3</v>
      </c>
      <c r="FK55" s="422">
        <v>3</v>
      </c>
      <c r="FL55" s="422">
        <v>3</v>
      </c>
      <c r="FM55" s="422">
        <v>3</v>
      </c>
      <c r="FN55" s="422">
        <v>3</v>
      </c>
      <c r="FO55" s="422">
        <v>3</v>
      </c>
      <c r="FP55" s="422">
        <v>3</v>
      </c>
      <c r="FQ55" s="422">
        <v>3</v>
      </c>
      <c r="FR55" s="422">
        <v>3</v>
      </c>
      <c r="FS55" s="422">
        <v>3</v>
      </c>
      <c r="FT55" s="422">
        <v>3</v>
      </c>
      <c r="FU55" s="422">
        <v>3</v>
      </c>
      <c r="FV55" s="422">
        <v>3</v>
      </c>
      <c r="FW55" s="422">
        <v>3</v>
      </c>
      <c r="FX55" s="422">
        <v>3</v>
      </c>
      <c r="FY55" s="422">
        <v>3</v>
      </c>
      <c r="FZ55" s="422">
        <v>3</v>
      </c>
      <c r="GA55" s="422">
        <v>3</v>
      </c>
      <c r="GB55" s="422">
        <v>3</v>
      </c>
      <c r="GC55" s="422">
        <v>3</v>
      </c>
      <c r="GD55" s="422">
        <v>3</v>
      </c>
      <c r="GE55" s="422">
        <v>3</v>
      </c>
      <c r="GF55" s="422">
        <v>3</v>
      </c>
      <c r="GG55" s="422">
        <v>3</v>
      </c>
      <c r="GH55" s="422">
        <v>3</v>
      </c>
      <c r="GI55" s="422">
        <v>3</v>
      </c>
      <c r="GJ55" s="422">
        <v>3</v>
      </c>
      <c r="GK55" s="422">
        <v>3</v>
      </c>
      <c r="GL55" s="422">
        <v>2</v>
      </c>
      <c r="GM55" s="422">
        <v>2</v>
      </c>
      <c r="GN55" s="422">
        <v>2</v>
      </c>
      <c r="GO55" s="422"/>
      <c r="GP55" s="422"/>
      <c r="GQ55" s="422"/>
      <c r="GR55" s="422">
        <v>2</v>
      </c>
      <c r="GS55" s="422">
        <v>2</v>
      </c>
      <c r="GT55" s="422">
        <v>2</v>
      </c>
      <c r="GU55" s="422"/>
      <c r="GV55" s="422"/>
      <c r="GW55" s="422"/>
      <c r="GX55" s="422"/>
      <c r="GY55" s="422"/>
      <c r="GZ55" s="422"/>
      <c r="HA55" s="422">
        <v>2</v>
      </c>
      <c r="HB55" s="422">
        <v>2</v>
      </c>
      <c r="HC55" s="422">
        <f>10+2</f>
        <v>12</v>
      </c>
      <c r="HD55" s="596"/>
      <c r="HE55" s="422">
        <v>2</v>
      </c>
      <c r="HF55" s="422">
        <v>2</v>
      </c>
      <c r="HG55" s="422">
        <v>2</v>
      </c>
      <c r="HH55" s="422">
        <v>2</v>
      </c>
      <c r="HI55" s="422">
        <v>2</v>
      </c>
      <c r="HJ55" s="596"/>
      <c r="HK55" s="422">
        <v>2</v>
      </c>
      <c r="HL55" s="422">
        <v>2</v>
      </c>
      <c r="HM55" s="422">
        <v>2</v>
      </c>
      <c r="HN55" s="422">
        <v>2</v>
      </c>
      <c r="HO55" s="422">
        <v>2</v>
      </c>
      <c r="HP55" s="422">
        <v>2</v>
      </c>
      <c r="HQ55" s="422">
        <v>2</v>
      </c>
      <c r="HR55" s="422">
        <v>2</v>
      </c>
      <c r="HS55" s="422">
        <v>2</v>
      </c>
      <c r="HT55" s="422">
        <v>2</v>
      </c>
      <c r="HU55" s="422">
        <v>2</v>
      </c>
      <c r="HV55" s="422">
        <v>2</v>
      </c>
      <c r="HW55" s="596"/>
      <c r="HX55" s="422"/>
      <c r="HY55" s="422"/>
      <c r="HZ55" s="422"/>
      <c r="IA55" s="422"/>
      <c r="IB55" s="422"/>
      <c r="IC55" s="422"/>
      <c r="ID55" s="422">
        <v>2</v>
      </c>
      <c r="IE55" s="422">
        <v>2</v>
      </c>
      <c r="IF55" s="422">
        <v>2</v>
      </c>
      <c r="IG55" s="422">
        <v>2</v>
      </c>
      <c r="IH55" s="422">
        <v>2</v>
      </c>
      <c r="II55" s="422">
        <v>2</v>
      </c>
      <c r="IJ55" s="596"/>
      <c r="IK55" s="422">
        <v>2</v>
      </c>
      <c r="IL55" s="422">
        <v>2</v>
      </c>
      <c r="IM55" s="422">
        <v>2</v>
      </c>
      <c r="IN55" s="423"/>
      <c r="IO55" s="424">
        <v>2</v>
      </c>
      <c r="IP55" s="617">
        <v>2</v>
      </c>
      <c r="IQ55" s="425">
        <v>2</v>
      </c>
      <c r="IR55" s="425">
        <v>2</v>
      </c>
      <c r="IS55" s="425">
        <v>2</v>
      </c>
      <c r="IT55" s="425">
        <v>2</v>
      </c>
      <c r="IU55" s="425">
        <v>2</v>
      </c>
      <c r="IV55" s="425">
        <v>2</v>
      </c>
      <c r="IW55" s="425">
        <v>2</v>
      </c>
      <c r="IX55" s="425">
        <v>2</v>
      </c>
      <c r="IY55" s="425">
        <v>2</v>
      </c>
      <c r="IZ55" s="425">
        <v>2</v>
      </c>
      <c r="JA55" s="425">
        <v>2</v>
      </c>
      <c r="JB55" s="425">
        <v>2</v>
      </c>
      <c r="JC55" s="425">
        <v>2</v>
      </c>
      <c r="JD55" s="425">
        <v>2</v>
      </c>
      <c r="JE55" s="425">
        <v>2</v>
      </c>
      <c r="JF55" s="425">
        <v>2</v>
      </c>
      <c r="JG55" s="425">
        <v>2</v>
      </c>
      <c r="JH55" s="425">
        <v>2</v>
      </c>
      <c r="JI55" s="425">
        <v>2</v>
      </c>
      <c r="JJ55" s="426"/>
      <c r="JK55" s="427">
        <v>2</v>
      </c>
      <c r="JL55" s="428">
        <v>2</v>
      </c>
      <c r="JM55" s="428">
        <v>2</v>
      </c>
      <c r="JN55" s="428">
        <v>2</v>
      </c>
      <c r="JO55" s="428">
        <v>2</v>
      </c>
      <c r="JP55" s="428">
        <v>2</v>
      </c>
      <c r="JQ55" s="428">
        <v>2</v>
      </c>
      <c r="JR55" s="428">
        <v>2</v>
      </c>
      <c r="JS55" s="428">
        <v>2</v>
      </c>
      <c r="JT55" s="428">
        <v>2</v>
      </c>
      <c r="JU55" s="428">
        <v>2</v>
      </c>
      <c r="JV55" s="428">
        <v>2</v>
      </c>
      <c r="JW55" s="428">
        <v>2</v>
      </c>
      <c r="JX55" s="428">
        <v>2</v>
      </c>
      <c r="JY55" s="428">
        <v>2</v>
      </c>
      <c r="JZ55" s="428">
        <v>2</v>
      </c>
      <c r="KA55" s="428">
        <v>2</v>
      </c>
      <c r="KB55" s="428">
        <v>2</v>
      </c>
      <c r="KC55" s="428">
        <v>2</v>
      </c>
      <c r="KD55" s="428">
        <v>2</v>
      </c>
      <c r="KE55" s="428">
        <v>2</v>
      </c>
      <c r="KF55" s="428">
        <v>2</v>
      </c>
      <c r="KG55" s="428">
        <v>2</v>
      </c>
      <c r="KH55" s="428">
        <v>2</v>
      </c>
      <c r="KI55" s="428">
        <v>2</v>
      </c>
      <c r="KJ55" s="429"/>
      <c r="KK55" s="430">
        <v>2</v>
      </c>
      <c r="KL55" s="545">
        <v>2</v>
      </c>
      <c r="KM55" s="431">
        <v>2</v>
      </c>
      <c r="KN55" s="431">
        <v>2</v>
      </c>
      <c r="KO55" s="431"/>
      <c r="KP55" s="431"/>
      <c r="KQ55" s="463"/>
      <c r="KR55" s="464">
        <v>2</v>
      </c>
      <c r="KS55" s="465">
        <v>2</v>
      </c>
      <c r="KT55" s="466">
        <v>2</v>
      </c>
      <c r="KU55" s="466">
        <v>2</v>
      </c>
      <c r="KV55" s="466">
        <v>2</v>
      </c>
      <c r="KW55" s="466">
        <v>2</v>
      </c>
      <c r="KX55" s="466">
        <v>2</v>
      </c>
      <c r="KY55" s="466">
        <v>2</v>
      </c>
      <c r="KZ55" s="466">
        <v>2</v>
      </c>
      <c r="LA55" s="466">
        <v>2</v>
      </c>
      <c r="LB55" s="466">
        <v>2</v>
      </c>
      <c r="LC55" s="466">
        <v>2</v>
      </c>
      <c r="LD55" s="466">
        <v>2</v>
      </c>
      <c r="LE55" s="466">
        <v>2</v>
      </c>
      <c r="LF55" s="466">
        <v>2</v>
      </c>
      <c r="LG55" s="466">
        <v>2</v>
      </c>
      <c r="LH55" s="466">
        <v>2</v>
      </c>
      <c r="LI55" s="466">
        <v>2</v>
      </c>
      <c r="LJ55" s="466">
        <v>2</v>
      </c>
      <c r="LK55" s="466">
        <v>2</v>
      </c>
      <c r="LL55" s="466">
        <v>2</v>
      </c>
      <c r="LM55" s="466">
        <v>2</v>
      </c>
      <c r="LN55" s="466"/>
      <c r="LO55" s="466">
        <v>2</v>
      </c>
      <c r="LP55" s="466"/>
      <c r="LQ55" s="466"/>
      <c r="LR55" s="466"/>
      <c r="LS55" s="466"/>
      <c r="LT55" s="734"/>
      <c r="LU55" s="611"/>
      <c r="LV55" s="588"/>
      <c r="LW55" s="611">
        <v>3</v>
      </c>
      <c r="LX55" s="611">
        <v>3</v>
      </c>
      <c r="LY55" s="611">
        <v>3</v>
      </c>
      <c r="LZ55" s="611">
        <v>3</v>
      </c>
      <c r="MA55" s="611">
        <v>3</v>
      </c>
      <c r="MB55" s="611">
        <v>3</v>
      </c>
      <c r="MC55" s="611">
        <v>3</v>
      </c>
      <c r="MD55" s="588">
        <v>3</v>
      </c>
      <c r="ME55" s="611">
        <v>3</v>
      </c>
      <c r="MF55" s="588">
        <v>3</v>
      </c>
      <c r="MG55" s="611">
        <v>3</v>
      </c>
      <c r="MH55" s="588">
        <v>3</v>
      </c>
      <c r="MI55" s="611">
        <v>3</v>
      </c>
      <c r="MJ55" s="588">
        <v>3</v>
      </c>
      <c r="MK55" s="611">
        <v>3</v>
      </c>
      <c r="ML55" s="611">
        <v>3</v>
      </c>
      <c r="MM55" s="611">
        <v>3</v>
      </c>
      <c r="MN55" s="611">
        <v>3</v>
      </c>
      <c r="MO55" s="611">
        <v>3</v>
      </c>
      <c r="MP55" s="611">
        <v>3</v>
      </c>
      <c r="MQ55" s="611">
        <v>3</v>
      </c>
      <c r="MR55" s="611">
        <v>3</v>
      </c>
      <c r="MS55" s="611">
        <v>3</v>
      </c>
      <c r="MT55" s="611">
        <v>3</v>
      </c>
      <c r="MU55" s="611">
        <v>3</v>
      </c>
      <c r="MV55" s="611">
        <v>2</v>
      </c>
      <c r="MW55" s="588">
        <v>2</v>
      </c>
      <c r="MX55" s="436">
        <v>2</v>
      </c>
      <c r="MY55" s="436">
        <v>2</v>
      </c>
      <c r="MZ55" s="436">
        <v>2</v>
      </c>
      <c r="NA55" s="436">
        <v>2</v>
      </c>
      <c r="NB55" s="436">
        <v>2</v>
      </c>
      <c r="NC55" s="436">
        <v>2</v>
      </c>
      <c r="ND55" s="436">
        <v>2</v>
      </c>
      <c r="NE55" s="436">
        <v>2</v>
      </c>
      <c r="NF55" s="436">
        <v>2</v>
      </c>
      <c r="NG55" s="436">
        <v>2</v>
      </c>
      <c r="NH55" s="436">
        <v>2</v>
      </c>
      <c r="NI55" s="436">
        <v>2</v>
      </c>
      <c r="NJ55" s="436">
        <v>2</v>
      </c>
      <c r="NK55" s="436">
        <v>2</v>
      </c>
      <c r="NL55" s="436">
        <v>2</v>
      </c>
      <c r="NM55" s="436">
        <v>2</v>
      </c>
      <c r="NN55" s="436">
        <v>2</v>
      </c>
      <c r="NO55" s="436">
        <v>3</v>
      </c>
      <c r="NP55" s="436">
        <v>3</v>
      </c>
      <c r="NQ55" s="436">
        <v>3</v>
      </c>
      <c r="NR55" s="436">
        <v>3</v>
      </c>
      <c r="NS55" s="436">
        <v>3</v>
      </c>
      <c r="NT55" s="436">
        <v>3</v>
      </c>
      <c r="NU55" s="436">
        <v>3</v>
      </c>
      <c r="NV55" s="436">
        <v>2</v>
      </c>
      <c r="NW55" s="436">
        <v>2</v>
      </c>
      <c r="NX55" s="436"/>
      <c r="NY55" s="436">
        <v>2</v>
      </c>
      <c r="NZ55" s="611">
        <v>2</v>
      </c>
      <c r="OA55" s="635"/>
      <c r="OB55" s="638">
        <v>3</v>
      </c>
      <c r="OC55" s="638">
        <v>3</v>
      </c>
      <c r="OD55" s="638">
        <v>3</v>
      </c>
      <c r="OE55" s="638">
        <v>3</v>
      </c>
      <c r="OF55" s="638"/>
      <c r="OG55" s="638"/>
      <c r="OH55" s="638"/>
      <c r="OI55" s="638"/>
      <c r="OJ55" s="638"/>
      <c r="OK55" s="638"/>
      <c r="OL55" s="638"/>
      <c r="OM55" s="638"/>
      <c r="ON55" s="635"/>
      <c r="OO55" s="638"/>
      <c r="OP55" s="638"/>
      <c r="OQ55" s="638"/>
      <c r="OR55" s="638"/>
      <c r="OS55" s="638"/>
      <c r="OT55" s="638"/>
      <c r="OU55" s="638"/>
      <c r="OV55" s="638"/>
      <c r="OW55" s="638"/>
      <c r="OX55" s="638"/>
      <c r="OY55" s="638"/>
      <c r="OZ55" s="638"/>
      <c r="PA55" s="638"/>
      <c r="PB55" s="638">
        <v>2</v>
      </c>
      <c r="PC55" s="638">
        <v>2</v>
      </c>
      <c r="PD55" s="638"/>
      <c r="PE55" s="638">
        <v>2</v>
      </c>
      <c r="PF55" s="638"/>
      <c r="PG55" s="638"/>
      <c r="PH55" s="752"/>
      <c r="PI55" s="666">
        <v>2</v>
      </c>
      <c r="PJ55" s="666">
        <v>2</v>
      </c>
      <c r="PK55" s="666">
        <v>2</v>
      </c>
      <c r="PL55" s="420">
        <v>2</v>
      </c>
      <c r="PM55" s="420">
        <v>2</v>
      </c>
      <c r="PN55" s="420">
        <v>2</v>
      </c>
      <c r="PO55" s="550"/>
    </row>
    <row r="56" spans="1:431">
      <c r="A56" s="418" t="s">
        <v>1328</v>
      </c>
      <c r="B56" s="623" t="s">
        <v>898</v>
      </c>
      <c r="C56" s="380" t="s">
        <v>420</v>
      </c>
      <c r="D56" s="380" t="s">
        <v>1329</v>
      </c>
      <c r="G56" s="494"/>
      <c r="H56" s="419"/>
      <c r="I56" s="420"/>
      <c r="J56" s="420"/>
      <c r="K56" s="420"/>
      <c r="L56" s="420"/>
      <c r="M56" s="420"/>
      <c r="N56" s="420"/>
      <c r="O56" s="420"/>
      <c r="P56" s="420"/>
      <c r="Q56" s="420"/>
      <c r="R56" s="420">
        <v>8</v>
      </c>
      <c r="S56" s="420">
        <v>8</v>
      </c>
      <c r="T56" s="420"/>
      <c r="U56" s="420">
        <v>7</v>
      </c>
      <c r="V56" s="420">
        <v>7</v>
      </c>
      <c r="W56" s="420">
        <v>7</v>
      </c>
      <c r="X56" s="420">
        <v>7</v>
      </c>
      <c r="Y56" s="420">
        <v>7</v>
      </c>
      <c r="Z56" s="420">
        <v>7</v>
      </c>
      <c r="AA56" s="420">
        <v>7</v>
      </c>
      <c r="AB56" s="420">
        <v>7</v>
      </c>
      <c r="AC56" s="420">
        <v>7</v>
      </c>
      <c r="AD56" s="420">
        <v>7</v>
      </c>
      <c r="AE56" s="420">
        <v>7</v>
      </c>
      <c r="AF56" s="420">
        <v>7</v>
      </c>
      <c r="AG56" s="420">
        <v>7</v>
      </c>
      <c r="AH56" s="420"/>
      <c r="AI56" s="420"/>
      <c r="AJ56" s="420"/>
      <c r="AK56" s="420"/>
      <c r="AL56" s="420"/>
      <c r="AM56" s="420"/>
      <c r="AN56" s="420"/>
      <c r="AO56" s="420"/>
      <c r="AP56" s="420"/>
      <c r="AQ56" s="420"/>
      <c r="AR56" s="420"/>
      <c r="AS56" s="420"/>
      <c r="AT56" s="420">
        <v>6</v>
      </c>
      <c r="AU56" s="420">
        <v>6</v>
      </c>
      <c r="AV56" s="420">
        <v>6</v>
      </c>
      <c r="AW56" s="420">
        <v>6</v>
      </c>
      <c r="AX56" s="420">
        <v>6</v>
      </c>
      <c r="AY56" s="420">
        <v>6</v>
      </c>
      <c r="AZ56" s="420">
        <v>6</v>
      </c>
      <c r="BA56" s="420">
        <v>6</v>
      </c>
      <c r="BB56" s="420">
        <v>6</v>
      </c>
      <c r="BC56" s="420">
        <v>6</v>
      </c>
      <c r="BD56" s="420"/>
      <c r="BE56" s="420"/>
      <c r="BF56" s="420"/>
      <c r="BG56" s="420"/>
      <c r="BH56" s="420"/>
      <c r="BI56" s="420"/>
      <c r="BJ56" s="420"/>
      <c r="BK56" s="420"/>
      <c r="BL56" s="420"/>
      <c r="BM56" s="420"/>
      <c r="BN56" s="420"/>
      <c r="BO56" s="420"/>
      <c r="BP56" s="420"/>
      <c r="BQ56" s="420"/>
      <c r="BR56" s="420"/>
      <c r="BS56" s="420"/>
      <c r="BT56" s="420"/>
      <c r="BU56" s="420"/>
      <c r="BV56" s="420"/>
      <c r="BW56" s="420"/>
      <c r="BX56" s="420"/>
      <c r="BY56" s="420"/>
      <c r="BZ56" s="420"/>
      <c r="CA56" s="420"/>
      <c r="CB56" s="420"/>
      <c r="CC56" s="858"/>
      <c r="CD56" s="420"/>
      <c r="CE56" s="420"/>
      <c r="CF56" s="420"/>
      <c r="CG56" s="420"/>
      <c r="CH56" s="420"/>
      <c r="CI56" s="420"/>
      <c r="CJ56" s="420"/>
      <c r="CK56" s="420"/>
      <c r="CL56" s="420"/>
      <c r="CM56" s="420"/>
      <c r="CN56" s="420"/>
      <c r="CO56" s="420"/>
      <c r="CP56" s="420"/>
      <c r="CQ56" s="420"/>
      <c r="CR56" s="420"/>
      <c r="CS56" s="420"/>
      <c r="CT56" s="420"/>
      <c r="CU56" s="420"/>
      <c r="CV56" s="420"/>
      <c r="CW56" s="420"/>
      <c r="CX56" s="420"/>
      <c r="CY56" s="420"/>
      <c r="CZ56" s="420"/>
      <c r="DA56" s="420"/>
      <c r="DB56" s="420"/>
      <c r="DC56" s="420"/>
      <c r="DD56" s="420"/>
      <c r="DE56" s="420"/>
      <c r="DF56" s="420"/>
      <c r="DG56" s="420"/>
      <c r="DH56" s="420"/>
      <c r="DI56" s="420"/>
      <c r="DJ56" s="420"/>
      <c r="DK56" s="420"/>
      <c r="DL56" s="420"/>
      <c r="DM56" s="420"/>
      <c r="DN56" s="420"/>
      <c r="DO56" s="420"/>
      <c r="DP56" s="420"/>
      <c r="DQ56" s="420"/>
      <c r="DR56" s="420"/>
      <c r="DS56" s="499"/>
      <c r="DT56" s="421"/>
      <c r="DU56" s="422"/>
      <c r="DV56" s="422"/>
      <c r="DW56" s="422"/>
      <c r="DX56" s="422"/>
      <c r="DY56" s="422"/>
      <c r="DZ56" s="596"/>
      <c r="EA56" s="422"/>
      <c r="EB56" s="422"/>
      <c r="EC56" s="596"/>
      <c r="ED56" s="422"/>
      <c r="EE56" s="422"/>
      <c r="EF56" s="422"/>
      <c r="EG56" s="422"/>
      <c r="EH56" s="422"/>
      <c r="EI56" s="422"/>
      <c r="EJ56" s="422"/>
      <c r="EK56" s="422"/>
      <c r="EL56" s="596"/>
      <c r="EM56" s="422"/>
      <c r="EN56" s="422"/>
      <c r="EO56" s="422"/>
      <c r="EP56" s="422"/>
      <c r="EQ56" s="422"/>
      <c r="ER56" s="422"/>
      <c r="ES56" s="422"/>
      <c r="ET56" s="422"/>
      <c r="EU56" s="422"/>
      <c r="EV56" s="422"/>
      <c r="EW56" s="422"/>
      <c r="EX56" s="422"/>
      <c r="EY56" s="422"/>
      <c r="EZ56" s="422"/>
      <c r="FA56" s="422"/>
      <c r="FB56" s="422"/>
      <c r="FC56" s="422"/>
      <c r="FD56" s="422"/>
      <c r="FE56" s="596"/>
      <c r="FF56" s="422"/>
      <c r="FG56" s="422"/>
      <c r="FH56" s="422"/>
      <c r="FI56" s="422"/>
      <c r="FJ56" s="422"/>
      <c r="FK56" s="422"/>
      <c r="FL56" s="422"/>
      <c r="FM56" s="422"/>
      <c r="FN56" s="422"/>
      <c r="FO56" s="422"/>
      <c r="FP56" s="422"/>
      <c r="FQ56" s="422"/>
      <c r="FR56" s="422"/>
      <c r="FS56" s="422"/>
      <c r="FT56" s="422"/>
      <c r="FU56" s="422"/>
      <c r="FV56" s="422"/>
      <c r="FW56" s="422"/>
      <c r="FX56" s="422"/>
      <c r="FY56" s="422"/>
      <c r="FZ56" s="422"/>
      <c r="GA56" s="422"/>
      <c r="GB56" s="422"/>
      <c r="GC56" s="422"/>
      <c r="GD56" s="422"/>
      <c r="GE56" s="422"/>
      <c r="GF56" s="422"/>
      <c r="GG56" s="422"/>
      <c r="GH56" s="422"/>
      <c r="GI56" s="422"/>
      <c r="GJ56" s="422"/>
      <c r="GK56" s="422"/>
      <c r="GL56" s="422"/>
      <c r="GM56" s="422"/>
      <c r="GN56" s="422"/>
      <c r="GO56" s="422"/>
      <c r="GP56" s="422"/>
      <c r="GQ56" s="422"/>
      <c r="GR56" s="422"/>
      <c r="GS56" s="422"/>
      <c r="GT56" s="422"/>
      <c r="GU56" s="422"/>
      <c r="GV56" s="422"/>
      <c r="GW56" s="422"/>
      <c r="GX56" s="422"/>
      <c r="GY56" s="422"/>
      <c r="GZ56" s="422"/>
      <c r="HA56" s="422"/>
      <c r="HB56" s="422"/>
      <c r="HC56" s="422"/>
      <c r="HD56" s="596"/>
      <c r="HE56" s="422"/>
      <c r="HF56" s="422"/>
      <c r="HG56" s="422"/>
      <c r="HH56" s="422"/>
      <c r="HI56" s="422"/>
      <c r="HJ56" s="596"/>
      <c r="HK56" s="422"/>
      <c r="HL56" s="422"/>
      <c r="HM56" s="422"/>
      <c r="HN56" s="422"/>
      <c r="HO56" s="422"/>
      <c r="HP56" s="422"/>
      <c r="HQ56" s="422"/>
      <c r="HR56" s="422"/>
      <c r="HS56" s="422"/>
      <c r="HT56" s="422"/>
      <c r="HU56" s="422"/>
      <c r="HV56" s="422"/>
      <c r="HW56" s="596"/>
      <c r="HX56" s="422"/>
      <c r="HY56" s="422"/>
      <c r="HZ56" s="422"/>
      <c r="IA56" s="422"/>
      <c r="IB56" s="422"/>
      <c r="IC56" s="422"/>
      <c r="ID56" s="422"/>
      <c r="IE56" s="422"/>
      <c r="IF56" s="422"/>
      <c r="IG56" s="422"/>
      <c r="IH56" s="422">
        <v>10</v>
      </c>
      <c r="II56" s="422"/>
      <c r="IJ56" s="596"/>
      <c r="IK56" s="422"/>
      <c r="IL56" s="422"/>
      <c r="IM56" s="422"/>
      <c r="IN56" s="423"/>
      <c r="IO56" s="424"/>
      <c r="IP56" s="617"/>
      <c r="IQ56" s="425"/>
      <c r="IR56" s="425"/>
      <c r="IS56" s="425"/>
      <c r="IT56" s="425"/>
      <c r="IU56" s="425"/>
      <c r="IV56" s="425"/>
      <c r="IW56" s="425"/>
      <c r="IX56" s="425"/>
      <c r="IY56" s="425"/>
      <c r="IZ56" s="425"/>
      <c r="JA56" s="425"/>
      <c r="JB56" s="425"/>
      <c r="JC56" s="425"/>
      <c r="JD56" s="425"/>
      <c r="JE56" s="425"/>
      <c r="JF56" s="425"/>
      <c r="JG56" s="425"/>
      <c r="JH56" s="425"/>
      <c r="JI56" s="425"/>
      <c r="JJ56" s="426"/>
      <c r="JK56" s="427"/>
      <c r="JL56" s="428"/>
      <c r="JM56" s="428"/>
      <c r="JN56" s="428"/>
      <c r="JO56" s="428"/>
      <c r="JP56" s="428"/>
      <c r="JQ56" s="428"/>
      <c r="JR56" s="428"/>
      <c r="JS56" s="428"/>
      <c r="JT56" s="428"/>
      <c r="JU56" s="428"/>
      <c r="JV56" s="428"/>
      <c r="JW56" s="428"/>
      <c r="JX56" s="428"/>
      <c r="JY56" s="428"/>
      <c r="JZ56" s="428"/>
      <c r="KA56" s="428"/>
      <c r="KB56" s="428"/>
      <c r="KC56" s="428"/>
      <c r="KD56" s="428"/>
      <c r="KE56" s="428"/>
      <c r="KF56" s="428"/>
      <c r="KG56" s="428"/>
      <c r="KH56" s="428"/>
      <c r="KI56" s="428"/>
      <c r="KJ56" s="429"/>
      <c r="KK56" s="430">
        <v>0</v>
      </c>
      <c r="KL56" s="545">
        <v>0</v>
      </c>
      <c r="KM56" s="431">
        <v>0</v>
      </c>
      <c r="KN56" s="431">
        <v>0</v>
      </c>
      <c r="KO56" s="431"/>
      <c r="KP56" s="431"/>
      <c r="KQ56" s="463"/>
      <c r="KR56" s="464">
        <v>0</v>
      </c>
      <c r="KS56" s="465">
        <v>0</v>
      </c>
      <c r="KT56" s="466">
        <v>0</v>
      </c>
      <c r="KU56" s="466">
        <v>0</v>
      </c>
      <c r="KV56" s="466">
        <v>0</v>
      </c>
      <c r="KW56" s="466">
        <v>0</v>
      </c>
      <c r="KX56" s="466">
        <v>0</v>
      </c>
      <c r="KY56" s="466">
        <v>0</v>
      </c>
      <c r="KZ56" s="466">
        <v>0</v>
      </c>
      <c r="LA56" s="466">
        <v>0</v>
      </c>
      <c r="LB56" s="466">
        <v>0</v>
      </c>
      <c r="LC56" s="466">
        <v>0</v>
      </c>
      <c r="LD56" s="466">
        <v>0</v>
      </c>
      <c r="LE56" s="466">
        <v>0</v>
      </c>
      <c r="LF56" s="466">
        <v>0</v>
      </c>
      <c r="LG56" s="466">
        <v>0</v>
      </c>
      <c r="LH56" s="466">
        <v>0</v>
      </c>
      <c r="LI56" s="466">
        <v>0</v>
      </c>
      <c r="LJ56" s="466">
        <v>0</v>
      </c>
      <c r="LK56" s="466">
        <v>0</v>
      </c>
      <c r="LL56" s="466">
        <v>0</v>
      </c>
      <c r="LM56" s="466">
        <v>0</v>
      </c>
      <c r="LN56" s="466"/>
      <c r="LO56" s="466">
        <v>0</v>
      </c>
      <c r="LP56" s="466"/>
      <c r="LQ56" s="466"/>
      <c r="LR56" s="466"/>
      <c r="LS56" s="466"/>
      <c r="LT56" s="415"/>
      <c r="LU56" s="435"/>
      <c r="LV56" s="588"/>
      <c r="LW56" s="611">
        <v>0</v>
      </c>
      <c r="LX56" s="611">
        <v>0</v>
      </c>
      <c r="LY56" s="611">
        <v>0</v>
      </c>
      <c r="LZ56" s="611">
        <v>0</v>
      </c>
      <c r="MA56" s="611">
        <v>0</v>
      </c>
      <c r="MB56" s="611">
        <v>0</v>
      </c>
      <c r="MC56" s="611">
        <v>0</v>
      </c>
      <c r="MD56" s="588">
        <v>0</v>
      </c>
      <c r="ME56" s="611">
        <v>0</v>
      </c>
      <c r="MF56" s="588">
        <v>0</v>
      </c>
      <c r="MG56" s="611">
        <v>0</v>
      </c>
      <c r="MH56" s="588">
        <v>0</v>
      </c>
      <c r="MI56" s="611">
        <v>0</v>
      </c>
      <c r="MJ56" s="588">
        <v>0</v>
      </c>
      <c r="MK56" s="611">
        <v>0</v>
      </c>
      <c r="ML56" s="611">
        <v>0</v>
      </c>
      <c r="MM56" s="611">
        <v>0</v>
      </c>
      <c r="MN56" s="611">
        <v>0</v>
      </c>
      <c r="MO56" s="611">
        <v>0</v>
      </c>
      <c r="MP56" s="611">
        <v>0</v>
      </c>
      <c r="MQ56" s="611">
        <v>0</v>
      </c>
      <c r="MR56" s="611">
        <v>0</v>
      </c>
      <c r="MS56" s="611">
        <v>0</v>
      </c>
      <c r="MT56" s="611">
        <v>0</v>
      </c>
      <c r="MU56" s="611">
        <v>0</v>
      </c>
      <c r="MV56" s="611">
        <v>0</v>
      </c>
      <c r="MW56" s="588">
        <v>0</v>
      </c>
      <c r="MX56" s="436">
        <v>0</v>
      </c>
      <c r="MY56" s="436">
        <v>0</v>
      </c>
      <c r="MZ56" s="436">
        <v>0</v>
      </c>
      <c r="NA56" s="436">
        <v>0</v>
      </c>
      <c r="NB56" s="436">
        <v>0</v>
      </c>
      <c r="NC56" s="436">
        <v>0</v>
      </c>
      <c r="ND56" s="436">
        <v>0</v>
      </c>
      <c r="NE56" s="436">
        <v>0</v>
      </c>
      <c r="NF56" s="436">
        <v>0</v>
      </c>
      <c r="NG56" s="436">
        <v>0</v>
      </c>
      <c r="NH56" s="436">
        <v>0</v>
      </c>
      <c r="NI56" s="436">
        <v>0</v>
      </c>
      <c r="NJ56" s="436">
        <v>0</v>
      </c>
      <c r="NK56" s="436">
        <v>0</v>
      </c>
      <c r="NL56" s="436">
        <v>0</v>
      </c>
      <c r="NM56" s="436">
        <v>0</v>
      </c>
      <c r="NN56" s="436">
        <v>0</v>
      </c>
      <c r="NO56" s="436">
        <v>0</v>
      </c>
      <c r="NP56" s="436">
        <v>0</v>
      </c>
      <c r="NQ56" s="436">
        <v>0</v>
      </c>
      <c r="NR56" s="436">
        <v>0</v>
      </c>
      <c r="NS56" s="436">
        <v>0</v>
      </c>
      <c r="NT56" s="436">
        <v>0</v>
      </c>
      <c r="NU56" s="436">
        <v>0</v>
      </c>
      <c r="NV56" s="436">
        <v>0</v>
      </c>
      <c r="NW56" s="436">
        <v>0</v>
      </c>
      <c r="NX56" s="436"/>
      <c r="NY56" s="436">
        <v>0</v>
      </c>
      <c r="NZ56" s="611">
        <v>0</v>
      </c>
      <c r="OA56" s="635"/>
      <c r="OB56" s="638">
        <v>6</v>
      </c>
      <c r="OC56" s="638">
        <v>6</v>
      </c>
      <c r="OD56" s="638">
        <v>6</v>
      </c>
      <c r="OE56" s="638">
        <v>5</v>
      </c>
      <c r="OF56" s="638"/>
      <c r="OG56" s="638"/>
      <c r="OH56" s="638"/>
      <c r="OI56" s="638"/>
      <c r="OJ56" s="638"/>
      <c r="OK56" s="638"/>
      <c r="OL56" s="638"/>
      <c r="OM56" s="638"/>
      <c r="ON56" s="635"/>
      <c r="OO56" s="638"/>
      <c r="OP56" s="638"/>
      <c r="OQ56" s="638"/>
      <c r="OR56" s="638"/>
      <c r="OS56" s="638"/>
      <c r="OT56" s="638"/>
      <c r="OU56" s="638"/>
      <c r="OV56" s="638"/>
      <c r="OW56" s="638"/>
      <c r="OX56" s="638"/>
      <c r="OY56" s="638"/>
      <c r="OZ56" s="638"/>
      <c r="PA56" s="638"/>
      <c r="PB56" s="638"/>
      <c r="PC56" s="638"/>
      <c r="PD56" s="638"/>
      <c r="PE56" s="638"/>
      <c r="PF56" s="638"/>
      <c r="PG56" s="638"/>
      <c r="PH56" s="640"/>
      <c r="PI56" s="666"/>
      <c r="PJ56" s="666"/>
      <c r="PK56" s="666"/>
      <c r="PL56" s="420">
        <v>18</v>
      </c>
      <c r="PM56" s="420">
        <v>18</v>
      </c>
      <c r="PN56" s="420">
        <v>18</v>
      </c>
      <c r="PO56" s="550"/>
    </row>
    <row r="57" spans="1:431" ht="15.75">
      <c r="A57" s="510" t="s">
        <v>1330</v>
      </c>
      <c r="B57" s="626"/>
      <c r="C57" s="622"/>
      <c r="D57" s="622"/>
      <c r="E57" s="622"/>
      <c r="F57" s="622"/>
      <c r="G57" s="494"/>
      <c r="H57" s="511"/>
      <c r="I57" s="512"/>
      <c r="J57" s="512"/>
      <c r="K57" s="512"/>
      <c r="L57" s="512"/>
      <c r="M57" s="512"/>
      <c r="N57" s="512"/>
      <c r="O57" s="512"/>
      <c r="P57" s="512"/>
      <c r="Q57" s="512"/>
      <c r="R57" s="512"/>
      <c r="S57" s="512"/>
      <c r="T57" s="512"/>
      <c r="U57" s="512"/>
      <c r="V57" s="512"/>
      <c r="W57" s="512"/>
      <c r="X57" s="512"/>
      <c r="Y57" s="512"/>
      <c r="Z57" s="512"/>
      <c r="AA57" s="512"/>
      <c r="AB57" s="512"/>
      <c r="AC57" s="512"/>
      <c r="AD57" s="512"/>
      <c r="AE57" s="512"/>
      <c r="AF57" s="512"/>
      <c r="AG57" s="512"/>
      <c r="AH57" s="512"/>
      <c r="AI57" s="512"/>
      <c r="AJ57" s="512"/>
      <c r="AK57" s="512"/>
      <c r="AL57" s="512"/>
      <c r="AM57" s="512"/>
      <c r="AN57" s="512"/>
      <c r="AO57" s="512"/>
      <c r="AP57" s="512"/>
      <c r="AQ57" s="512"/>
      <c r="AR57" s="512"/>
      <c r="AS57" s="512"/>
      <c r="AT57" s="512"/>
      <c r="AU57" s="512"/>
      <c r="AV57" s="512"/>
      <c r="AW57" s="512"/>
      <c r="AX57" s="512"/>
      <c r="AY57" s="512"/>
      <c r="AZ57" s="512"/>
      <c r="BA57" s="512"/>
      <c r="BB57" s="512"/>
      <c r="BC57" s="512"/>
      <c r="BD57" s="512"/>
      <c r="BE57" s="512"/>
      <c r="BF57" s="512"/>
      <c r="BG57" s="512"/>
      <c r="BH57" s="512"/>
      <c r="BI57" s="512"/>
      <c r="BJ57" s="512"/>
      <c r="BK57" s="512"/>
      <c r="BL57" s="512"/>
      <c r="BM57" s="512"/>
      <c r="BN57" s="512"/>
      <c r="BO57" s="512"/>
      <c r="BP57" s="512"/>
      <c r="BQ57" s="512"/>
      <c r="BR57" s="512"/>
      <c r="BS57" s="512"/>
      <c r="BT57" s="512"/>
      <c r="BU57" s="512"/>
      <c r="BV57" s="512"/>
      <c r="BW57" s="512"/>
      <c r="BX57" s="512"/>
      <c r="BY57" s="512"/>
      <c r="BZ57" s="512"/>
      <c r="CA57" s="512"/>
      <c r="CB57" s="512"/>
      <c r="CC57" s="865"/>
      <c r="CD57" s="512"/>
      <c r="CE57" s="512"/>
      <c r="CF57" s="512"/>
      <c r="CG57" s="512"/>
      <c r="CH57" s="512"/>
      <c r="CI57" s="512"/>
      <c r="CJ57" s="512"/>
      <c r="CK57" s="512"/>
      <c r="CL57" s="512"/>
      <c r="CM57" s="512"/>
      <c r="CN57" s="512"/>
      <c r="CO57" s="512"/>
      <c r="CP57" s="512"/>
      <c r="CQ57" s="512"/>
      <c r="CR57" s="512"/>
      <c r="CS57" s="512"/>
      <c r="CT57" s="512"/>
      <c r="CU57" s="512"/>
      <c r="CV57" s="512"/>
      <c r="CW57" s="512"/>
      <c r="CX57" s="512"/>
      <c r="CY57" s="512"/>
      <c r="CZ57" s="512"/>
      <c r="DA57" s="512"/>
      <c r="DB57" s="512"/>
      <c r="DC57" s="512"/>
      <c r="DD57" s="512"/>
      <c r="DE57" s="512"/>
      <c r="DF57" s="512"/>
      <c r="DG57" s="512"/>
      <c r="DH57" s="512"/>
      <c r="DI57" s="512"/>
      <c r="DJ57" s="512"/>
      <c r="DK57" s="512"/>
      <c r="DL57" s="512"/>
      <c r="DM57" s="512"/>
      <c r="DN57" s="512"/>
      <c r="DO57" s="512"/>
      <c r="DP57" s="512"/>
      <c r="DQ57" s="512"/>
      <c r="DR57" s="512"/>
      <c r="DS57" s="499"/>
      <c r="DT57" s="511"/>
      <c r="DU57" s="513"/>
      <c r="DV57" s="513"/>
      <c r="DW57" s="513"/>
      <c r="DX57" s="513"/>
      <c r="DY57" s="513"/>
      <c r="DZ57" s="540"/>
      <c r="EA57" s="513"/>
      <c r="EB57" s="513"/>
      <c r="EC57" s="540"/>
      <c r="ED57" s="513"/>
      <c r="EE57" s="513"/>
      <c r="EF57" s="513"/>
      <c r="EG57" s="513"/>
      <c r="EH57" s="513"/>
      <c r="EI57" s="513"/>
      <c r="EJ57" s="513"/>
      <c r="EK57" s="513"/>
      <c r="EL57" s="540"/>
      <c r="EM57" s="513"/>
      <c r="EN57" s="513"/>
      <c r="EO57" s="513"/>
      <c r="EP57" s="513"/>
      <c r="EQ57" s="513"/>
      <c r="ER57" s="513"/>
      <c r="ES57" s="513"/>
      <c r="ET57" s="513"/>
      <c r="EU57" s="513"/>
      <c r="EV57" s="513"/>
      <c r="EW57" s="513"/>
      <c r="EX57" s="513"/>
      <c r="EY57" s="513"/>
      <c r="EZ57" s="513"/>
      <c r="FA57" s="513"/>
      <c r="FB57" s="513"/>
      <c r="FC57" s="513"/>
      <c r="FD57" s="513"/>
      <c r="FE57" s="540"/>
      <c r="FF57" s="513"/>
      <c r="FG57" s="513"/>
      <c r="FH57" s="513"/>
      <c r="FI57" s="513"/>
      <c r="FJ57" s="513"/>
      <c r="FK57" s="513"/>
      <c r="FL57" s="513"/>
      <c r="FM57" s="513"/>
      <c r="FN57" s="513"/>
      <c r="FO57" s="513"/>
      <c r="FP57" s="513"/>
      <c r="FQ57" s="513"/>
      <c r="FR57" s="513"/>
      <c r="FS57" s="513"/>
      <c r="FT57" s="513"/>
      <c r="FU57" s="513"/>
      <c r="FV57" s="513"/>
      <c r="FW57" s="513"/>
      <c r="FX57" s="513"/>
      <c r="FY57" s="513"/>
      <c r="FZ57" s="513"/>
      <c r="GA57" s="513"/>
      <c r="GB57" s="513"/>
      <c r="GC57" s="513"/>
      <c r="GD57" s="513"/>
      <c r="GE57" s="513"/>
      <c r="GF57" s="513"/>
      <c r="GG57" s="513"/>
      <c r="GH57" s="513"/>
      <c r="GI57" s="513"/>
      <c r="GJ57" s="513"/>
      <c r="GK57" s="513"/>
      <c r="GL57" s="513"/>
      <c r="GM57" s="513"/>
      <c r="GN57" s="513"/>
      <c r="GO57" s="513"/>
      <c r="GP57" s="513"/>
      <c r="GQ57" s="513"/>
      <c r="GR57" s="513"/>
      <c r="GS57" s="513"/>
      <c r="GT57" s="513"/>
      <c r="GU57" s="513"/>
      <c r="GV57" s="513"/>
      <c r="GW57" s="513"/>
      <c r="GX57" s="513"/>
      <c r="GY57" s="513"/>
      <c r="GZ57" s="513"/>
      <c r="HA57" s="513"/>
      <c r="HB57" s="513"/>
      <c r="HC57" s="513"/>
      <c r="HD57" s="540"/>
      <c r="HE57" s="513"/>
      <c r="HF57" s="513"/>
      <c r="HG57" s="513"/>
      <c r="HH57" s="513"/>
      <c r="HI57" s="513"/>
      <c r="HJ57" s="540"/>
      <c r="HK57" s="513"/>
      <c r="HL57" s="513"/>
      <c r="HM57" s="513"/>
      <c r="HN57" s="513"/>
      <c r="HO57" s="513"/>
      <c r="HP57" s="513"/>
      <c r="HQ57" s="513"/>
      <c r="HR57" s="513"/>
      <c r="HS57" s="513"/>
      <c r="HT57" s="513"/>
      <c r="HU57" s="513"/>
      <c r="HV57" s="513"/>
      <c r="HW57" s="540"/>
      <c r="HX57" s="513"/>
      <c r="HY57" s="513"/>
      <c r="HZ57" s="513"/>
      <c r="IA57" s="513"/>
      <c r="IB57" s="513"/>
      <c r="IC57" s="513"/>
      <c r="ID57" s="513"/>
      <c r="IE57" s="513"/>
      <c r="IF57" s="513"/>
      <c r="IG57" s="513"/>
      <c r="IH57" s="513"/>
      <c r="II57" s="513"/>
      <c r="IJ57" s="540"/>
      <c r="IK57" s="513"/>
      <c r="IL57" s="513"/>
      <c r="IM57" s="513"/>
      <c r="IN57" s="423"/>
      <c r="IO57" s="511"/>
      <c r="IP57" s="708"/>
      <c r="IQ57" s="709"/>
      <c r="IR57" s="709"/>
      <c r="IS57" s="709"/>
      <c r="IT57" s="709"/>
      <c r="IU57" s="513"/>
      <c r="IV57" s="513"/>
      <c r="IW57" s="513"/>
      <c r="IX57" s="513"/>
      <c r="IY57" s="513"/>
      <c r="IZ57" s="513"/>
      <c r="JA57" s="513"/>
      <c r="JB57" s="513"/>
      <c r="JC57" s="513"/>
      <c r="JD57" s="513"/>
      <c r="JE57" s="513"/>
      <c r="JF57" s="513"/>
      <c r="JG57" s="513"/>
      <c r="JH57" s="513"/>
      <c r="JI57" s="513"/>
      <c r="JJ57" s="426"/>
      <c r="JK57" s="511"/>
      <c r="JL57" s="513"/>
      <c r="JM57" s="513"/>
      <c r="JN57" s="513"/>
      <c r="JO57" s="513"/>
      <c r="JP57" s="513"/>
      <c r="JQ57" s="513"/>
      <c r="JR57" s="513"/>
      <c r="JS57" s="513"/>
      <c r="JT57" s="513"/>
      <c r="JU57" s="513"/>
      <c r="JV57" s="513"/>
      <c r="JW57" s="513"/>
      <c r="JX57" s="513"/>
      <c r="JY57" s="513"/>
      <c r="JZ57" s="513"/>
      <c r="KA57" s="513"/>
      <c r="KB57" s="513"/>
      <c r="KC57" s="513"/>
      <c r="KD57" s="513"/>
      <c r="KE57" s="513"/>
      <c r="KF57" s="513"/>
      <c r="KG57" s="513"/>
      <c r="KH57" s="513"/>
      <c r="KI57" s="513"/>
      <c r="KJ57" s="429"/>
      <c r="KK57" s="511"/>
      <c r="KL57" s="514"/>
      <c r="KM57" s="513"/>
      <c r="KN57" s="513"/>
      <c r="KO57" s="513"/>
      <c r="KP57" s="513"/>
      <c r="KQ57" s="463"/>
      <c r="KR57" s="511"/>
      <c r="KS57" s="514"/>
      <c r="KT57" s="513"/>
      <c r="KU57" s="513"/>
      <c r="KV57" s="513"/>
      <c r="KW57" s="513"/>
      <c r="KX57" s="513"/>
      <c r="KY57" s="513"/>
      <c r="KZ57" s="513"/>
      <c r="LA57" s="513"/>
      <c r="LB57" s="513"/>
      <c r="LC57" s="513"/>
      <c r="LD57" s="513"/>
      <c r="LE57" s="513"/>
      <c r="LF57" s="513"/>
      <c r="LG57" s="513"/>
      <c r="LH57" s="513"/>
      <c r="LI57" s="513"/>
      <c r="LJ57" s="513"/>
      <c r="LK57" s="513"/>
      <c r="LL57" s="513"/>
      <c r="LM57" s="513"/>
      <c r="LN57" s="513"/>
      <c r="LO57" s="513"/>
      <c r="LP57" s="513"/>
      <c r="LQ57" s="513"/>
      <c r="LR57" s="513"/>
      <c r="LS57" s="513"/>
      <c r="LT57" s="415"/>
      <c r="LU57" s="511"/>
      <c r="LV57" s="514"/>
      <c r="LW57" s="512"/>
      <c r="LX57" s="512"/>
      <c r="LY57" s="512"/>
      <c r="LZ57" s="512"/>
      <c r="MA57" s="512"/>
      <c r="MB57" s="512"/>
      <c r="MC57" s="512"/>
      <c r="MD57" s="514"/>
      <c r="ME57" s="512"/>
      <c r="MF57" s="514"/>
      <c r="MG57" s="512"/>
      <c r="MH57" s="514"/>
      <c r="MI57" s="512"/>
      <c r="MJ57" s="514"/>
      <c r="MK57" s="512"/>
      <c r="ML57" s="512"/>
      <c r="MM57" s="512"/>
      <c r="MN57" s="512"/>
      <c r="MO57" s="512"/>
      <c r="MP57" s="512"/>
      <c r="MQ57" s="512"/>
      <c r="MR57" s="512"/>
      <c r="MS57" s="512"/>
      <c r="MT57" s="512"/>
      <c r="MU57" s="512"/>
      <c r="MV57" s="512"/>
      <c r="MW57" s="514"/>
      <c r="MX57" s="513"/>
      <c r="MY57" s="513"/>
      <c r="MZ57" s="513"/>
      <c r="NA57" s="513"/>
      <c r="NB57" s="513"/>
      <c r="NC57" s="513"/>
      <c r="ND57" s="513"/>
      <c r="NE57" s="513"/>
      <c r="NF57" s="513"/>
      <c r="NG57" s="513"/>
      <c r="NH57" s="513"/>
      <c r="NI57" s="513"/>
      <c r="NJ57" s="513"/>
      <c r="NK57" s="513"/>
      <c r="NL57" s="513"/>
      <c r="NM57" s="513"/>
      <c r="NN57" s="513"/>
      <c r="NO57" s="513"/>
      <c r="NP57" s="513"/>
      <c r="NQ57" s="513"/>
      <c r="NR57" s="513"/>
      <c r="NS57" s="513"/>
      <c r="NT57" s="513"/>
      <c r="NU57" s="513"/>
      <c r="NV57" s="513"/>
      <c r="NW57" s="513"/>
      <c r="NX57" s="513"/>
      <c r="NY57" s="513"/>
      <c r="NZ57" s="512"/>
      <c r="OA57" s="635"/>
      <c r="OB57" s="637"/>
      <c r="OC57" s="637"/>
      <c r="OD57" s="637"/>
      <c r="OE57" s="637"/>
      <c r="OF57" s="637"/>
      <c r="OG57" s="637"/>
      <c r="OH57" s="637"/>
      <c r="OI57" s="637"/>
      <c r="OJ57" s="637"/>
      <c r="OK57" s="637"/>
      <c r="OL57" s="637"/>
      <c r="OM57" s="637"/>
      <c r="ON57" s="635"/>
      <c r="OO57" s="637"/>
      <c r="OP57" s="637"/>
      <c r="OQ57" s="637"/>
      <c r="OR57" s="637"/>
      <c r="OS57" s="637"/>
      <c r="OT57" s="637"/>
      <c r="OU57" s="637"/>
      <c r="OV57" s="637"/>
      <c r="OW57" s="637"/>
      <c r="OX57" s="637"/>
      <c r="OY57" s="637"/>
      <c r="OZ57" s="637"/>
      <c r="PA57" s="637"/>
      <c r="PB57" s="637"/>
      <c r="PC57" s="637"/>
      <c r="PD57" s="637"/>
      <c r="PE57" s="637"/>
      <c r="PF57" s="637"/>
      <c r="PG57" s="637"/>
      <c r="PH57" s="641"/>
      <c r="PI57" s="512"/>
      <c r="PJ57" s="512"/>
      <c r="PK57" s="512"/>
      <c r="PL57" s="543"/>
      <c r="PM57" s="543"/>
      <c r="PN57" s="543"/>
      <c r="PO57" s="758"/>
    </row>
    <row r="58" spans="1:431" ht="75.75" customHeight="1">
      <c r="A58" s="418" t="s">
        <v>1331</v>
      </c>
      <c r="B58" s="623" t="s">
        <v>901</v>
      </c>
      <c r="C58" s="380" t="s">
        <v>420</v>
      </c>
      <c r="D58" s="380" t="s">
        <v>1332</v>
      </c>
      <c r="G58" s="494"/>
      <c r="H58" s="419" t="s">
        <v>1333</v>
      </c>
      <c r="I58" s="419" t="s">
        <v>1334</v>
      </c>
      <c r="J58" s="419" t="s">
        <v>1334</v>
      </c>
      <c r="K58" s="419" t="s">
        <v>1334</v>
      </c>
      <c r="L58" s="419" t="s">
        <v>1334</v>
      </c>
      <c r="M58" s="419" t="s">
        <v>1334</v>
      </c>
      <c r="N58" s="420" t="s">
        <v>1335</v>
      </c>
      <c r="O58" s="420" t="s">
        <v>1335</v>
      </c>
      <c r="P58" s="420" t="s">
        <v>1335</v>
      </c>
      <c r="Q58" s="420" t="s">
        <v>1335</v>
      </c>
      <c r="R58" s="420" t="s">
        <v>1336</v>
      </c>
      <c r="S58" s="420" t="s">
        <v>1336</v>
      </c>
      <c r="T58" s="420" t="s">
        <v>1336</v>
      </c>
      <c r="U58" s="420" t="s">
        <v>1337</v>
      </c>
      <c r="V58" s="420" t="s">
        <v>1337</v>
      </c>
      <c r="W58" s="420" t="s">
        <v>1337</v>
      </c>
      <c r="X58" s="420" t="s">
        <v>1337</v>
      </c>
      <c r="Y58" s="420" t="s">
        <v>1337</v>
      </c>
      <c r="Z58" s="420" t="s">
        <v>1337</v>
      </c>
      <c r="AA58" s="420" t="s">
        <v>1337</v>
      </c>
      <c r="AB58" s="420" t="s">
        <v>1337</v>
      </c>
      <c r="AC58" s="420" t="s">
        <v>1337</v>
      </c>
      <c r="AD58" s="420" t="s">
        <v>1337</v>
      </c>
      <c r="AE58" s="420" t="s">
        <v>1337</v>
      </c>
      <c r="AF58" s="420" t="s">
        <v>1337</v>
      </c>
      <c r="AG58" s="420" t="s">
        <v>1337</v>
      </c>
      <c r="AH58" s="420" t="s">
        <v>1338</v>
      </c>
      <c r="AI58" s="420" t="s">
        <v>1338</v>
      </c>
      <c r="AJ58" s="420" t="s">
        <v>1338</v>
      </c>
      <c r="AK58" s="420" t="s">
        <v>1338</v>
      </c>
      <c r="AL58" s="420" t="s">
        <v>1338</v>
      </c>
      <c r="AM58" s="420" t="s">
        <v>1338</v>
      </c>
      <c r="AN58" s="420" t="s">
        <v>1337</v>
      </c>
      <c r="AO58" s="420" t="s">
        <v>1338</v>
      </c>
      <c r="AP58" s="420" t="s">
        <v>1338</v>
      </c>
      <c r="AQ58" s="420" t="s">
        <v>1337</v>
      </c>
      <c r="AR58" s="420"/>
      <c r="AS58" s="420"/>
      <c r="AT58" s="420" t="s">
        <v>1339</v>
      </c>
      <c r="AU58" s="420" t="s">
        <v>1339</v>
      </c>
      <c r="AV58" s="420" t="s">
        <v>1339</v>
      </c>
      <c r="AW58" s="420" t="s">
        <v>1339</v>
      </c>
      <c r="AX58" s="420" t="s">
        <v>1339</v>
      </c>
      <c r="AY58" s="420" t="s">
        <v>1339</v>
      </c>
      <c r="AZ58" s="420" t="s">
        <v>1339</v>
      </c>
      <c r="BA58" s="420" t="s">
        <v>1339</v>
      </c>
      <c r="BB58" s="420" t="s">
        <v>1339</v>
      </c>
      <c r="BC58" s="420" t="s">
        <v>1339</v>
      </c>
      <c r="BD58" s="420" t="s">
        <v>1340</v>
      </c>
      <c r="BE58" s="420" t="s">
        <v>1340</v>
      </c>
      <c r="BF58" s="420" t="s">
        <v>1340</v>
      </c>
      <c r="BG58" s="420" t="s">
        <v>1340</v>
      </c>
      <c r="BH58" s="420" t="s">
        <v>1341</v>
      </c>
      <c r="BI58" s="420" t="s">
        <v>1341</v>
      </c>
      <c r="BJ58" s="420" t="s">
        <v>1341</v>
      </c>
      <c r="BK58" s="420" t="s">
        <v>1341</v>
      </c>
      <c r="BL58" s="420" t="s">
        <v>1341</v>
      </c>
      <c r="BM58" s="420" t="s">
        <v>1341</v>
      </c>
      <c r="BN58" s="420" t="s">
        <v>1341</v>
      </c>
      <c r="BO58" s="420" t="s">
        <v>1341</v>
      </c>
      <c r="BP58" s="420" t="s">
        <v>1341</v>
      </c>
      <c r="BQ58" s="420" t="s">
        <v>1341</v>
      </c>
      <c r="BR58" s="420" t="s">
        <v>1341</v>
      </c>
      <c r="BS58" s="420" t="s">
        <v>2708</v>
      </c>
      <c r="BT58" s="420" t="s">
        <v>1342</v>
      </c>
      <c r="BU58" s="420" t="s">
        <v>1342</v>
      </c>
      <c r="BV58" s="420" t="s">
        <v>1342</v>
      </c>
      <c r="BW58" s="420" t="s">
        <v>1342</v>
      </c>
      <c r="BX58" s="420" t="s">
        <v>1342</v>
      </c>
      <c r="BY58" s="420" t="s">
        <v>1342</v>
      </c>
      <c r="BZ58" s="420" t="s">
        <v>1342</v>
      </c>
      <c r="CA58" s="420" t="s">
        <v>1342</v>
      </c>
      <c r="CB58" s="420" t="s">
        <v>1342</v>
      </c>
      <c r="CC58" s="858" t="s">
        <v>1342</v>
      </c>
      <c r="CD58" s="420" t="s">
        <v>1342</v>
      </c>
      <c r="CE58" s="420" t="s">
        <v>1342</v>
      </c>
      <c r="CF58" s="420" t="s">
        <v>1342</v>
      </c>
      <c r="CG58" s="420" t="s">
        <v>1342</v>
      </c>
      <c r="CH58" s="420" t="s">
        <v>1343</v>
      </c>
      <c r="CI58" s="420" t="s">
        <v>1343</v>
      </c>
      <c r="CJ58" s="420" t="s">
        <v>1343</v>
      </c>
      <c r="CK58" s="420" t="s">
        <v>1343</v>
      </c>
      <c r="CL58" s="420" t="s">
        <v>1343</v>
      </c>
      <c r="CM58" s="420" t="s">
        <v>1343</v>
      </c>
      <c r="CN58" s="420" t="s">
        <v>1343</v>
      </c>
      <c r="CO58" s="420" t="s">
        <v>1343</v>
      </c>
      <c r="CP58" s="420" t="s">
        <v>1343</v>
      </c>
      <c r="CQ58" s="420" t="s">
        <v>1343</v>
      </c>
      <c r="CR58" s="420" t="s">
        <v>1343</v>
      </c>
      <c r="CS58" s="420" t="s">
        <v>1343</v>
      </c>
      <c r="CT58" s="420" t="s">
        <v>1343</v>
      </c>
      <c r="CU58" s="420" t="s">
        <v>1344</v>
      </c>
      <c r="CV58" s="420" t="s">
        <v>1344</v>
      </c>
      <c r="CW58" s="420" t="s">
        <v>1344</v>
      </c>
      <c r="CX58" s="420" t="s">
        <v>1344</v>
      </c>
      <c r="CY58" s="420" t="s">
        <v>1344</v>
      </c>
      <c r="CZ58" s="420" t="s">
        <v>1345</v>
      </c>
      <c r="DA58" s="420" t="s">
        <v>1345</v>
      </c>
      <c r="DB58" s="420" t="s">
        <v>1345</v>
      </c>
      <c r="DC58" s="420" t="s">
        <v>1345</v>
      </c>
      <c r="DD58" s="420" t="s">
        <v>1345</v>
      </c>
      <c r="DE58" s="420" t="s">
        <v>1345</v>
      </c>
      <c r="DF58" s="420" t="s">
        <v>1345</v>
      </c>
      <c r="DG58" s="420" t="s">
        <v>1345</v>
      </c>
      <c r="DH58" s="420" t="s">
        <v>1345</v>
      </c>
      <c r="DI58" s="420" t="s">
        <v>1345</v>
      </c>
      <c r="DJ58" s="420" t="s">
        <v>1345</v>
      </c>
      <c r="DK58" s="420" t="s">
        <v>1345</v>
      </c>
      <c r="DL58" s="420" t="s">
        <v>1345</v>
      </c>
      <c r="DM58" s="420" t="s">
        <v>1345</v>
      </c>
      <c r="DN58" s="420" t="s">
        <v>1345</v>
      </c>
      <c r="DO58" s="420" t="s">
        <v>1345</v>
      </c>
      <c r="DP58" s="420" t="s">
        <v>1345</v>
      </c>
      <c r="DQ58" s="420" t="s">
        <v>1345</v>
      </c>
      <c r="DR58" s="420" t="s">
        <v>1345</v>
      </c>
      <c r="DS58" s="499"/>
      <c r="DT58" s="422" t="s">
        <v>1346</v>
      </c>
      <c r="DU58" s="422" t="s">
        <v>1347</v>
      </c>
      <c r="DV58" s="422" t="s">
        <v>1347</v>
      </c>
      <c r="DW58" s="422" t="s">
        <v>1347</v>
      </c>
      <c r="DX58" s="422" t="s">
        <v>1347</v>
      </c>
      <c r="DY58" s="422" t="s">
        <v>1347</v>
      </c>
      <c r="DZ58" s="596"/>
      <c r="EA58" s="422" t="s">
        <v>1348</v>
      </c>
      <c r="EB58" s="422" t="s">
        <v>1348</v>
      </c>
      <c r="EC58" s="596"/>
      <c r="ED58" s="422" t="s">
        <v>1349</v>
      </c>
      <c r="EE58" s="422" t="s">
        <v>1349</v>
      </c>
      <c r="EF58" s="422" t="s">
        <v>1349</v>
      </c>
      <c r="EG58" s="422" t="s">
        <v>1349</v>
      </c>
      <c r="EH58" s="422" t="s">
        <v>1349</v>
      </c>
      <c r="EI58" s="422" t="s">
        <v>1349</v>
      </c>
      <c r="EJ58" s="422" t="s">
        <v>1349</v>
      </c>
      <c r="EK58" s="422" t="s">
        <v>1349</v>
      </c>
      <c r="EL58" s="596"/>
      <c r="EM58" s="422" t="s">
        <v>1350</v>
      </c>
      <c r="EN58" s="422" t="s">
        <v>1350</v>
      </c>
      <c r="EO58" s="422" t="s">
        <v>1350</v>
      </c>
      <c r="EP58" s="422" t="s">
        <v>1350</v>
      </c>
      <c r="EQ58" s="422" t="s">
        <v>1350</v>
      </c>
      <c r="ER58" s="422" t="s">
        <v>1350</v>
      </c>
      <c r="ES58" s="422" t="s">
        <v>1350</v>
      </c>
      <c r="ET58" s="422" t="s">
        <v>1350</v>
      </c>
      <c r="EU58" s="422" t="s">
        <v>1350</v>
      </c>
      <c r="EV58" s="422" t="s">
        <v>1350</v>
      </c>
      <c r="EW58" s="422" t="s">
        <v>1350</v>
      </c>
      <c r="EX58" s="422" t="s">
        <v>1350</v>
      </c>
      <c r="EY58" s="422" t="s">
        <v>1350</v>
      </c>
      <c r="EZ58" s="422" t="s">
        <v>1350</v>
      </c>
      <c r="FA58" s="422" t="s">
        <v>1350</v>
      </c>
      <c r="FB58" s="422" t="s">
        <v>1350</v>
      </c>
      <c r="FC58" s="422" t="s">
        <v>1350</v>
      </c>
      <c r="FD58" s="422" t="s">
        <v>1350</v>
      </c>
      <c r="FE58" s="596"/>
      <c r="FF58" s="422" t="s">
        <v>1351</v>
      </c>
      <c r="FG58" s="422" t="s">
        <v>1352</v>
      </c>
      <c r="FH58" s="422" t="s">
        <v>1353</v>
      </c>
      <c r="FI58" s="422" t="s">
        <v>1351</v>
      </c>
      <c r="FJ58" s="422" t="s">
        <v>1351</v>
      </c>
      <c r="FK58" s="422" t="s">
        <v>1351</v>
      </c>
      <c r="FL58" s="422" t="s">
        <v>1353</v>
      </c>
      <c r="FM58" s="422" t="s">
        <v>1352</v>
      </c>
      <c r="FN58" s="422" t="s">
        <v>1354</v>
      </c>
      <c r="FO58" s="422" t="s">
        <v>1351</v>
      </c>
      <c r="FP58" s="422" t="s">
        <v>1355</v>
      </c>
      <c r="FQ58" s="422" t="s">
        <v>1353</v>
      </c>
      <c r="FR58" s="422" t="s">
        <v>1352</v>
      </c>
      <c r="FS58" s="422" t="s">
        <v>1354</v>
      </c>
      <c r="FT58" s="422" t="s">
        <v>1355</v>
      </c>
      <c r="FU58" s="422" t="s">
        <v>1355</v>
      </c>
      <c r="FV58" s="422" t="s">
        <v>1353</v>
      </c>
      <c r="FW58" s="422" t="s">
        <v>1356</v>
      </c>
      <c r="FX58" s="422" t="s">
        <v>1357</v>
      </c>
      <c r="FY58" s="422" t="s">
        <v>1357</v>
      </c>
      <c r="FZ58" s="422" t="s">
        <v>1358</v>
      </c>
      <c r="GA58" s="422" t="s">
        <v>1359</v>
      </c>
      <c r="GB58" s="422" t="s">
        <v>1356</v>
      </c>
      <c r="GC58" s="422" t="s">
        <v>1358</v>
      </c>
      <c r="GD58" s="422" t="s">
        <v>1359</v>
      </c>
      <c r="GE58" s="422" t="s">
        <v>1357</v>
      </c>
      <c r="GF58" s="422" t="s">
        <v>1359</v>
      </c>
      <c r="GG58" s="422" t="s">
        <v>1351</v>
      </c>
      <c r="GH58" s="422" t="s">
        <v>1351</v>
      </c>
      <c r="GI58" s="422" t="s">
        <v>1352</v>
      </c>
      <c r="GJ58" s="422" t="s">
        <v>1353</v>
      </c>
      <c r="GK58" s="422" t="s">
        <v>1351</v>
      </c>
      <c r="GL58" s="422" t="s">
        <v>1360</v>
      </c>
      <c r="GM58" s="422" t="s">
        <v>1361</v>
      </c>
      <c r="GN58" s="422" t="s">
        <v>1362</v>
      </c>
      <c r="GO58" s="422" t="s">
        <v>1360</v>
      </c>
      <c r="GP58" s="422" t="s">
        <v>1361</v>
      </c>
      <c r="GQ58" s="422" t="s">
        <v>1362</v>
      </c>
      <c r="GR58" s="422" t="s">
        <v>1360</v>
      </c>
      <c r="GS58" s="422" t="s">
        <v>1361</v>
      </c>
      <c r="GT58" s="422" t="s">
        <v>1362</v>
      </c>
      <c r="GU58" s="422" t="s">
        <v>1363</v>
      </c>
      <c r="GV58" s="422" t="s">
        <v>1364</v>
      </c>
      <c r="GW58" s="422" t="s">
        <v>1365</v>
      </c>
      <c r="GX58" s="422" t="s">
        <v>1363</v>
      </c>
      <c r="GY58" s="422" t="s">
        <v>1364</v>
      </c>
      <c r="GZ58" s="422" t="s">
        <v>1365</v>
      </c>
      <c r="HA58" s="422" t="s">
        <v>1360</v>
      </c>
      <c r="HB58" s="422" t="s">
        <v>1366</v>
      </c>
      <c r="HC58" s="422" t="s">
        <v>1366</v>
      </c>
      <c r="HD58" s="596"/>
      <c r="HE58" s="422" t="s">
        <v>1367</v>
      </c>
      <c r="HF58" s="422" t="s">
        <v>1367</v>
      </c>
      <c r="HG58" s="422" t="s">
        <v>1368</v>
      </c>
      <c r="HH58" s="422" t="s">
        <v>1367</v>
      </c>
      <c r="HI58" s="422" t="s">
        <v>1367</v>
      </c>
      <c r="HJ58" s="596"/>
      <c r="HK58" s="422" t="s">
        <v>1369</v>
      </c>
      <c r="HL58" s="422" t="s">
        <v>1369</v>
      </c>
      <c r="HM58" s="422" t="s">
        <v>1369</v>
      </c>
      <c r="HN58" s="422" t="s">
        <v>1369</v>
      </c>
      <c r="HO58" s="422" t="s">
        <v>1369</v>
      </c>
      <c r="HP58" s="422" t="s">
        <v>1369</v>
      </c>
      <c r="HQ58" s="422" t="s">
        <v>1369</v>
      </c>
      <c r="HR58" s="422" t="s">
        <v>1369</v>
      </c>
      <c r="HS58" s="422" t="s">
        <v>1369</v>
      </c>
      <c r="HT58" s="422" t="s">
        <v>1369</v>
      </c>
      <c r="HU58" s="422" t="s">
        <v>1369</v>
      </c>
      <c r="HV58" s="422" t="s">
        <v>1369</v>
      </c>
      <c r="HW58" s="596"/>
      <c r="HX58" s="422" t="s">
        <v>1370</v>
      </c>
      <c r="HY58" s="422" t="s">
        <v>1370</v>
      </c>
      <c r="HZ58" s="422" t="s">
        <v>1370</v>
      </c>
      <c r="IA58" s="422" t="s">
        <v>1370</v>
      </c>
      <c r="IB58" s="422" t="s">
        <v>1370</v>
      </c>
      <c r="IC58" s="422" t="s">
        <v>1370</v>
      </c>
      <c r="ID58" s="422" t="s">
        <v>1370</v>
      </c>
      <c r="IE58" s="422" t="s">
        <v>1370</v>
      </c>
      <c r="IF58" s="422" t="s">
        <v>1370</v>
      </c>
      <c r="IG58" s="422" t="s">
        <v>1371</v>
      </c>
      <c r="IH58" s="422" t="s">
        <v>1371</v>
      </c>
      <c r="II58" s="422" t="s">
        <v>1371</v>
      </c>
      <c r="IJ58" s="596"/>
      <c r="IK58" s="422" t="s">
        <v>1372</v>
      </c>
      <c r="IL58" s="422" t="s">
        <v>1372</v>
      </c>
      <c r="IM58" s="422" t="s">
        <v>1372</v>
      </c>
      <c r="IN58" s="423"/>
      <c r="IO58" s="617" t="s">
        <v>1373</v>
      </c>
      <c r="IP58" s="706" t="s">
        <v>1374</v>
      </c>
      <c r="IQ58" s="706" t="s">
        <v>1374</v>
      </c>
      <c r="IR58" s="706" t="s">
        <v>1374</v>
      </c>
      <c r="IS58" s="706" t="s">
        <v>1374</v>
      </c>
      <c r="IT58" s="706" t="s">
        <v>1374</v>
      </c>
      <c r="IU58" s="617" t="s">
        <v>1375</v>
      </c>
      <c r="IV58" s="425" t="s">
        <v>1376</v>
      </c>
      <c r="IW58" s="424" t="s">
        <v>1373</v>
      </c>
      <c r="IX58" s="424" t="s">
        <v>1373</v>
      </c>
      <c r="IY58" s="424" t="s">
        <v>1373</v>
      </c>
      <c r="IZ58" s="424" t="s">
        <v>1373</v>
      </c>
      <c r="JA58" s="424" t="s">
        <v>1373</v>
      </c>
      <c r="JB58" s="617" t="s">
        <v>1375</v>
      </c>
      <c r="JC58" s="425" t="s">
        <v>1377</v>
      </c>
      <c r="JD58" s="425" t="s">
        <v>1377</v>
      </c>
      <c r="JE58" s="425" t="s">
        <v>1377</v>
      </c>
      <c r="JF58" s="425" t="s">
        <v>1377</v>
      </c>
      <c r="JG58" s="425" t="s">
        <v>1377</v>
      </c>
      <c r="JH58" s="425" t="s">
        <v>1378</v>
      </c>
      <c r="JI58" s="425" t="s">
        <v>1378</v>
      </c>
      <c r="JJ58" s="426"/>
      <c r="JK58" s="427" t="s">
        <v>1379</v>
      </c>
      <c r="JL58" s="428" t="s">
        <v>1379</v>
      </c>
      <c r="JM58" s="428" t="s">
        <v>1380</v>
      </c>
      <c r="JN58" s="428" t="s">
        <v>1380</v>
      </c>
      <c r="JO58" s="428" t="s">
        <v>1381</v>
      </c>
      <c r="JP58" s="428" t="s">
        <v>1382</v>
      </c>
      <c r="JQ58" s="428" t="s">
        <v>1383</v>
      </c>
      <c r="JR58" s="428" t="s">
        <v>1384</v>
      </c>
      <c r="JS58" s="428" t="s">
        <v>1384</v>
      </c>
      <c r="JT58" s="428" t="s">
        <v>1385</v>
      </c>
      <c r="JU58" s="428" t="s">
        <v>1385</v>
      </c>
      <c r="JV58" s="428" t="s">
        <v>1386</v>
      </c>
      <c r="JW58" s="428" t="s">
        <v>1386</v>
      </c>
      <c r="JX58" s="428" t="s">
        <v>1386</v>
      </c>
      <c r="JY58" s="428" t="s">
        <v>1387</v>
      </c>
      <c r="JZ58" s="428" t="s">
        <v>1387</v>
      </c>
      <c r="KA58" s="428" t="s">
        <v>1388</v>
      </c>
      <c r="KB58" s="428" t="s">
        <v>1389</v>
      </c>
      <c r="KC58" s="428" t="s">
        <v>1390</v>
      </c>
      <c r="KD58" s="428" t="s">
        <v>1390</v>
      </c>
      <c r="KE58" s="428" t="s">
        <v>1391</v>
      </c>
      <c r="KF58" s="428" t="s">
        <v>1391</v>
      </c>
      <c r="KG58" s="428" t="s">
        <v>1390</v>
      </c>
      <c r="KH58" s="428" t="s">
        <v>1390</v>
      </c>
      <c r="KI58" s="428" t="s">
        <v>1390</v>
      </c>
      <c r="KJ58" s="429"/>
      <c r="KK58" s="430" t="s">
        <v>1392</v>
      </c>
      <c r="KL58" s="545"/>
      <c r="KM58" s="431"/>
      <c r="KN58" s="431"/>
      <c r="KO58" s="431"/>
      <c r="KP58" s="431"/>
      <c r="KQ58" s="463"/>
      <c r="KR58" s="464" t="s">
        <v>1393</v>
      </c>
      <c r="KS58" s="464" t="s">
        <v>1394</v>
      </c>
      <c r="KT58" s="464" t="s">
        <v>1395</v>
      </c>
      <c r="KU58" s="464" t="s">
        <v>1396</v>
      </c>
      <c r="KV58" s="464" t="s">
        <v>1396</v>
      </c>
      <c r="KW58" s="464" t="s">
        <v>1396</v>
      </c>
      <c r="KX58" s="464" t="s">
        <v>1397</v>
      </c>
      <c r="KY58" s="464" t="s">
        <v>1396</v>
      </c>
      <c r="KZ58" s="464" t="s">
        <v>1396</v>
      </c>
      <c r="LA58" s="464" t="s">
        <v>1396</v>
      </c>
      <c r="LB58" s="464" t="s">
        <v>1396</v>
      </c>
      <c r="LC58" s="464" t="s">
        <v>1398</v>
      </c>
      <c r="LD58" s="464" t="s">
        <v>1396</v>
      </c>
      <c r="LE58" s="464" t="s">
        <v>1396</v>
      </c>
      <c r="LF58" s="464" t="s">
        <v>1399</v>
      </c>
      <c r="LG58" s="464" t="s">
        <v>1399</v>
      </c>
      <c r="LH58" s="464" t="s">
        <v>1399</v>
      </c>
      <c r="LI58" s="464" t="s">
        <v>1400</v>
      </c>
      <c r="LJ58" s="464" t="s">
        <v>1401</v>
      </c>
      <c r="LK58" s="464" t="s">
        <v>1402</v>
      </c>
      <c r="LL58" s="464" t="s">
        <v>1399</v>
      </c>
      <c r="LM58" s="464" t="s">
        <v>1399</v>
      </c>
      <c r="LN58" s="464" t="s">
        <v>1399</v>
      </c>
      <c r="LO58" s="628" t="s">
        <v>1403</v>
      </c>
      <c r="LP58" s="583"/>
      <c r="LQ58" s="583"/>
      <c r="LR58" s="583"/>
      <c r="LS58" s="466"/>
      <c r="LT58" s="415"/>
      <c r="LU58" s="435"/>
      <c r="LV58" s="588"/>
      <c r="LW58" s="611" t="s">
        <v>1404</v>
      </c>
      <c r="LX58" s="611" t="s">
        <v>1404</v>
      </c>
      <c r="LY58" s="611" t="s">
        <v>1404</v>
      </c>
      <c r="LZ58" s="611" t="s">
        <v>1404</v>
      </c>
      <c r="MA58" s="611" t="s">
        <v>1404</v>
      </c>
      <c r="MB58" s="611" t="s">
        <v>1404</v>
      </c>
      <c r="MC58" s="611" t="s">
        <v>1405</v>
      </c>
      <c r="MD58" s="611" t="s">
        <v>1404</v>
      </c>
      <c r="ME58" s="611" t="s">
        <v>1404</v>
      </c>
      <c r="MF58" s="611" t="s">
        <v>1404</v>
      </c>
      <c r="MG58" s="611" t="s">
        <v>1404</v>
      </c>
      <c r="MH58" s="611" t="s">
        <v>1406</v>
      </c>
      <c r="MI58" s="611" t="s">
        <v>1406</v>
      </c>
      <c r="MJ58" s="611" t="s">
        <v>1406</v>
      </c>
      <c r="MK58" s="611" t="s">
        <v>1406</v>
      </c>
      <c r="ML58" s="611" t="s">
        <v>1406</v>
      </c>
      <c r="MM58" s="611" t="s">
        <v>1406</v>
      </c>
      <c r="MN58" s="611" t="s">
        <v>1406</v>
      </c>
      <c r="MO58" s="611" t="s">
        <v>1406</v>
      </c>
      <c r="MP58" s="611" t="s">
        <v>1406</v>
      </c>
      <c r="MQ58" s="611" t="s">
        <v>1406</v>
      </c>
      <c r="MR58" s="611" t="s">
        <v>1406</v>
      </c>
      <c r="MS58" s="611" t="s">
        <v>1406</v>
      </c>
      <c r="MT58" s="611" t="s">
        <v>1406</v>
      </c>
      <c r="MU58" s="611" t="s">
        <v>1406</v>
      </c>
      <c r="MV58" s="611" t="s">
        <v>1407</v>
      </c>
      <c r="MW58" s="611" t="s">
        <v>1407</v>
      </c>
      <c r="MX58" s="611" t="s">
        <v>1407</v>
      </c>
      <c r="MY58" s="611" t="s">
        <v>1407</v>
      </c>
      <c r="MZ58" s="611" t="s">
        <v>1408</v>
      </c>
      <c r="NA58" s="611" t="s">
        <v>1408</v>
      </c>
      <c r="NB58" s="611" t="s">
        <v>1408</v>
      </c>
      <c r="NC58" s="611" t="s">
        <v>1407</v>
      </c>
      <c r="ND58" s="611" t="s">
        <v>1408</v>
      </c>
      <c r="NE58" s="611" t="s">
        <v>1407</v>
      </c>
      <c r="NF58" s="611" t="s">
        <v>1408</v>
      </c>
      <c r="NG58" s="611" t="s">
        <v>1407</v>
      </c>
      <c r="NH58" s="611" t="s">
        <v>1407</v>
      </c>
      <c r="NI58" s="611" t="s">
        <v>1408</v>
      </c>
      <c r="NJ58" s="611" t="s">
        <v>1408</v>
      </c>
      <c r="NK58" s="611" t="s">
        <v>1409</v>
      </c>
      <c r="NL58" s="611" t="s">
        <v>1409</v>
      </c>
      <c r="NM58" s="611" t="s">
        <v>1409</v>
      </c>
      <c r="NN58" s="611" t="s">
        <v>1409</v>
      </c>
      <c r="NO58" s="436" t="s">
        <v>1410</v>
      </c>
      <c r="NP58" s="436" t="s">
        <v>1410</v>
      </c>
      <c r="NQ58" s="436" t="s">
        <v>1410</v>
      </c>
      <c r="NR58" s="436" t="s">
        <v>1411</v>
      </c>
      <c r="NS58" s="436" t="s">
        <v>1410</v>
      </c>
      <c r="NT58" s="436" t="s">
        <v>1410</v>
      </c>
      <c r="NU58" s="436" t="s">
        <v>1412</v>
      </c>
      <c r="NV58" s="436" t="s">
        <v>1413</v>
      </c>
      <c r="NW58" s="436" t="s">
        <v>1414</v>
      </c>
      <c r="NX58" s="436" t="s">
        <v>1410</v>
      </c>
      <c r="NY58" s="436" t="s">
        <v>1409</v>
      </c>
      <c r="NZ58" s="611" t="s">
        <v>1415</v>
      </c>
      <c r="OA58" s="635"/>
      <c r="OB58" s="638" t="s">
        <v>1416</v>
      </c>
      <c r="OC58" s="638" t="s">
        <v>1417</v>
      </c>
      <c r="OD58" s="638" t="s">
        <v>1417</v>
      </c>
      <c r="OE58" s="638" t="s">
        <v>1417</v>
      </c>
      <c r="OF58" s="638"/>
      <c r="OG58" s="638"/>
      <c r="OH58" s="638" t="s">
        <v>1418</v>
      </c>
      <c r="OI58" s="638" t="s">
        <v>1418</v>
      </c>
      <c r="OJ58" s="638" t="s">
        <v>1418</v>
      </c>
      <c r="OK58" s="638" t="s">
        <v>1418</v>
      </c>
      <c r="OL58" s="638" t="s">
        <v>1418</v>
      </c>
      <c r="OM58" s="638" t="s">
        <v>1418</v>
      </c>
      <c r="ON58" s="635"/>
      <c r="OO58" s="638" t="s">
        <v>1419</v>
      </c>
      <c r="OP58" s="638" t="s">
        <v>1419</v>
      </c>
      <c r="OQ58" s="638" t="s">
        <v>1420</v>
      </c>
      <c r="OR58" s="638" t="s">
        <v>1420</v>
      </c>
      <c r="OS58" s="638"/>
      <c r="OT58" s="638"/>
      <c r="OU58" s="638"/>
      <c r="OV58" s="638"/>
      <c r="OW58" s="638"/>
      <c r="OX58" s="638"/>
      <c r="OY58" s="638"/>
      <c r="OZ58" s="638"/>
      <c r="PA58" s="638"/>
      <c r="PB58" s="638" t="s">
        <v>1421</v>
      </c>
      <c r="PC58" s="638" t="s">
        <v>1421</v>
      </c>
      <c r="PD58" s="638"/>
      <c r="PE58" s="638" t="s">
        <v>1421</v>
      </c>
      <c r="PF58" s="638"/>
      <c r="PG58" s="638"/>
      <c r="PH58" s="640"/>
      <c r="PI58" s="666"/>
      <c r="PJ58" s="666"/>
      <c r="PK58" s="666"/>
      <c r="PL58" s="420" t="s">
        <v>1422</v>
      </c>
      <c r="PM58" s="420" t="s">
        <v>1422</v>
      </c>
      <c r="PN58" s="420" t="s">
        <v>1422</v>
      </c>
      <c r="PO58" s="550" t="s">
        <v>1350</v>
      </c>
    </row>
    <row r="59" spans="1:431" ht="62.25" customHeight="1">
      <c r="A59" s="472"/>
      <c r="B59" s="623"/>
      <c r="G59" s="496"/>
      <c r="H59" s="437" t="s">
        <v>1423</v>
      </c>
      <c r="I59" s="438"/>
      <c r="J59" s="438"/>
      <c r="K59" s="438"/>
      <c r="L59" s="438"/>
      <c r="M59" s="438"/>
      <c r="N59" s="438"/>
      <c r="O59" s="438"/>
      <c r="P59" s="438"/>
      <c r="Q59" s="438"/>
      <c r="R59" s="438"/>
      <c r="S59" s="438"/>
      <c r="T59" s="438"/>
      <c r="U59" s="438"/>
      <c r="V59" s="438"/>
      <c r="W59" s="438"/>
      <c r="X59" s="438"/>
      <c r="Y59" s="438"/>
      <c r="Z59" s="438"/>
      <c r="AA59" s="438"/>
      <c r="AB59" s="438"/>
      <c r="AC59" s="438"/>
      <c r="AD59" s="438"/>
      <c r="AE59" s="438"/>
      <c r="AF59" s="438"/>
      <c r="AG59" s="438"/>
      <c r="AH59" s="438"/>
      <c r="AI59" s="438"/>
      <c r="AJ59" s="438"/>
      <c r="AK59" s="438"/>
      <c r="AL59" s="438"/>
      <c r="AM59" s="438"/>
      <c r="AN59" s="438"/>
      <c r="AO59" s="438"/>
      <c r="AP59" s="438"/>
      <c r="AQ59" s="438"/>
      <c r="AR59" s="438"/>
      <c r="AS59" s="438"/>
      <c r="AT59" s="438"/>
      <c r="AU59" s="438"/>
      <c r="AV59" s="438"/>
      <c r="AW59" s="438"/>
      <c r="AX59" s="438"/>
      <c r="AY59" s="438"/>
      <c r="AZ59" s="438"/>
      <c r="BA59" s="438"/>
      <c r="BB59" s="438"/>
      <c r="BC59" s="438"/>
      <c r="BD59" s="438"/>
      <c r="BE59" s="438"/>
      <c r="BF59" s="438"/>
      <c r="BG59" s="438"/>
      <c r="BH59" s="438"/>
      <c r="BI59" s="438"/>
      <c r="BJ59" s="438"/>
      <c r="BK59" s="438"/>
      <c r="BL59" s="438"/>
      <c r="BM59" s="438"/>
      <c r="BN59" s="438"/>
      <c r="BO59" s="438"/>
      <c r="BP59" s="438"/>
      <c r="BQ59" s="438"/>
      <c r="BR59" s="438"/>
      <c r="BS59" s="438"/>
      <c r="BT59" s="438"/>
      <c r="BU59" s="438"/>
      <c r="BV59" s="438"/>
      <c r="BW59" s="438"/>
      <c r="BX59" s="438"/>
      <c r="BY59" s="438"/>
      <c r="BZ59" s="438"/>
      <c r="CA59" s="438"/>
      <c r="CB59" s="438"/>
      <c r="CC59" s="859"/>
      <c r="CD59" s="438"/>
      <c r="CE59" s="438"/>
      <c r="CF59" s="438"/>
      <c r="CG59" s="438"/>
      <c r="CH59" s="438"/>
      <c r="CI59" s="438"/>
      <c r="CJ59" s="438"/>
      <c r="CK59" s="438"/>
      <c r="CL59" s="438"/>
      <c r="CM59" s="438"/>
      <c r="CN59" s="438"/>
      <c r="CO59" s="438"/>
      <c r="CP59" s="438"/>
      <c r="CQ59" s="438"/>
      <c r="CR59" s="438"/>
      <c r="CS59" s="438"/>
      <c r="CT59" s="438"/>
      <c r="CU59" s="438"/>
      <c r="CV59" s="438"/>
      <c r="CW59" s="438"/>
      <c r="CX59" s="438"/>
      <c r="CY59" s="438"/>
      <c r="CZ59" s="438"/>
      <c r="DA59" s="438"/>
      <c r="DB59" s="438"/>
      <c r="DC59" s="438"/>
      <c r="DD59" s="438"/>
      <c r="DE59" s="438"/>
      <c r="DF59" s="438"/>
      <c r="DG59" s="438"/>
      <c r="DH59" s="438"/>
      <c r="DI59" s="438"/>
      <c r="DJ59" s="438"/>
      <c r="DK59" s="438"/>
      <c r="DL59" s="438"/>
      <c r="DM59" s="438"/>
      <c r="DN59" s="438"/>
      <c r="DO59" s="438"/>
      <c r="DP59" s="438"/>
      <c r="DQ59" s="438"/>
      <c r="DR59" s="438"/>
      <c r="DS59" s="501"/>
      <c r="DT59" s="439"/>
      <c r="DU59" s="440"/>
      <c r="DV59" s="440"/>
      <c r="DW59" s="440"/>
      <c r="DX59" s="440"/>
      <c r="DY59" s="440"/>
      <c r="DZ59" s="597"/>
      <c r="EA59" s="440"/>
      <c r="EB59" s="440"/>
      <c r="EC59" s="597"/>
      <c r="ED59" s="440"/>
      <c r="EE59" s="440"/>
      <c r="EF59" s="440"/>
      <c r="EG59" s="440"/>
      <c r="EH59" s="440"/>
      <c r="EI59" s="440"/>
      <c r="EJ59" s="440"/>
      <c r="EK59" s="440"/>
      <c r="EL59" s="597"/>
      <c r="EM59" s="440"/>
      <c r="EN59" s="440"/>
      <c r="EO59" s="440"/>
      <c r="EP59" s="440"/>
      <c r="EQ59" s="440"/>
      <c r="ER59" s="440"/>
      <c r="ES59" s="440"/>
      <c r="ET59" s="440"/>
      <c r="EU59" s="440"/>
      <c r="EV59" s="440"/>
      <c r="EW59" s="440"/>
      <c r="EX59" s="440"/>
      <c r="EY59" s="440"/>
      <c r="EZ59" s="440"/>
      <c r="FA59" s="440"/>
      <c r="FB59" s="440"/>
      <c r="FC59" s="440"/>
      <c r="FD59" s="440"/>
      <c r="FE59" s="597"/>
      <c r="FF59" s="440"/>
      <c r="FG59" s="440"/>
      <c r="FH59" s="440"/>
      <c r="FI59" s="440"/>
      <c r="FJ59" s="440"/>
      <c r="FK59" s="440"/>
      <c r="FL59" s="440"/>
      <c r="FM59" s="440"/>
      <c r="FN59" s="440"/>
      <c r="FO59" s="440"/>
      <c r="FP59" s="440"/>
      <c r="FQ59" s="440"/>
      <c r="FR59" s="440"/>
      <c r="FS59" s="440"/>
      <c r="FT59" s="440"/>
      <c r="FU59" s="440"/>
      <c r="FV59" s="440"/>
      <c r="FW59" s="440"/>
      <c r="FX59" s="440"/>
      <c r="FY59" s="440"/>
      <c r="FZ59" s="440"/>
      <c r="GA59" s="440"/>
      <c r="GB59" s="440"/>
      <c r="GC59" s="440"/>
      <c r="GD59" s="440"/>
      <c r="GE59" s="440"/>
      <c r="GF59" s="440"/>
      <c r="GG59" s="440"/>
      <c r="GH59" s="440"/>
      <c r="GI59" s="440"/>
      <c r="GJ59" s="440"/>
      <c r="GK59" s="440"/>
      <c r="GL59" s="440"/>
      <c r="GM59" s="440"/>
      <c r="GN59" s="440"/>
      <c r="GO59" s="440"/>
      <c r="GP59" s="440"/>
      <c r="GQ59" s="440"/>
      <c r="GR59" s="440"/>
      <c r="GS59" s="440"/>
      <c r="GT59" s="440"/>
      <c r="GU59" s="440"/>
      <c r="GV59" s="440"/>
      <c r="GW59" s="440"/>
      <c r="GX59" s="440"/>
      <c r="GY59" s="440"/>
      <c r="GZ59" s="440"/>
      <c r="HA59" s="440"/>
      <c r="HB59" s="440"/>
      <c r="HC59" s="440"/>
      <c r="HD59" s="597"/>
      <c r="HE59" s="440"/>
      <c r="HF59" s="440"/>
      <c r="HG59" s="440"/>
      <c r="HH59" s="440"/>
      <c r="HI59" s="440"/>
      <c r="HJ59" s="597"/>
      <c r="HK59" s="440"/>
      <c r="HL59" s="440"/>
      <c r="HM59" s="440"/>
      <c r="HN59" s="440"/>
      <c r="HO59" s="440"/>
      <c r="HP59" s="440"/>
      <c r="HQ59" s="440"/>
      <c r="HR59" s="440"/>
      <c r="HS59" s="440"/>
      <c r="HT59" s="440"/>
      <c r="HU59" s="440"/>
      <c r="HV59" s="440"/>
      <c r="HW59" s="597"/>
      <c r="HX59" s="440"/>
      <c r="HY59" s="440"/>
      <c r="HZ59" s="440"/>
      <c r="IA59" s="440"/>
      <c r="IB59" s="440"/>
      <c r="IC59" s="440"/>
      <c r="ID59" s="440"/>
      <c r="IE59" s="440"/>
      <c r="IF59" s="440"/>
      <c r="IG59" s="440"/>
      <c r="IH59" s="440"/>
      <c r="II59" s="440"/>
      <c r="IJ59" s="597"/>
      <c r="IK59" s="440"/>
      <c r="IL59" s="440"/>
      <c r="IM59" s="440"/>
      <c r="IN59" s="441"/>
      <c r="IO59" s="442"/>
      <c r="IP59" s="707"/>
      <c r="IQ59" s="710"/>
      <c r="IR59" s="710"/>
      <c r="IS59" s="710"/>
      <c r="IT59" s="710"/>
      <c r="IU59" s="443"/>
      <c r="IV59" s="443"/>
      <c r="IW59" s="443"/>
      <c r="IX59" s="443"/>
      <c r="IY59" s="443"/>
      <c r="IZ59" s="443"/>
      <c r="JA59" s="443"/>
      <c r="JB59" s="443"/>
      <c r="JC59" s="443"/>
      <c r="JD59" s="443"/>
      <c r="JE59" s="443"/>
      <c r="JF59" s="443"/>
      <c r="JG59" s="443"/>
      <c r="JH59" s="443"/>
      <c r="JI59" s="443"/>
      <c r="JJ59" s="444"/>
      <c r="JK59" s="445"/>
      <c r="JL59" s="446"/>
      <c r="JM59" s="446"/>
      <c r="JN59" s="446"/>
      <c r="JO59" s="446"/>
      <c r="JP59" s="446"/>
      <c r="JQ59" s="446"/>
      <c r="JR59" s="446"/>
      <c r="JS59" s="446"/>
      <c r="JT59" s="446"/>
      <c r="JU59" s="446"/>
      <c r="JV59" s="446"/>
      <c r="JW59" s="446"/>
      <c r="JX59" s="446"/>
      <c r="JY59" s="446"/>
      <c r="JZ59" s="446"/>
      <c r="KA59" s="446"/>
      <c r="KB59" s="446"/>
      <c r="KC59" s="446"/>
      <c r="KD59" s="446"/>
      <c r="KE59" s="446"/>
      <c r="KF59" s="446"/>
      <c r="KG59" s="446"/>
      <c r="KH59" s="446"/>
      <c r="KI59" s="446"/>
      <c r="KJ59" s="473"/>
      <c r="KK59" s="447"/>
      <c r="KL59" s="548"/>
      <c r="KM59" s="448"/>
      <c r="KN59" s="448"/>
      <c r="KO59" s="448"/>
      <c r="KP59" s="448"/>
      <c r="KQ59" s="467"/>
      <c r="KR59" s="468"/>
      <c r="KS59" s="469"/>
      <c r="KT59" s="470"/>
      <c r="KU59" s="470"/>
      <c r="KV59" s="470"/>
      <c r="KW59" s="470"/>
      <c r="KX59" s="470"/>
      <c r="KY59" s="470"/>
      <c r="KZ59" s="470"/>
      <c r="LA59" s="470"/>
      <c r="LB59" s="470"/>
      <c r="LC59" s="470"/>
      <c r="LD59" s="470"/>
      <c r="LE59" s="470"/>
      <c r="LF59" s="470"/>
      <c r="LG59" s="470"/>
      <c r="LH59" s="470"/>
      <c r="LI59" s="470"/>
      <c r="LJ59" s="470"/>
      <c r="LK59" s="470"/>
      <c r="LL59" s="470"/>
      <c r="LM59" s="470"/>
      <c r="LN59" s="470"/>
      <c r="LO59" s="470"/>
      <c r="LP59" s="470"/>
      <c r="LQ59" s="470"/>
      <c r="LR59" s="470"/>
      <c r="LS59" s="470"/>
      <c r="LT59" s="474"/>
      <c r="LU59" s="449"/>
      <c r="LV59" s="589"/>
      <c r="LW59" s="612"/>
      <c r="LX59" s="612"/>
      <c r="LY59" s="612"/>
      <c r="LZ59" s="612"/>
      <c r="MA59" s="612"/>
      <c r="MB59" s="612"/>
      <c r="MC59" s="612"/>
      <c r="MD59" s="589"/>
      <c r="ME59" s="612"/>
      <c r="MF59" s="589"/>
      <c r="MG59" s="612"/>
      <c r="MH59" s="589"/>
      <c r="MI59" s="612"/>
      <c r="MJ59" s="589"/>
      <c r="MK59" s="612"/>
      <c r="ML59" s="612"/>
      <c r="MM59" s="612"/>
      <c r="MN59" s="612"/>
      <c r="MO59" s="612"/>
      <c r="MP59" s="612"/>
      <c r="MQ59" s="612"/>
      <c r="MR59" s="612"/>
      <c r="MS59" s="612"/>
      <c r="MT59" s="612"/>
      <c r="MU59" s="612"/>
      <c r="MV59" s="612"/>
      <c r="MW59" s="589"/>
      <c r="MX59" s="450"/>
      <c r="MY59" s="450"/>
      <c r="MZ59" s="450"/>
      <c r="NA59" s="450"/>
      <c r="NB59" s="450"/>
      <c r="NC59" s="450"/>
      <c r="ND59" s="450"/>
      <c r="NE59" s="450"/>
      <c r="NF59" s="450"/>
      <c r="NG59" s="450"/>
      <c r="NH59" s="450"/>
      <c r="NI59" s="450"/>
      <c r="NJ59" s="450"/>
      <c r="NK59" s="450"/>
      <c r="NL59" s="450"/>
      <c r="NM59" s="450"/>
      <c r="NN59" s="450"/>
      <c r="NO59" s="450"/>
      <c r="NP59" s="450"/>
      <c r="NQ59" s="450"/>
      <c r="NR59" s="450"/>
      <c r="NS59" s="450"/>
      <c r="NT59" s="450"/>
      <c r="NU59" s="450"/>
      <c r="NV59" s="450"/>
      <c r="NW59" s="450"/>
      <c r="NX59" s="450"/>
      <c r="NY59" s="450"/>
      <c r="NZ59" s="611"/>
      <c r="OA59" s="635"/>
      <c r="OB59" s="638"/>
      <c r="OC59" s="638"/>
      <c r="OD59" s="638"/>
      <c r="OE59" s="638"/>
      <c r="OF59" s="638"/>
      <c r="OG59" s="638"/>
      <c r="OH59" s="638"/>
      <c r="OI59" s="638"/>
      <c r="OJ59" s="638"/>
      <c r="OK59" s="638"/>
      <c r="OL59" s="638"/>
      <c r="OM59" s="638"/>
      <c r="ON59" s="635"/>
      <c r="OO59" s="638"/>
      <c r="OP59" s="638"/>
      <c r="OQ59" s="638"/>
      <c r="OR59" s="638"/>
      <c r="OS59" s="638" t="s">
        <v>1424</v>
      </c>
      <c r="OT59" s="638" t="s">
        <v>1425</v>
      </c>
      <c r="OU59" s="638" t="s">
        <v>1425</v>
      </c>
      <c r="OV59" s="638" t="s">
        <v>1425</v>
      </c>
      <c r="OW59" s="638" t="s">
        <v>1425</v>
      </c>
      <c r="OX59" s="638" t="s">
        <v>1425</v>
      </c>
      <c r="OY59" s="638" t="s">
        <v>1425</v>
      </c>
      <c r="OZ59" s="638" t="s">
        <v>1424</v>
      </c>
      <c r="PA59" s="638" t="s">
        <v>1424</v>
      </c>
      <c r="PB59" s="638" t="s">
        <v>1426</v>
      </c>
      <c r="PC59" s="638" t="s">
        <v>1426</v>
      </c>
      <c r="PD59" s="638" t="s">
        <v>1426</v>
      </c>
      <c r="PE59" s="638" t="s">
        <v>1426</v>
      </c>
      <c r="PF59" s="638" t="s">
        <v>1426</v>
      </c>
      <c r="PG59" s="638" t="s">
        <v>1426</v>
      </c>
      <c r="PH59" s="640" t="s">
        <v>1426</v>
      </c>
      <c r="PI59" s="666"/>
      <c r="PJ59" s="666"/>
      <c r="PK59" s="666"/>
      <c r="PL59" s="420"/>
      <c r="PM59" s="420"/>
      <c r="PN59" s="420"/>
      <c r="PO59" s="550"/>
    </row>
    <row r="60" spans="1:431"/>
    <row r="61" spans="1:431"/>
    <row r="62" spans="1:431"/>
    <row r="63" spans="1:431"/>
    <row r="64" spans="1:431"/>
    <row r="65" spans="7:269"/>
    <row r="66" spans="7:269"/>
    <row r="67" spans="7:269"/>
    <row r="68" spans="7:269"/>
    <row r="69" spans="7:269">
      <c r="JI69" s="379">
        <f>MIN(31:31)</f>
        <v>0.75</v>
      </c>
    </row>
    <row r="70" spans="7:269">
      <c r="G70" s="490">
        <f>COUNTA(H4:ZZ56)+COUNTA('Propeller Aircraft'!H4:ZZ63)+COUNTA('Jet Engines'!E4:ZZ54)+COUNTA('Propeller Engines'!E4:ZZ57)</f>
        <v>19658</v>
      </c>
      <c r="JI70" s="379">
        <f>MAX(31:31)</f>
        <v>0.85499999999999998</v>
      </c>
    </row>
    <row r="71" spans="7:269"/>
  </sheetData>
  <phoneticPr fontId="50" type="noConversion"/>
  <conditionalFormatting sqref="A1:PH634">
    <cfRule type="expression" dxfId="0" priority="1">
      <formula>_xlfn.ISFORMULA(A1)</formula>
    </cfRule>
  </conditionalFormatting>
  <conditionalFormatting sqref="PI1:PI22 PI54:PI634">
    <cfRule type="expression" dxfId="27" priority="4">
      <formula>_xlfn.ISFORMULA(PI1)</formula>
    </cfRule>
  </conditionalFormatting>
  <conditionalFormatting sqref="PJ15:PJ22 PJ54">
    <cfRule type="expression" dxfId="26" priority="3">
      <formula>_xlfn.ISFORMULA(PJ15)</formula>
    </cfRule>
  </conditionalFormatting>
  <conditionalFormatting sqref="PJ1:PK14 PK15:PK54 PI23:PJ53 PJ55:PK634">
    <cfRule type="expression" dxfId="25" priority="2">
      <formula>_xlfn.ISFORMULA(PI1)</formula>
    </cfRule>
  </conditionalFormatting>
  <conditionalFormatting sqref="PL1:PO634 PP10:AOZ634">
    <cfRule type="expression" dxfId="24" priority="5">
      <formula>_xlfn.ISFORMULA(PL1)</formula>
    </cfRule>
  </conditionalFormatting>
  <conditionalFormatting sqref="PP1:AOZ7 PP8:BAH9">
    <cfRule type="expression" dxfId="23" priority="6">
      <formula>_xlfn.ISFORMULA(PP1)</formula>
    </cfRule>
  </conditionalFormatting>
  <hyperlinks>
    <hyperlink ref="A1" r:id="rId1" xr:uid="{1F7D3F12-6B6B-4A28-AF17-BF2A22AFAED9}"/>
  </hyperlinks>
  <pageMargins left="0.7" right="0.7" top="0.75" bottom="0.75" header="0.3" footer="0.3"/>
  <pageSetup orientation="portrait"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9FFE9-37F7-4B97-9C5D-4FB04D6340CF}">
  <dimension ref="A1:CM66"/>
  <sheetViews>
    <sheetView zoomScale="53" zoomScaleNormal="53" workbookViewId="0">
      <pane xSplit="2" ySplit="2" topLeftCell="BH3" activePane="bottomRight" state="frozen"/>
      <selection pane="topRight" activeCell="C1" sqref="C1"/>
      <selection pane="bottomLeft" activeCell="A3" sqref="A3"/>
      <selection pane="bottomRight" activeCell="BS32" sqref="BS32"/>
    </sheetView>
  </sheetViews>
  <sheetFormatPr defaultColWidth="8.7109375" defaultRowHeight="15"/>
  <cols>
    <col min="1" max="1" width="32.7109375" style="379" customWidth="1"/>
    <col min="2" max="4" width="11.7109375" style="380" customWidth="1"/>
    <col min="5" max="5" width="14.42578125" style="380" customWidth="1"/>
    <col min="6" max="6" width="11.7109375" style="380" customWidth="1"/>
    <col min="7" max="7" width="7.28515625" style="490" customWidth="1"/>
    <col min="8" max="13" width="20.7109375" style="379" customWidth="1"/>
    <col min="14" max="14" width="2" style="490" customWidth="1"/>
    <col min="15" max="19" width="20.7109375" style="379" customWidth="1"/>
    <col min="20" max="20" width="10.7109375" style="490" customWidth="1"/>
    <col min="21" max="26" width="20.7109375" style="379" customWidth="1"/>
    <col min="27" max="27" width="1.7109375" style="379" customWidth="1"/>
    <col min="28" max="33" width="20.7109375" style="379" customWidth="1"/>
    <col min="34" max="34" width="12.42578125" style="379" customWidth="1"/>
    <col min="35" max="39" width="20.7109375" style="379" customWidth="1"/>
    <col min="40" max="40" width="1.42578125" style="379" customWidth="1"/>
    <col min="41" max="41" width="20.7109375" style="379"/>
    <col min="42" max="43" width="20.7109375" style="379" customWidth="1"/>
    <col min="44" max="44" width="1.42578125" style="379" customWidth="1"/>
    <col min="45" max="46" width="20.7109375" style="379" customWidth="1"/>
    <col min="47" max="47" width="1.42578125" style="379" customWidth="1"/>
    <col min="48" max="51" width="20.7109375" style="379" customWidth="1"/>
    <col min="52" max="52" width="1.42578125" style="379" customWidth="1"/>
    <col min="53" max="54" width="20.7109375" style="379"/>
    <col min="55" max="55" width="8.28515625" style="379" customWidth="1"/>
    <col min="56" max="56" width="20.7109375" style="379"/>
    <col min="57" max="57" width="21.42578125" style="379" customWidth="1"/>
    <col min="58" max="58" width="20.7109375" style="379"/>
    <col min="59" max="63" width="21.7109375" style="379" customWidth="1"/>
    <col min="64" max="64" width="18.42578125" customWidth="1"/>
    <col min="65" max="91" width="20.7109375" customWidth="1"/>
  </cols>
  <sheetData>
    <row r="1" spans="1:91" ht="15" customHeight="1">
      <c r="A1" s="582" t="s">
        <v>0</v>
      </c>
      <c r="B1" s="623" t="s">
        <v>1</v>
      </c>
      <c r="C1" s="380" t="s">
        <v>2</v>
      </c>
      <c r="D1" s="380" t="s">
        <v>3</v>
      </c>
      <c r="E1" s="380" t="s">
        <v>4</v>
      </c>
      <c r="F1" s="380" t="s">
        <v>5</v>
      </c>
      <c r="G1" s="761" t="s">
        <v>1427</v>
      </c>
      <c r="H1" s="543"/>
      <c r="I1" s="543"/>
      <c r="J1" s="543"/>
      <c r="K1" s="543"/>
      <c r="L1" s="543"/>
      <c r="M1" s="543"/>
      <c r="N1" s="761"/>
      <c r="O1" s="543"/>
      <c r="P1" s="543"/>
      <c r="Q1" s="543"/>
      <c r="R1" s="543"/>
      <c r="S1" s="543"/>
      <c r="T1" s="741" t="s">
        <v>1428</v>
      </c>
      <c r="U1" s="543"/>
      <c r="V1" s="543"/>
      <c r="W1" s="543"/>
      <c r="X1" s="543"/>
      <c r="Y1" s="540"/>
      <c r="Z1" s="543"/>
      <c r="AA1" s="833"/>
      <c r="AB1" s="543"/>
      <c r="AC1" s="539"/>
      <c r="AD1" s="543"/>
      <c r="AE1" s="543"/>
      <c r="AF1" s="543"/>
      <c r="AG1" s="543"/>
      <c r="AH1" s="760" t="s">
        <v>1429</v>
      </c>
      <c r="AI1" s="543"/>
      <c r="AJ1" s="543"/>
      <c r="AK1" s="543"/>
      <c r="AL1" s="543"/>
      <c r="AM1" s="543"/>
      <c r="AN1" s="760"/>
      <c r="AO1" s="543"/>
      <c r="AP1" s="543"/>
      <c r="AQ1" s="543"/>
      <c r="AR1" s="760"/>
      <c r="AS1" s="543"/>
      <c r="AT1" s="543"/>
      <c r="AU1" s="760"/>
      <c r="AV1" s="543"/>
      <c r="AW1" s="543"/>
      <c r="AX1" s="543"/>
      <c r="AY1" s="543"/>
      <c r="AZ1" s="760"/>
      <c r="BA1" s="543"/>
      <c r="BB1" s="543"/>
      <c r="BC1" s="770" t="s">
        <v>9</v>
      </c>
      <c r="BD1" s="543"/>
      <c r="BE1" s="539"/>
      <c r="BF1" s="539"/>
      <c r="BG1" s="539"/>
      <c r="BH1" s="539"/>
      <c r="BI1" s="543"/>
      <c r="BJ1" s="543"/>
      <c r="BK1" s="543"/>
      <c r="BL1" s="815" t="s">
        <v>1430</v>
      </c>
      <c r="BM1" s="543"/>
      <c r="BN1" s="543"/>
      <c r="BO1" s="543"/>
      <c r="BP1" s="543"/>
      <c r="BQ1" s="543"/>
      <c r="BR1" s="543"/>
      <c r="BS1" s="543"/>
      <c r="BT1" s="543"/>
      <c r="BU1" s="543"/>
      <c r="BV1" s="543"/>
      <c r="BW1" s="543"/>
      <c r="BX1" s="543"/>
      <c r="BY1" s="539"/>
      <c r="BZ1" s="539"/>
      <c r="CA1" s="539"/>
      <c r="CB1" s="539"/>
      <c r="CC1" s="539"/>
      <c r="CD1" s="543"/>
      <c r="CE1" s="543"/>
      <c r="CF1" s="543"/>
      <c r="CG1" s="543"/>
      <c r="CH1" s="543"/>
      <c r="CI1" s="543"/>
      <c r="CJ1" s="543"/>
      <c r="CK1" s="543"/>
      <c r="CL1" s="543"/>
      <c r="CM1" s="543"/>
    </row>
    <row r="2" spans="1:91" ht="15.75">
      <c r="A2" s="509" t="s">
        <v>16</v>
      </c>
      <c r="B2" s="623" t="s">
        <v>17</v>
      </c>
      <c r="G2" s="762"/>
      <c r="H2" s="745" t="s">
        <v>1431</v>
      </c>
      <c r="I2" s="745" t="s">
        <v>1432</v>
      </c>
      <c r="J2" s="745" t="s">
        <v>1433</v>
      </c>
      <c r="K2" s="745" t="s">
        <v>1434</v>
      </c>
      <c r="L2" s="745" t="s">
        <v>1435</v>
      </c>
      <c r="M2" s="745" t="s">
        <v>1436</v>
      </c>
      <c r="N2" s="762"/>
      <c r="O2" s="745" t="s">
        <v>1437</v>
      </c>
      <c r="P2" s="745" t="s">
        <v>1438</v>
      </c>
      <c r="Q2" s="745" t="s">
        <v>1439</v>
      </c>
      <c r="R2" s="745" t="s">
        <v>1440</v>
      </c>
      <c r="S2" s="745" t="s">
        <v>1441</v>
      </c>
      <c r="T2" s="742"/>
      <c r="U2" s="744" t="s">
        <v>1442</v>
      </c>
      <c r="V2" s="744" t="s">
        <v>1443</v>
      </c>
      <c r="W2" s="744" t="s">
        <v>1444</v>
      </c>
      <c r="X2" s="744" t="s">
        <v>1445</v>
      </c>
      <c r="Y2" s="828" t="s">
        <v>1446</v>
      </c>
      <c r="Z2" s="744" t="s">
        <v>1447</v>
      </c>
      <c r="AA2" s="833"/>
      <c r="AB2" s="744" t="s">
        <v>1448</v>
      </c>
      <c r="AC2" s="831" t="s">
        <v>1449</v>
      </c>
      <c r="AD2" s="744" t="s">
        <v>1450</v>
      </c>
      <c r="AE2" s="744" t="s">
        <v>1451</v>
      </c>
      <c r="AF2" s="744" t="s">
        <v>1452</v>
      </c>
      <c r="AG2" s="744"/>
      <c r="AH2" s="404"/>
      <c r="AI2" s="706" t="s">
        <v>1453</v>
      </c>
      <c r="AJ2" s="706" t="s">
        <v>1454</v>
      </c>
      <c r="AK2" s="706" t="s">
        <v>1455</v>
      </c>
      <c r="AL2" s="706" t="s">
        <v>1456</v>
      </c>
      <c r="AM2" s="706" t="s">
        <v>1457</v>
      </c>
      <c r="AN2" s="404"/>
      <c r="AO2" s="706" t="s">
        <v>1458</v>
      </c>
      <c r="AP2" s="706" t="s">
        <v>1459</v>
      </c>
      <c r="AQ2" s="706" t="s">
        <v>1460</v>
      </c>
      <c r="AR2" s="404"/>
      <c r="AS2" s="706" t="s">
        <v>1461</v>
      </c>
      <c r="AT2" s="706" t="s">
        <v>1462</v>
      </c>
      <c r="AU2" s="404"/>
      <c r="AV2" s="706" t="s">
        <v>1463</v>
      </c>
      <c r="AW2" s="706" t="s">
        <v>1464</v>
      </c>
      <c r="AX2" s="706" t="s">
        <v>1465</v>
      </c>
      <c r="AY2" s="706" t="s">
        <v>1466</v>
      </c>
      <c r="AZ2" s="404"/>
      <c r="BA2" s="706" t="s">
        <v>1467</v>
      </c>
      <c r="BB2" s="706" t="s">
        <v>1468</v>
      </c>
      <c r="BC2" s="765"/>
      <c r="BD2" s="766" t="s">
        <v>1469</v>
      </c>
      <c r="BE2" s="766" t="s">
        <v>1470</v>
      </c>
      <c r="BF2" s="766" t="s">
        <v>1471</v>
      </c>
      <c r="BG2" s="766" t="s">
        <v>1472</v>
      </c>
      <c r="BH2" s="766"/>
      <c r="BI2" s="766" t="s">
        <v>1473</v>
      </c>
      <c r="BJ2" s="766" t="s">
        <v>1474</v>
      </c>
      <c r="BK2" s="766" t="s">
        <v>1475</v>
      </c>
      <c r="BL2" s="816"/>
      <c r="BM2" s="819" t="s">
        <v>1476</v>
      </c>
      <c r="BN2" s="819" t="s">
        <v>1477</v>
      </c>
      <c r="BO2" s="819" t="s">
        <v>1478</v>
      </c>
      <c r="BP2" s="819" t="s">
        <v>1479</v>
      </c>
      <c r="BQ2" s="819"/>
      <c r="BR2" s="819"/>
      <c r="BS2" s="819" t="s">
        <v>1480</v>
      </c>
      <c r="BT2" s="819" t="s">
        <v>1481</v>
      </c>
      <c r="BU2" s="819" t="s">
        <v>1482</v>
      </c>
      <c r="BV2" s="819" t="s">
        <v>1483</v>
      </c>
      <c r="BW2" s="819" t="s">
        <v>1484</v>
      </c>
      <c r="BX2" s="819" t="s">
        <v>1485</v>
      </c>
      <c r="BY2" s="820" t="s">
        <v>1486</v>
      </c>
      <c r="BZ2" s="820" t="s">
        <v>1487</v>
      </c>
      <c r="CA2" s="820" t="s">
        <v>1488</v>
      </c>
      <c r="CB2" s="820" t="s">
        <v>1489</v>
      </c>
      <c r="CC2" s="820" t="s">
        <v>1490</v>
      </c>
      <c r="CD2" s="819" t="s">
        <v>1491</v>
      </c>
      <c r="CE2" s="819" t="s">
        <v>1492</v>
      </c>
      <c r="CF2" s="819"/>
      <c r="CG2" s="819"/>
      <c r="CH2" s="819" t="s">
        <v>1493</v>
      </c>
      <c r="CI2" s="819"/>
      <c r="CJ2" s="819"/>
      <c r="CK2" s="819" t="s">
        <v>1494</v>
      </c>
      <c r="CL2" s="819" t="s">
        <v>1495</v>
      </c>
      <c r="CM2" s="819"/>
    </row>
    <row r="3" spans="1:91" ht="15.75">
      <c r="A3" s="509" t="s">
        <v>420</v>
      </c>
      <c r="B3" s="625"/>
      <c r="C3" s="620"/>
      <c r="D3" s="620"/>
      <c r="E3" s="620"/>
      <c r="F3" s="620"/>
      <c r="G3" s="762"/>
      <c r="H3" s="675"/>
      <c r="I3" s="675"/>
      <c r="J3" s="675"/>
      <c r="K3" s="675"/>
      <c r="L3" s="675"/>
      <c r="M3" s="675"/>
      <c r="N3" s="762"/>
      <c r="O3" s="675"/>
      <c r="P3" s="675"/>
      <c r="Q3" s="675"/>
      <c r="R3" s="675"/>
      <c r="S3" s="675"/>
      <c r="T3" s="742"/>
      <c r="U3" s="675"/>
      <c r="V3" s="675"/>
      <c r="W3" s="675"/>
      <c r="X3" s="675"/>
      <c r="Y3" s="829"/>
      <c r="Z3" s="675"/>
      <c r="AA3" s="834"/>
      <c r="AB3" s="675"/>
      <c r="AC3" s="771"/>
      <c r="AD3" s="675"/>
      <c r="AE3" s="675"/>
      <c r="AF3" s="675"/>
      <c r="AG3" s="675"/>
      <c r="AH3" s="404"/>
      <c r="AI3" s="675"/>
      <c r="AJ3" s="675"/>
      <c r="AK3" s="675"/>
      <c r="AL3" s="675"/>
      <c r="AM3" s="675"/>
      <c r="AN3" s="404"/>
      <c r="AO3" s="675"/>
      <c r="AP3" s="675"/>
      <c r="AQ3" s="675"/>
      <c r="AR3" s="404"/>
      <c r="AS3" s="675"/>
      <c r="AT3" s="675"/>
      <c r="AU3" s="404"/>
      <c r="AV3" s="675"/>
      <c r="AW3" s="675"/>
      <c r="AX3" s="675"/>
      <c r="AY3" s="675"/>
      <c r="AZ3" s="404"/>
      <c r="BA3" s="675"/>
      <c r="BB3" s="675"/>
      <c r="BC3" s="765"/>
      <c r="BD3" s="675"/>
      <c r="BE3" s="771"/>
      <c r="BF3" s="771"/>
      <c r="BG3" s="771"/>
      <c r="BH3" s="771"/>
      <c r="BI3" s="675"/>
      <c r="BJ3" s="675"/>
      <c r="BK3" s="675"/>
      <c r="BL3" s="816"/>
      <c r="BM3" s="675"/>
      <c r="BN3" s="675"/>
      <c r="BO3" s="675"/>
      <c r="BP3" s="675"/>
      <c r="BQ3" s="675"/>
      <c r="BR3" s="675"/>
      <c r="BS3" s="675"/>
      <c r="BT3" s="675"/>
      <c r="BU3" s="675"/>
      <c r="BV3" s="675"/>
      <c r="BW3" s="675"/>
      <c r="BX3" s="675"/>
      <c r="BY3" s="771"/>
      <c r="BZ3" s="771"/>
      <c r="CA3" s="771"/>
      <c r="CB3" s="771"/>
      <c r="CC3" s="771"/>
      <c r="CD3" s="675"/>
      <c r="CE3" s="675"/>
      <c r="CF3" s="675"/>
      <c r="CG3" s="675"/>
      <c r="CH3" s="675"/>
      <c r="CI3" s="675"/>
      <c r="CJ3" s="675"/>
      <c r="CK3" s="675"/>
      <c r="CL3" s="675"/>
      <c r="CM3" s="675"/>
    </row>
    <row r="4" spans="1:91">
      <c r="A4" s="399" t="s">
        <v>421</v>
      </c>
      <c r="B4" s="623" t="s">
        <v>17</v>
      </c>
      <c r="C4" s="380" t="s">
        <v>420</v>
      </c>
      <c r="D4" s="380" t="s">
        <v>421</v>
      </c>
      <c r="G4" s="762"/>
      <c r="H4" s="745" t="s">
        <v>1427</v>
      </c>
      <c r="I4" s="745" t="s">
        <v>1427</v>
      </c>
      <c r="J4" s="745" t="s">
        <v>1427</v>
      </c>
      <c r="K4" s="745" t="s">
        <v>1427</v>
      </c>
      <c r="L4" s="745" t="s">
        <v>1427</v>
      </c>
      <c r="M4" s="745" t="s">
        <v>1427</v>
      </c>
      <c r="N4" s="762"/>
      <c r="O4" s="745" t="s">
        <v>1427</v>
      </c>
      <c r="P4" s="745" t="s">
        <v>1427</v>
      </c>
      <c r="Q4" s="745" t="s">
        <v>1427</v>
      </c>
      <c r="R4" s="745" t="s">
        <v>1427</v>
      </c>
      <c r="S4" s="745" t="s">
        <v>1427</v>
      </c>
      <c r="T4" s="742"/>
      <c r="U4" s="744" t="s">
        <v>1428</v>
      </c>
      <c r="V4" s="744" t="s">
        <v>1428</v>
      </c>
      <c r="W4" s="744" t="s">
        <v>1428</v>
      </c>
      <c r="X4" s="744" t="s">
        <v>1428</v>
      </c>
      <c r="Y4" s="828" t="s">
        <v>1428</v>
      </c>
      <c r="Z4" s="744" t="s">
        <v>427</v>
      </c>
      <c r="AA4" s="833"/>
      <c r="AB4" s="744" t="s">
        <v>427</v>
      </c>
      <c r="AC4" s="744" t="s">
        <v>427</v>
      </c>
      <c r="AD4" s="744" t="s">
        <v>427</v>
      </c>
      <c r="AE4" s="744" t="s">
        <v>427</v>
      </c>
      <c r="AF4" s="744" t="s">
        <v>427</v>
      </c>
      <c r="AG4" s="744"/>
      <c r="AH4" s="404"/>
      <c r="AI4" s="706" t="s">
        <v>1496</v>
      </c>
      <c r="AJ4" s="706" t="s">
        <v>1496</v>
      </c>
      <c r="AK4" s="706" t="s">
        <v>1496</v>
      </c>
      <c r="AL4" s="706" t="s">
        <v>1496</v>
      </c>
      <c r="AM4" s="706" t="s">
        <v>1496</v>
      </c>
      <c r="AN4" s="404"/>
      <c r="AO4" s="706" t="s">
        <v>1496</v>
      </c>
      <c r="AP4" s="706" t="s">
        <v>1496</v>
      </c>
      <c r="AQ4" s="706" t="s">
        <v>1496</v>
      </c>
      <c r="AR4" s="404"/>
      <c r="AS4" s="706" t="s">
        <v>1496</v>
      </c>
      <c r="AT4" s="706" t="s">
        <v>1496</v>
      </c>
      <c r="AU4" s="404"/>
      <c r="AV4" s="706" t="s">
        <v>1496</v>
      </c>
      <c r="AW4" s="706" t="s">
        <v>1496</v>
      </c>
      <c r="AX4" s="706" t="s">
        <v>1496</v>
      </c>
      <c r="AY4" s="706" t="s">
        <v>1496</v>
      </c>
      <c r="AZ4" s="404"/>
      <c r="BA4" s="706" t="s">
        <v>1496</v>
      </c>
      <c r="BB4" s="706" t="s">
        <v>1496</v>
      </c>
      <c r="BC4" s="456"/>
      <c r="BD4" s="766"/>
      <c r="BE4" s="427"/>
      <c r="BF4" s="427"/>
      <c r="BG4" s="427"/>
      <c r="BH4" s="427"/>
      <c r="BI4" s="766"/>
      <c r="BJ4" s="766"/>
      <c r="BK4" s="766"/>
      <c r="BL4" s="817"/>
      <c r="BM4" s="819" t="s">
        <v>1497</v>
      </c>
      <c r="BN4" s="819" t="s">
        <v>1497</v>
      </c>
      <c r="BO4" s="819" t="s">
        <v>1497</v>
      </c>
      <c r="BP4" s="819" t="s">
        <v>1497</v>
      </c>
      <c r="BQ4" s="819"/>
      <c r="BR4" s="819"/>
      <c r="BS4" s="819" t="s">
        <v>1498</v>
      </c>
      <c r="BT4" s="819" t="s">
        <v>1498</v>
      </c>
      <c r="BU4" s="819" t="s">
        <v>1498</v>
      </c>
      <c r="BV4" s="819" t="s">
        <v>1498</v>
      </c>
      <c r="BW4" s="819" t="s">
        <v>1498</v>
      </c>
      <c r="BX4" s="819" t="s">
        <v>1498</v>
      </c>
      <c r="BY4" s="819" t="s">
        <v>1498</v>
      </c>
      <c r="BZ4" s="820" t="s">
        <v>1499</v>
      </c>
      <c r="CA4" s="820" t="s">
        <v>1499</v>
      </c>
      <c r="CB4" s="820" t="s">
        <v>1499</v>
      </c>
      <c r="CC4" s="820" t="s">
        <v>1499</v>
      </c>
      <c r="CD4" s="819" t="s">
        <v>1500</v>
      </c>
      <c r="CE4" s="819" t="s">
        <v>1500</v>
      </c>
      <c r="CF4" s="819"/>
      <c r="CG4" s="819" t="s">
        <v>1501</v>
      </c>
      <c r="CH4" s="819" t="s">
        <v>1501</v>
      </c>
      <c r="CI4" s="819" t="s">
        <v>1501</v>
      </c>
      <c r="CJ4" s="819"/>
      <c r="CK4" s="819" t="s">
        <v>1502</v>
      </c>
      <c r="CL4" s="819" t="s">
        <v>1502</v>
      </c>
      <c r="CM4" s="819"/>
    </row>
    <row r="5" spans="1:91">
      <c r="A5" s="418" t="s">
        <v>436</v>
      </c>
      <c r="B5" s="623" t="s">
        <v>437</v>
      </c>
      <c r="C5" s="380" t="s">
        <v>438</v>
      </c>
      <c r="D5" s="380" t="s">
        <v>439</v>
      </c>
      <c r="E5" s="380" t="s">
        <v>440</v>
      </c>
      <c r="G5" s="762"/>
      <c r="H5" s="745">
        <v>1985</v>
      </c>
      <c r="I5" s="745">
        <v>1988</v>
      </c>
      <c r="J5" s="745"/>
      <c r="K5" s="745">
        <v>1996</v>
      </c>
      <c r="L5" s="745">
        <v>1995</v>
      </c>
      <c r="M5" s="745"/>
      <c r="N5" s="762"/>
      <c r="O5" s="745">
        <v>1989</v>
      </c>
      <c r="P5" s="745"/>
      <c r="Q5" s="745">
        <v>1992</v>
      </c>
      <c r="R5" s="745"/>
      <c r="S5" s="745"/>
      <c r="T5" s="742"/>
      <c r="U5" s="744"/>
      <c r="V5" s="744">
        <v>1965</v>
      </c>
      <c r="W5" s="744">
        <v>1968</v>
      </c>
      <c r="X5" s="744">
        <v>1969</v>
      </c>
      <c r="Y5" s="828">
        <v>1970</v>
      </c>
      <c r="Z5" s="744">
        <v>2019</v>
      </c>
      <c r="AA5" s="833"/>
      <c r="AB5" s="744"/>
      <c r="AC5" s="831"/>
      <c r="AD5" s="744"/>
      <c r="AE5" s="744"/>
      <c r="AF5" s="744"/>
      <c r="AG5" s="744"/>
      <c r="AH5" s="423"/>
      <c r="AI5" s="706">
        <v>1977</v>
      </c>
      <c r="AJ5" s="706">
        <v>1977</v>
      </c>
      <c r="AK5" s="706">
        <v>1979</v>
      </c>
      <c r="AL5" s="706">
        <v>1979</v>
      </c>
      <c r="AM5" s="706">
        <v>1979</v>
      </c>
      <c r="AN5" s="423"/>
      <c r="AO5" s="706">
        <v>1988</v>
      </c>
      <c r="AP5" s="706">
        <v>1988</v>
      </c>
      <c r="AQ5" s="706">
        <v>1995</v>
      </c>
      <c r="AR5" s="423"/>
      <c r="AS5" s="706">
        <v>1998</v>
      </c>
      <c r="AT5" s="706">
        <v>1998</v>
      </c>
      <c r="AU5" s="423"/>
      <c r="AV5" s="706">
        <v>1995</v>
      </c>
      <c r="AW5" s="706">
        <v>1990</v>
      </c>
      <c r="AX5" s="706">
        <v>1993</v>
      </c>
      <c r="AY5" s="706">
        <v>1996</v>
      </c>
      <c r="AZ5" s="423"/>
      <c r="BA5" s="706">
        <v>1999</v>
      </c>
      <c r="BB5" s="706">
        <v>1999</v>
      </c>
      <c r="BC5" s="456"/>
      <c r="BD5" s="766">
        <v>1985</v>
      </c>
      <c r="BE5" s="427">
        <v>1992</v>
      </c>
      <c r="BF5" s="427">
        <v>1992</v>
      </c>
      <c r="BG5" s="427">
        <v>1986</v>
      </c>
      <c r="BH5" s="427"/>
      <c r="BI5" s="766"/>
      <c r="BJ5" s="766"/>
      <c r="BK5" s="766"/>
      <c r="BL5" s="817"/>
      <c r="BM5" s="819">
        <v>1993</v>
      </c>
      <c r="BN5" s="819">
        <v>1993</v>
      </c>
      <c r="BO5" s="819">
        <v>1993</v>
      </c>
      <c r="BP5" s="819">
        <v>1993</v>
      </c>
      <c r="BQ5" s="819"/>
      <c r="BR5" s="819"/>
      <c r="BS5" s="819">
        <v>1981</v>
      </c>
      <c r="BT5" s="819">
        <v>1984</v>
      </c>
      <c r="BU5" s="819">
        <v>1982</v>
      </c>
      <c r="BV5" s="819">
        <v>1984</v>
      </c>
      <c r="BW5" s="819">
        <v>1986</v>
      </c>
      <c r="BX5" s="819">
        <v>1989</v>
      </c>
      <c r="BY5" s="820"/>
      <c r="BZ5" s="820">
        <v>1970</v>
      </c>
      <c r="CA5" s="820">
        <v>1981</v>
      </c>
      <c r="CB5" s="820">
        <v>1985</v>
      </c>
      <c r="CC5" s="820">
        <v>1989</v>
      </c>
      <c r="CD5" s="819">
        <v>1984</v>
      </c>
      <c r="CE5" s="819">
        <v>1987</v>
      </c>
      <c r="CF5" s="819"/>
      <c r="CG5" s="819" t="s">
        <v>1503</v>
      </c>
      <c r="CH5" s="819"/>
      <c r="CI5" s="819" t="s">
        <v>1504</v>
      </c>
      <c r="CJ5" s="819"/>
      <c r="CK5" s="819"/>
      <c r="CL5" s="819"/>
      <c r="CM5" s="819"/>
    </row>
    <row r="6" spans="1:91" ht="22.5">
      <c r="A6" s="472" t="s">
        <v>441</v>
      </c>
      <c r="B6" s="623" t="s">
        <v>17</v>
      </c>
      <c r="C6" s="380" t="s">
        <v>420</v>
      </c>
      <c r="D6" s="380" t="s">
        <v>441</v>
      </c>
      <c r="G6" s="762"/>
      <c r="H6" s="745"/>
      <c r="I6" s="745"/>
      <c r="J6" s="745" t="s">
        <v>1505</v>
      </c>
      <c r="K6" s="745"/>
      <c r="L6" s="745"/>
      <c r="M6" s="745"/>
      <c r="N6" s="762"/>
      <c r="O6" s="745"/>
      <c r="P6" s="745"/>
      <c r="Q6" s="745"/>
      <c r="R6" s="745"/>
      <c r="S6" s="745"/>
      <c r="T6" s="742"/>
      <c r="U6" s="744" t="s">
        <v>1506</v>
      </c>
      <c r="V6" s="744" t="s">
        <v>1507</v>
      </c>
      <c r="W6" s="744" t="s">
        <v>1508</v>
      </c>
      <c r="X6" s="744" t="s">
        <v>1509</v>
      </c>
      <c r="Y6" s="828" t="s">
        <v>1510</v>
      </c>
      <c r="Z6" s="744" t="s">
        <v>1511</v>
      </c>
      <c r="AA6" s="833"/>
      <c r="AB6" s="744"/>
      <c r="AC6" s="831"/>
      <c r="AD6" s="744" t="s">
        <v>1512</v>
      </c>
      <c r="AE6" s="744"/>
      <c r="AF6" s="744"/>
      <c r="AG6" s="744"/>
      <c r="AH6" s="423"/>
      <c r="AI6" s="706"/>
      <c r="AJ6" s="706"/>
      <c r="AK6" s="706"/>
      <c r="AL6" s="706"/>
      <c r="AM6" s="706"/>
      <c r="AN6" s="423"/>
      <c r="AO6" s="706"/>
      <c r="AP6" s="706"/>
      <c r="AQ6" s="706"/>
      <c r="AR6" s="423"/>
      <c r="AS6" s="706"/>
      <c r="AT6" s="706"/>
      <c r="AU6" s="423"/>
      <c r="AV6" s="706"/>
      <c r="AW6" s="706"/>
      <c r="AX6" s="706"/>
      <c r="AY6" s="706"/>
      <c r="AZ6" s="423"/>
      <c r="BA6" s="706"/>
      <c r="BB6" s="706"/>
      <c r="BC6" s="456"/>
      <c r="BD6" s="766"/>
      <c r="BE6" s="427"/>
      <c r="BF6" s="427"/>
      <c r="BG6" s="427"/>
      <c r="BH6" s="427"/>
      <c r="BI6" s="766"/>
      <c r="BJ6" s="766"/>
      <c r="BK6" s="766"/>
      <c r="BL6" s="817"/>
      <c r="BM6" s="819"/>
      <c r="BN6" s="819"/>
      <c r="BO6" s="819"/>
      <c r="BP6" s="819"/>
      <c r="BQ6" s="819"/>
      <c r="BR6" s="819"/>
      <c r="BS6" s="819"/>
      <c r="BT6" s="819"/>
      <c r="BU6" s="819"/>
      <c r="BV6" s="819"/>
      <c r="BW6" s="819"/>
      <c r="BX6" s="819"/>
      <c r="BY6" s="820"/>
      <c r="BZ6" s="820"/>
      <c r="CA6" s="820"/>
      <c r="CB6" s="820"/>
      <c r="CC6" s="820"/>
      <c r="CD6" s="819"/>
      <c r="CE6" s="819"/>
      <c r="CF6" s="819"/>
      <c r="CG6" s="819" t="s">
        <v>1513</v>
      </c>
      <c r="CH6" s="819"/>
      <c r="CI6" s="819"/>
      <c r="CJ6" s="819"/>
      <c r="CK6" s="819" t="s">
        <v>1514</v>
      </c>
      <c r="CL6" s="819" t="s">
        <v>1515</v>
      </c>
      <c r="CM6" s="819"/>
    </row>
    <row r="7" spans="1:91" ht="30">
      <c r="A7" s="472" t="s">
        <v>508</v>
      </c>
      <c r="B7" s="623" t="s">
        <v>17</v>
      </c>
      <c r="C7" s="380" t="s">
        <v>420</v>
      </c>
      <c r="D7" s="380" t="s">
        <v>508</v>
      </c>
      <c r="G7" s="762"/>
      <c r="H7" s="745"/>
      <c r="I7" s="745"/>
      <c r="J7" s="745"/>
      <c r="K7" s="745"/>
      <c r="L7" s="745"/>
      <c r="M7" s="745"/>
      <c r="N7" s="762"/>
      <c r="O7" s="745"/>
      <c r="P7" s="745"/>
      <c r="Q7" s="745"/>
      <c r="R7" s="745"/>
      <c r="S7" s="745"/>
      <c r="T7" s="742"/>
      <c r="U7" s="744" t="s">
        <v>1516</v>
      </c>
      <c r="V7" s="744" t="s">
        <v>1516</v>
      </c>
      <c r="W7" s="744" t="s">
        <v>1516</v>
      </c>
      <c r="X7" s="744" t="s">
        <v>1516</v>
      </c>
      <c r="Y7" s="828" t="s">
        <v>1516</v>
      </c>
      <c r="Z7" s="744" t="s">
        <v>1517</v>
      </c>
      <c r="AA7" s="833"/>
      <c r="AB7" s="744" t="s">
        <v>1518</v>
      </c>
      <c r="AC7" s="744" t="s">
        <v>1518</v>
      </c>
      <c r="AD7" s="744" t="s">
        <v>1518</v>
      </c>
      <c r="AE7" s="744" t="s">
        <v>1518</v>
      </c>
      <c r="AF7" s="744" t="s">
        <v>1518</v>
      </c>
      <c r="AG7" s="744"/>
      <c r="AH7" s="441"/>
      <c r="AI7" s="706" t="s">
        <v>1519</v>
      </c>
      <c r="AJ7" s="706" t="s">
        <v>1519</v>
      </c>
      <c r="AK7" s="706" t="s">
        <v>1519</v>
      </c>
      <c r="AL7" s="706" t="s">
        <v>1519</v>
      </c>
      <c r="AM7" s="706" t="s">
        <v>1519</v>
      </c>
      <c r="AN7" s="441"/>
      <c r="AO7" s="706" t="s">
        <v>1520</v>
      </c>
      <c r="AP7" s="706" t="s">
        <v>1520</v>
      </c>
      <c r="AQ7" s="706" t="s">
        <v>1520</v>
      </c>
      <c r="AR7" s="441"/>
      <c r="AS7" s="706" t="s">
        <v>1521</v>
      </c>
      <c r="AT7" s="706" t="s">
        <v>1522</v>
      </c>
      <c r="AU7" s="441"/>
      <c r="AV7" s="706" t="s">
        <v>1523</v>
      </c>
      <c r="AW7" s="706" t="s">
        <v>1523</v>
      </c>
      <c r="AX7" s="706" t="s">
        <v>1523</v>
      </c>
      <c r="AY7" s="706" t="s">
        <v>1523</v>
      </c>
      <c r="AZ7" s="441"/>
      <c r="BA7" s="706" t="s">
        <v>1524</v>
      </c>
      <c r="BB7" s="706" t="s">
        <v>1524</v>
      </c>
      <c r="BC7" s="456"/>
      <c r="BD7" s="766" t="s">
        <v>1525</v>
      </c>
      <c r="BE7" s="766" t="s">
        <v>1525</v>
      </c>
      <c r="BF7" s="766" t="s">
        <v>1525</v>
      </c>
      <c r="BG7" s="766" t="s">
        <v>1525</v>
      </c>
      <c r="BH7" s="427"/>
      <c r="BI7" s="427" t="s">
        <v>1526</v>
      </c>
      <c r="BJ7" s="427" t="s">
        <v>1526</v>
      </c>
      <c r="BK7" s="427" t="s">
        <v>1526</v>
      </c>
      <c r="BL7" s="817"/>
      <c r="BM7" s="819"/>
      <c r="BN7" s="819"/>
      <c r="BO7" s="819"/>
      <c r="BP7" s="819"/>
      <c r="BQ7" s="819"/>
      <c r="BR7" s="819"/>
      <c r="BS7" s="819"/>
      <c r="BT7" s="819"/>
      <c r="BU7" s="819"/>
      <c r="BV7" s="819"/>
      <c r="BW7" s="819"/>
      <c r="BX7" s="819"/>
      <c r="BY7" s="820"/>
      <c r="BZ7" s="820" t="s">
        <v>1527</v>
      </c>
      <c r="CA7" s="820" t="s">
        <v>1527</v>
      </c>
      <c r="CB7" s="820" t="s">
        <v>1527</v>
      </c>
      <c r="CC7" s="820" t="s">
        <v>1527</v>
      </c>
      <c r="CD7" s="819"/>
      <c r="CE7" s="819"/>
      <c r="CF7" s="819"/>
      <c r="CG7" s="819" t="s">
        <v>1528</v>
      </c>
      <c r="CH7" s="819" t="s">
        <v>1528</v>
      </c>
      <c r="CI7" s="819" t="s">
        <v>1528</v>
      </c>
      <c r="CJ7" s="819"/>
      <c r="CK7" s="819"/>
      <c r="CL7" s="819"/>
      <c r="CM7" s="819"/>
    </row>
    <row r="8" spans="1:91">
      <c r="A8" s="418" t="s">
        <v>528</v>
      </c>
      <c r="B8" s="623" t="s">
        <v>17</v>
      </c>
      <c r="C8" s="380" t="s">
        <v>438</v>
      </c>
      <c r="D8" s="380" t="s">
        <v>529</v>
      </c>
      <c r="E8" s="380" t="s">
        <v>528</v>
      </c>
      <c r="G8" s="762"/>
      <c r="H8" s="745" t="s">
        <v>1529</v>
      </c>
      <c r="I8" s="745" t="s">
        <v>1530</v>
      </c>
      <c r="J8" s="745" t="s">
        <v>1529</v>
      </c>
      <c r="K8" s="745" t="s">
        <v>1531</v>
      </c>
      <c r="L8" s="745" t="s">
        <v>1532</v>
      </c>
      <c r="M8" s="745" t="s">
        <v>1533</v>
      </c>
      <c r="N8" s="762"/>
      <c r="O8" s="745" t="s">
        <v>1534</v>
      </c>
      <c r="P8" s="745" t="s">
        <v>1534</v>
      </c>
      <c r="Q8" s="745" t="s">
        <v>1535</v>
      </c>
      <c r="R8" s="745" t="s">
        <v>1536</v>
      </c>
      <c r="S8" s="745" t="s">
        <v>1533</v>
      </c>
      <c r="T8" s="742"/>
      <c r="U8" s="744" t="s">
        <v>1537</v>
      </c>
      <c r="V8" s="744" t="s">
        <v>1538</v>
      </c>
      <c r="W8" s="744" t="s">
        <v>1537</v>
      </c>
      <c r="X8" s="744" t="s">
        <v>1538</v>
      </c>
      <c r="Y8" s="828" t="s">
        <v>1537</v>
      </c>
      <c r="Z8" s="744" t="s">
        <v>1539</v>
      </c>
      <c r="AA8" s="833"/>
      <c r="AB8" s="744" t="s">
        <v>1539</v>
      </c>
      <c r="AC8" s="744" t="s">
        <v>1539</v>
      </c>
      <c r="AD8" s="744" t="s">
        <v>1539</v>
      </c>
      <c r="AE8" s="744" t="s">
        <v>1539</v>
      </c>
      <c r="AF8" s="744" t="s">
        <v>1539</v>
      </c>
      <c r="AG8" s="744"/>
      <c r="AH8" s="570"/>
      <c r="AI8" s="706" t="s">
        <v>1540</v>
      </c>
      <c r="AJ8" s="706" t="s">
        <v>1540</v>
      </c>
      <c r="AK8" s="706" t="s">
        <v>1540</v>
      </c>
      <c r="AL8" s="706" t="s">
        <v>1540</v>
      </c>
      <c r="AM8" s="706" t="s">
        <v>1540</v>
      </c>
      <c r="AN8" s="570"/>
      <c r="AO8" s="706" t="s">
        <v>1541</v>
      </c>
      <c r="AP8" s="706" t="s">
        <v>1530</v>
      </c>
      <c r="AQ8" s="706" t="s">
        <v>1530</v>
      </c>
      <c r="AR8" s="570"/>
      <c r="AS8" s="706" t="s">
        <v>1542</v>
      </c>
      <c r="AT8" s="706" t="s">
        <v>1543</v>
      </c>
      <c r="AU8" s="570"/>
      <c r="AV8" s="706" t="s">
        <v>1544</v>
      </c>
      <c r="AW8" s="706" t="s">
        <v>1544</v>
      </c>
      <c r="AX8" s="706" t="s">
        <v>1545</v>
      </c>
      <c r="AY8" s="706" t="s">
        <v>1546</v>
      </c>
      <c r="AZ8" s="570"/>
      <c r="BA8" s="706" t="s">
        <v>1547</v>
      </c>
      <c r="BB8" s="706" t="s">
        <v>1547</v>
      </c>
      <c r="BC8" s="456"/>
      <c r="BD8" s="766" t="s">
        <v>1548</v>
      </c>
      <c r="BE8" s="427" t="s">
        <v>1548</v>
      </c>
      <c r="BF8" s="427" t="s">
        <v>1548</v>
      </c>
      <c r="BG8" s="427" t="s">
        <v>1548</v>
      </c>
      <c r="BH8" s="427"/>
      <c r="BI8" s="766" t="s">
        <v>1549</v>
      </c>
      <c r="BJ8" s="766" t="s">
        <v>1549</v>
      </c>
      <c r="BK8" s="766" t="s">
        <v>1549</v>
      </c>
      <c r="BL8" s="817"/>
      <c r="BM8" s="819" t="s">
        <v>1550</v>
      </c>
      <c r="BN8" s="819" t="s">
        <v>1550</v>
      </c>
      <c r="BO8" s="819" t="s">
        <v>1551</v>
      </c>
      <c r="BP8" s="819" t="s">
        <v>1551</v>
      </c>
      <c r="BQ8" s="819"/>
      <c r="BR8" s="819"/>
      <c r="BS8" s="819" t="s">
        <v>1552</v>
      </c>
      <c r="BT8" s="819" t="s">
        <v>1552</v>
      </c>
      <c r="BU8" s="819" t="s">
        <v>1552</v>
      </c>
      <c r="BV8" s="819" t="s">
        <v>1552</v>
      </c>
      <c r="BW8" s="819" t="s">
        <v>1552</v>
      </c>
      <c r="BX8" s="819" t="s">
        <v>1552</v>
      </c>
      <c r="BY8" s="820" t="s">
        <v>1553</v>
      </c>
      <c r="BZ8" s="820" t="s">
        <v>1554</v>
      </c>
      <c r="CA8" s="820" t="s">
        <v>1555</v>
      </c>
      <c r="CB8" s="820" t="s">
        <v>1556</v>
      </c>
      <c r="CC8" s="820" t="s">
        <v>1557</v>
      </c>
      <c r="CD8" s="819" t="s">
        <v>1558</v>
      </c>
      <c r="CE8" s="819" t="s">
        <v>1559</v>
      </c>
      <c r="CF8" s="819"/>
      <c r="CG8" s="819"/>
      <c r="CH8" s="819" t="s">
        <v>1560</v>
      </c>
      <c r="CI8" s="819"/>
      <c r="CJ8" s="819"/>
      <c r="CK8" s="819" t="s">
        <v>1561</v>
      </c>
      <c r="CL8" s="819" t="s">
        <v>1562</v>
      </c>
      <c r="CM8" s="819"/>
    </row>
    <row r="9" spans="1:91" ht="48.75" customHeight="1">
      <c r="A9" s="418" t="s">
        <v>734</v>
      </c>
      <c r="B9" s="623" t="s">
        <v>17</v>
      </c>
      <c r="C9" s="380" t="s">
        <v>438</v>
      </c>
      <c r="D9" s="380" t="s">
        <v>529</v>
      </c>
      <c r="E9" s="380" t="s">
        <v>735</v>
      </c>
      <c r="G9" s="762"/>
      <c r="H9" s="745"/>
      <c r="I9" s="745"/>
      <c r="J9" s="745" t="s">
        <v>1530</v>
      </c>
      <c r="K9" s="745"/>
      <c r="L9" s="745" t="s">
        <v>1533</v>
      </c>
      <c r="M9" s="745"/>
      <c r="N9" s="762"/>
      <c r="O9" s="745"/>
      <c r="P9" s="745"/>
      <c r="Q9" s="745"/>
      <c r="R9" s="745" t="s">
        <v>1533</v>
      </c>
      <c r="S9" s="745"/>
      <c r="T9" s="742"/>
      <c r="U9" s="744"/>
      <c r="V9" s="744"/>
      <c r="W9" s="744"/>
      <c r="X9" s="744"/>
      <c r="Y9" s="828"/>
      <c r="Z9" s="744"/>
      <c r="AA9" s="833"/>
      <c r="AB9" s="744"/>
      <c r="AC9" s="831"/>
      <c r="AD9" s="744"/>
      <c r="AE9" s="744"/>
      <c r="AF9" s="744"/>
      <c r="AG9" s="744"/>
      <c r="AH9" s="570"/>
      <c r="AI9" s="706"/>
      <c r="AJ9" s="706"/>
      <c r="AK9" s="706"/>
      <c r="AL9" s="706"/>
      <c r="AM9" s="706"/>
      <c r="AN9" s="570"/>
      <c r="AO9" s="706" t="s">
        <v>1530</v>
      </c>
      <c r="AP9" s="706"/>
      <c r="AQ9" s="706"/>
      <c r="AR9" s="570"/>
      <c r="AS9" s="706" t="s">
        <v>1563</v>
      </c>
      <c r="AT9" s="706" t="s">
        <v>1564</v>
      </c>
      <c r="AU9" s="570"/>
      <c r="AV9" s="706" t="s">
        <v>1565</v>
      </c>
      <c r="AW9" s="706"/>
      <c r="AX9" s="706"/>
      <c r="AY9" s="706"/>
      <c r="AZ9" s="570"/>
      <c r="BA9" s="706"/>
      <c r="BB9" s="706"/>
      <c r="BC9" s="456"/>
      <c r="BD9" s="766" t="s">
        <v>1566</v>
      </c>
      <c r="BE9" s="427" t="s">
        <v>1567</v>
      </c>
      <c r="BF9" s="427" t="s">
        <v>1567</v>
      </c>
      <c r="BG9" s="427" t="s">
        <v>1567</v>
      </c>
      <c r="BH9" s="427"/>
      <c r="BI9" s="766"/>
      <c r="BJ9" s="766"/>
      <c r="BK9" s="766"/>
      <c r="BL9" s="817"/>
      <c r="BM9" s="819"/>
      <c r="BN9" s="819"/>
      <c r="BO9" s="819"/>
      <c r="BP9" s="819"/>
      <c r="BQ9" s="819"/>
      <c r="BR9" s="819"/>
      <c r="BS9" s="819" t="s">
        <v>1568</v>
      </c>
      <c r="BT9" s="819" t="s">
        <v>1568</v>
      </c>
      <c r="BU9" s="819" t="s">
        <v>1568</v>
      </c>
      <c r="BV9" s="819" t="s">
        <v>1568</v>
      </c>
      <c r="BW9" s="819" t="s">
        <v>1568</v>
      </c>
      <c r="BX9" s="819" t="s">
        <v>1568</v>
      </c>
      <c r="BY9" s="820"/>
      <c r="BZ9" s="820" t="s">
        <v>1569</v>
      </c>
      <c r="CA9" s="820" t="s">
        <v>1570</v>
      </c>
      <c r="CB9" s="820"/>
      <c r="CC9" s="820" t="s">
        <v>1571</v>
      </c>
      <c r="CD9" s="819"/>
      <c r="CE9" s="819"/>
      <c r="CF9" s="819"/>
      <c r="CG9" s="819"/>
      <c r="CH9" s="819"/>
      <c r="CI9" s="819"/>
      <c r="CJ9" s="819"/>
      <c r="CK9" s="819"/>
      <c r="CL9" s="819"/>
      <c r="CM9" s="819"/>
    </row>
    <row r="10" spans="1:91">
      <c r="A10" s="399" t="s">
        <v>897</v>
      </c>
      <c r="B10" s="623" t="s">
        <v>898</v>
      </c>
      <c r="C10" s="380" t="s">
        <v>438</v>
      </c>
      <c r="D10" s="380" t="s">
        <v>529</v>
      </c>
      <c r="E10" s="380" t="s">
        <v>899</v>
      </c>
      <c r="G10" s="762"/>
      <c r="H10" s="745">
        <v>2</v>
      </c>
      <c r="I10" s="745">
        <v>2</v>
      </c>
      <c r="J10" s="745">
        <v>2</v>
      </c>
      <c r="K10" s="745">
        <v>2</v>
      </c>
      <c r="L10" s="745">
        <v>2</v>
      </c>
      <c r="M10" s="745">
        <v>2</v>
      </c>
      <c r="N10" s="762"/>
      <c r="O10" s="745">
        <v>2</v>
      </c>
      <c r="P10" s="745">
        <v>2</v>
      </c>
      <c r="Q10" s="745">
        <v>2</v>
      </c>
      <c r="R10" s="745">
        <v>2</v>
      </c>
      <c r="S10" s="745">
        <v>2</v>
      </c>
      <c r="T10" s="742"/>
      <c r="U10" s="744">
        <v>4</v>
      </c>
      <c r="V10" s="744">
        <v>4</v>
      </c>
      <c r="W10" s="744">
        <v>4</v>
      </c>
      <c r="X10" s="744">
        <v>4</v>
      </c>
      <c r="Y10" s="828">
        <v>4</v>
      </c>
      <c r="Z10" s="744">
        <v>4</v>
      </c>
      <c r="AA10" s="833"/>
      <c r="AB10" s="744"/>
      <c r="AC10" s="831"/>
      <c r="AD10" s="744"/>
      <c r="AE10" s="744"/>
      <c r="AF10" s="744"/>
      <c r="AG10" s="744"/>
      <c r="AH10" s="404"/>
      <c r="AI10" s="706">
        <v>4</v>
      </c>
      <c r="AJ10" s="706">
        <v>4</v>
      </c>
      <c r="AK10" s="706">
        <v>4</v>
      </c>
      <c r="AL10" s="706">
        <v>4</v>
      </c>
      <c r="AM10" s="706">
        <v>4</v>
      </c>
      <c r="AN10" s="404"/>
      <c r="AO10" s="706">
        <v>2</v>
      </c>
      <c r="AP10" s="706">
        <v>2</v>
      </c>
      <c r="AQ10" s="706">
        <v>2</v>
      </c>
      <c r="AR10" s="404"/>
      <c r="AS10" s="706">
        <v>2</v>
      </c>
      <c r="AT10" s="706">
        <v>2</v>
      </c>
      <c r="AU10" s="404"/>
      <c r="AV10" s="706">
        <v>2</v>
      </c>
      <c r="AW10" s="706">
        <v>2</v>
      </c>
      <c r="AX10" s="706">
        <v>2</v>
      </c>
      <c r="AY10" s="706">
        <v>2</v>
      </c>
      <c r="AZ10" s="404"/>
      <c r="BA10" s="706">
        <v>2</v>
      </c>
      <c r="BB10" s="706">
        <v>2</v>
      </c>
      <c r="BC10" s="456"/>
      <c r="BD10" s="766">
        <v>2</v>
      </c>
      <c r="BE10" s="766">
        <v>2</v>
      </c>
      <c r="BF10" s="766">
        <v>2</v>
      </c>
      <c r="BG10" s="766">
        <v>2</v>
      </c>
      <c r="BH10" s="766"/>
      <c r="BI10" s="766">
        <v>2</v>
      </c>
      <c r="BJ10" s="766"/>
      <c r="BK10" s="766"/>
      <c r="BL10" s="817"/>
      <c r="BM10" s="819">
        <v>2</v>
      </c>
      <c r="BN10" s="819">
        <v>2</v>
      </c>
      <c r="BO10" s="819">
        <v>2</v>
      </c>
      <c r="BP10" s="819">
        <v>2</v>
      </c>
      <c r="BQ10" s="819"/>
      <c r="BR10" s="819"/>
      <c r="BS10" s="819">
        <v>2</v>
      </c>
      <c r="BT10" s="819">
        <v>2</v>
      </c>
      <c r="BU10" s="819">
        <v>2</v>
      </c>
      <c r="BV10" s="819">
        <v>2</v>
      </c>
      <c r="BW10" s="819">
        <v>2</v>
      </c>
      <c r="BX10" s="819">
        <v>2</v>
      </c>
      <c r="BY10" s="820">
        <v>2</v>
      </c>
      <c r="BZ10" s="820">
        <v>2</v>
      </c>
      <c r="CA10" s="820">
        <v>2</v>
      </c>
      <c r="CB10" s="820">
        <v>2</v>
      </c>
      <c r="CC10" s="820">
        <v>2</v>
      </c>
      <c r="CD10" s="819">
        <v>2</v>
      </c>
      <c r="CE10" s="819">
        <v>2</v>
      </c>
      <c r="CF10" s="819"/>
      <c r="CG10" s="819"/>
      <c r="CH10" s="819">
        <v>4</v>
      </c>
      <c r="CI10" s="819"/>
      <c r="CJ10" s="819"/>
      <c r="CK10" s="819">
        <v>2</v>
      </c>
      <c r="CL10" s="819">
        <v>2</v>
      </c>
      <c r="CM10" s="819"/>
    </row>
    <row r="11" spans="1:91" ht="67.5">
      <c r="A11" s="418" t="s">
        <v>900</v>
      </c>
      <c r="B11" s="623" t="s">
        <v>901</v>
      </c>
      <c r="C11" s="380" t="s">
        <v>420</v>
      </c>
      <c r="D11" s="380" t="s">
        <v>900</v>
      </c>
      <c r="G11" s="763"/>
      <c r="H11" s="746" t="s">
        <v>1572</v>
      </c>
      <c r="I11" s="746" t="s">
        <v>1572</v>
      </c>
      <c r="J11" s="746" t="s">
        <v>1572</v>
      </c>
      <c r="K11" s="746" t="s">
        <v>1572</v>
      </c>
      <c r="L11" s="746" t="s">
        <v>1572</v>
      </c>
      <c r="M11" s="746" t="s">
        <v>1572</v>
      </c>
      <c r="N11" s="763"/>
      <c r="O11" s="746" t="s">
        <v>1573</v>
      </c>
      <c r="P11" s="746" t="s">
        <v>1573</v>
      </c>
      <c r="Q11" s="746" t="s">
        <v>1573</v>
      </c>
      <c r="R11" s="746" t="s">
        <v>1573</v>
      </c>
      <c r="S11" s="746" t="s">
        <v>1573</v>
      </c>
      <c r="T11" s="743"/>
      <c r="U11" s="748" t="s">
        <v>1574</v>
      </c>
      <c r="V11" s="748" t="s">
        <v>1575</v>
      </c>
      <c r="W11" s="748" t="s">
        <v>1575</v>
      </c>
      <c r="X11" s="748" t="s">
        <v>1575</v>
      </c>
      <c r="Y11" s="748" t="s">
        <v>1575</v>
      </c>
      <c r="Z11" s="748" t="s">
        <v>1575</v>
      </c>
      <c r="AA11" s="835"/>
      <c r="AB11" s="748" t="s">
        <v>1576</v>
      </c>
      <c r="AC11" s="832" t="s">
        <v>1577</v>
      </c>
      <c r="AD11" s="748" t="s">
        <v>1578</v>
      </c>
      <c r="AE11" s="748" t="s">
        <v>1579</v>
      </c>
      <c r="AF11" s="748" t="s">
        <v>1580</v>
      </c>
      <c r="AG11" s="748"/>
      <c r="AH11" s="478"/>
      <c r="AI11" s="711" t="s">
        <v>1581</v>
      </c>
      <c r="AJ11" s="711" t="s">
        <v>1581</v>
      </c>
      <c r="AK11" s="711" t="s">
        <v>1581</v>
      </c>
      <c r="AL11" s="711" t="s">
        <v>1581</v>
      </c>
      <c r="AM11" s="711" t="s">
        <v>1581</v>
      </c>
      <c r="AN11" s="478"/>
      <c r="AO11" s="711" t="s">
        <v>1581</v>
      </c>
      <c r="AP11" s="711" t="s">
        <v>1581</v>
      </c>
      <c r="AQ11" s="711" t="s">
        <v>1581</v>
      </c>
      <c r="AR11" s="478"/>
      <c r="AS11" s="711" t="s">
        <v>1582</v>
      </c>
      <c r="AT11" s="711" t="s">
        <v>1582</v>
      </c>
      <c r="AU11" s="478"/>
      <c r="AV11" s="711" t="s">
        <v>1583</v>
      </c>
      <c r="AW11" s="711" t="s">
        <v>1584</v>
      </c>
      <c r="AX11" s="711" t="s">
        <v>1585</v>
      </c>
      <c r="AY11" s="711" t="s">
        <v>1585</v>
      </c>
      <c r="AZ11" s="478"/>
      <c r="BA11" s="711" t="s">
        <v>1586</v>
      </c>
      <c r="BB11" s="711" t="s">
        <v>1586</v>
      </c>
      <c r="BC11" s="538"/>
      <c r="BD11" s="767"/>
      <c r="BE11" s="769" t="s">
        <v>1587</v>
      </c>
      <c r="BF11" s="769" t="s">
        <v>1588</v>
      </c>
      <c r="BG11" s="769"/>
      <c r="BH11" s="769"/>
      <c r="BI11" s="767" t="s">
        <v>1589</v>
      </c>
      <c r="BJ11" s="769" t="s">
        <v>1590</v>
      </c>
      <c r="BK11" s="767"/>
      <c r="BL11" s="818"/>
      <c r="BM11" s="821" t="s">
        <v>1591</v>
      </c>
      <c r="BN11" s="821" t="s">
        <v>1591</v>
      </c>
      <c r="BO11" s="821" t="s">
        <v>1591</v>
      </c>
      <c r="BP11" s="821" t="s">
        <v>1591</v>
      </c>
      <c r="BQ11" s="821"/>
      <c r="BR11" s="821"/>
      <c r="BS11" s="821" t="s">
        <v>1592</v>
      </c>
      <c r="BT11" s="821" t="s">
        <v>1592</v>
      </c>
      <c r="BU11" s="821" t="s">
        <v>1592</v>
      </c>
      <c r="BV11" s="821" t="s">
        <v>1592</v>
      </c>
      <c r="BW11" s="821" t="s">
        <v>1592</v>
      </c>
      <c r="BX11" s="821" t="s">
        <v>1592</v>
      </c>
      <c r="BY11" s="822" t="s">
        <v>1593</v>
      </c>
      <c r="BZ11" s="822"/>
      <c r="CA11" s="822"/>
      <c r="CB11" s="822"/>
      <c r="CC11" s="822"/>
      <c r="CD11" s="821"/>
      <c r="CE11" s="821"/>
      <c r="CF11" s="821"/>
      <c r="CG11" s="821" t="s">
        <v>1594</v>
      </c>
      <c r="CH11" s="819" t="s">
        <v>1595</v>
      </c>
      <c r="CI11" s="821" t="s">
        <v>1596</v>
      </c>
      <c r="CJ11" s="821"/>
      <c r="CK11" s="821"/>
      <c r="CL11" s="821"/>
      <c r="CM11" s="821"/>
    </row>
    <row r="12" spans="1:91" ht="22.5">
      <c r="A12" s="418" t="s">
        <v>984</v>
      </c>
      <c r="B12" s="623" t="s">
        <v>901</v>
      </c>
      <c r="C12" s="380" t="s">
        <v>420</v>
      </c>
      <c r="D12" s="380" t="s">
        <v>985</v>
      </c>
      <c r="G12" s="763"/>
      <c r="H12" s="746" t="s">
        <v>1597</v>
      </c>
      <c r="I12" s="746" t="s">
        <v>1598</v>
      </c>
      <c r="J12" s="746" t="s">
        <v>1599</v>
      </c>
      <c r="K12" s="746" t="s">
        <v>1600</v>
      </c>
      <c r="L12" s="746" t="s">
        <v>1600</v>
      </c>
      <c r="M12" s="746" t="s">
        <v>1600</v>
      </c>
      <c r="N12" s="763"/>
      <c r="O12" s="746" t="s">
        <v>1600</v>
      </c>
      <c r="P12" s="746" t="s">
        <v>1599</v>
      </c>
      <c r="Q12" s="746" t="s">
        <v>1598</v>
      </c>
      <c r="R12" s="746" t="s">
        <v>1600</v>
      </c>
      <c r="S12" s="746" t="s">
        <v>1600</v>
      </c>
      <c r="T12" s="743"/>
      <c r="U12" s="748" t="s">
        <v>1601</v>
      </c>
      <c r="V12" s="748" t="s">
        <v>1602</v>
      </c>
      <c r="W12" s="748" t="s">
        <v>1602</v>
      </c>
      <c r="X12" s="748" t="s">
        <v>1602</v>
      </c>
      <c r="Y12" s="830" t="s">
        <v>1602</v>
      </c>
      <c r="Z12" s="748" t="s">
        <v>1603</v>
      </c>
      <c r="AA12" s="835"/>
      <c r="AB12" s="748" t="s">
        <v>1604</v>
      </c>
      <c r="AC12" s="748" t="s">
        <v>1604</v>
      </c>
      <c r="AD12" s="748" t="s">
        <v>1604</v>
      </c>
      <c r="AE12" s="748" t="s">
        <v>1604</v>
      </c>
      <c r="AF12" s="748" t="s">
        <v>1604</v>
      </c>
      <c r="AG12" s="748"/>
      <c r="AH12" s="478"/>
      <c r="AI12" s="711" t="s">
        <v>1605</v>
      </c>
      <c r="AJ12" s="711" t="s">
        <v>1598</v>
      </c>
      <c r="AK12" s="711" t="s">
        <v>1598</v>
      </c>
      <c r="AL12" s="711" t="s">
        <v>1598</v>
      </c>
      <c r="AM12" s="711" t="s">
        <v>1598</v>
      </c>
      <c r="AN12" s="478"/>
      <c r="AO12" s="711" t="s">
        <v>1598</v>
      </c>
      <c r="AP12" s="711" t="s">
        <v>1598</v>
      </c>
      <c r="AQ12" s="711" t="s">
        <v>1598</v>
      </c>
      <c r="AR12" s="478"/>
      <c r="AS12" s="711" t="s">
        <v>1598</v>
      </c>
      <c r="AT12" s="711" t="s">
        <v>1598</v>
      </c>
      <c r="AU12" s="478"/>
      <c r="AV12" s="711" t="s">
        <v>1598</v>
      </c>
      <c r="AW12" s="711" t="s">
        <v>1598</v>
      </c>
      <c r="AX12" s="711" t="s">
        <v>1598</v>
      </c>
      <c r="AY12" s="711" t="s">
        <v>1598</v>
      </c>
      <c r="AZ12" s="478"/>
      <c r="BA12" s="711" t="s">
        <v>1598</v>
      </c>
      <c r="BB12" s="711" t="s">
        <v>1598</v>
      </c>
      <c r="BC12" s="538"/>
      <c r="BD12" s="767" t="s">
        <v>1606</v>
      </c>
      <c r="BE12" s="769" t="s">
        <v>1607</v>
      </c>
      <c r="BF12" s="769" t="s">
        <v>1608</v>
      </c>
      <c r="BG12" s="767" t="s">
        <v>1606</v>
      </c>
      <c r="BH12" s="767"/>
      <c r="BI12" s="767" t="s">
        <v>1609</v>
      </c>
      <c r="BJ12" s="767"/>
      <c r="BK12" s="767"/>
      <c r="BL12" s="818"/>
      <c r="BM12" s="821" t="s">
        <v>1610</v>
      </c>
      <c r="BN12" s="821" t="s">
        <v>1598</v>
      </c>
      <c r="BO12" s="821" t="s">
        <v>1598</v>
      </c>
      <c r="BP12" s="821" t="s">
        <v>1598</v>
      </c>
      <c r="BQ12" s="821"/>
      <c r="BR12" s="821"/>
      <c r="BS12" s="821" t="s">
        <v>1598</v>
      </c>
      <c r="BT12" s="821" t="s">
        <v>1598</v>
      </c>
      <c r="BU12" s="821" t="s">
        <v>1598</v>
      </c>
      <c r="BV12" s="821" t="s">
        <v>1598</v>
      </c>
      <c r="BW12" s="821" t="s">
        <v>1598</v>
      </c>
      <c r="BX12" s="821" t="s">
        <v>1598</v>
      </c>
      <c r="BY12" s="821" t="s">
        <v>1598</v>
      </c>
      <c r="BZ12" s="821" t="s">
        <v>1598</v>
      </c>
      <c r="CA12" s="821" t="s">
        <v>1598</v>
      </c>
      <c r="CB12" s="821" t="s">
        <v>1598</v>
      </c>
      <c r="CC12" s="821" t="s">
        <v>1598</v>
      </c>
      <c r="CD12" s="821" t="s">
        <v>1598</v>
      </c>
      <c r="CE12" s="821" t="s">
        <v>1598</v>
      </c>
      <c r="CF12" s="821"/>
      <c r="CG12" s="821"/>
      <c r="CH12" s="821" t="s">
        <v>1598</v>
      </c>
      <c r="CI12" s="821"/>
      <c r="CJ12" s="821"/>
      <c r="CK12" s="821" t="s">
        <v>1610</v>
      </c>
      <c r="CL12" s="821" t="s">
        <v>1598</v>
      </c>
      <c r="CM12" s="821"/>
    </row>
    <row r="13" spans="1:91">
      <c r="A13" s="418" t="s">
        <v>1080</v>
      </c>
      <c r="B13" s="623" t="s">
        <v>17</v>
      </c>
      <c r="C13" s="380" t="s">
        <v>420</v>
      </c>
      <c r="D13" s="380" t="s">
        <v>1080</v>
      </c>
      <c r="G13" s="763"/>
      <c r="H13" s="746" t="s">
        <v>1611</v>
      </c>
      <c r="I13" s="746" t="s">
        <v>1611</v>
      </c>
      <c r="J13" s="746" t="s">
        <v>1611</v>
      </c>
      <c r="K13" s="746" t="s">
        <v>1611</v>
      </c>
      <c r="L13" s="746" t="s">
        <v>1611</v>
      </c>
      <c r="M13" s="746" t="s">
        <v>1611</v>
      </c>
      <c r="N13" s="763"/>
      <c r="O13" s="746" t="s">
        <v>1612</v>
      </c>
      <c r="P13" s="746" t="s">
        <v>1612</v>
      </c>
      <c r="Q13" s="746" t="s">
        <v>1612</v>
      </c>
      <c r="R13" s="746" t="s">
        <v>1612</v>
      </c>
      <c r="S13" s="746" t="s">
        <v>1612</v>
      </c>
      <c r="T13" s="743"/>
      <c r="U13" s="748" t="s">
        <v>1613</v>
      </c>
      <c r="V13" s="748" t="s">
        <v>1613</v>
      </c>
      <c r="W13" s="748" t="s">
        <v>1613</v>
      </c>
      <c r="X13" s="748" t="s">
        <v>1613</v>
      </c>
      <c r="Y13" s="830" t="s">
        <v>1613</v>
      </c>
      <c r="Z13" s="748" t="s">
        <v>1613</v>
      </c>
      <c r="AA13" s="835"/>
      <c r="AB13" s="748"/>
      <c r="AC13" s="832"/>
      <c r="AD13" s="748"/>
      <c r="AE13" s="748"/>
      <c r="AF13" s="748"/>
      <c r="AG13" s="748"/>
      <c r="AH13" s="478"/>
      <c r="AI13" s="711" t="s">
        <v>1614</v>
      </c>
      <c r="AJ13" s="711" t="s">
        <v>1614</v>
      </c>
      <c r="AK13" s="711" t="s">
        <v>1614</v>
      </c>
      <c r="AL13" s="711" t="s">
        <v>1614</v>
      </c>
      <c r="AM13" s="711" t="s">
        <v>1614</v>
      </c>
      <c r="AN13" s="478"/>
      <c r="AO13" s="711" t="s">
        <v>1615</v>
      </c>
      <c r="AP13" s="711" t="s">
        <v>1615</v>
      </c>
      <c r="AQ13" s="711" t="s">
        <v>1615</v>
      </c>
      <c r="AR13" s="478"/>
      <c r="AS13" s="711" t="s">
        <v>1615</v>
      </c>
      <c r="AT13" s="711" t="s">
        <v>1615</v>
      </c>
      <c r="AU13" s="478"/>
      <c r="AV13" s="711" t="s">
        <v>1615</v>
      </c>
      <c r="AW13" s="711" t="s">
        <v>1615</v>
      </c>
      <c r="AX13" s="711" t="s">
        <v>1615</v>
      </c>
      <c r="AY13" s="711" t="s">
        <v>1615</v>
      </c>
      <c r="AZ13" s="478"/>
      <c r="BA13" s="711" t="s">
        <v>1615</v>
      </c>
      <c r="BB13" s="711" t="s">
        <v>1615</v>
      </c>
      <c r="BC13" s="538"/>
      <c r="BD13" s="767" t="s">
        <v>1469</v>
      </c>
      <c r="BE13" s="767" t="s">
        <v>1469</v>
      </c>
      <c r="BF13" s="767" t="s">
        <v>1469</v>
      </c>
      <c r="BG13" s="767" t="s">
        <v>1469</v>
      </c>
      <c r="BH13" s="767"/>
      <c r="BI13" s="767" t="s">
        <v>1616</v>
      </c>
      <c r="BJ13" s="767" t="s">
        <v>1616</v>
      </c>
      <c r="BK13" s="767" t="s">
        <v>1616</v>
      </c>
      <c r="BL13" s="818"/>
      <c r="BM13" s="821" t="s">
        <v>1617</v>
      </c>
      <c r="BN13" s="821" t="s">
        <v>1617</v>
      </c>
      <c r="BO13" s="821" t="s">
        <v>1617</v>
      </c>
      <c r="BP13" s="821" t="s">
        <v>1617</v>
      </c>
      <c r="BQ13" s="821"/>
      <c r="BR13" s="821"/>
      <c r="BS13" s="821" t="s">
        <v>1618</v>
      </c>
      <c r="BT13" s="821" t="s">
        <v>1618</v>
      </c>
      <c r="BU13" s="821" t="s">
        <v>1618</v>
      </c>
      <c r="BV13" s="821" t="s">
        <v>1618</v>
      </c>
      <c r="BW13" s="821" t="s">
        <v>1618</v>
      </c>
      <c r="BX13" s="821" t="s">
        <v>1618</v>
      </c>
      <c r="BY13" s="821" t="s">
        <v>1619</v>
      </c>
      <c r="BZ13" s="822"/>
      <c r="CA13" s="822"/>
      <c r="CB13" s="822"/>
      <c r="CC13" s="822"/>
      <c r="CD13" s="821"/>
      <c r="CE13" s="821"/>
      <c r="CF13" s="821"/>
      <c r="CG13" s="821"/>
      <c r="CH13" s="821"/>
      <c r="CI13" s="821"/>
      <c r="CJ13" s="821"/>
      <c r="CK13" s="819" t="s">
        <v>1620</v>
      </c>
      <c r="CL13" s="819" t="s">
        <v>1620</v>
      </c>
      <c r="CM13" s="821"/>
    </row>
    <row r="14" spans="1:91">
      <c r="A14" s="418" t="s">
        <v>1111</v>
      </c>
      <c r="B14" s="623" t="s">
        <v>17</v>
      </c>
      <c r="C14" s="380" t="s">
        <v>420</v>
      </c>
      <c r="D14" s="380" t="s">
        <v>1111</v>
      </c>
      <c r="G14" s="763"/>
      <c r="H14" s="746" t="s">
        <v>1621</v>
      </c>
      <c r="I14" s="746" t="s">
        <v>1621</v>
      </c>
      <c r="J14" s="746" t="s">
        <v>1621</v>
      </c>
      <c r="K14" s="746" t="s">
        <v>1622</v>
      </c>
      <c r="L14" s="746" t="s">
        <v>1623</v>
      </c>
      <c r="M14" s="746" t="s">
        <v>1624</v>
      </c>
      <c r="N14" s="763"/>
      <c r="O14" s="746" t="s">
        <v>1625</v>
      </c>
      <c r="P14" s="746" t="s">
        <v>1625</v>
      </c>
      <c r="Q14" s="746" t="s">
        <v>1625</v>
      </c>
      <c r="R14" s="746" t="s">
        <v>1626</v>
      </c>
      <c r="S14" s="746" t="s">
        <v>1627</v>
      </c>
      <c r="T14" s="743"/>
      <c r="U14" s="748" t="s">
        <v>1613</v>
      </c>
      <c r="V14" s="748" t="s">
        <v>1628</v>
      </c>
      <c r="W14" s="748" t="s">
        <v>1629</v>
      </c>
      <c r="X14" s="748" t="s">
        <v>1630</v>
      </c>
      <c r="Y14" s="830" t="s">
        <v>1631</v>
      </c>
      <c r="Z14" s="748" t="s">
        <v>1632</v>
      </c>
      <c r="AA14" s="835"/>
      <c r="AB14" s="748"/>
      <c r="AC14" s="832"/>
      <c r="AD14" s="748"/>
      <c r="AE14" s="748"/>
      <c r="AF14" s="748"/>
      <c r="AG14" s="748"/>
      <c r="AH14" s="478"/>
      <c r="AI14" s="711" t="s">
        <v>1633</v>
      </c>
      <c r="AJ14" s="711" t="s">
        <v>1633</v>
      </c>
      <c r="AK14" s="711" t="s">
        <v>1633</v>
      </c>
      <c r="AL14" s="711" t="s">
        <v>1633</v>
      </c>
      <c r="AM14" s="711" t="s">
        <v>1633</v>
      </c>
      <c r="AN14" s="478"/>
      <c r="AO14" s="711" t="s">
        <v>1634</v>
      </c>
      <c r="AP14" s="711" t="s">
        <v>1634</v>
      </c>
      <c r="AQ14" s="711" t="s">
        <v>1634</v>
      </c>
      <c r="AR14" s="478"/>
      <c r="AS14" s="711" t="s">
        <v>1635</v>
      </c>
      <c r="AT14" s="711" t="s">
        <v>1635</v>
      </c>
      <c r="AU14" s="478"/>
      <c r="AV14" s="711" t="s">
        <v>1636</v>
      </c>
      <c r="AW14" s="711" t="s">
        <v>1636</v>
      </c>
      <c r="AX14" s="711" t="s">
        <v>1636</v>
      </c>
      <c r="AY14" s="711" t="s">
        <v>1636</v>
      </c>
      <c r="AZ14" s="478"/>
      <c r="BA14" s="711" t="s">
        <v>1637</v>
      </c>
      <c r="BB14" s="711" t="s">
        <v>1637</v>
      </c>
      <c r="BC14" s="538"/>
      <c r="BD14" s="767" t="s">
        <v>1469</v>
      </c>
      <c r="BE14" s="767" t="s">
        <v>1638</v>
      </c>
      <c r="BF14" s="767" t="s">
        <v>1638</v>
      </c>
      <c r="BG14" s="767" t="s">
        <v>1639</v>
      </c>
      <c r="BH14" s="767"/>
      <c r="BI14" s="767"/>
      <c r="BJ14" s="767"/>
      <c r="BK14" s="767"/>
      <c r="BL14" s="818"/>
      <c r="BM14" s="821" t="s">
        <v>1640</v>
      </c>
      <c r="BN14" s="821" t="s">
        <v>1640</v>
      </c>
      <c r="BO14" s="821" t="s">
        <v>1640</v>
      </c>
      <c r="BP14" s="821" t="s">
        <v>1640</v>
      </c>
      <c r="BQ14" s="821"/>
      <c r="BR14" s="821"/>
      <c r="BS14" s="821" t="s">
        <v>1641</v>
      </c>
      <c r="BT14" s="821" t="s">
        <v>1641</v>
      </c>
      <c r="BU14" s="821" t="s">
        <v>1642</v>
      </c>
      <c r="BV14" s="821" t="s">
        <v>1642</v>
      </c>
      <c r="BW14" s="821" t="s">
        <v>1642</v>
      </c>
      <c r="BX14" s="821" t="s">
        <v>1642</v>
      </c>
      <c r="BY14" s="822"/>
      <c r="BZ14" s="822"/>
      <c r="CA14" s="822"/>
      <c r="CB14" s="822"/>
      <c r="CC14" s="822"/>
      <c r="CD14" s="821"/>
      <c r="CE14" s="821"/>
      <c r="CF14" s="821"/>
      <c r="CG14" s="821"/>
      <c r="CH14" s="821"/>
      <c r="CI14" s="821"/>
      <c r="CJ14" s="821"/>
      <c r="CK14" s="819" t="s">
        <v>1494</v>
      </c>
      <c r="CL14" s="819" t="s">
        <v>1494</v>
      </c>
      <c r="CM14" s="821"/>
    </row>
    <row r="15" spans="1:91">
      <c r="A15" s="418" t="s">
        <v>1212</v>
      </c>
      <c r="B15" s="623" t="s">
        <v>1213</v>
      </c>
      <c r="C15" s="380" t="s">
        <v>420</v>
      </c>
      <c r="D15" s="380" t="s">
        <v>1214</v>
      </c>
      <c r="G15" s="762"/>
      <c r="H15" s="745" t="s">
        <v>1215</v>
      </c>
      <c r="I15" s="745" t="s">
        <v>1215</v>
      </c>
      <c r="J15" s="745" t="s">
        <v>1216</v>
      </c>
      <c r="K15" s="745" t="s">
        <v>1215</v>
      </c>
      <c r="L15" s="745" t="s">
        <v>1215</v>
      </c>
      <c r="M15" s="745" t="s">
        <v>1215</v>
      </c>
      <c r="N15" s="762"/>
      <c r="O15" s="745" t="s">
        <v>1215</v>
      </c>
      <c r="P15" s="745" t="s">
        <v>1216</v>
      </c>
      <c r="Q15" s="745" t="s">
        <v>1215</v>
      </c>
      <c r="R15" s="745" t="s">
        <v>1215</v>
      </c>
      <c r="S15" s="745" t="s">
        <v>1215</v>
      </c>
      <c r="T15" s="742"/>
      <c r="U15" s="744" t="s">
        <v>1216</v>
      </c>
      <c r="V15" s="744" t="s">
        <v>1216</v>
      </c>
      <c r="W15" s="744" t="s">
        <v>1216</v>
      </c>
      <c r="X15" s="744" t="s">
        <v>1216</v>
      </c>
      <c r="Y15" s="828" t="s">
        <v>1216</v>
      </c>
      <c r="Z15" s="744" t="s">
        <v>14</v>
      </c>
      <c r="AA15" s="833"/>
      <c r="AB15" s="744" t="s">
        <v>1216</v>
      </c>
      <c r="AC15" s="831" t="s">
        <v>1216</v>
      </c>
      <c r="AD15" s="744" t="s">
        <v>1216</v>
      </c>
      <c r="AE15" s="744" t="s">
        <v>1216</v>
      </c>
      <c r="AF15" s="744" t="s">
        <v>1216</v>
      </c>
      <c r="AG15" s="744"/>
      <c r="AH15" s="423"/>
      <c r="AI15" s="706" t="s">
        <v>1215</v>
      </c>
      <c r="AJ15" s="706" t="s">
        <v>1215</v>
      </c>
      <c r="AK15" s="706" t="s">
        <v>14</v>
      </c>
      <c r="AL15" s="706" t="s">
        <v>1215</v>
      </c>
      <c r="AM15" s="706" t="s">
        <v>14</v>
      </c>
      <c r="AN15" s="423"/>
      <c r="AO15" s="706" t="s">
        <v>1215</v>
      </c>
      <c r="AP15" s="706" t="s">
        <v>1215</v>
      </c>
      <c r="AQ15" s="706" t="s">
        <v>1215</v>
      </c>
      <c r="AR15" s="423"/>
      <c r="AS15" s="706" t="s">
        <v>1215</v>
      </c>
      <c r="AT15" s="706" t="s">
        <v>1215</v>
      </c>
      <c r="AU15" s="423"/>
      <c r="AV15" s="706" t="s">
        <v>1215</v>
      </c>
      <c r="AW15" s="706" t="s">
        <v>1215</v>
      </c>
      <c r="AX15" s="706" t="s">
        <v>1215</v>
      </c>
      <c r="AY15" s="706" t="s">
        <v>1215</v>
      </c>
      <c r="AZ15" s="423"/>
      <c r="BA15" s="706" t="s">
        <v>1215</v>
      </c>
      <c r="BB15" s="706" t="s">
        <v>1215</v>
      </c>
      <c r="BC15" s="456"/>
      <c r="BD15" s="766" t="s">
        <v>1215</v>
      </c>
      <c r="BE15" s="427" t="s">
        <v>14</v>
      </c>
      <c r="BF15" s="427" t="s">
        <v>1216</v>
      </c>
      <c r="BG15" s="427" t="s">
        <v>1215</v>
      </c>
      <c r="BH15" s="427"/>
      <c r="BI15" s="766" t="s">
        <v>1215</v>
      </c>
      <c r="BJ15" s="766" t="s">
        <v>14</v>
      </c>
      <c r="BK15" s="766" t="s">
        <v>1215</v>
      </c>
      <c r="BL15" s="817"/>
      <c r="BM15" s="819" t="s">
        <v>1215</v>
      </c>
      <c r="BN15" s="819" t="s">
        <v>1215</v>
      </c>
      <c r="BO15" s="819" t="s">
        <v>1215</v>
      </c>
      <c r="BP15" s="819" t="s">
        <v>1215</v>
      </c>
      <c r="BQ15" s="819"/>
      <c r="BR15" s="819"/>
      <c r="BS15" s="819" t="s">
        <v>1215</v>
      </c>
      <c r="BT15" s="819" t="s">
        <v>1215</v>
      </c>
      <c r="BU15" s="819" t="s">
        <v>1215</v>
      </c>
      <c r="BV15" s="819" t="s">
        <v>1215</v>
      </c>
      <c r="BW15" s="819" t="s">
        <v>1215</v>
      </c>
      <c r="BX15" s="819" t="s">
        <v>1215</v>
      </c>
      <c r="BY15" s="820" t="s">
        <v>1215</v>
      </c>
      <c r="BZ15" s="820" t="s">
        <v>1215</v>
      </c>
      <c r="CA15" s="820" t="s">
        <v>1215</v>
      </c>
      <c r="CB15" s="820" t="s">
        <v>1556</v>
      </c>
      <c r="CC15" s="820" t="s">
        <v>1215</v>
      </c>
      <c r="CD15" s="819" t="s">
        <v>14</v>
      </c>
      <c r="CE15" s="819" t="s">
        <v>1215</v>
      </c>
      <c r="CF15" s="819"/>
      <c r="CG15" s="819"/>
      <c r="CH15" s="819" t="s">
        <v>1215</v>
      </c>
      <c r="CI15" s="819"/>
      <c r="CJ15" s="819"/>
      <c r="CK15" s="819" t="s">
        <v>1215</v>
      </c>
      <c r="CL15" s="819" t="s">
        <v>1215</v>
      </c>
      <c r="CM15" s="819"/>
    </row>
    <row r="16" spans="1:91">
      <c r="A16" s="418" t="s">
        <v>1217</v>
      </c>
      <c r="B16" s="623" t="s">
        <v>898</v>
      </c>
      <c r="C16" s="380" t="s">
        <v>420</v>
      </c>
      <c r="D16" s="380" t="s">
        <v>1218</v>
      </c>
      <c r="G16" s="763"/>
      <c r="H16" s="745"/>
      <c r="I16" s="745"/>
      <c r="J16" s="745"/>
      <c r="K16" s="745"/>
      <c r="L16" s="745"/>
      <c r="M16" s="745"/>
      <c r="N16" s="763"/>
      <c r="O16" s="745"/>
      <c r="P16" s="745"/>
      <c r="Q16" s="745"/>
      <c r="R16" s="745"/>
      <c r="S16" s="745"/>
      <c r="T16" s="743"/>
      <c r="U16" s="744"/>
      <c r="V16" s="744"/>
      <c r="W16" s="744"/>
      <c r="X16" s="744"/>
      <c r="Y16" s="828"/>
      <c r="Z16" s="744"/>
      <c r="AA16" s="833"/>
      <c r="AB16" s="744"/>
      <c r="AC16" s="831"/>
      <c r="AD16" s="744"/>
      <c r="AE16" s="744"/>
      <c r="AF16" s="744"/>
      <c r="AG16" s="744"/>
      <c r="AH16" s="478"/>
      <c r="AI16" s="706">
        <v>113</v>
      </c>
      <c r="AJ16" s="706">
        <v>113</v>
      </c>
      <c r="AK16" s="706">
        <v>113</v>
      </c>
      <c r="AL16" s="706">
        <v>113</v>
      </c>
      <c r="AM16" s="706">
        <v>113</v>
      </c>
      <c r="AN16" s="478"/>
      <c r="AO16">
        <v>299</v>
      </c>
      <c r="AP16">
        <v>299</v>
      </c>
      <c r="AQ16">
        <v>299</v>
      </c>
      <c r="AR16" s="478"/>
      <c r="AS16">
        <v>105</v>
      </c>
      <c r="AT16">
        <v>105</v>
      </c>
      <c r="AU16"/>
      <c r="AV16">
        <v>267</v>
      </c>
      <c r="AW16">
        <v>267</v>
      </c>
      <c r="AX16">
        <v>267</v>
      </c>
      <c r="AY16">
        <v>267</v>
      </c>
      <c r="AZ16" s="478"/>
      <c r="BA16" s="706">
        <v>645</v>
      </c>
      <c r="BB16">
        <v>645</v>
      </c>
      <c r="BC16" s="538"/>
      <c r="BD16" s="766"/>
      <c r="BE16" s="427"/>
      <c r="BF16" s="427"/>
      <c r="BG16" s="427"/>
      <c r="BH16" s="427"/>
      <c r="BI16" s="766"/>
      <c r="BJ16" s="766"/>
      <c r="BK16" s="766"/>
      <c r="BL16" s="818"/>
      <c r="BM16" s="819"/>
      <c r="BN16" s="819"/>
      <c r="BO16" s="819"/>
      <c r="BP16" s="819"/>
      <c r="BQ16" s="819"/>
      <c r="BR16" s="819"/>
      <c r="BS16" s="819"/>
      <c r="BT16" s="819"/>
      <c r="BU16" s="819"/>
      <c r="BV16" s="819"/>
      <c r="BW16" s="819"/>
      <c r="BX16" s="819"/>
      <c r="BY16" s="820"/>
      <c r="BZ16" s="820"/>
      <c r="CA16" s="820"/>
      <c r="CB16" s="820"/>
      <c r="CC16" s="820"/>
      <c r="CD16" s="819"/>
      <c r="CE16" s="819"/>
      <c r="CF16" s="819"/>
      <c r="CG16" s="819"/>
      <c r="CH16" s="819">
        <v>19</v>
      </c>
      <c r="CI16" s="819"/>
      <c r="CJ16" s="819"/>
      <c r="CK16" s="819"/>
      <c r="CL16" s="819">
        <v>439</v>
      </c>
      <c r="CM16" s="819"/>
    </row>
    <row r="17" spans="1:91" ht="31.5">
      <c r="A17" s="510" t="s">
        <v>1220</v>
      </c>
      <c r="B17" s="625"/>
      <c r="C17" s="621"/>
      <c r="D17" s="621"/>
      <c r="E17" s="621"/>
      <c r="F17" s="621"/>
      <c r="G17" s="762"/>
      <c r="H17" s="668"/>
      <c r="I17" s="668"/>
      <c r="J17" s="668"/>
      <c r="K17" s="668"/>
      <c r="L17" s="668"/>
      <c r="M17" s="668"/>
      <c r="N17" s="762"/>
      <c r="O17" s="668"/>
      <c r="P17" s="668"/>
      <c r="Q17" s="668"/>
      <c r="R17" s="668"/>
      <c r="S17" s="668"/>
      <c r="T17" s="742"/>
      <c r="U17" s="543"/>
      <c r="V17" s="543"/>
      <c r="W17" s="543"/>
      <c r="X17" s="543"/>
      <c r="Y17" s="540"/>
      <c r="Z17" s="543"/>
      <c r="AA17" s="833"/>
      <c r="AB17" s="543"/>
      <c r="AC17" s="539"/>
      <c r="AD17" s="543"/>
      <c r="AE17" s="543"/>
      <c r="AF17" s="543"/>
      <c r="AG17" s="543"/>
      <c r="AH17" s="441"/>
      <c r="AI17" s="543"/>
      <c r="AJ17" s="543"/>
      <c r="AK17" s="543"/>
      <c r="AL17" s="543"/>
      <c r="AM17" s="543"/>
      <c r="AN17" s="441"/>
      <c r="AO17" s="543"/>
      <c r="AP17" s="543"/>
      <c r="AQ17" s="543"/>
      <c r="AR17" s="441"/>
      <c r="AS17" s="543"/>
      <c r="AT17" s="543"/>
      <c r="AU17" s="441"/>
      <c r="AV17" s="543"/>
      <c r="AW17" s="543"/>
      <c r="AX17" s="543"/>
      <c r="AY17" s="543"/>
      <c r="AZ17" s="441"/>
      <c r="BA17" s="543"/>
      <c r="BB17" s="543"/>
      <c r="BC17" s="456"/>
      <c r="BD17" s="543"/>
      <c r="BE17" s="539"/>
      <c r="BF17" s="539"/>
      <c r="BG17" s="539"/>
      <c r="BH17" s="539"/>
      <c r="BI17" s="543"/>
      <c r="BJ17" s="543"/>
      <c r="BK17" s="543"/>
      <c r="BL17" s="817"/>
      <c r="BM17" s="543"/>
      <c r="BN17" s="543"/>
      <c r="BO17" s="543"/>
      <c r="BP17" s="543"/>
      <c r="BQ17" s="543"/>
      <c r="BR17" s="543"/>
      <c r="BS17" s="543"/>
      <c r="BT17" s="543"/>
      <c r="BU17" s="543"/>
      <c r="BV17" s="543"/>
      <c r="BW17" s="543"/>
      <c r="BX17" s="543"/>
      <c r="BY17" s="539"/>
      <c r="BZ17" s="539"/>
      <c r="CA17" s="539"/>
      <c r="CB17" s="539"/>
      <c r="CC17" s="539"/>
      <c r="CD17" s="543"/>
      <c r="CE17" s="543"/>
      <c r="CF17" s="543"/>
      <c r="CG17" s="543"/>
      <c r="CH17" s="543"/>
      <c r="CI17" s="543"/>
      <c r="CJ17" s="543"/>
      <c r="CK17" s="543"/>
      <c r="CL17" s="543"/>
      <c r="CM17" s="543"/>
    </row>
    <row r="18" spans="1:91">
      <c r="A18" s="418" t="s">
        <v>1221</v>
      </c>
      <c r="B18" s="623" t="s">
        <v>898</v>
      </c>
      <c r="C18" s="380" t="s">
        <v>438</v>
      </c>
      <c r="D18" s="380" t="s">
        <v>439</v>
      </c>
      <c r="E18" s="380" t="s">
        <v>1222</v>
      </c>
      <c r="G18" s="762"/>
      <c r="H18" s="745">
        <v>60</v>
      </c>
      <c r="I18" s="745">
        <v>60</v>
      </c>
      <c r="J18" s="745"/>
      <c r="K18" s="745">
        <v>60</v>
      </c>
      <c r="L18" s="745">
        <v>60</v>
      </c>
      <c r="M18" s="745">
        <v>60</v>
      </c>
      <c r="N18" s="762"/>
      <c r="O18" s="745">
        <v>74</v>
      </c>
      <c r="P18" s="745"/>
      <c r="Q18" s="745">
        <v>74</v>
      </c>
      <c r="R18" s="745">
        <v>74</v>
      </c>
      <c r="S18" s="745">
        <v>74</v>
      </c>
      <c r="T18" s="742"/>
      <c r="U18" s="744"/>
      <c r="V18" s="744"/>
      <c r="W18" s="744"/>
      <c r="X18" s="744"/>
      <c r="Y18" s="828"/>
      <c r="Z18" s="744">
        <v>15</v>
      </c>
      <c r="AA18" s="833"/>
      <c r="AB18" s="744"/>
      <c r="AC18" s="831"/>
      <c r="AD18" s="744"/>
      <c r="AE18" s="744"/>
      <c r="AF18" s="744"/>
      <c r="AG18" s="744"/>
      <c r="AH18" s="404"/>
      <c r="AI18" s="706"/>
      <c r="AJ18" s="706">
        <v>59</v>
      </c>
      <c r="AK18" s="706">
        <v>55</v>
      </c>
      <c r="AL18" s="706">
        <v>59</v>
      </c>
      <c r="AM18" s="706">
        <v>55</v>
      </c>
      <c r="AN18" s="404"/>
      <c r="AO18" s="706">
        <v>40</v>
      </c>
      <c r="AP18" s="706">
        <v>40</v>
      </c>
      <c r="AQ18" s="706">
        <v>40</v>
      </c>
      <c r="AR18" s="404"/>
      <c r="AS18" s="706">
        <v>40</v>
      </c>
      <c r="AT18" s="706">
        <v>40</v>
      </c>
      <c r="AU18" s="404"/>
      <c r="AV18" s="706">
        <v>56</v>
      </c>
      <c r="AW18" s="706">
        <v>56</v>
      </c>
      <c r="AX18" s="706">
        <v>56</v>
      </c>
      <c r="AY18" s="706">
        <v>56</v>
      </c>
      <c r="AZ18" s="404">
        <v>56</v>
      </c>
      <c r="BA18" s="706">
        <v>70</v>
      </c>
      <c r="BB18" s="706"/>
      <c r="BC18" s="456"/>
      <c r="BD18" s="766">
        <v>30</v>
      </c>
      <c r="BE18" s="427">
        <v>30</v>
      </c>
      <c r="BF18" s="427">
        <v>0</v>
      </c>
      <c r="BG18" s="427">
        <v>30</v>
      </c>
      <c r="BH18" s="427"/>
      <c r="BI18" s="766">
        <v>21</v>
      </c>
      <c r="BJ18" s="766">
        <v>19</v>
      </c>
      <c r="BK18" s="766">
        <v>18</v>
      </c>
      <c r="BL18" s="817"/>
      <c r="BM18" s="819">
        <v>33</v>
      </c>
      <c r="BN18" s="819">
        <v>33</v>
      </c>
      <c r="BO18" s="819">
        <v>33</v>
      </c>
      <c r="BP18" s="819">
        <v>33</v>
      </c>
      <c r="BQ18" s="819"/>
      <c r="BR18" s="819"/>
      <c r="BS18" s="819">
        <v>18</v>
      </c>
      <c r="BT18" s="819">
        <v>18</v>
      </c>
      <c r="BU18" s="819">
        <v>20</v>
      </c>
      <c r="BV18" s="819">
        <v>19</v>
      </c>
      <c r="BW18" s="819">
        <v>19</v>
      </c>
      <c r="BX18" s="819">
        <v>19</v>
      </c>
      <c r="BY18" s="820">
        <v>19</v>
      </c>
      <c r="BZ18" s="820"/>
      <c r="CA18" s="820">
        <v>19</v>
      </c>
      <c r="CB18" s="820">
        <v>19</v>
      </c>
      <c r="CC18" s="820">
        <v>19</v>
      </c>
      <c r="CD18" s="819">
        <v>37</v>
      </c>
      <c r="CE18" s="819">
        <v>37</v>
      </c>
      <c r="CF18" s="819"/>
      <c r="CG18" s="819"/>
      <c r="CH18" s="819">
        <v>20</v>
      </c>
      <c r="CI18" s="819"/>
      <c r="CJ18" s="819"/>
      <c r="CK18" s="819">
        <v>21</v>
      </c>
      <c r="CL18" s="819">
        <v>19</v>
      </c>
      <c r="CM18" s="819"/>
    </row>
    <row r="19" spans="1:91">
      <c r="A19" s="418" t="s">
        <v>1223</v>
      </c>
      <c r="B19" s="623" t="s">
        <v>898</v>
      </c>
      <c r="C19" s="380" t="s">
        <v>438</v>
      </c>
      <c r="D19" s="380" t="s">
        <v>439</v>
      </c>
      <c r="E19" s="380" t="s">
        <v>1224</v>
      </c>
      <c r="G19" s="762"/>
      <c r="H19" s="745">
        <v>48</v>
      </c>
      <c r="I19" s="745">
        <v>48</v>
      </c>
      <c r="J19" s="745">
        <v>0</v>
      </c>
      <c r="K19" s="745">
        <v>48</v>
      </c>
      <c r="L19" s="745">
        <v>48</v>
      </c>
      <c r="M19" s="745">
        <v>48</v>
      </c>
      <c r="N19" s="762"/>
      <c r="O19" s="745">
        <v>66</v>
      </c>
      <c r="P19" s="745">
        <v>0</v>
      </c>
      <c r="Q19" s="745">
        <v>66</v>
      </c>
      <c r="R19" s="745">
        <v>68</v>
      </c>
      <c r="S19" s="745">
        <v>70</v>
      </c>
      <c r="T19" s="742"/>
      <c r="U19" s="744"/>
      <c r="V19" s="744"/>
      <c r="W19" s="744"/>
      <c r="X19" s="744"/>
      <c r="Y19" s="828"/>
      <c r="Z19" s="744"/>
      <c r="AA19" s="833"/>
      <c r="AB19" s="744"/>
      <c r="AC19" s="831"/>
      <c r="AD19" s="744"/>
      <c r="AE19" s="744"/>
      <c r="AF19" s="744"/>
      <c r="AG19" s="744"/>
      <c r="AH19" s="441"/>
      <c r="AI19" s="706"/>
      <c r="AJ19" s="706"/>
      <c r="AK19" s="706"/>
      <c r="AL19" s="706"/>
      <c r="AM19" s="706"/>
      <c r="AN19" s="441"/>
      <c r="AO19" s="706"/>
      <c r="AP19" s="706"/>
      <c r="AQ19" s="706"/>
      <c r="AR19" s="441"/>
      <c r="AS19" s="706"/>
      <c r="AT19" s="706"/>
      <c r="AU19" s="441"/>
      <c r="AV19" s="706"/>
      <c r="AW19" s="706"/>
      <c r="AX19" s="706"/>
      <c r="AY19" s="706"/>
      <c r="AZ19" s="441"/>
      <c r="BA19" s="706"/>
      <c r="BB19" s="706"/>
      <c r="BC19" s="456"/>
      <c r="BD19" s="766"/>
      <c r="BE19" s="427"/>
      <c r="BF19" s="427"/>
      <c r="BG19" s="427"/>
      <c r="BH19" s="427"/>
      <c r="BI19" s="766"/>
      <c r="BJ19" s="766"/>
      <c r="BK19" s="766"/>
      <c r="BL19" s="817"/>
      <c r="BM19" s="819"/>
      <c r="BN19" s="819"/>
      <c r="BO19" s="819"/>
      <c r="BP19" s="819"/>
      <c r="BQ19" s="819"/>
      <c r="BR19" s="819"/>
      <c r="BS19" s="819"/>
      <c r="BT19" s="819"/>
      <c r="BU19" s="819"/>
      <c r="BV19" s="819"/>
      <c r="BW19" s="819"/>
      <c r="BX19" s="819"/>
      <c r="BY19" s="820"/>
      <c r="BZ19" s="820"/>
      <c r="CA19" s="820"/>
      <c r="CB19" s="820"/>
      <c r="CC19" s="820"/>
      <c r="CD19" s="819"/>
      <c r="CE19" s="819"/>
      <c r="CF19" s="819"/>
      <c r="CG19" s="819"/>
      <c r="CH19" s="819"/>
      <c r="CI19" s="819"/>
      <c r="CJ19" s="819"/>
      <c r="CK19" s="819"/>
      <c r="CL19" s="819"/>
      <c r="CM19" s="819"/>
    </row>
    <row r="20" spans="1:91">
      <c r="A20" s="418" t="s">
        <v>1226</v>
      </c>
      <c r="B20" s="623" t="s">
        <v>1227</v>
      </c>
      <c r="C20" s="380" t="s">
        <v>438</v>
      </c>
      <c r="D20" s="380" t="s">
        <v>1228</v>
      </c>
      <c r="E20" s="380" t="s">
        <v>1229</v>
      </c>
      <c r="G20" s="762"/>
      <c r="H20" s="745">
        <v>844.51199999999994</v>
      </c>
      <c r="I20" s="745">
        <v>850.06799999999998</v>
      </c>
      <c r="J20" s="745">
        <v>1111.2</v>
      </c>
      <c r="K20" s="745">
        <v>1470.49</v>
      </c>
      <c r="L20" s="745">
        <v>1326.03</v>
      </c>
      <c r="M20" s="745">
        <v>1326.03</v>
      </c>
      <c r="N20" s="762"/>
      <c r="O20" s="745">
        <v>1614.94</v>
      </c>
      <c r="P20" s="745">
        <v>1481.6</v>
      </c>
      <c r="Q20" s="745">
        <v>1490.86</v>
      </c>
      <c r="R20" s="745">
        <v>1453.82</v>
      </c>
      <c r="S20" s="745">
        <v>1527.9</v>
      </c>
      <c r="T20" s="742"/>
      <c r="U20" s="744"/>
      <c r="V20" s="744"/>
      <c r="W20" s="744"/>
      <c r="X20" s="744"/>
      <c r="Y20" s="828">
        <v>2472</v>
      </c>
      <c r="Z20" s="744">
        <v>4425</v>
      </c>
      <c r="AA20" s="833"/>
      <c r="AB20" s="744"/>
      <c r="AC20" s="831"/>
      <c r="AD20" s="744"/>
      <c r="AE20" s="744"/>
      <c r="AF20" s="744"/>
      <c r="AG20" s="744"/>
      <c r="AH20" s="570"/>
      <c r="AI20" s="706">
        <v>1279.43</v>
      </c>
      <c r="AJ20" s="706">
        <v>1279.43</v>
      </c>
      <c r="AK20" s="706">
        <v>1279.43</v>
      </c>
      <c r="AL20" s="706">
        <v>1279.43</v>
      </c>
      <c r="AM20" s="706">
        <v>1279.43</v>
      </c>
      <c r="AN20" s="570"/>
      <c r="AO20" s="706">
        <v>2018.68</v>
      </c>
      <c r="AP20" s="706">
        <v>2018.68</v>
      </c>
      <c r="AQ20" s="706">
        <v>2018.68</v>
      </c>
      <c r="AR20" s="570"/>
      <c r="AS20" s="706">
        <v>1555.68</v>
      </c>
      <c r="AT20" s="706">
        <v>1555.68</v>
      </c>
      <c r="AU20" s="570"/>
      <c r="AV20" s="706">
        <v>1518.64</v>
      </c>
      <c r="AW20" s="706">
        <v>1518.64</v>
      </c>
      <c r="AX20" s="706">
        <v>1518.64</v>
      </c>
      <c r="AY20" s="706">
        <v>1518.64</v>
      </c>
      <c r="AZ20" s="570"/>
      <c r="BA20" s="706">
        <v>2518.7199999999998</v>
      </c>
      <c r="BB20" s="706">
        <v>2518.7199999999998</v>
      </c>
      <c r="BC20" s="456"/>
      <c r="BD20" s="766"/>
      <c r="BE20" s="766">
        <v>1592.72</v>
      </c>
      <c r="BF20" s="766">
        <v>2778</v>
      </c>
      <c r="BG20" s="427">
        <v>1611.24</v>
      </c>
      <c r="BH20" s="427"/>
      <c r="BI20" s="768">
        <v>1963.12</v>
      </c>
      <c r="BJ20" s="768">
        <v>1963.12</v>
      </c>
      <c r="BK20" s="768">
        <v>1963.12</v>
      </c>
      <c r="BL20" s="817"/>
      <c r="BM20" s="823"/>
      <c r="BN20" s="823"/>
      <c r="BO20" s="823"/>
      <c r="BP20" s="823"/>
      <c r="BQ20" s="823"/>
      <c r="BR20" s="823"/>
      <c r="BS20" s="819">
        <v>2700</v>
      </c>
      <c r="BT20" s="819"/>
      <c r="BU20" s="819">
        <v>2700</v>
      </c>
      <c r="BV20" s="819"/>
      <c r="BW20" s="819"/>
      <c r="BX20" s="819"/>
      <c r="BY20" s="820">
        <v>2315</v>
      </c>
      <c r="BZ20" s="820"/>
      <c r="CA20" s="820"/>
      <c r="CB20" s="820"/>
      <c r="CC20" s="820"/>
      <c r="CD20" s="823">
        <v>815</v>
      </c>
      <c r="CE20" s="823">
        <v>1280</v>
      </c>
      <c r="CF20" s="823"/>
      <c r="CG20" s="823"/>
      <c r="CH20" s="823">
        <v>3817</v>
      </c>
      <c r="CI20" s="823"/>
      <c r="CJ20" s="823"/>
      <c r="CK20" s="823"/>
      <c r="CL20" s="823"/>
      <c r="CM20" s="823"/>
    </row>
    <row r="21" spans="1:91">
      <c r="A21" s="418" t="s">
        <v>1230</v>
      </c>
      <c r="B21" s="623" t="s">
        <v>1231</v>
      </c>
      <c r="C21" s="380" t="s">
        <v>438</v>
      </c>
      <c r="D21" s="380" t="s">
        <v>1232</v>
      </c>
      <c r="E21" s="380" t="s">
        <v>1233</v>
      </c>
      <c r="G21" s="762"/>
      <c r="H21" s="745"/>
      <c r="I21" s="745"/>
      <c r="J21" s="745"/>
      <c r="K21" s="745"/>
      <c r="L21" s="745"/>
      <c r="M21" s="745"/>
      <c r="N21" s="762"/>
      <c r="O21" s="745"/>
      <c r="P21" s="745"/>
      <c r="Q21" s="745"/>
      <c r="R21" s="745"/>
      <c r="S21" s="745"/>
      <c r="T21" s="742"/>
      <c r="U21" s="744"/>
      <c r="V21" s="744"/>
      <c r="W21" s="744"/>
      <c r="X21" s="744"/>
      <c r="Y21" s="828"/>
      <c r="Z21" s="744"/>
      <c r="AA21" s="833"/>
      <c r="AB21" s="744"/>
      <c r="AC21" s="831"/>
      <c r="AD21" s="744"/>
      <c r="AE21" s="744"/>
      <c r="AF21" s="744"/>
      <c r="AG21" s="744"/>
      <c r="AH21" s="570"/>
      <c r="AI21" s="706"/>
      <c r="AJ21" s="706"/>
      <c r="AK21" s="706"/>
      <c r="AL21" s="706"/>
      <c r="AM21" s="706"/>
      <c r="AN21" s="570"/>
      <c r="AO21" s="706"/>
      <c r="AP21" s="706"/>
      <c r="AQ21" s="706"/>
      <c r="AR21" s="570"/>
      <c r="AS21" s="706"/>
      <c r="AT21" s="706"/>
      <c r="AU21" s="570"/>
      <c r="AV21" s="706"/>
      <c r="AW21" s="706"/>
      <c r="AX21" s="706"/>
      <c r="AY21" s="706"/>
      <c r="AZ21" s="570"/>
      <c r="BA21" s="706"/>
      <c r="BB21" s="706"/>
      <c r="BC21" s="456"/>
      <c r="BD21" s="766"/>
      <c r="BE21" s="427"/>
      <c r="BF21" s="427">
        <v>2250</v>
      </c>
      <c r="BG21" s="427"/>
      <c r="BH21" s="427"/>
      <c r="BI21" s="768"/>
      <c r="BJ21" s="768"/>
      <c r="BK21" s="768"/>
      <c r="BL21" s="817"/>
      <c r="BM21" s="823"/>
      <c r="BN21" s="823"/>
      <c r="BO21" s="823"/>
      <c r="BP21" s="823"/>
      <c r="BQ21" s="823"/>
      <c r="BR21" s="823"/>
      <c r="BS21" s="819"/>
      <c r="BT21" s="819"/>
      <c r="BU21" s="819"/>
      <c r="BV21" s="819"/>
      <c r="BW21" s="819"/>
      <c r="BX21" s="819"/>
      <c r="BY21" s="820"/>
      <c r="BZ21" s="820"/>
      <c r="CA21" s="820"/>
      <c r="CB21" s="820"/>
      <c r="CC21" s="820"/>
      <c r="CD21" s="823"/>
      <c r="CE21" s="823"/>
      <c r="CF21" s="823"/>
      <c r="CG21" s="823"/>
      <c r="CH21" s="823"/>
      <c r="CI21" s="823"/>
      <c r="CJ21" s="823"/>
      <c r="CK21" s="823"/>
      <c r="CL21" s="823"/>
      <c r="CM21" s="823"/>
    </row>
    <row r="22" spans="1:91" ht="15.75">
      <c r="A22" s="510" t="s">
        <v>1234</v>
      </c>
      <c r="B22" s="625"/>
      <c r="C22" s="621"/>
      <c r="D22" s="621"/>
      <c r="E22" s="621"/>
      <c r="F22" s="621"/>
      <c r="G22" s="762"/>
      <c r="H22" s="543"/>
      <c r="I22" s="543"/>
      <c r="J22" s="543"/>
      <c r="K22" s="543"/>
      <c r="L22" s="543"/>
      <c r="M22" s="543"/>
      <c r="N22" s="762"/>
      <c r="O22" s="543"/>
      <c r="P22" s="543"/>
      <c r="Q22" s="543"/>
      <c r="R22" s="543"/>
      <c r="S22" s="543"/>
      <c r="T22" s="742"/>
      <c r="U22" s="543"/>
      <c r="V22" s="543"/>
      <c r="W22" s="543"/>
      <c r="X22" s="543"/>
      <c r="Y22" s="540"/>
      <c r="Z22" s="543"/>
      <c r="AA22" s="833"/>
      <c r="AB22" s="543"/>
      <c r="AC22" s="539"/>
      <c r="AD22" s="543"/>
      <c r="AE22" s="543"/>
      <c r="AF22" s="543"/>
      <c r="AG22" s="543"/>
      <c r="AH22" s="570"/>
      <c r="AI22" s="543"/>
      <c r="AJ22" s="543"/>
      <c r="AK22" s="543"/>
      <c r="AL22" s="543"/>
      <c r="AM22" s="543"/>
      <c r="AN22" s="570"/>
      <c r="AO22" s="543"/>
      <c r="AP22" s="543"/>
      <c r="AQ22" s="543"/>
      <c r="AR22" s="570"/>
      <c r="AS22" s="543"/>
      <c r="AT22" s="543"/>
      <c r="AU22" s="570"/>
      <c r="AV22" s="543"/>
      <c r="AW22" s="543"/>
      <c r="AX22" s="543"/>
      <c r="AY22" s="543"/>
      <c r="AZ22" s="570"/>
      <c r="BA22" s="543"/>
      <c r="BB22" s="543"/>
      <c r="BC22" s="456"/>
      <c r="BD22" s="543"/>
      <c r="BE22" s="539"/>
      <c r="BF22" s="539"/>
      <c r="BG22" s="539"/>
      <c r="BH22" s="539"/>
      <c r="BI22" s="543"/>
      <c r="BJ22" s="543"/>
      <c r="BK22" s="543"/>
      <c r="BL22" s="817"/>
      <c r="BM22" s="543"/>
      <c r="BN22" s="543"/>
      <c r="BO22" s="543"/>
      <c r="BP22" s="543"/>
      <c r="BQ22" s="543"/>
      <c r="BR22" s="543"/>
      <c r="BS22" s="543"/>
      <c r="BT22" s="543"/>
      <c r="BU22" s="543"/>
      <c r="BV22" s="543"/>
      <c r="BW22" s="543"/>
      <c r="BX22" s="543"/>
      <c r="BY22" s="539"/>
      <c r="BZ22" s="539"/>
      <c r="CA22" s="539"/>
      <c r="CB22" s="539"/>
      <c r="CC22" s="539"/>
      <c r="CD22" s="543"/>
      <c r="CE22" s="543"/>
      <c r="CF22" s="543"/>
      <c r="CG22" s="543"/>
      <c r="CH22" s="543"/>
      <c r="CI22" s="543"/>
      <c r="CJ22" s="543"/>
      <c r="CK22" s="543"/>
      <c r="CL22" s="543"/>
      <c r="CM22" s="543"/>
    </row>
    <row r="23" spans="1:91">
      <c r="A23" s="418" t="s">
        <v>1236</v>
      </c>
      <c r="B23" s="623" t="s">
        <v>1231</v>
      </c>
      <c r="C23" s="380" t="s">
        <v>438</v>
      </c>
      <c r="D23" s="380" t="s">
        <v>1232</v>
      </c>
      <c r="E23" s="380" t="s">
        <v>1236</v>
      </c>
      <c r="G23" s="762"/>
      <c r="H23" s="745">
        <v>16720</v>
      </c>
      <c r="I23" s="745">
        <v>16720</v>
      </c>
      <c r="J23" s="745">
        <v>17070</v>
      </c>
      <c r="K23" s="745">
        <v>18070</v>
      </c>
      <c r="L23" s="745">
        <v>18770</v>
      </c>
      <c r="M23" s="745"/>
      <c r="N23" s="762"/>
      <c r="O23" s="745">
        <v>21530</v>
      </c>
      <c r="P23" s="745"/>
      <c r="Q23" s="745"/>
      <c r="R23" s="745"/>
      <c r="S23" s="745"/>
      <c r="T23" s="742"/>
      <c r="U23" s="744">
        <v>70669.691200000001</v>
      </c>
      <c r="V23" s="744">
        <v>70669.691200000001</v>
      </c>
      <c r="W23" s="744">
        <v>70669.691200000001</v>
      </c>
      <c r="X23" s="744">
        <v>70669.691200000001</v>
      </c>
      <c r="Y23" s="828">
        <v>70669.691200000001</v>
      </c>
      <c r="Z23" s="744"/>
      <c r="AA23" s="833"/>
      <c r="AB23" s="744"/>
      <c r="AC23" s="831"/>
      <c r="AD23" s="744"/>
      <c r="AE23" s="744"/>
      <c r="AF23" s="744"/>
      <c r="AG23" s="744"/>
      <c r="AH23" s="404"/>
      <c r="AI23" s="845">
        <v>18733.365000000002</v>
      </c>
      <c r="AJ23" s="845">
        <v>19640.55</v>
      </c>
      <c r="AK23" s="845">
        <v>19640.55</v>
      </c>
      <c r="AL23" s="845">
        <v>20003.423999999999</v>
      </c>
      <c r="AM23" s="845">
        <v>20003.423999999999</v>
      </c>
      <c r="AN23" s="404"/>
      <c r="AO23" s="836">
        <v>15740</v>
      </c>
      <c r="AP23" s="836">
        <v>15740</v>
      </c>
      <c r="AQ23" s="836">
        <v>16556</v>
      </c>
      <c r="AR23" s="404"/>
      <c r="AS23" s="836">
        <v>16556</v>
      </c>
      <c r="AT23" s="836">
        <v>16556</v>
      </c>
      <c r="AU23" s="404"/>
      <c r="AV23" s="836">
        <v>18734</v>
      </c>
      <c r="AW23" s="836">
        <v>18734</v>
      </c>
      <c r="AX23" s="836">
        <v>18734</v>
      </c>
      <c r="AY23" s="836">
        <v>18734</v>
      </c>
      <c r="AZ23" s="404"/>
      <c r="BA23" s="836">
        <v>28077</v>
      </c>
      <c r="BB23" s="836">
        <v>28077</v>
      </c>
      <c r="BC23" s="456"/>
      <c r="BD23" s="766">
        <v>11580</v>
      </c>
      <c r="BE23" s="766">
        <v>12070</v>
      </c>
      <c r="BF23" s="766">
        <v>12070</v>
      </c>
      <c r="BG23" s="766">
        <v>11580</v>
      </c>
      <c r="BH23" s="766"/>
      <c r="BI23" s="766">
        <v>5730</v>
      </c>
      <c r="BJ23" s="766">
        <v>5930</v>
      </c>
      <c r="BK23" s="766">
        <v>5700</v>
      </c>
      <c r="BL23" s="817"/>
      <c r="BM23" s="819">
        <v>13720</v>
      </c>
      <c r="BN23" s="819">
        <v>14070</v>
      </c>
      <c r="BO23" s="819">
        <v>14070</v>
      </c>
      <c r="BP23" s="819">
        <v>14070</v>
      </c>
      <c r="BQ23" s="819"/>
      <c r="BR23" s="819"/>
      <c r="BS23" s="819">
        <v>5730</v>
      </c>
      <c r="BT23" s="819">
        <v>6010</v>
      </c>
      <c r="BU23" s="819">
        <v>5730</v>
      </c>
      <c r="BV23" s="819">
        <v>6010</v>
      </c>
      <c r="BW23" s="819">
        <v>6230</v>
      </c>
      <c r="BX23" s="819">
        <v>6430</v>
      </c>
      <c r="BY23" s="820"/>
      <c r="BZ23" s="820">
        <v>5715.2638999999999</v>
      </c>
      <c r="CA23" s="820"/>
      <c r="CB23" s="820">
        <v>6622.4485999999997</v>
      </c>
      <c r="CC23" s="820">
        <v>6622.4485999999997</v>
      </c>
      <c r="CD23" s="819">
        <v>13065</v>
      </c>
      <c r="CE23" s="819">
        <v>13740</v>
      </c>
      <c r="CF23" s="819"/>
      <c r="CG23" s="819"/>
      <c r="CH23" s="819"/>
      <c r="CI23" s="819"/>
      <c r="CJ23" s="819"/>
      <c r="CK23" s="819">
        <v>7579.5285000000003</v>
      </c>
      <c r="CL23" s="819">
        <v>7815.3965350999997</v>
      </c>
      <c r="CM23" s="819"/>
    </row>
    <row r="24" spans="1:91">
      <c r="A24" s="418" t="s">
        <v>1237</v>
      </c>
      <c r="B24" s="623" t="s">
        <v>1231</v>
      </c>
      <c r="C24" s="380" t="s">
        <v>438</v>
      </c>
      <c r="D24" s="380" t="s">
        <v>1232</v>
      </c>
      <c r="E24" s="380" t="s">
        <v>1237</v>
      </c>
      <c r="G24" s="762"/>
      <c r="H24" s="745">
        <v>16700</v>
      </c>
      <c r="I24" s="745">
        <v>16700</v>
      </c>
      <c r="J24" s="745">
        <v>16900</v>
      </c>
      <c r="K24" s="745">
        <v>17900</v>
      </c>
      <c r="L24" s="745">
        <v>18600</v>
      </c>
      <c r="M24" s="745">
        <v>18600</v>
      </c>
      <c r="N24" s="762"/>
      <c r="O24" s="745">
        <v>21500</v>
      </c>
      <c r="P24" s="745">
        <v>22000</v>
      </c>
      <c r="Q24" s="745">
        <v>21500</v>
      </c>
      <c r="R24" s="745">
        <v>22000</v>
      </c>
      <c r="S24" s="745">
        <v>22800</v>
      </c>
      <c r="T24" s="742"/>
      <c r="U24" s="744">
        <v>70306.817299999995</v>
      </c>
      <c r="V24" s="744">
        <v>70306.817299999995</v>
      </c>
      <c r="W24" s="744">
        <v>70306.817299999995</v>
      </c>
      <c r="X24" s="744">
        <v>70306.817299999995</v>
      </c>
      <c r="Y24" s="828">
        <v>70306.817299999995</v>
      </c>
      <c r="Z24" s="744">
        <v>74389</v>
      </c>
      <c r="AA24" s="833"/>
      <c r="AB24" s="744"/>
      <c r="AC24" s="831"/>
      <c r="AD24" s="744"/>
      <c r="AE24" s="744"/>
      <c r="AF24" s="744"/>
      <c r="AG24" s="744"/>
      <c r="AH24" s="423"/>
      <c r="AI24" s="845">
        <v>18597.287</v>
      </c>
      <c r="AJ24" s="845">
        <v>19504.472000000002</v>
      </c>
      <c r="AK24" s="845">
        <v>19504.472000000002</v>
      </c>
      <c r="AL24" s="845">
        <v>19958.063999999998</v>
      </c>
      <c r="AM24" s="845">
        <v>19958.063999999998</v>
      </c>
      <c r="AN24" s="423"/>
      <c r="AO24" s="836">
        <v>15649</v>
      </c>
      <c r="AP24" s="836">
        <v>15649</v>
      </c>
      <c r="AQ24" s="836">
        <v>16466</v>
      </c>
      <c r="AR24" s="423"/>
      <c r="AS24" s="836">
        <v>16466</v>
      </c>
      <c r="AT24" s="836">
        <v>16466</v>
      </c>
      <c r="AU24" s="423"/>
      <c r="AV24" s="836">
        <v>18643</v>
      </c>
      <c r="AW24" s="836">
        <v>18643</v>
      </c>
      <c r="AX24" s="836">
        <v>18643</v>
      </c>
      <c r="AY24" s="836">
        <v>18643</v>
      </c>
      <c r="AZ24" s="423"/>
      <c r="BA24" s="836">
        <v>27987</v>
      </c>
      <c r="BB24" s="836">
        <v>27987</v>
      </c>
      <c r="BC24" s="456"/>
      <c r="BD24" s="766">
        <v>11500</v>
      </c>
      <c r="BE24" s="766">
        <v>11990</v>
      </c>
      <c r="BF24" s="766">
        <v>11990</v>
      </c>
      <c r="BG24" s="766">
        <v>11500</v>
      </c>
      <c r="BH24" s="766"/>
      <c r="BI24" s="766">
        <v>5670</v>
      </c>
      <c r="BJ24" s="766">
        <v>5900</v>
      </c>
      <c r="BK24" s="766">
        <v>5670</v>
      </c>
      <c r="BL24" s="817"/>
      <c r="BM24" s="819">
        <v>13640</v>
      </c>
      <c r="BN24" s="819">
        <v>13990</v>
      </c>
      <c r="BO24" s="819">
        <v>13990</v>
      </c>
      <c r="BP24" s="819">
        <v>13990</v>
      </c>
      <c r="BQ24" s="819"/>
      <c r="BR24" s="819"/>
      <c r="BS24" s="819">
        <v>5700</v>
      </c>
      <c r="BT24" s="819">
        <v>5980</v>
      </c>
      <c r="BU24" s="819">
        <v>5700</v>
      </c>
      <c r="BV24" s="819">
        <v>5980</v>
      </c>
      <c r="BW24" s="819">
        <v>6200</v>
      </c>
      <c r="BX24" s="819">
        <v>6400</v>
      </c>
      <c r="BY24" s="820">
        <v>6400</v>
      </c>
      <c r="BZ24" s="820">
        <v>5669.9045999999998</v>
      </c>
      <c r="CA24" s="820"/>
      <c r="CB24" s="820">
        <v>6577.0893999999998</v>
      </c>
      <c r="CC24" s="820">
        <v>6577.0893999999998</v>
      </c>
      <c r="CD24" s="819">
        <v>12930</v>
      </c>
      <c r="CE24" s="819">
        <v>13605</v>
      </c>
      <c r="CF24" s="819"/>
      <c r="CG24" s="819"/>
      <c r="CH24" s="819">
        <v>45000</v>
      </c>
      <c r="CI24" s="819"/>
      <c r="CJ24" s="819"/>
      <c r="CK24" s="819">
        <v>7529.6333420000001</v>
      </c>
      <c r="CL24" s="819">
        <v>7765.5013740000004</v>
      </c>
      <c r="CM24" s="819"/>
    </row>
    <row r="25" spans="1:91">
      <c r="A25" s="418" t="s">
        <v>1238</v>
      </c>
      <c r="B25" s="623" t="s">
        <v>1231</v>
      </c>
      <c r="C25" s="380" t="s">
        <v>438</v>
      </c>
      <c r="D25" s="380" t="s">
        <v>1232</v>
      </c>
      <c r="E25" s="380" t="s">
        <v>1238</v>
      </c>
      <c r="G25" s="762"/>
      <c r="H25" s="745">
        <v>16400</v>
      </c>
      <c r="I25" s="745">
        <v>16400</v>
      </c>
      <c r="J25" s="745">
        <v>16400</v>
      </c>
      <c r="K25" s="745">
        <v>17600</v>
      </c>
      <c r="L25" s="745">
        <v>18300</v>
      </c>
      <c r="M25" s="745">
        <v>18300</v>
      </c>
      <c r="N25" s="762"/>
      <c r="O25" s="745">
        <v>21350</v>
      </c>
      <c r="P25" s="745">
        <v>21350</v>
      </c>
      <c r="Q25" s="745">
        <v>21350</v>
      </c>
      <c r="R25" s="745">
        <v>21850</v>
      </c>
      <c r="S25" s="745">
        <v>22350</v>
      </c>
      <c r="T25" s="742"/>
      <c r="U25" s="744">
        <v>58967.008099999999</v>
      </c>
      <c r="V25" s="744">
        <v>58967.008099999999</v>
      </c>
      <c r="W25" s="744">
        <v>58967.008099999999</v>
      </c>
      <c r="X25" s="744">
        <v>58967.008099999999</v>
      </c>
      <c r="Y25" s="828">
        <v>58967.008099999999</v>
      </c>
      <c r="Z25" s="744">
        <v>64863</v>
      </c>
      <c r="AA25" s="833"/>
      <c r="AB25" s="744"/>
      <c r="AC25" s="831"/>
      <c r="AD25" s="744"/>
      <c r="AE25" s="744"/>
      <c r="AF25" s="744"/>
      <c r="AG25" s="744"/>
      <c r="AH25" s="423"/>
      <c r="AI25" s="845">
        <v>17690.101999999999</v>
      </c>
      <c r="AJ25" s="845">
        <v>18597.287</v>
      </c>
      <c r="AK25" s="845">
        <v>18597.287</v>
      </c>
      <c r="AL25" s="845">
        <v>19050.88</v>
      </c>
      <c r="AM25" s="845">
        <v>19050.88</v>
      </c>
      <c r="AN25" s="423"/>
      <c r="AO25" s="836">
        <v>15377</v>
      </c>
      <c r="AP25" s="836">
        <v>15377</v>
      </c>
      <c r="AQ25" s="836">
        <v>15377</v>
      </c>
      <c r="AR25" s="423"/>
      <c r="AS25" s="836">
        <v>15650</v>
      </c>
      <c r="AT25" s="836">
        <v>15650</v>
      </c>
      <c r="AU25" s="423"/>
      <c r="AV25" s="836">
        <v>18144</v>
      </c>
      <c r="AW25" s="836">
        <v>18144</v>
      </c>
      <c r="AX25" s="836">
        <v>18144</v>
      </c>
      <c r="AY25" s="836">
        <v>18144</v>
      </c>
      <c r="AZ25" s="423"/>
      <c r="BA25" s="836">
        <v>27442</v>
      </c>
      <c r="BB25" s="836">
        <v>27442</v>
      </c>
      <c r="BC25" s="456"/>
      <c r="BD25" s="766">
        <v>11250</v>
      </c>
      <c r="BE25" s="766">
        <v>11700</v>
      </c>
      <c r="BF25" s="766">
        <v>11700</v>
      </c>
      <c r="BG25" s="766">
        <v>11250</v>
      </c>
      <c r="BH25" s="766"/>
      <c r="BI25" s="766">
        <v>5670</v>
      </c>
      <c r="BJ25" s="766">
        <v>5700</v>
      </c>
      <c r="BK25" s="766">
        <v>5760</v>
      </c>
      <c r="BL25" s="817"/>
      <c r="BM25" s="819">
        <v>13230</v>
      </c>
      <c r="BN25" s="819">
        <v>13230</v>
      </c>
      <c r="BO25" s="819">
        <v>13230</v>
      </c>
      <c r="BP25" s="819">
        <v>13230</v>
      </c>
      <c r="BQ25" s="819"/>
      <c r="BR25" s="819"/>
      <c r="BS25" s="819">
        <v>5700</v>
      </c>
      <c r="BT25" s="819">
        <v>5700</v>
      </c>
      <c r="BU25" s="819">
        <v>5700</v>
      </c>
      <c r="BV25" s="819">
        <v>5900</v>
      </c>
      <c r="BW25" s="819">
        <v>5900</v>
      </c>
      <c r="BX25" s="819">
        <v>6100</v>
      </c>
      <c r="BY25" s="820">
        <v>6100</v>
      </c>
      <c r="BZ25" s="820">
        <v>5669.9045999999998</v>
      </c>
      <c r="CA25" s="820"/>
      <c r="CB25" s="820">
        <v>6350.2932000000001</v>
      </c>
      <c r="CC25" s="820">
        <v>6350.2932000000001</v>
      </c>
      <c r="CD25" s="819">
        <v>12340</v>
      </c>
      <c r="CE25" s="819">
        <v>12930</v>
      </c>
      <c r="CF25" s="819"/>
      <c r="CG25" s="819"/>
      <c r="CH25" s="819"/>
      <c r="CI25" s="819"/>
      <c r="CJ25" s="819"/>
      <c r="CK25" s="819">
        <v>7302.8371569999999</v>
      </c>
      <c r="CL25" s="819">
        <v>7604.4760829999996</v>
      </c>
      <c r="CM25" s="819"/>
    </row>
    <row r="26" spans="1:91">
      <c r="A26" s="418" t="s">
        <v>1239</v>
      </c>
      <c r="B26" s="623" t="s">
        <v>1231</v>
      </c>
      <c r="C26" s="380" t="s">
        <v>438</v>
      </c>
      <c r="D26" s="380" t="s">
        <v>1232</v>
      </c>
      <c r="E26" s="380" t="s">
        <v>1239</v>
      </c>
      <c r="G26" s="762"/>
      <c r="H26" s="745">
        <v>15200</v>
      </c>
      <c r="I26" s="745">
        <v>15200</v>
      </c>
      <c r="J26" s="745">
        <v>15540</v>
      </c>
      <c r="K26" s="745">
        <v>16300</v>
      </c>
      <c r="L26" s="745">
        <v>16700</v>
      </c>
      <c r="M26" s="745">
        <v>16700</v>
      </c>
      <c r="N26" s="762"/>
      <c r="O26" s="745">
        <v>19700</v>
      </c>
      <c r="P26" s="745">
        <v>20000</v>
      </c>
      <c r="Q26" s="745">
        <v>19700</v>
      </c>
      <c r="R26" s="745">
        <v>20000</v>
      </c>
      <c r="S26" s="745">
        <v>20800</v>
      </c>
      <c r="T26" s="742"/>
      <c r="U26" s="744">
        <v>54431.0844</v>
      </c>
      <c r="V26" s="744">
        <v>53498.044900000001</v>
      </c>
      <c r="W26" s="744">
        <v>54431.0844</v>
      </c>
      <c r="X26" s="744">
        <v>54431.0844</v>
      </c>
      <c r="Y26" s="828">
        <v>56245.4539</v>
      </c>
      <c r="Z26" s="744">
        <v>57153</v>
      </c>
      <c r="AA26" s="833"/>
      <c r="AB26" s="744"/>
      <c r="AC26" s="831"/>
      <c r="AD26" s="744"/>
      <c r="AE26" s="744"/>
      <c r="AF26" s="744"/>
      <c r="AG26" s="744"/>
      <c r="AH26" s="423"/>
      <c r="AI26" s="845">
        <v>16102.529</v>
      </c>
      <c r="AJ26" s="845">
        <v>17690.101999999999</v>
      </c>
      <c r="AK26" s="845">
        <v>17690.101999999999</v>
      </c>
      <c r="AL26" s="845">
        <v>17690.101999999999</v>
      </c>
      <c r="AM26" s="845">
        <v>17690.101999999999</v>
      </c>
      <c r="AN26" s="423"/>
      <c r="AO26" s="836">
        <v>14061</v>
      </c>
      <c r="AP26" s="836">
        <v>14061</v>
      </c>
      <c r="AQ26" s="836">
        <v>14515</v>
      </c>
      <c r="AR26" s="423"/>
      <c r="AS26" s="836">
        <v>14515</v>
      </c>
      <c r="AT26" s="836">
        <v>14515</v>
      </c>
      <c r="AU26" s="423"/>
      <c r="AV26" s="836">
        <v>16874</v>
      </c>
      <c r="AW26" s="836">
        <v>16874</v>
      </c>
      <c r="AX26" s="836">
        <v>16874</v>
      </c>
      <c r="AY26" s="836">
        <v>16874</v>
      </c>
      <c r="AZ26" s="423"/>
      <c r="BA26" s="836">
        <v>25174</v>
      </c>
      <c r="BB26" s="836">
        <v>25174</v>
      </c>
      <c r="BC26" s="456"/>
      <c r="BD26" s="766">
        <v>10900</v>
      </c>
      <c r="BE26" s="766">
        <v>10900</v>
      </c>
      <c r="BF26" s="766">
        <v>10900</v>
      </c>
      <c r="BG26" s="766">
        <v>10500</v>
      </c>
      <c r="BH26" s="766"/>
      <c r="BI26" s="766">
        <v>5450</v>
      </c>
      <c r="BJ26" s="766">
        <v>5450</v>
      </c>
      <c r="BK26" s="766">
        <v>5450</v>
      </c>
      <c r="BL26" s="817"/>
      <c r="BM26" s="819">
        <v>12260</v>
      </c>
      <c r="BN26" s="819">
        <v>12610</v>
      </c>
      <c r="BO26" s="819">
        <v>12610</v>
      </c>
      <c r="BP26" s="819">
        <v>12610</v>
      </c>
      <c r="BQ26" s="819"/>
      <c r="BR26" s="819"/>
      <c r="BS26" s="819">
        <v>5540</v>
      </c>
      <c r="BT26" s="819">
        <v>5540</v>
      </c>
      <c r="BU26" s="819">
        <v>5540</v>
      </c>
      <c r="BV26" s="819">
        <v>5590</v>
      </c>
      <c r="BW26" s="819">
        <v>5590</v>
      </c>
      <c r="BX26" s="819">
        <v>5590</v>
      </c>
      <c r="BY26" s="820">
        <v>5940</v>
      </c>
      <c r="BZ26" s="820"/>
      <c r="CA26" s="820"/>
      <c r="CB26" s="820">
        <v>5955.6678000000002</v>
      </c>
      <c r="CC26" s="820">
        <v>6350.2932000000001</v>
      </c>
      <c r="CD26" s="819">
        <v>11660</v>
      </c>
      <c r="CE26" s="819">
        <v>12020</v>
      </c>
      <c r="CF26" s="819"/>
      <c r="CG26" s="819"/>
      <c r="CH26" s="819"/>
      <c r="CI26" s="819"/>
      <c r="CJ26" s="819"/>
      <c r="CK26" s="819">
        <v>6350.2931799999997</v>
      </c>
      <c r="CL26" s="819">
        <v>6878.7282911000002</v>
      </c>
      <c r="CM26" s="819"/>
    </row>
    <row r="27" spans="1:91">
      <c r="A27" s="418" t="s">
        <v>1240</v>
      </c>
      <c r="B27" s="623" t="s">
        <v>1231</v>
      </c>
      <c r="C27" s="380" t="s">
        <v>438</v>
      </c>
      <c r="D27" s="380" t="s">
        <v>1232</v>
      </c>
      <c r="E27" s="380" t="s">
        <v>1240</v>
      </c>
      <c r="G27" s="762"/>
      <c r="H27" s="745">
        <v>10900</v>
      </c>
      <c r="I27" s="745">
        <v>10900</v>
      </c>
      <c r="J27" s="745">
        <v>9927</v>
      </c>
      <c r="K27" s="745">
        <v>11400</v>
      </c>
      <c r="L27" s="745">
        <v>11250</v>
      </c>
      <c r="M27" s="745">
        <v>11550</v>
      </c>
      <c r="N27" s="762"/>
      <c r="O27" s="745">
        <v>13000</v>
      </c>
      <c r="P27" s="745">
        <v>11577</v>
      </c>
      <c r="Q27" s="745">
        <v>13000</v>
      </c>
      <c r="R27" s="745">
        <v>13600</v>
      </c>
      <c r="S27" s="745">
        <v>13500</v>
      </c>
      <c r="T27" s="742"/>
      <c r="U27" s="744"/>
      <c r="V27" s="744"/>
      <c r="W27" s="744"/>
      <c r="X27" s="744"/>
      <c r="Y27" s="828">
        <v>35260</v>
      </c>
      <c r="Z27" s="744">
        <v>36446</v>
      </c>
      <c r="AA27" s="833"/>
      <c r="AB27" s="744"/>
      <c r="AC27" s="831"/>
      <c r="AD27" s="744"/>
      <c r="AE27" s="744"/>
      <c r="AF27" s="744"/>
      <c r="AG27" s="744"/>
      <c r="AH27" s="441"/>
      <c r="AI27" s="706"/>
      <c r="AJ27" s="706"/>
      <c r="AK27" s="706"/>
      <c r="AL27" s="706"/>
      <c r="AM27" s="706"/>
      <c r="AN27" s="441"/>
      <c r="AO27" s="706">
        <v>10245</v>
      </c>
      <c r="AP27" s="706">
        <v>10245</v>
      </c>
      <c r="AQ27" s="706">
        <v>10245</v>
      </c>
      <c r="AR27" s="441"/>
      <c r="AS27" s="706">
        <v>10501</v>
      </c>
      <c r="AT27" s="706">
        <v>10501</v>
      </c>
      <c r="AU27" s="441"/>
      <c r="AV27" s="706">
        <v>11630</v>
      </c>
      <c r="AW27" s="706">
        <v>11630</v>
      </c>
      <c r="AX27" s="706">
        <v>11630</v>
      </c>
      <c r="AY27" s="706">
        <v>11630</v>
      </c>
      <c r="AZ27" s="441"/>
      <c r="BA27" s="706"/>
      <c r="BB27" s="706"/>
      <c r="BC27" s="456"/>
      <c r="BD27" s="766"/>
      <c r="BE27" s="427">
        <v>7177</v>
      </c>
      <c r="BF27" s="427">
        <v>7177</v>
      </c>
      <c r="BG27" s="427">
        <v>7072</v>
      </c>
      <c r="BH27" s="427"/>
      <c r="BI27" s="766">
        <v>3564</v>
      </c>
      <c r="BJ27" s="766">
        <v>3622</v>
      </c>
      <c r="BK27" s="766">
        <v>3516</v>
      </c>
      <c r="BL27" s="817"/>
      <c r="BM27" s="819"/>
      <c r="BN27" s="819"/>
      <c r="BO27" s="819"/>
      <c r="BP27" s="819"/>
      <c r="BQ27" s="819"/>
      <c r="BR27" s="819"/>
      <c r="BS27" s="819"/>
      <c r="BT27" s="819"/>
      <c r="BU27" s="819"/>
      <c r="BV27" s="819"/>
      <c r="BW27" s="819"/>
      <c r="BX27" s="819"/>
      <c r="BY27" s="820"/>
      <c r="BZ27" s="820"/>
      <c r="CA27" s="820"/>
      <c r="CB27" s="820"/>
      <c r="CC27" s="820"/>
      <c r="CD27" s="819"/>
      <c r="CE27" s="819"/>
      <c r="CF27" s="819"/>
      <c r="CG27" s="819"/>
      <c r="CH27" s="819"/>
      <c r="CI27" s="819"/>
      <c r="CJ27" s="819"/>
      <c r="CK27" s="819"/>
      <c r="CL27" s="819">
        <v>4932</v>
      </c>
      <c r="CM27" s="819"/>
    </row>
    <row r="28" spans="1:91">
      <c r="A28" s="418" t="s">
        <v>1643</v>
      </c>
      <c r="B28" s="623" t="s">
        <v>1231</v>
      </c>
      <c r="C28" s="380" t="s">
        <v>438</v>
      </c>
      <c r="D28" s="380" t="s">
        <v>1232</v>
      </c>
      <c r="E28" s="380" t="s">
        <v>1644</v>
      </c>
      <c r="G28" s="762"/>
      <c r="H28" s="745">
        <v>4640</v>
      </c>
      <c r="I28" s="745">
        <v>4640</v>
      </c>
      <c r="J28" s="745">
        <v>5613</v>
      </c>
      <c r="K28" s="745">
        <v>5200</v>
      </c>
      <c r="L28" s="745">
        <v>5300</v>
      </c>
      <c r="M28" s="745">
        <v>5300</v>
      </c>
      <c r="N28" s="762"/>
      <c r="O28" s="745">
        <v>7000</v>
      </c>
      <c r="P28" s="745">
        <v>8423</v>
      </c>
      <c r="Q28" s="745">
        <v>7000</v>
      </c>
      <c r="R28" s="745">
        <v>7200</v>
      </c>
      <c r="S28" s="745">
        <v>7500</v>
      </c>
      <c r="T28" s="742"/>
      <c r="U28" s="744"/>
      <c r="V28" s="744"/>
      <c r="W28" s="744"/>
      <c r="X28" s="744"/>
      <c r="Y28" s="828">
        <v>23158</v>
      </c>
      <c r="Z28" s="744">
        <v>20775</v>
      </c>
      <c r="AA28" s="833"/>
      <c r="AB28" s="744"/>
      <c r="AC28" s="831"/>
      <c r="AD28" s="744"/>
      <c r="AE28" s="744"/>
      <c r="AF28" s="744"/>
      <c r="AG28" s="744"/>
      <c r="AH28" s="441"/>
      <c r="AI28" s="706"/>
      <c r="AJ28" s="706"/>
      <c r="AK28" s="706"/>
      <c r="AL28" s="706"/>
      <c r="AM28" s="706"/>
      <c r="AN28" s="441"/>
      <c r="AO28" s="706"/>
      <c r="AP28" s="706"/>
      <c r="AQ28" s="706"/>
      <c r="AR28" s="441"/>
      <c r="AS28" s="706"/>
      <c r="AT28" s="706"/>
      <c r="AU28" s="441"/>
      <c r="AV28" s="706"/>
      <c r="AW28" s="706"/>
      <c r="AX28" s="706"/>
      <c r="AY28" s="706"/>
      <c r="AZ28" s="441"/>
      <c r="BA28" s="706"/>
      <c r="BB28" s="706"/>
      <c r="BC28" s="456"/>
      <c r="BD28" s="766"/>
      <c r="BE28" s="427">
        <v>3272</v>
      </c>
      <c r="BF28" s="427">
        <v>3740</v>
      </c>
      <c r="BG28" s="427">
        <v>3270</v>
      </c>
      <c r="BH28" s="427"/>
      <c r="BI28" s="766"/>
      <c r="BJ28" s="766"/>
      <c r="BK28" s="766"/>
      <c r="BL28" s="817"/>
      <c r="BM28" s="819"/>
      <c r="BN28" s="819"/>
      <c r="BO28" s="819"/>
      <c r="BP28" s="819"/>
      <c r="BQ28" s="819"/>
      <c r="BR28" s="819"/>
      <c r="BS28" s="819"/>
      <c r="BT28" s="819"/>
      <c r="BU28" s="819"/>
      <c r="BV28" s="819"/>
      <c r="BW28" s="819"/>
      <c r="BX28" s="819"/>
      <c r="BY28" s="820"/>
      <c r="BZ28" s="820"/>
      <c r="CA28" s="820"/>
      <c r="CB28" s="820"/>
      <c r="CC28" s="820"/>
      <c r="CD28" s="819"/>
      <c r="CE28" s="819"/>
      <c r="CF28" s="819"/>
      <c r="CG28" s="819"/>
      <c r="CH28" s="819"/>
      <c r="CI28" s="819"/>
      <c r="CJ28" s="819"/>
      <c r="CK28" s="819"/>
      <c r="CL28" s="819"/>
      <c r="CM28" s="819"/>
    </row>
    <row r="29" spans="1:91">
      <c r="A29" s="418" t="s">
        <v>1241</v>
      </c>
      <c r="B29" s="623" t="s">
        <v>1231</v>
      </c>
      <c r="C29" s="380" t="s">
        <v>438</v>
      </c>
      <c r="D29" s="380" t="s">
        <v>1232</v>
      </c>
      <c r="E29" s="380" t="s">
        <v>1241</v>
      </c>
      <c r="G29" s="762"/>
      <c r="H29" s="745">
        <v>4500</v>
      </c>
      <c r="I29" s="745">
        <v>4500</v>
      </c>
      <c r="J29" s="745"/>
      <c r="K29" s="745">
        <v>4500</v>
      </c>
      <c r="L29" s="745">
        <v>4500</v>
      </c>
      <c r="M29" s="745">
        <v>4500</v>
      </c>
      <c r="N29" s="762"/>
      <c r="O29" s="745">
        <v>5000</v>
      </c>
      <c r="P29" s="745"/>
      <c r="Q29" s="745">
        <v>5000</v>
      </c>
      <c r="R29" s="745">
        <v>5000</v>
      </c>
      <c r="S29" s="745">
        <v>5000</v>
      </c>
      <c r="T29" s="742"/>
      <c r="U29" s="744">
        <v>30208.345000000001</v>
      </c>
      <c r="V29" s="744">
        <v>30208.345000000001</v>
      </c>
      <c r="W29" s="744">
        <v>30208.345000000001</v>
      </c>
      <c r="X29" s="744">
        <v>30208.345000000001</v>
      </c>
      <c r="Y29" s="828">
        <v>21032.170999999998</v>
      </c>
      <c r="Z29" s="744">
        <v>21032.170999999998</v>
      </c>
      <c r="AA29" s="833"/>
      <c r="AB29" s="744"/>
      <c r="AC29" s="831"/>
      <c r="AD29" s="744"/>
      <c r="AE29" s="744"/>
      <c r="AF29" s="744"/>
      <c r="AG29" s="744"/>
      <c r="AH29" s="441"/>
      <c r="AI29" s="706"/>
      <c r="AJ29" s="706"/>
      <c r="AK29" s="706"/>
      <c r="AL29" s="706"/>
      <c r="AM29" s="706"/>
      <c r="AN29" s="441"/>
      <c r="AO29" s="706"/>
      <c r="AP29" s="706"/>
      <c r="AQ29" s="706"/>
      <c r="AR29" s="441"/>
      <c r="AS29" s="706"/>
      <c r="AT29" s="706"/>
      <c r="AU29" s="441"/>
      <c r="AV29" s="706"/>
      <c r="AW29" s="706"/>
      <c r="AX29" s="706"/>
      <c r="AY29" s="706"/>
      <c r="AZ29" s="441"/>
      <c r="BA29" s="706"/>
      <c r="BB29" s="706"/>
      <c r="BC29" s="456"/>
      <c r="BD29" s="768"/>
      <c r="BE29" s="427">
        <v>2600</v>
      </c>
      <c r="BF29" s="427">
        <v>2600</v>
      </c>
      <c r="BG29" s="427">
        <v>2600</v>
      </c>
      <c r="BH29" s="427"/>
      <c r="BI29" s="766">
        <v>1308</v>
      </c>
      <c r="BJ29" s="766">
        <v>1308</v>
      </c>
      <c r="BK29" s="766">
        <v>1308</v>
      </c>
      <c r="BL29" s="817"/>
      <c r="BM29" s="819"/>
      <c r="BN29" s="819"/>
      <c r="BO29" s="819"/>
      <c r="BP29" s="819"/>
      <c r="BQ29" s="819"/>
      <c r="BR29" s="819"/>
      <c r="BS29" s="823"/>
      <c r="BT29" s="823"/>
      <c r="BU29" s="823"/>
      <c r="BV29" s="823"/>
      <c r="BW29" s="823"/>
      <c r="BX29" s="823"/>
      <c r="BY29" s="824">
        <v>1885</v>
      </c>
      <c r="BZ29" s="820"/>
      <c r="CA29" s="820"/>
      <c r="CB29" s="820"/>
      <c r="CC29" s="820"/>
      <c r="CD29" s="819">
        <v>2580</v>
      </c>
      <c r="CE29" s="819">
        <v>2580</v>
      </c>
      <c r="CF29" s="819"/>
      <c r="CG29" s="819"/>
      <c r="CH29" s="819"/>
      <c r="CI29" s="819"/>
      <c r="CJ29" s="819"/>
      <c r="CK29" s="819"/>
      <c r="CL29" s="819"/>
      <c r="CM29" s="819"/>
    </row>
    <row r="30" spans="1:91" ht="15.75">
      <c r="A30" s="510" t="s">
        <v>1242</v>
      </c>
      <c r="B30" s="625"/>
      <c r="C30" s="621"/>
      <c r="D30" s="621"/>
      <c r="E30" s="621"/>
      <c r="F30" s="621"/>
      <c r="G30" s="762"/>
      <c r="H30" s="543"/>
      <c r="I30" s="543"/>
      <c r="J30" s="543"/>
      <c r="K30" s="543"/>
      <c r="L30" s="543"/>
      <c r="M30" s="543"/>
      <c r="N30" s="762"/>
      <c r="O30" s="543"/>
      <c r="P30" s="543"/>
      <c r="Q30" s="543"/>
      <c r="R30" s="543"/>
      <c r="S30" s="543"/>
      <c r="T30" s="742"/>
      <c r="U30" s="543"/>
      <c r="V30" s="543"/>
      <c r="W30" s="543"/>
      <c r="X30" s="543"/>
      <c r="Y30" s="540"/>
      <c r="Z30" s="543"/>
      <c r="AA30" s="833"/>
      <c r="AB30" s="543"/>
      <c r="AC30" s="539"/>
      <c r="AD30" s="543"/>
      <c r="AE30" s="543"/>
      <c r="AF30" s="543"/>
      <c r="AG30" s="543"/>
      <c r="AH30" s="441"/>
      <c r="AI30" s="543"/>
      <c r="AJ30" s="543"/>
      <c r="AK30" s="543"/>
      <c r="AL30" s="543"/>
      <c r="AM30" s="543"/>
      <c r="AN30" s="441"/>
      <c r="AO30" s="543"/>
      <c r="AP30" s="543"/>
      <c r="AQ30" s="543"/>
      <c r="AR30" s="441"/>
      <c r="AS30" s="543"/>
      <c r="AT30" s="543"/>
      <c r="AU30" s="441"/>
      <c r="AV30" s="543"/>
      <c r="AW30" s="543"/>
      <c r="AX30" s="543"/>
      <c r="AY30" s="543"/>
      <c r="AZ30" s="441"/>
      <c r="BA30" s="543"/>
      <c r="BB30" s="543"/>
      <c r="BC30" s="456"/>
      <c r="BD30" s="512"/>
      <c r="BE30" s="511"/>
      <c r="BF30" s="511"/>
      <c r="BG30" s="511"/>
      <c r="BH30" s="511"/>
      <c r="BI30" s="512"/>
      <c r="BJ30" s="512"/>
      <c r="BK30" s="512"/>
      <c r="BL30" s="817"/>
      <c r="BM30" s="512"/>
      <c r="BN30" s="512"/>
      <c r="BO30" s="512"/>
      <c r="BP30" s="512"/>
      <c r="BQ30" s="512"/>
      <c r="BR30" s="512"/>
      <c r="BS30" s="512"/>
      <c r="BT30" s="512"/>
      <c r="BU30" s="512"/>
      <c r="BV30" s="512"/>
      <c r="BW30" s="512"/>
      <c r="BX30" s="512"/>
      <c r="BY30" s="511"/>
      <c r="BZ30" s="511"/>
      <c r="CA30" s="511"/>
      <c r="CB30" s="511"/>
      <c r="CC30" s="511"/>
      <c r="CD30" s="512"/>
      <c r="CE30" s="512"/>
      <c r="CF30" s="512"/>
      <c r="CG30" s="512"/>
      <c r="CH30" s="512"/>
      <c r="CI30" s="512"/>
      <c r="CJ30" s="512"/>
      <c r="CK30" s="512"/>
      <c r="CL30" s="512"/>
      <c r="CM30" s="512"/>
    </row>
    <row r="31" spans="1:91">
      <c r="A31" s="418" t="s">
        <v>1243</v>
      </c>
      <c r="B31" s="623" t="s">
        <v>1244</v>
      </c>
      <c r="C31" s="380" t="s">
        <v>438</v>
      </c>
      <c r="D31" s="380" t="s">
        <v>1228</v>
      </c>
      <c r="E31" s="380" t="s">
        <v>1245</v>
      </c>
      <c r="F31" s="380" t="s">
        <v>1246</v>
      </c>
      <c r="G31" s="762"/>
      <c r="H31" s="745"/>
      <c r="I31" s="745"/>
      <c r="J31" s="745"/>
      <c r="K31" s="745"/>
      <c r="L31" s="745"/>
      <c r="M31" s="745"/>
      <c r="N31" s="762"/>
      <c r="O31" s="745"/>
      <c r="P31" s="745"/>
      <c r="Q31" s="745"/>
      <c r="R31" s="745"/>
      <c r="S31" s="745"/>
      <c r="T31" s="742"/>
      <c r="U31" s="744"/>
      <c r="V31" s="744"/>
      <c r="W31" s="744"/>
      <c r="X31" s="744"/>
      <c r="Y31" s="828"/>
      <c r="Z31" s="744"/>
      <c r="AA31" s="833"/>
      <c r="AB31" s="744"/>
      <c r="AC31" s="831"/>
      <c r="AD31" s="744"/>
      <c r="AE31" s="744"/>
      <c r="AF31" s="744"/>
      <c r="AG31" s="744"/>
      <c r="AH31" s="404"/>
      <c r="AI31" s="706">
        <v>0.352462</v>
      </c>
      <c r="AJ31" s="706">
        <v>0.352462</v>
      </c>
      <c r="AK31" s="706">
        <v>0.352462</v>
      </c>
      <c r="AL31" s="706">
        <v>0.352462</v>
      </c>
      <c r="AM31" s="706">
        <v>0.352462</v>
      </c>
      <c r="AN31" s="404"/>
      <c r="AO31" s="706"/>
      <c r="AP31" s="706"/>
      <c r="AQ31" s="706"/>
      <c r="AR31" s="404"/>
      <c r="AS31" s="706"/>
      <c r="AT31" s="706"/>
      <c r="AU31" s="404"/>
      <c r="AV31" s="706"/>
      <c r="AW31" s="706"/>
      <c r="AX31" s="706"/>
      <c r="AY31" s="706"/>
      <c r="AZ31" s="404"/>
      <c r="BA31" s="706"/>
      <c r="BB31" s="706"/>
      <c r="BC31" s="456"/>
      <c r="BD31" s="766">
        <v>0.5</v>
      </c>
      <c r="BE31" s="427">
        <v>0.52</v>
      </c>
      <c r="BF31" s="427">
        <v>0.52</v>
      </c>
      <c r="BG31" s="427">
        <v>0.52</v>
      </c>
      <c r="BH31" s="427"/>
      <c r="BI31" s="766">
        <v>0.34</v>
      </c>
      <c r="BJ31" s="766"/>
      <c r="BK31" s="766"/>
      <c r="BL31" s="817"/>
      <c r="BM31" s="819">
        <v>0.59</v>
      </c>
      <c r="BN31" s="819">
        <v>0.59</v>
      </c>
      <c r="BO31" s="819">
        <v>0.59</v>
      </c>
      <c r="BP31" s="819">
        <v>0.59</v>
      </c>
      <c r="BQ31" s="819"/>
      <c r="BR31" s="819"/>
      <c r="BS31" s="819">
        <v>0.4</v>
      </c>
      <c r="BT31" s="819">
        <v>0.4</v>
      </c>
      <c r="BU31" s="819">
        <v>0.4</v>
      </c>
      <c r="BV31" s="819">
        <v>0.4</v>
      </c>
      <c r="BW31" s="819">
        <v>0.4</v>
      </c>
      <c r="BX31" s="819">
        <v>0.44</v>
      </c>
      <c r="BY31" s="820"/>
      <c r="BZ31" s="820"/>
      <c r="CA31" s="820"/>
      <c r="CB31" s="820"/>
      <c r="CC31" s="820"/>
      <c r="CD31" s="819"/>
      <c r="CE31" s="819"/>
      <c r="CF31" s="819"/>
      <c r="CG31" s="819"/>
      <c r="CH31" s="819"/>
      <c r="CI31" s="819"/>
      <c r="CJ31" s="819"/>
      <c r="CK31" s="819">
        <v>0.48</v>
      </c>
      <c r="CL31" s="819">
        <v>0.48</v>
      </c>
      <c r="CM31" s="819"/>
    </row>
    <row r="32" spans="1:91">
      <c r="A32" s="418" t="s">
        <v>1247</v>
      </c>
      <c r="B32" s="623" t="s">
        <v>1244</v>
      </c>
      <c r="C32" s="380" t="s">
        <v>438</v>
      </c>
      <c r="D32" s="380" t="s">
        <v>1228</v>
      </c>
      <c r="E32" s="380" t="s">
        <v>1245</v>
      </c>
      <c r="F32" s="380" t="s">
        <v>1248</v>
      </c>
      <c r="G32" s="762"/>
      <c r="H32" s="745">
        <v>0.39925500000000003</v>
      </c>
      <c r="I32" s="745">
        <v>0.40492400000000001</v>
      </c>
      <c r="J32" s="745"/>
      <c r="K32" s="745">
        <v>0.39196599999999998</v>
      </c>
      <c r="L32" s="745">
        <v>0.45027499999999998</v>
      </c>
      <c r="M32" s="745">
        <v>0.45027499999999998</v>
      </c>
      <c r="N32" s="762"/>
      <c r="O32" s="745">
        <v>0.417072</v>
      </c>
      <c r="P32" s="745"/>
      <c r="Q32" s="745">
        <v>0.41869099999999998</v>
      </c>
      <c r="R32" s="745">
        <v>0.413022</v>
      </c>
      <c r="S32" s="745">
        <v>0.413022</v>
      </c>
      <c r="T32" s="742"/>
      <c r="U32" s="744"/>
      <c r="V32" s="744"/>
      <c r="W32" s="744"/>
      <c r="X32" s="744"/>
      <c r="Y32" s="828"/>
      <c r="Z32" s="744">
        <v>0.53449999999999998</v>
      </c>
      <c r="AA32" s="833"/>
      <c r="AB32" s="744"/>
      <c r="AC32" s="831"/>
      <c r="AD32" s="744"/>
      <c r="AE32" s="744"/>
      <c r="AF32" s="744"/>
      <c r="AG32" s="744"/>
      <c r="AH32" s="423"/>
      <c r="AI32" s="706"/>
      <c r="AJ32" s="706"/>
      <c r="AK32" s="706"/>
      <c r="AL32" s="706"/>
      <c r="AM32" s="706"/>
      <c r="AN32" s="423"/>
      <c r="AO32" s="706"/>
      <c r="AP32" s="706"/>
      <c r="AQ32" s="706"/>
      <c r="AR32" s="423"/>
      <c r="AS32" s="706"/>
      <c r="AT32" s="706"/>
      <c r="AU32" s="423"/>
      <c r="AV32" s="706"/>
      <c r="AW32" s="706"/>
      <c r="AX32" s="706"/>
      <c r="AY32" s="706"/>
      <c r="AZ32" s="423"/>
      <c r="BA32" s="706"/>
      <c r="BB32" s="706"/>
      <c r="BC32" s="456"/>
      <c r="BD32" s="766"/>
      <c r="BE32" s="427"/>
      <c r="BF32" s="427"/>
      <c r="BG32" s="427"/>
      <c r="BH32" s="427"/>
      <c r="BI32" s="766">
        <v>0.27596999999999999</v>
      </c>
      <c r="BJ32" s="766"/>
      <c r="BK32" s="766"/>
      <c r="BL32" s="817"/>
      <c r="BM32" s="819">
        <v>0.59</v>
      </c>
      <c r="BN32" s="819">
        <v>0.59</v>
      </c>
      <c r="BO32" s="819">
        <v>0.59</v>
      </c>
      <c r="BP32" s="819">
        <v>0.59</v>
      </c>
      <c r="BQ32" s="819"/>
      <c r="BR32" s="819"/>
      <c r="BS32" s="819">
        <v>0.4</v>
      </c>
      <c r="BT32" s="819">
        <v>0.4</v>
      </c>
      <c r="BU32" s="819">
        <v>0.4</v>
      </c>
      <c r="BV32" s="819">
        <v>0.4</v>
      </c>
      <c r="BW32" s="819">
        <v>0.4</v>
      </c>
      <c r="BX32" s="819">
        <v>0.33700000000000002</v>
      </c>
      <c r="BY32" s="820"/>
      <c r="BZ32" s="820"/>
      <c r="CA32" s="820"/>
      <c r="CB32" s="820"/>
      <c r="CC32" s="820"/>
      <c r="CD32" s="819"/>
      <c r="CE32" s="819"/>
      <c r="CF32" s="819"/>
      <c r="CG32" s="819"/>
      <c r="CH32" s="819">
        <v>0.41383199999999998</v>
      </c>
      <c r="CI32" s="819"/>
      <c r="CJ32" s="819"/>
      <c r="CK32" s="819"/>
      <c r="CL32" s="819"/>
      <c r="CM32" s="819"/>
    </row>
    <row r="33" spans="1:91">
      <c r="A33" s="418" t="s">
        <v>1249</v>
      </c>
      <c r="B33" s="623" t="s">
        <v>1250</v>
      </c>
      <c r="C33" s="380" t="s">
        <v>438</v>
      </c>
      <c r="D33" s="380" t="s">
        <v>1228</v>
      </c>
      <c r="E33" s="380" t="s">
        <v>1245</v>
      </c>
      <c r="F33" s="380" t="s">
        <v>1251</v>
      </c>
      <c r="G33" s="762"/>
      <c r="H33" s="745">
        <v>108</v>
      </c>
      <c r="I33" s="745">
        <v>108</v>
      </c>
      <c r="J33" s="745"/>
      <c r="K33" s="745">
        <v>111</v>
      </c>
      <c r="L33" s="745">
        <v>112</v>
      </c>
      <c r="M33" s="745">
        <v>112</v>
      </c>
      <c r="N33" s="762"/>
      <c r="O33" s="745">
        <v>115</v>
      </c>
      <c r="P33" s="745"/>
      <c r="Q33" s="745">
        <v>113</v>
      </c>
      <c r="R33" s="745">
        <v>115</v>
      </c>
      <c r="S33" s="745">
        <v>116</v>
      </c>
      <c r="T33" s="742"/>
      <c r="U33" s="744"/>
      <c r="V33" s="744"/>
      <c r="W33" s="744"/>
      <c r="X33" s="744"/>
      <c r="Y33" s="828"/>
      <c r="Z33" s="744"/>
      <c r="AA33" s="833"/>
      <c r="AB33" s="744"/>
      <c r="AC33" s="831"/>
      <c r="AD33" s="744"/>
      <c r="AE33" s="744"/>
      <c r="AF33" s="744"/>
      <c r="AG33" s="744"/>
      <c r="AH33" s="441"/>
      <c r="AI33" s="706"/>
      <c r="AJ33" s="706"/>
      <c r="AK33" s="706"/>
      <c r="AL33" s="706"/>
      <c r="AM33" s="706"/>
      <c r="AN33" s="441"/>
      <c r="AO33" s="706"/>
      <c r="AP33" s="706"/>
      <c r="AQ33" s="706"/>
      <c r="AR33" s="441"/>
      <c r="AS33" s="706"/>
      <c r="AT33" s="706"/>
      <c r="AU33" s="441"/>
      <c r="AV33" s="706"/>
      <c r="AW33" s="706"/>
      <c r="AX33" s="706"/>
      <c r="AY33" s="706"/>
      <c r="AZ33" s="441"/>
      <c r="BA33" s="706"/>
      <c r="BB33" s="706"/>
      <c r="BC33" s="456"/>
      <c r="BD33" s="766"/>
      <c r="BE33" s="427"/>
      <c r="BF33" s="427"/>
      <c r="BG33" s="427"/>
      <c r="BH33" s="427"/>
      <c r="BI33" s="766"/>
      <c r="BJ33" s="766"/>
      <c r="BK33" s="766"/>
      <c r="BL33" s="817"/>
      <c r="BM33" s="819"/>
      <c r="BN33" s="819"/>
      <c r="BO33" s="819"/>
      <c r="BP33" s="819"/>
      <c r="BQ33" s="819"/>
      <c r="BR33" s="819"/>
      <c r="BS33" s="819"/>
      <c r="BT33" s="819"/>
      <c r="BU33" s="819"/>
      <c r="BV33" s="819"/>
      <c r="BW33" s="819"/>
      <c r="BX33" s="819"/>
      <c r="BY33" s="820"/>
      <c r="BZ33" s="820"/>
      <c r="CA33" s="820"/>
      <c r="CB33" s="820"/>
      <c r="CC33" s="820"/>
      <c r="CD33" s="819"/>
      <c r="CE33" s="819"/>
      <c r="CF33" s="819"/>
      <c r="CG33" s="819"/>
      <c r="CH33" s="819"/>
      <c r="CI33" s="819"/>
      <c r="CJ33" s="819"/>
      <c r="CK33" s="819"/>
      <c r="CL33" s="819"/>
      <c r="CM33" s="819"/>
    </row>
    <row r="34" spans="1:91" ht="15.75">
      <c r="A34" s="510" t="s">
        <v>1252</v>
      </c>
      <c r="B34" s="625"/>
      <c r="C34" s="621"/>
      <c r="D34" s="621"/>
      <c r="E34" s="621"/>
      <c r="F34" s="621"/>
      <c r="G34" s="762"/>
      <c r="H34" s="543"/>
      <c r="I34" s="543"/>
      <c r="J34" s="543"/>
      <c r="K34" s="543"/>
      <c r="L34" s="543"/>
      <c r="M34" s="543"/>
      <c r="N34" s="762"/>
      <c r="O34" s="543"/>
      <c r="P34" s="543"/>
      <c r="Q34" s="543"/>
      <c r="R34" s="543"/>
      <c r="S34" s="543"/>
      <c r="T34" s="742"/>
      <c r="U34" s="543"/>
      <c r="V34" s="543"/>
      <c r="W34" s="543"/>
      <c r="X34" s="543"/>
      <c r="Y34" s="540"/>
      <c r="Z34" s="543"/>
      <c r="AA34" s="833"/>
      <c r="AB34" s="543"/>
      <c r="AC34" s="539"/>
      <c r="AD34" s="543"/>
      <c r="AE34" s="543"/>
      <c r="AF34" s="543"/>
      <c r="AG34" s="543"/>
      <c r="AH34" s="441"/>
      <c r="AI34" s="543"/>
      <c r="AJ34" s="543"/>
      <c r="AK34" s="543"/>
      <c r="AL34" s="543"/>
      <c r="AM34" s="543"/>
      <c r="AN34" s="441"/>
      <c r="AO34" s="543"/>
      <c r="AP34" s="543"/>
      <c r="AQ34" s="543"/>
      <c r="AR34" s="441"/>
      <c r="AS34" s="543"/>
      <c r="AT34" s="543"/>
      <c r="AU34" s="441"/>
      <c r="AV34" s="543"/>
      <c r="AW34" s="543"/>
      <c r="AX34" s="543"/>
      <c r="AY34" s="543"/>
      <c r="AZ34" s="441"/>
      <c r="BA34" s="543"/>
      <c r="BB34" s="543"/>
      <c r="BC34" s="456"/>
      <c r="BD34" s="512"/>
      <c r="BE34" s="511"/>
      <c r="BF34" s="511"/>
      <c r="BG34" s="511"/>
      <c r="BH34" s="511"/>
      <c r="BI34" s="512"/>
      <c r="BJ34" s="512"/>
      <c r="BK34" s="512"/>
      <c r="BL34" s="817"/>
      <c r="BM34" s="512"/>
      <c r="BN34" s="512"/>
      <c r="BO34" s="512"/>
      <c r="BP34" s="512"/>
      <c r="BQ34" s="512"/>
      <c r="BR34" s="512"/>
      <c r="BS34" s="512"/>
      <c r="BT34" s="512"/>
      <c r="BU34" s="512"/>
      <c r="BV34" s="512"/>
      <c r="BW34" s="512"/>
      <c r="BX34" s="512"/>
      <c r="BY34" s="511"/>
      <c r="BZ34" s="511"/>
      <c r="CA34" s="511"/>
      <c r="CB34" s="511"/>
      <c r="CC34" s="511"/>
      <c r="CD34" s="512"/>
      <c r="CE34" s="512"/>
      <c r="CF34" s="512"/>
      <c r="CG34" s="512"/>
      <c r="CH34" s="512"/>
      <c r="CI34" s="512"/>
      <c r="CJ34" s="512"/>
      <c r="CK34" s="512"/>
      <c r="CL34" s="512"/>
      <c r="CM34" s="512"/>
    </row>
    <row r="35" spans="1:91">
      <c r="A35" s="418" t="s">
        <v>1645</v>
      </c>
      <c r="B35" s="623" t="s">
        <v>1254</v>
      </c>
      <c r="C35" s="380" t="s">
        <v>438</v>
      </c>
      <c r="D35" s="380" t="s">
        <v>1228</v>
      </c>
      <c r="E35" s="380" t="s">
        <v>1255</v>
      </c>
      <c r="F35" s="380" t="s">
        <v>1248</v>
      </c>
      <c r="G35" s="762"/>
      <c r="H35" s="745"/>
      <c r="I35" s="745"/>
      <c r="J35" s="745"/>
      <c r="K35" s="745"/>
      <c r="L35" s="745"/>
      <c r="M35" s="745"/>
      <c r="N35" s="762"/>
      <c r="O35" s="745"/>
      <c r="P35" s="745"/>
      <c r="Q35" s="745"/>
      <c r="R35" s="745"/>
      <c r="S35" s="745"/>
      <c r="T35" s="742"/>
      <c r="U35" s="744">
        <v>9936.48</v>
      </c>
      <c r="V35" s="744">
        <v>9936.48</v>
      </c>
      <c r="W35" s="744">
        <v>9936.48</v>
      </c>
      <c r="X35" s="744">
        <v>9936.48</v>
      </c>
      <c r="Y35" s="828">
        <v>9814.56</v>
      </c>
      <c r="Z35" s="744">
        <v>9814.56</v>
      </c>
      <c r="AA35" s="833"/>
      <c r="AB35" s="744"/>
      <c r="AC35" s="831"/>
      <c r="AD35" s="744"/>
      <c r="AE35" s="744"/>
      <c r="AF35" s="744"/>
      <c r="AG35" s="744"/>
      <c r="AH35" s="404"/>
      <c r="AI35" s="706"/>
      <c r="AJ35" s="706"/>
      <c r="AK35" s="706"/>
      <c r="AL35" s="706"/>
      <c r="AM35" s="706"/>
      <c r="AN35" s="404"/>
      <c r="AO35" s="706"/>
      <c r="AP35" s="706"/>
      <c r="AQ35" s="706"/>
      <c r="AR35" s="404"/>
      <c r="AS35" s="706"/>
      <c r="AT35" s="706"/>
      <c r="AU35" s="404"/>
      <c r="AV35" s="706"/>
      <c r="AW35" s="706"/>
      <c r="AX35" s="706"/>
      <c r="AY35" s="706"/>
      <c r="AZ35" s="404"/>
      <c r="BA35" s="706"/>
      <c r="BB35" s="706"/>
      <c r="BC35" s="456"/>
      <c r="BD35" s="427">
        <v>9753.6</v>
      </c>
      <c r="BE35" s="427">
        <v>9753.6</v>
      </c>
      <c r="BF35" s="427">
        <v>9753.6</v>
      </c>
      <c r="BG35" s="427">
        <v>9753.6</v>
      </c>
      <c r="BH35" s="427"/>
      <c r="BI35" s="766">
        <v>6477</v>
      </c>
      <c r="BJ35" s="766"/>
      <c r="BK35" s="766"/>
      <c r="BL35" s="817"/>
      <c r="BM35" s="819">
        <v>9449</v>
      </c>
      <c r="BN35" s="819">
        <v>9449</v>
      </c>
      <c r="BO35" s="819">
        <v>9449</v>
      </c>
      <c r="BP35" s="819">
        <v>9449</v>
      </c>
      <c r="BQ35" s="819"/>
      <c r="BR35" s="819"/>
      <c r="BS35" s="819"/>
      <c r="BT35" s="819"/>
      <c r="BU35" s="819"/>
      <c r="BV35" s="819"/>
      <c r="BW35" s="819"/>
      <c r="BX35" s="819"/>
      <c r="BY35" s="820"/>
      <c r="BZ35" s="824">
        <v>7620</v>
      </c>
      <c r="CA35" s="824">
        <v>9448.7999999999993</v>
      </c>
      <c r="CB35" s="824">
        <v>7620</v>
      </c>
      <c r="CC35" s="824">
        <v>9448.7999999999993</v>
      </c>
      <c r="CD35" s="819">
        <v>7620</v>
      </c>
      <c r="CE35" s="819">
        <v>7620</v>
      </c>
      <c r="CF35" s="819"/>
      <c r="CG35" s="819"/>
      <c r="CH35" s="819">
        <v>7195</v>
      </c>
      <c r="CI35" s="819"/>
      <c r="CJ35" s="819"/>
      <c r="CK35" s="819">
        <v>7620</v>
      </c>
      <c r="CL35" s="819"/>
      <c r="CM35" s="819"/>
    </row>
    <row r="36" spans="1:91">
      <c r="A36" s="418" t="s">
        <v>1256</v>
      </c>
      <c r="B36" s="623" t="s">
        <v>1254</v>
      </c>
      <c r="C36" s="380" t="s">
        <v>438</v>
      </c>
      <c r="D36" s="380" t="s">
        <v>1228</v>
      </c>
      <c r="E36" s="380" t="s">
        <v>1257</v>
      </c>
      <c r="G36" s="762"/>
      <c r="H36" s="745">
        <v>1090</v>
      </c>
      <c r="I36" s="745">
        <v>1041</v>
      </c>
      <c r="J36" s="745"/>
      <c r="K36" s="745">
        <v>1120</v>
      </c>
      <c r="L36" s="745">
        <v>1126</v>
      </c>
      <c r="M36" s="745">
        <v>1165</v>
      </c>
      <c r="N36" s="762"/>
      <c r="O36" s="745">
        <v>1207</v>
      </c>
      <c r="P36" s="745"/>
      <c r="Q36" s="745">
        <v>1052</v>
      </c>
      <c r="R36" s="745">
        <v>1048</v>
      </c>
      <c r="S36" s="745">
        <v>1067</v>
      </c>
      <c r="T36" s="742"/>
      <c r="U36" s="744"/>
      <c r="V36" s="744"/>
      <c r="W36" s="744"/>
      <c r="X36" s="744"/>
      <c r="Y36" s="828"/>
      <c r="Z36" s="744"/>
      <c r="AA36" s="833"/>
      <c r="AB36" s="744"/>
      <c r="AC36" s="831"/>
      <c r="AD36" s="744"/>
      <c r="AE36" s="744"/>
      <c r="AF36" s="744"/>
      <c r="AG36" s="744"/>
      <c r="AH36" s="441"/>
      <c r="AI36" s="706"/>
      <c r="AJ36" s="706"/>
      <c r="AK36" s="706"/>
      <c r="AL36" s="706"/>
      <c r="AM36" s="706"/>
      <c r="AN36" s="441"/>
      <c r="AO36" s="706"/>
      <c r="AP36" s="706"/>
      <c r="AQ36" s="706"/>
      <c r="AR36" s="441"/>
      <c r="AS36" s="706"/>
      <c r="AT36" s="706"/>
      <c r="AU36" s="441"/>
      <c r="AV36" s="706"/>
      <c r="AW36" s="706"/>
      <c r="AX36" s="706"/>
      <c r="AY36" s="706"/>
      <c r="AZ36" s="441"/>
      <c r="BA36" s="706"/>
      <c r="BB36" s="706"/>
      <c r="BC36" s="456"/>
      <c r="BD36" s="427"/>
      <c r="BE36" s="427">
        <v>1640</v>
      </c>
      <c r="BF36" s="427">
        <v>1640</v>
      </c>
      <c r="BG36" s="427">
        <v>1440</v>
      </c>
      <c r="BH36" s="427"/>
      <c r="BI36" s="766">
        <v>793</v>
      </c>
      <c r="BJ36" s="766"/>
      <c r="BK36" s="766"/>
      <c r="BL36" s="817"/>
      <c r="BM36" s="819"/>
      <c r="BN36" s="819"/>
      <c r="BO36" s="819"/>
      <c r="BP36" s="819"/>
      <c r="BQ36" s="819"/>
      <c r="BR36" s="819"/>
      <c r="BS36" s="819"/>
      <c r="BT36" s="819"/>
      <c r="BU36" s="819"/>
      <c r="BV36" s="819"/>
      <c r="BW36" s="819"/>
      <c r="BX36" s="819"/>
      <c r="BY36" s="820">
        <v>793</v>
      </c>
      <c r="BZ36" s="820"/>
      <c r="CA36" s="820"/>
      <c r="CB36" s="820"/>
      <c r="CC36" s="820"/>
      <c r="CD36" s="819"/>
      <c r="CE36" s="819"/>
      <c r="CF36" s="819"/>
      <c r="CG36" s="819"/>
      <c r="CH36" s="819"/>
      <c r="CI36" s="819"/>
      <c r="CJ36" s="819"/>
      <c r="CK36" s="819"/>
      <c r="CL36" s="819"/>
      <c r="CM36" s="819"/>
    </row>
    <row r="37" spans="1:91">
      <c r="A37" s="451" t="s">
        <v>1646</v>
      </c>
      <c r="B37" s="626"/>
      <c r="C37" s="622"/>
      <c r="D37" s="622"/>
      <c r="E37" s="622"/>
      <c r="F37" s="622"/>
      <c r="G37" s="762"/>
      <c r="H37" s="543"/>
      <c r="I37" s="543"/>
      <c r="J37" s="543"/>
      <c r="K37" s="543"/>
      <c r="L37" s="543"/>
      <c r="M37" s="543"/>
      <c r="N37" s="762"/>
      <c r="O37" s="543"/>
      <c r="P37" s="543"/>
      <c r="Q37" s="543"/>
      <c r="R37" s="543"/>
      <c r="S37" s="543"/>
      <c r="T37" s="742"/>
      <c r="U37" s="543"/>
      <c r="V37" s="543"/>
      <c r="W37" s="543"/>
      <c r="X37" s="543"/>
      <c r="Y37" s="540"/>
      <c r="Z37" s="543"/>
      <c r="AA37" s="833"/>
      <c r="AB37" s="543"/>
      <c r="AC37" s="539"/>
      <c r="AD37" s="543"/>
      <c r="AE37" s="543"/>
      <c r="AF37" s="543"/>
      <c r="AG37" s="543"/>
      <c r="AH37" s="441"/>
      <c r="AI37" s="543"/>
      <c r="AJ37" s="543"/>
      <c r="AK37" s="543"/>
      <c r="AL37" s="543"/>
      <c r="AM37" s="543"/>
      <c r="AN37" s="441"/>
      <c r="AO37" s="543"/>
      <c r="AP37" s="543"/>
      <c r="AQ37" s="543"/>
      <c r="AR37" s="441"/>
      <c r="AS37" s="543"/>
      <c r="AT37" s="543"/>
      <c r="AU37" s="441"/>
      <c r="AV37" s="543"/>
      <c r="AW37" s="543"/>
      <c r="AX37" s="543"/>
      <c r="AY37" s="543"/>
      <c r="AZ37" s="441"/>
      <c r="BA37" s="543"/>
      <c r="BB37" s="543"/>
      <c r="BC37" s="456"/>
      <c r="BD37" s="543"/>
      <c r="BE37" s="539"/>
      <c r="BF37" s="539"/>
      <c r="BG37" s="539"/>
      <c r="BH37" s="539"/>
      <c r="BI37" s="543"/>
      <c r="BJ37" s="543"/>
      <c r="BK37" s="543"/>
      <c r="BL37" s="817"/>
      <c r="BM37" s="543"/>
      <c r="BN37" s="543"/>
      <c r="BO37" s="543"/>
      <c r="BP37" s="543"/>
      <c r="BQ37" s="543"/>
      <c r="BR37" s="543"/>
      <c r="BS37" s="543"/>
      <c r="BT37" s="543"/>
      <c r="BU37" s="543"/>
      <c r="BV37" s="543"/>
      <c r="BW37" s="543"/>
      <c r="BX37" s="543"/>
      <c r="BY37" s="539"/>
      <c r="BZ37" s="539"/>
      <c r="CA37" s="539"/>
      <c r="CB37" s="539"/>
      <c r="CC37" s="539"/>
      <c r="CD37" s="543"/>
      <c r="CE37" s="543"/>
      <c r="CF37" s="543"/>
      <c r="CG37" s="543"/>
      <c r="CH37" s="543"/>
      <c r="CI37" s="543"/>
      <c r="CJ37" s="543"/>
      <c r="CK37" s="543"/>
      <c r="CL37" s="543"/>
      <c r="CM37" s="543"/>
    </row>
    <row r="38" spans="1:91">
      <c r="A38" s="418" t="s">
        <v>1647</v>
      </c>
      <c r="B38" s="623" t="s">
        <v>1648</v>
      </c>
      <c r="C38" s="380" t="s">
        <v>438</v>
      </c>
      <c r="D38" s="380" t="s">
        <v>1646</v>
      </c>
      <c r="E38" s="380" t="s">
        <v>1261</v>
      </c>
      <c r="G38" s="762"/>
      <c r="H38" s="745">
        <v>1323.8979999999999</v>
      </c>
      <c r="I38" s="745">
        <v>1397.4480000000001</v>
      </c>
      <c r="J38" s="745"/>
      <c r="K38" s="745">
        <v>1456.288</v>
      </c>
      <c r="L38" s="745">
        <v>1588.6769999999999</v>
      </c>
      <c r="M38" s="745">
        <v>1588.6769999999999</v>
      </c>
      <c r="N38" s="762"/>
      <c r="O38" s="745">
        <v>1588.6769999999999</v>
      </c>
      <c r="P38" s="745"/>
      <c r="Q38" s="745">
        <v>1820.3589999999999</v>
      </c>
      <c r="R38" s="745">
        <v>1820.3589999999999</v>
      </c>
      <c r="S38" s="745">
        <v>1820.3589999999999</v>
      </c>
      <c r="T38" s="742"/>
      <c r="U38" s="744"/>
      <c r="V38" s="744"/>
      <c r="W38" s="744"/>
      <c r="X38" s="744"/>
      <c r="Y38" s="828"/>
      <c r="Z38" s="744"/>
      <c r="AA38" s="833"/>
      <c r="AB38" s="744"/>
      <c r="AC38" s="831"/>
      <c r="AD38" s="744"/>
      <c r="AE38" s="744"/>
      <c r="AF38" s="744"/>
      <c r="AG38" s="744"/>
      <c r="AH38" s="441"/>
      <c r="AI38" s="706">
        <v>823.7586</v>
      </c>
      <c r="AJ38" s="706">
        <v>823.7586</v>
      </c>
      <c r="AK38" s="706">
        <v>823.7586</v>
      </c>
      <c r="AL38" s="706">
        <v>823.7586</v>
      </c>
      <c r="AM38" s="706">
        <v>823.7586</v>
      </c>
      <c r="AN38" s="441"/>
      <c r="AO38" s="706"/>
      <c r="AP38" s="706"/>
      <c r="AQ38" s="706"/>
      <c r="AR38" s="441"/>
      <c r="AS38" s="706"/>
      <c r="AT38" s="706"/>
      <c r="AU38" s="441"/>
      <c r="AV38" s="706"/>
      <c r="AW38" s="706"/>
      <c r="AX38" s="706"/>
      <c r="AY38" s="706"/>
      <c r="AZ38" s="441"/>
      <c r="BA38" s="706"/>
      <c r="BB38" s="706"/>
      <c r="BC38" s="456"/>
      <c r="BD38" s="766">
        <v>1176.798</v>
      </c>
      <c r="BE38" s="427">
        <v>1323.8979999999999</v>
      </c>
      <c r="BF38" s="427">
        <v>1323.8979999999999</v>
      </c>
      <c r="BG38" s="427">
        <v>1323.8979999999999</v>
      </c>
      <c r="BH38" s="427"/>
      <c r="BI38" s="766">
        <v>551.62400000000002</v>
      </c>
      <c r="BJ38" s="766"/>
      <c r="BK38" s="766"/>
      <c r="BL38" s="817"/>
      <c r="BM38" s="819">
        <v>1625</v>
      </c>
      <c r="BN38" s="819">
        <v>1625</v>
      </c>
      <c r="BO38" s="819">
        <v>1625</v>
      </c>
      <c r="BP38" s="852">
        <v>1625</v>
      </c>
      <c r="BQ38" s="819"/>
      <c r="BR38" s="819"/>
      <c r="BS38" s="819">
        <v>533</v>
      </c>
      <c r="BT38" s="819">
        <v>533</v>
      </c>
      <c r="BU38" s="819">
        <v>533</v>
      </c>
      <c r="BV38" s="819">
        <v>533</v>
      </c>
      <c r="BW38" s="819">
        <v>533</v>
      </c>
      <c r="BX38" s="819">
        <v>579</v>
      </c>
      <c r="BY38" s="820">
        <v>691</v>
      </c>
      <c r="BZ38" s="820">
        <v>691.36900000000003</v>
      </c>
      <c r="CA38" s="820">
        <v>820.26990000000001</v>
      </c>
      <c r="CB38" s="820">
        <v>820.26990000000001</v>
      </c>
      <c r="CC38" s="820">
        <v>820.26990000000001</v>
      </c>
      <c r="CD38" s="819">
        <v>1294</v>
      </c>
      <c r="CE38" s="819">
        <v>1305</v>
      </c>
      <c r="CF38" s="819" t="s">
        <v>1285</v>
      </c>
      <c r="CG38" s="819"/>
      <c r="CH38" s="819">
        <v>2500.6959999999999</v>
      </c>
      <c r="CI38" s="819"/>
      <c r="CJ38" s="819"/>
      <c r="CK38" s="819">
        <v>820.26985869999999</v>
      </c>
      <c r="CL38" s="819">
        <v>953.75013579999995</v>
      </c>
      <c r="CM38" s="819"/>
    </row>
    <row r="39" spans="1:91">
      <c r="A39" s="418" t="s">
        <v>1649</v>
      </c>
      <c r="B39" s="623" t="s">
        <v>1648</v>
      </c>
      <c r="C39" s="380" t="s">
        <v>438</v>
      </c>
      <c r="D39" s="380" t="s">
        <v>1646</v>
      </c>
      <c r="E39" s="380" t="s">
        <v>1650</v>
      </c>
      <c r="G39" s="762"/>
      <c r="H39" s="745">
        <v>1250.348</v>
      </c>
      <c r="I39" s="745">
        <v>1397.4480000000001</v>
      </c>
      <c r="J39" s="745"/>
      <c r="K39" s="745">
        <v>1397.4480000000001</v>
      </c>
      <c r="L39" s="745">
        <v>1765.1969999999999</v>
      </c>
      <c r="M39" s="745">
        <v>1765.1969999999999</v>
      </c>
      <c r="N39" s="762"/>
      <c r="O39" s="745">
        <v>1765.1969999999999</v>
      </c>
      <c r="P39" s="745"/>
      <c r="Q39" s="745">
        <v>1838.7470000000001</v>
      </c>
      <c r="R39" s="745">
        <v>1838.7470000000001</v>
      </c>
      <c r="S39" s="745">
        <v>1838.7470000000001</v>
      </c>
      <c r="T39" s="742"/>
      <c r="U39" s="744"/>
      <c r="V39" s="744"/>
      <c r="W39" s="744"/>
      <c r="X39" s="744"/>
      <c r="Y39" s="828"/>
      <c r="Z39" s="744"/>
      <c r="AA39" s="833"/>
      <c r="AB39" s="744"/>
      <c r="AC39" s="831"/>
      <c r="AD39" s="744"/>
      <c r="AE39" s="744"/>
      <c r="AF39" s="744"/>
      <c r="AG39" s="744"/>
      <c r="AH39" s="441"/>
      <c r="AI39" s="706">
        <v>715.64</v>
      </c>
      <c r="AJ39" s="706">
        <v>715.64</v>
      </c>
      <c r="AK39" s="706">
        <v>715.64</v>
      </c>
      <c r="AL39" s="706">
        <v>715.64</v>
      </c>
      <c r="AM39" s="706">
        <v>715.64</v>
      </c>
      <c r="AN39" s="441"/>
      <c r="AO39" s="706"/>
      <c r="AP39" s="706"/>
      <c r="AQ39" s="706"/>
      <c r="AR39" s="441"/>
      <c r="AS39" s="706"/>
      <c r="AT39" s="706"/>
      <c r="AU39" s="441"/>
      <c r="AV39" s="706"/>
      <c r="AW39" s="706"/>
      <c r="AX39" s="706"/>
      <c r="AY39" s="706"/>
      <c r="AZ39" s="441"/>
      <c r="BA39" s="706"/>
      <c r="BB39" s="706"/>
      <c r="BC39" s="456"/>
      <c r="BD39" s="766">
        <v>1176.798</v>
      </c>
      <c r="BE39" s="427">
        <v>1323.8979999999999</v>
      </c>
      <c r="BF39" s="427">
        <v>1323.8979999999999</v>
      </c>
      <c r="BG39" s="427">
        <v>1323.8979999999999</v>
      </c>
      <c r="BH39" s="427"/>
      <c r="BI39" s="766">
        <v>551.62400000000002</v>
      </c>
      <c r="BJ39" s="766"/>
      <c r="BK39" s="766"/>
      <c r="BL39" s="817"/>
      <c r="BM39" s="819">
        <v>1380</v>
      </c>
      <c r="BN39" s="819">
        <v>1380</v>
      </c>
      <c r="BO39" s="819">
        <v>1380</v>
      </c>
      <c r="BP39" s="853">
        <v>1380</v>
      </c>
      <c r="BQ39" s="819"/>
      <c r="BR39" s="819"/>
      <c r="BS39" s="819">
        <v>533</v>
      </c>
      <c r="BT39" s="819">
        <v>533</v>
      </c>
      <c r="BU39" s="819">
        <v>533</v>
      </c>
      <c r="BV39" s="819">
        <v>533</v>
      </c>
      <c r="BW39" s="819">
        <v>533</v>
      </c>
      <c r="BX39" s="819">
        <v>579</v>
      </c>
      <c r="BY39" s="820"/>
      <c r="BZ39" s="820">
        <v>617.81899999999996</v>
      </c>
      <c r="CA39" s="820">
        <v>745.7</v>
      </c>
      <c r="CB39" s="820">
        <v>666.36199999999997</v>
      </c>
      <c r="CC39" s="820">
        <v>745.7</v>
      </c>
      <c r="CD39" s="819">
        <v>1193</v>
      </c>
      <c r="CE39" s="819">
        <v>1305</v>
      </c>
      <c r="CF39" s="819"/>
      <c r="CG39" s="819"/>
      <c r="CH39" s="819">
        <v>2018.944</v>
      </c>
      <c r="CI39" s="819"/>
      <c r="CJ39" s="819"/>
      <c r="CK39" s="819">
        <v>820.26985869999999</v>
      </c>
      <c r="CL39" s="819">
        <v>905.27964410000004</v>
      </c>
      <c r="CM39" s="819"/>
    </row>
    <row r="40" spans="1:91">
      <c r="A40" s="418" t="s">
        <v>1651</v>
      </c>
      <c r="B40" s="623" t="s">
        <v>1648</v>
      </c>
      <c r="C40" s="380" t="s">
        <v>438</v>
      </c>
      <c r="D40" s="380" t="s">
        <v>1646</v>
      </c>
      <c r="E40" s="380" t="s">
        <v>1652</v>
      </c>
      <c r="G40" s="762"/>
      <c r="H40" s="745">
        <v>1250.348</v>
      </c>
      <c r="I40" s="745">
        <v>1250.348</v>
      </c>
      <c r="J40" s="745"/>
      <c r="K40" s="745">
        <v>1250.348</v>
      </c>
      <c r="L40" s="745">
        <v>1588.6769999999999</v>
      </c>
      <c r="M40" s="745">
        <v>1588.6769999999999</v>
      </c>
      <c r="N40" s="762"/>
      <c r="O40" s="745">
        <v>1535.721</v>
      </c>
      <c r="P40" s="745"/>
      <c r="Q40" s="745">
        <v>1612.213</v>
      </c>
      <c r="R40" s="745">
        <v>1612.213</v>
      </c>
      <c r="S40" s="745">
        <v>1612.213</v>
      </c>
      <c r="T40" s="742"/>
      <c r="U40" s="744"/>
      <c r="V40" s="744"/>
      <c r="W40" s="744"/>
      <c r="X40" s="744"/>
      <c r="Y40" s="828"/>
      <c r="Z40" s="744"/>
      <c r="AA40" s="833"/>
      <c r="AB40" s="744"/>
      <c r="AC40" s="831"/>
      <c r="AD40" s="744"/>
      <c r="AE40" s="744"/>
      <c r="AF40" s="744"/>
      <c r="AG40" s="744"/>
      <c r="AH40" s="441"/>
      <c r="AI40" s="706">
        <v>661.94899999999996</v>
      </c>
      <c r="AJ40" s="706">
        <v>661.94899999999996</v>
      </c>
      <c r="AK40" s="706">
        <v>661.94899999999996</v>
      </c>
      <c r="AL40" s="706">
        <v>661.94899999999996</v>
      </c>
      <c r="AM40" s="706">
        <v>661.94899999999996</v>
      </c>
      <c r="AN40" s="441"/>
      <c r="AO40" s="706"/>
      <c r="AP40" s="706"/>
      <c r="AQ40" s="706"/>
      <c r="AR40" s="441"/>
      <c r="AS40" s="706"/>
      <c r="AT40" s="706"/>
      <c r="AU40" s="441"/>
      <c r="AV40" s="706"/>
      <c r="AW40" s="706"/>
      <c r="AX40" s="706"/>
      <c r="AY40" s="706"/>
      <c r="AZ40" s="441"/>
      <c r="BA40" s="706"/>
      <c r="BB40" s="706"/>
      <c r="BC40" s="456"/>
      <c r="BD40" s="766">
        <v>1106.19</v>
      </c>
      <c r="BE40" s="427">
        <v>1112.0740000000001</v>
      </c>
      <c r="BF40" s="427">
        <v>1112.0740000000001</v>
      </c>
      <c r="BG40" s="427">
        <v>1112.0740000000001</v>
      </c>
      <c r="BH40" s="427"/>
      <c r="BI40" s="766">
        <v>514.84900000000005</v>
      </c>
      <c r="BJ40" s="766"/>
      <c r="BK40" s="766"/>
      <c r="BL40" s="817"/>
      <c r="BM40" s="819"/>
      <c r="BN40" s="819"/>
      <c r="BO40" s="819"/>
      <c r="BP40" s="819"/>
      <c r="BQ40" s="819"/>
      <c r="BR40" s="819"/>
      <c r="BS40" s="819"/>
      <c r="BT40" s="819"/>
      <c r="BU40" s="819"/>
      <c r="BV40" s="819"/>
      <c r="BW40" s="819"/>
      <c r="BX40" s="819"/>
      <c r="BY40" s="820"/>
      <c r="BZ40" s="820"/>
      <c r="CA40" s="820"/>
      <c r="CB40" s="820"/>
      <c r="CC40" s="820"/>
      <c r="CD40" s="819"/>
      <c r="CE40" s="819"/>
      <c r="CF40" s="819"/>
      <c r="CG40" s="819"/>
      <c r="CH40" s="819"/>
      <c r="CI40" s="819"/>
      <c r="CJ40" s="819"/>
      <c r="CK40" s="819"/>
      <c r="CL40" s="819"/>
      <c r="CM40" s="819"/>
    </row>
    <row r="41" spans="1:91">
      <c r="A41" s="418" t="s">
        <v>1653</v>
      </c>
      <c r="B41" s="623" t="s">
        <v>1648</v>
      </c>
      <c r="C41" s="380" t="s">
        <v>438</v>
      </c>
      <c r="D41" s="380" t="s">
        <v>1646</v>
      </c>
      <c r="E41" s="380" t="s">
        <v>1248</v>
      </c>
      <c r="G41" s="762"/>
      <c r="H41" s="745">
        <v>1190.7719999999999</v>
      </c>
      <c r="I41" s="745">
        <v>1250.348</v>
      </c>
      <c r="J41" s="745"/>
      <c r="K41" s="745">
        <v>1250.348</v>
      </c>
      <c r="L41" s="745">
        <v>1568.0830000000001</v>
      </c>
      <c r="M41" s="745">
        <v>1568.0830000000001</v>
      </c>
      <c r="N41" s="762"/>
      <c r="O41" s="745">
        <v>1535.721</v>
      </c>
      <c r="P41" s="745"/>
      <c r="Q41" s="745">
        <v>1568.0830000000001</v>
      </c>
      <c r="R41" s="745">
        <v>1568.0830000000001</v>
      </c>
      <c r="S41" s="745">
        <v>1568.0830000000001</v>
      </c>
      <c r="T41" s="742"/>
      <c r="U41" s="744"/>
      <c r="V41" s="744"/>
      <c r="W41" s="744"/>
      <c r="X41" s="744"/>
      <c r="Y41" s="828"/>
      <c r="Z41" s="744"/>
      <c r="AA41" s="833"/>
      <c r="AB41" s="744"/>
      <c r="AC41" s="831"/>
      <c r="AD41" s="744"/>
      <c r="AE41" s="744"/>
      <c r="AF41" s="744"/>
      <c r="AG41" s="744"/>
      <c r="AH41" s="441"/>
      <c r="AI41" s="706">
        <v>661.94899999999996</v>
      </c>
      <c r="AJ41" s="706">
        <v>661.94899999999996</v>
      </c>
      <c r="AK41" s="706">
        <v>661.94899999999996</v>
      </c>
      <c r="AL41" s="706">
        <v>661.94899999999996</v>
      </c>
      <c r="AM41" s="706">
        <v>661.94899999999996</v>
      </c>
      <c r="AN41" s="441"/>
      <c r="AO41" s="706"/>
      <c r="AP41" s="706"/>
      <c r="AQ41" s="706"/>
      <c r="AR41" s="441"/>
      <c r="AS41" s="706"/>
      <c r="AT41" s="706"/>
      <c r="AU41" s="441"/>
      <c r="AV41" s="706"/>
      <c r="AW41" s="706"/>
      <c r="AX41" s="706"/>
      <c r="AY41" s="706"/>
      <c r="AZ41" s="441"/>
      <c r="BA41" s="706"/>
      <c r="BB41" s="706"/>
      <c r="BC41" s="456"/>
      <c r="BD41" s="766">
        <v>1106.19</v>
      </c>
      <c r="BE41" s="427">
        <v>1112.0740000000001</v>
      </c>
      <c r="BF41" s="427">
        <v>1112.0740000000001</v>
      </c>
      <c r="BG41" s="427">
        <v>1112.0740000000001</v>
      </c>
      <c r="BH41" s="427"/>
      <c r="BI41" s="766">
        <v>514.84900000000005</v>
      </c>
      <c r="BJ41" s="766"/>
      <c r="BK41" s="766"/>
      <c r="BL41" s="817"/>
      <c r="BM41" s="819"/>
      <c r="BN41" s="819"/>
      <c r="BO41" s="819"/>
      <c r="BP41" s="819"/>
      <c r="BQ41" s="819"/>
      <c r="BR41" s="819"/>
      <c r="BS41" s="819"/>
      <c r="BT41" s="819"/>
      <c r="BU41" s="819"/>
      <c r="BV41" s="819"/>
      <c r="BW41" s="819"/>
      <c r="BX41" s="819"/>
      <c r="BY41" s="820"/>
      <c r="BZ41" s="820"/>
      <c r="CA41" s="820"/>
      <c r="CB41" s="820"/>
      <c r="CC41" s="820"/>
      <c r="CD41" s="819"/>
      <c r="CE41" s="819"/>
      <c r="CF41" s="819"/>
      <c r="CG41" s="819"/>
      <c r="CH41" s="819"/>
      <c r="CI41" s="819"/>
      <c r="CJ41" s="819"/>
      <c r="CK41" s="819"/>
      <c r="CL41" s="819"/>
      <c r="CM41" s="819"/>
    </row>
    <row r="42" spans="1:91" ht="15.75">
      <c r="A42" s="510" t="s">
        <v>1241</v>
      </c>
      <c r="B42" s="625"/>
      <c r="C42" s="621"/>
      <c r="D42" s="621"/>
      <c r="E42" s="621"/>
      <c r="F42" s="621"/>
      <c r="G42" s="762"/>
      <c r="H42" s="543"/>
      <c r="I42" s="543"/>
      <c r="J42" s="543"/>
      <c r="K42" s="543"/>
      <c r="L42" s="543"/>
      <c r="M42" s="543"/>
      <c r="N42" s="762"/>
      <c r="O42" s="543"/>
      <c r="P42" s="543"/>
      <c r="Q42" s="543"/>
      <c r="R42" s="543"/>
      <c r="S42" s="543"/>
      <c r="T42" s="742"/>
      <c r="U42" s="543"/>
      <c r="V42" s="543"/>
      <c r="W42" s="543"/>
      <c r="X42" s="543"/>
      <c r="Y42" s="540"/>
      <c r="Z42" s="543"/>
      <c r="AA42" s="833"/>
      <c r="AB42" s="543"/>
      <c r="AC42" s="539"/>
      <c r="AD42" s="543"/>
      <c r="AE42" s="543"/>
      <c r="AF42" s="543"/>
      <c r="AG42" s="543"/>
      <c r="AH42" s="441"/>
      <c r="AI42" s="543"/>
      <c r="AJ42" s="543"/>
      <c r="AK42" s="543"/>
      <c r="AL42" s="543"/>
      <c r="AM42" s="543"/>
      <c r="AN42" s="441"/>
      <c r="AO42" s="543"/>
      <c r="AP42" s="543"/>
      <c r="AQ42" s="543"/>
      <c r="AR42" s="441"/>
      <c r="AS42" s="543"/>
      <c r="AT42" s="543"/>
      <c r="AU42" s="441"/>
      <c r="AV42" s="543"/>
      <c r="AW42" s="543"/>
      <c r="AX42" s="543"/>
      <c r="AY42" s="543"/>
      <c r="AZ42" s="441"/>
      <c r="BA42" s="543"/>
      <c r="BB42" s="543"/>
      <c r="BC42" s="456"/>
      <c r="BD42" s="543"/>
      <c r="BE42" s="539"/>
      <c r="BF42" s="539"/>
      <c r="BG42" s="539"/>
      <c r="BH42" s="539"/>
      <c r="BI42" s="543"/>
      <c r="BJ42" s="543"/>
      <c r="BK42" s="543"/>
      <c r="BL42" s="817"/>
      <c r="BM42" s="543"/>
      <c r="BN42" s="543"/>
      <c r="BO42" s="543"/>
      <c r="BP42" s="543"/>
      <c r="BQ42" s="543"/>
      <c r="BR42" s="543"/>
      <c r="BS42" s="543"/>
      <c r="BT42" s="543"/>
      <c r="BU42" s="543"/>
      <c r="BV42" s="543"/>
      <c r="BW42" s="543"/>
      <c r="BX42" s="543"/>
      <c r="BY42" s="539"/>
      <c r="BZ42" s="539"/>
      <c r="CA42" s="539"/>
      <c r="CB42" s="539"/>
      <c r="CC42" s="539"/>
      <c r="CD42" s="543"/>
      <c r="CE42" s="543"/>
      <c r="CF42" s="543"/>
      <c r="CG42" s="543"/>
      <c r="CH42" s="543"/>
      <c r="CI42" s="543"/>
      <c r="CJ42" s="543"/>
      <c r="CK42" s="543"/>
      <c r="CL42" s="543"/>
      <c r="CM42" s="543"/>
    </row>
    <row r="43" spans="1:91">
      <c r="A43" s="418" t="s">
        <v>1264</v>
      </c>
      <c r="B43" s="623" t="s">
        <v>17</v>
      </c>
      <c r="C43" s="380" t="s">
        <v>438</v>
      </c>
      <c r="D43" s="380" t="s">
        <v>529</v>
      </c>
      <c r="E43" s="380" t="s">
        <v>1241</v>
      </c>
      <c r="F43" s="380" t="s">
        <v>1265</v>
      </c>
      <c r="G43" s="762"/>
      <c r="H43" s="745"/>
      <c r="I43" s="745"/>
      <c r="J43" s="745"/>
      <c r="K43" s="745"/>
      <c r="L43" s="745"/>
      <c r="M43" s="745"/>
      <c r="N43" s="762"/>
      <c r="O43" s="745"/>
      <c r="P43" s="745"/>
      <c r="Q43" s="745"/>
      <c r="R43" s="745"/>
      <c r="S43" s="745"/>
      <c r="T43" s="742"/>
      <c r="U43" s="744" t="s">
        <v>1266</v>
      </c>
      <c r="V43" s="744" t="s">
        <v>1266</v>
      </c>
      <c r="W43" s="744" t="s">
        <v>1266</v>
      </c>
      <c r="X43" s="744" t="s">
        <v>1266</v>
      </c>
      <c r="Y43" s="828" t="s">
        <v>1266</v>
      </c>
      <c r="Z43" s="744" t="s">
        <v>1266</v>
      </c>
      <c r="AA43" s="833"/>
      <c r="AB43" s="744"/>
      <c r="AC43" s="831"/>
      <c r="AD43" s="744"/>
      <c r="AE43" s="744"/>
      <c r="AF43" s="744"/>
      <c r="AG43" s="744"/>
      <c r="AH43" s="404"/>
      <c r="AI43" s="706"/>
      <c r="AJ43" s="706"/>
      <c r="AK43" s="706"/>
      <c r="AL43" s="706"/>
      <c r="AM43" s="706"/>
      <c r="AN43" s="404"/>
      <c r="AO43" s="706"/>
      <c r="AP43" s="706"/>
      <c r="AQ43" s="706"/>
      <c r="AR43" s="404"/>
      <c r="AS43" s="706"/>
      <c r="AT43" s="706"/>
      <c r="AU43" s="404"/>
      <c r="AV43" s="706"/>
      <c r="AW43" s="706"/>
      <c r="AX43" s="706"/>
      <c r="AY43" s="706"/>
      <c r="AZ43" s="404"/>
      <c r="BA43" s="706"/>
      <c r="BB43" s="706"/>
      <c r="BC43" s="456"/>
      <c r="BD43" s="766" t="s">
        <v>1266</v>
      </c>
      <c r="BE43" s="766" t="s">
        <v>1266</v>
      </c>
      <c r="BF43" s="766" t="s">
        <v>1266</v>
      </c>
      <c r="BG43" s="766" t="s">
        <v>1266</v>
      </c>
      <c r="BH43" s="766"/>
      <c r="BI43" s="766"/>
      <c r="BJ43" s="766"/>
      <c r="BK43" s="766"/>
      <c r="BL43" s="817"/>
      <c r="BM43" s="819"/>
      <c r="BN43" s="819"/>
      <c r="BO43" s="819"/>
      <c r="BP43" s="819"/>
      <c r="BQ43" s="819"/>
      <c r="BR43" s="819"/>
      <c r="BS43" s="819"/>
      <c r="BT43" s="819"/>
      <c r="BU43" s="819"/>
      <c r="BV43" s="819"/>
      <c r="BW43" s="819"/>
      <c r="BX43" s="819"/>
      <c r="BY43" s="820"/>
      <c r="BZ43" s="820" t="s">
        <v>1266</v>
      </c>
      <c r="CA43" s="820" t="s">
        <v>1266</v>
      </c>
      <c r="CB43" s="820" t="s">
        <v>1266</v>
      </c>
      <c r="CC43" s="820" t="s">
        <v>1266</v>
      </c>
      <c r="CD43" s="819"/>
      <c r="CE43" s="819"/>
      <c r="CF43" s="819"/>
      <c r="CG43" s="819"/>
      <c r="CH43" s="819"/>
      <c r="CI43" s="819"/>
      <c r="CJ43" s="819"/>
      <c r="CK43" s="819" t="s">
        <v>1266</v>
      </c>
      <c r="CL43" s="819" t="s">
        <v>1266</v>
      </c>
      <c r="CM43" s="819"/>
    </row>
    <row r="44" spans="1:91">
      <c r="A44" s="418" t="s">
        <v>1296</v>
      </c>
      <c r="B44" s="623" t="s">
        <v>1297</v>
      </c>
      <c r="C44" s="380" t="s">
        <v>438</v>
      </c>
      <c r="D44" s="380" t="s">
        <v>529</v>
      </c>
      <c r="E44" s="380" t="s">
        <v>1241</v>
      </c>
      <c r="F44" s="380" t="s">
        <v>1298</v>
      </c>
      <c r="G44" s="762"/>
      <c r="H44" s="745"/>
      <c r="I44" s="745"/>
      <c r="J44" s="745"/>
      <c r="K44" s="745"/>
      <c r="L44" s="745"/>
      <c r="M44" s="745"/>
      <c r="N44" s="762"/>
      <c r="O44" s="745"/>
      <c r="P44" s="745"/>
      <c r="Q44" s="745"/>
      <c r="R44" s="745"/>
      <c r="S44" s="745"/>
      <c r="T44" s="742"/>
      <c r="U44" s="744">
        <v>0.82680200000000004</v>
      </c>
      <c r="V44" s="744">
        <v>0.82680200000000004</v>
      </c>
      <c r="W44" s="744">
        <v>0.82680200000000004</v>
      </c>
      <c r="X44" s="744">
        <v>0.82680200000000004</v>
      </c>
      <c r="Y44" s="828">
        <v>0.82680200000000004</v>
      </c>
      <c r="Z44" s="744">
        <v>0.82680200000000004</v>
      </c>
      <c r="AA44" s="833"/>
      <c r="AB44" s="744"/>
      <c r="AC44" s="831"/>
      <c r="AD44" s="744"/>
      <c r="AE44" s="744"/>
      <c r="AF44" s="744"/>
      <c r="AG44" s="744"/>
      <c r="AH44" s="423"/>
      <c r="AI44" s="706"/>
      <c r="AJ44" s="706"/>
      <c r="AK44" s="706"/>
      <c r="AL44" s="706"/>
      <c r="AM44" s="706"/>
      <c r="AN44" s="423"/>
      <c r="AO44" s="706"/>
      <c r="AP44" s="706"/>
      <c r="AQ44" s="706"/>
      <c r="AR44" s="423"/>
      <c r="AS44" s="706"/>
      <c r="AT44" s="706"/>
      <c r="AU44" s="423"/>
      <c r="AV44" s="706"/>
      <c r="AW44" s="706"/>
      <c r="AX44" s="706"/>
      <c r="AY44" s="706"/>
      <c r="AZ44" s="423"/>
      <c r="BA44" s="706"/>
      <c r="BB44" s="706"/>
      <c r="BC44" s="456"/>
      <c r="BD44" s="427">
        <v>0.78500000000000003</v>
      </c>
      <c r="BE44" s="427">
        <v>0.78500000000000003</v>
      </c>
      <c r="BF44" s="427">
        <v>0.78500000000000003</v>
      </c>
      <c r="BG44" s="427">
        <v>0.78500000000000003</v>
      </c>
      <c r="BH44" s="427"/>
      <c r="BI44" s="766"/>
      <c r="BJ44" s="766"/>
      <c r="BK44" s="766"/>
      <c r="BL44" s="817"/>
      <c r="BM44" s="819">
        <v>0.79600000000000004</v>
      </c>
      <c r="BN44" s="819">
        <v>0.79600000000000004</v>
      </c>
      <c r="BO44" s="819">
        <v>0.79600000000000004</v>
      </c>
      <c r="BP44" s="819">
        <v>0.79600000000000004</v>
      </c>
      <c r="BQ44" s="819"/>
      <c r="BR44" s="819"/>
      <c r="BS44" s="819"/>
      <c r="BT44" s="819"/>
      <c r="BU44" s="819"/>
      <c r="BV44" s="819"/>
      <c r="BW44" s="819"/>
      <c r="BX44" s="819"/>
      <c r="BY44" s="820"/>
      <c r="BZ44" s="820"/>
      <c r="CA44" s="820"/>
      <c r="CB44" s="820"/>
      <c r="CC44" s="820"/>
      <c r="CD44" s="819">
        <v>0.80200000000000005</v>
      </c>
      <c r="CE44" s="819">
        <v>0.80200000000000005</v>
      </c>
      <c r="CF44" s="819"/>
      <c r="CG44" s="819"/>
      <c r="CH44" s="819"/>
      <c r="CI44" s="819"/>
      <c r="CJ44" s="819"/>
      <c r="CK44" s="819"/>
      <c r="CL44" s="819"/>
      <c r="CM44" s="819"/>
    </row>
    <row r="45" spans="1:91">
      <c r="A45" s="418" t="s">
        <v>1299</v>
      </c>
      <c r="B45" s="623" t="s">
        <v>1300</v>
      </c>
      <c r="C45" s="380" t="s">
        <v>438</v>
      </c>
      <c r="D45" s="380" t="s">
        <v>529</v>
      </c>
      <c r="E45" s="380" t="s">
        <v>1241</v>
      </c>
      <c r="F45" s="380" t="s">
        <v>1301</v>
      </c>
      <c r="G45" s="762"/>
      <c r="H45" s="745"/>
      <c r="I45" s="745"/>
      <c r="J45" s="745"/>
      <c r="K45" s="745"/>
      <c r="L45" s="745"/>
      <c r="M45" s="745"/>
      <c r="N45" s="762"/>
      <c r="O45" s="745"/>
      <c r="P45" s="745"/>
      <c r="Q45" s="745"/>
      <c r="R45" s="745"/>
      <c r="S45" s="745"/>
      <c r="T45" s="742"/>
      <c r="U45" s="744">
        <f t="shared" ref="U45" si="0">U29/U44</f>
        <v>36536.371464994038</v>
      </c>
      <c r="V45" s="744">
        <f t="shared" ref="V45" si="1">V29/V44</f>
        <v>36536.371464994038</v>
      </c>
      <c r="W45" s="744">
        <f t="shared" ref="W45" si="2">W29/W44</f>
        <v>36536.371464994038</v>
      </c>
      <c r="X45" s="744">
        <f t="shared" ref="X45:Y45" si="3">X29/X44</f>
        <v>36536.371464994038</v>
      </c>
      <c r="Y45" s="828">
        <f t="shared" si="3"/>
        <v>25437.977895554191</v>
      </c>
      <c r="Z45" s="744">
        <f>Z29/Z44</f>
        <v>25437.977895554191</v>
      </c>
      <c r="AA45" s="833"/>
      <c r="AB45" s="744"/>
      <c r="AC45" s="831"/>
      <c r="AD45" s="744"/>
      <c r="AE45" s="744"/>
      <c r="AF45" s="744"/>
      <c r="AG45" s="744"/>
      <c r="AH45" s="423"/>
      <c r="AI45" s="706"/>
      <c r="AJ45" s="706">
        <v>5525.1870399999998</v>
      </c>
      <c r="AK45" s="706">
        <v>5525.1870399999998</v>
      </c>
      <c r="AL45" s="706">
        <v>5525.1870399999998</v>
      </c>
      <c r="AM45" s="706">
        <v>5525.1870399999998</v>
      </c>
      <c r="AN45" s="423"/>
      <c r="AO45" s="706">
        <v>3160</v>
      </c>
      <c r="AP45" s="706">
        <v>3160</v>
      </c>
      <c r="AQ45" s="706">
        <v>3160</v>
      </c>
      <c r="AR45" s="423"/>
      <c r="AS45" s="706">
        <v>3160</v>
      </c>
      <c r="AT45" s="706">
        <v>3160</v>
      </c>
      <c r="AU45" s="423"/>
      <c r="AV45" s="706">
        <v>3160</v>
      </c>
      <c r="AW45" s="706">
        <v>3160</v>
      </c>
      <c r="AX45" s="706">
        <v>3160</v>
      </c>
      <c r="AY45" s="706">
        <v>3160</v>
      </c>
      <c r="AZ45" s="423"/>
      <c r="BA45" s="706">
        <v>6526</v>
      </c>
      <c r="BB45" s="706">
        <v>6526</v>
      </c>
      <c r="BC45" s="456"/>
      <c r="BD45" s="427">
        <v>3312</v>
      </c>
      <c r="BE45" s="427">
        <v>3312</v>
      </c>
      <c r="BF45" s="427">
        <v>3312</v>
      </c>
      <c r="BG45" s="427">
        <v>3312</v>
      </c>
      <c r="BH45" s="427"/>
      <c r="BI45" s="766">
        <v>1692</v>
      </c>
      <c r="BJ45" s="766"/>
      <c r="BK45" s="766"/>
      <c r="BL45" s="817"/>
      <c r="BM45" s="819"/>
      <c r="BN45" s="819"/>
      <c r="BO45" s="819"/>
      <c r="BP45" s="819"/>
      <c r="BQ45" s="819"/>
      <c r="BR45" s="819"/>
      <c r="BS45" s="819">
        <v>2386</v>
      </c>
      <c r="BT45" s="819">
        <v>2386</v>
      </c>
      <c r="BU45" s="819">
        <v>2386</v>
      </c>
      <c r="BV45" s="819">
        <v>2386</v>
      </c>
      <c r="BW45" s="819">
        <v>2386</v>
      </c>
      <c r="BX45" s="819">
        <v>2386</v>
      </c>
      <c r="BY45" s="820"/>
      <c r="BZ45" s="820">
        <v>2468.09</v>
      </c>
      <c r="CA45" s="820">
        <v>2468.09</v>
      </c>
      <c r="CB45" s="820">
        <v>2468.09</v>
      </c>
      <c r="CC45" s="820">
        <v>2468.09</v>
      </c>
      <c r="CD45" s="819">
        <v>3220</v>
      </c>
      <c r="CE45" s="819">
        <v>3220</v>
      </c>
      <c r="CF45" s="819"/>
      <c r="CG45" s="819"/>
      <c r="CH45" s="819"/>
      <c r="CI45" s="819"/>
      <c r="CJ45" s="819"/>
      <c r="CK45" s="819"/>
      <c r="CL45" s="819"/>
      <c r="CM45" s="819"/>
    </row>
    <row r="46" spans="1:91">
      <c r="A46" s="418" t="s">
        <v>1302</v>
      </c>
      <c r="B46" s="623" t="s">
        <v>1300</v>
      </c>
      <c r="C46" s="380" t="s">
        <v>438</v>
      </c>
      <c r="D46" s="380" t="s">
        <v>529</v>
      </c>
      <c r="E46" s="380" t="s">
        <v>1241</v>
      </c>
      <c r="F46" s="380" t="s">
        <v>1303</v>
      </c>
      <c r="G46" s="762"/>
      <c r="H46" s="745"/>
      <c r="I46" s="745"/>
      <c r="J46" s="745"/>
      <c r="K46" s="745"/>
      <c r="L46" s="745"/>
      <c r="M46" s="745"/>
      <c r="N46" s="762"/>
      <c r="O46" s="745"/>
      <c r="P46" s="745"/>
      <c r="Q46" s="745"/>
      <c r="R46" s="745"/>
      <c r="S46" s="745"/>
      <c r="T46" s="742"/>
      <c r="U46" s="744">
        <v>443.27172000000002</v>
      </c>
      <c r="V46" s="744">
        <v>443.27172000000002</v>
      </c>
      <c r="W46" s="744">
        <v>443.27172000000002</v>
      </c>
      <c r="X46" s="744">
        <v>443.27172000000002</v>
      </c>
      <c r="Y46" s="828">
        <v>378.541</v>
      </c>
      <c r="Z46" s="744">
        <v>378.541</v>
      </c>
      <c r="AA46" s="833"/>
      <c r="AB46" s="744"/>
      <c r="AC46" s="831"/>
      <c r="AD46" s="744"/>
      <c r="AE46" s="744"/>
      <c r="AF46" s="744"/>
      <c r="AG46" s="744"/>
      <c r="AH46" s="423"/>
      <c r="AI46" s="706"/>
      <c r="AJ46" s="706">
        <v>77.222399999999993</v>
      </c>
      <c r="AK46" s="706">
        <v>77.222399999999993</v>
      </c>
      <c r="AL46" s="706">
        <v>77.222399999999993</v>
      </c>
      <c r="AM46" s="706">
        <v>77.222399999999993</v>
      </c>
      <c r="AN46" s="423"/>
      <c r="AO46" s="706">
        <v>48</v>
      </c>
      <c r="AP46" s="706">
        <v>48</v>
      </c>
      <c r="AQ46" s="706">
        <v>48</v>
      </c>
      <c r="AR46" s="423"/>
      <c r="AS46" s="706">
        <v>48</v>
      </c>
      <c r="AT46" s="706">
        <v>48</v>
      </c>
      <c r="AU46" s="423"/>
      <c r="AV46" s="706">
        <v>48</v>
      </c>
      <c r="AW46" s="706">
        <v>48</v>
      </c>
      <c r="AX46" s="706">
        <v>48</v>
      </c>
      <c r="AY46" s="706">
        <v>48</v>
      </c>
      <c r="AZ46" s="423"/>
      <c r="BA46" s="706">
        <v>89</v>
      </c>
      <c r="BB46" s="706">
        <v>89</v>
      </c>
      <c r="BC46" s="456"/>
      <c r="BD46" s="427">
        <v>28</v>
      </c>
      <c r="BE46" s="427">
        <v>28</v>
      </c>
      <c r="BF46" s="427">
        <v>28</v>
      </c>
      <c r="BG46" s="427">
        <v>28</v>
      </c>
      <c r="BH46" s="427"/>
      <c r="BI46" s="766"/>
      <c r="BJ46" s="766"/>
      <c r="BK46" s="766"/>
      <c r="BL46" s="817"/>
      <c r="BM46" s="819"/>
      <c r="BN46" s="819"/>
      <c r="BO46" s="819"/>
      <c r="BP46" s="819"/>
      <c r="BQ46" s="819"/>
      <c r="BR46" s="819"/>
      <c r="BS46" s="819">
        <v>55</v>
      </c>
      <c r="BT46" s="819">
        <v>55</v>
      </c>
      <c r="BU46" s="819">
        <v>55</v>
      </c>
      <c r="BV46" s="819">
        <v>55</v>
      </c>
      <c r="BW46" s="819">
        <v>55</v>
      </c>
      <c r="BX46" s="819">
        <v>55</v>
      </c>
      <c r="BY46" s="820"/>
      <c r="BZ46" s="820">
        <v>30</v>
      </c>
      <c r="CA46" s="820">
        <v>27</v>
      </c>
      <c r="CB46" s="820">
        <v>30</v>
      </c>
      <c r="CC46" s="820">
        <v>27</v>
      </c>
      <c r="CD46" s="819"/>
      <c r="CE46" s="819"/>
      <c r="CF46" s="819"/>
      <c r="CG46" s="819"/>
      <c r="CH46" s="819"/>
      <c r="CI46" s="819"/>
      <c r="CJ46" s="819"/>
      <c r="CK46" s="819"/>
      <c r="CL46" s="819"/>
      <c r="CM46" s="819"/>
    </row>
    <row r="47" spans="1:91">
      <c r="A47" s="451" t="s">
        <v>1305</v>
      </c>
      <c r="B47" s="625"/>
      <c r="C47" s="621"/>
      <c r="D47" s="621"/>
      <c r="E47" s="621"/>
      <c r="F47" s="621"/>
      <c r="G47" s="762"/>
      <c r="H47" s="543"/>
      <c r="I47" s="543"/>
      <c r="J47" s="543"/>
      <c r="K47" s="543"/>
      <c r="L47" s="543"/>
      <c r="M47" s="543"/>
      <c r="N47" s="762"/>
      <c r="O47" s="543"/>
      <c r="P47" s="543"/>
      <c r="Q47" s="543"/>
      <c r="R47" s="543"/>
      <c r="S47" s="543"/>
      <c r="T47" s="742"/>
      <c r="U47" s="543"/>
      <c r="V47" s="543"/>
      <c r="W47" s="543"/>
      <c r="X47" s="543"/>
      <c r="Y47" s="540"/>
      <c r="Z47" s="543"/>
      <c r="AA47" s="833"/>
      <c r="AB47" s="543"/>
      <c r="AC47" s="539"/>
      <c r="AD47" s="543"/>
      <c r="AE47" s="543"/>
      <c r="AF47" s="543"/>
      <c r="AG47" s="543"/>
      <c r="AH47" s="423"/>
      <c r="AI47" s="543"/>
      <c r="AJ47" s="543"/>
      <c r="AK47" s="543"/>
      <c r="AL47" s="543"/>
      <c r="AM47" s="543"/>
      <c r="AN47" s="423"/>
      <c r="AO47" s="543"/>
      <c r="AP47" s="543"/>
      <c r="AQ47" s="543"/>
      <c r="AR47" s="423"/>
      <c r="AS47" s="543"/>
      <c r="AT47" s="543"/>
      <c r="AU47" s="423"/>
      <c r="AV47" s="543"/>
      <c r="AW47" s="543"/>
      <c r="AX47" s="543"/>
      <c r="AY47" s="543"/>
      <c r="AZ47" s="423"/>
      <c r="BA47" s="543"/>
      <c r="BB47" s="543"/>
      <c r="BC47" s="456"/>
      <c r="BD47" s="543"/>
      <c r="BE47" s="539"/>
      <c r="BF47" s="539"/>
      <c r="BG47" s="539"/>
      <c r="BH47" s="539"/>
      <c r="BI47" s="543"/>
      <c r="BJ47" s="543"/>
      <c r="BK47" s="543"/>
      <c r="BL47" s="817"/>
      <c r="BM47" s="543"/>
      <c r="BN47" s="543"/>
      <c r="BO47" s="543"/>
      <c r="BP47" s="543"/>
      <c r="BQ47" s="543"/>
      <c r="BR47" s="543"/>
      <c r="BS47" s="543"/>
      <c r="BT47" s="543"/>
      <c r="BU47" s="543"/>
      <c r="BV47" s="543"/>
      <c r="BW47" s="543"/>
      <c r="BX47" s="543"/>
      <c r="BY47" s="539"/>
      <c r="BZ47" s="539"/>
      <c r="CA47" s="539"/>
      <c r="CB47" s="539"/>
      <c r="CC47" s="539"/>
      <c r="CD47" s="543"/>
      <c r="CE47" s="543"/>
      <c r="CF47" s="543"/>
      <c r="CG47" s="543"/>
      <c r="CH47" s="543"/>
      <c r="CI47" s="543"/>
      <c r="CJ47" s="543"/>
      <c r="CK47" s="543"/>
      <c r="CL47" s="543"/>
      <c r="CM47" s="543"/>
    </row>
    <row r="48" spans="1:91">
      <c r="A48" s="418" t="s">
        <v>1306</v>
      </c>
      <c r="B48" s="623" t="s">
        <v>1254</v>
      </c>
      <c r="C48" s="380" t="s">
        <v>438</v>
      </c>
      <c r="D48" s="380" t="s">
        <v>1307</v>
      </c>
      <c r="E48" s="380" t="s">
        <v>1308</v>
      </c>
      <c r="G48" s="762"/>
      <c r="H48" s="745">
        <v>24.57</v>
      </c>
      <c r="I48" s="745">
        <v>24.57</v>
      </c>
      <c r="J48" s="745"/>
      <c r="K48" s="745">
        <v>24.57</v>
      </c>
      <c r="L48" s="745">
        <v>24.57</v>
      </c>
      <c r="M48" s="745">
        <v>24.57</v>
      </c>
      <c r="N48" s="762"/>
      <c r="O48" s="745">
        <v>27.05</v>
      </c>
      <c r="P48" s="745">
        <v>27.05</v>
      </c>
      <c r="Q48" s="745">
        <v>27.05</v>
      </c>
      <c r="R48" s="745">
        <v>27.05</v>
      </c>
      <c r="S48" s="745">
        <v>27.05</v>
      </c>
      <c r="T48" s="742"/>
      <c r="U48" s="744"/>
      <c r="V48" s="744"/>
      <c r="W48" s="744"/>
      <c r="X48" s="744"/>
      <c r="Y48" s="828">
        <v>40.409999999999997</v>
      </c>
      <c r="Z48" s="744">
        <v>40.409999999999997</v>
      </c>
      <c r="AA48" s="833"/>
      <c r="AB48" s="744"/>
      <c r="AC48" s="831"/>
      <c r="AD48" s="744"/>
      <c r="AE48" s="744"/>
      <c r="AF48" s="744"/>
      <c r="AG48" s="744"/>
      <c r="AH48" s="423"/>
      <c r="AI48" s="706">
        <v>28.35</v>
      </c>
      <c r="AJ48" s="706">
        <v>28.35</v>
      </c>
      <c r="AK48" s="706">
        <v>28.35</v>
      </c>
      <c r="AL48" s="706">
        <v>28.35</v>
      </c>
      <c r="AM48" s="706">
        <v>28.35</v>
      </c>
      <c r="AN48" s="423"/>
      <c r="AO48" s="706">
        <v>25.91</v>
      </c>
      <c r="AP48" s="706">
        <v>25.91</v>
      </c>
      <c r="AQ48" s="706">
        <v>25.91</v>
      </c>
      <c r="AR48" s="423"/>
      <c r="AS48" s="706"/>
      <c r="AT48" s="706"/>
      <c r="AU48" s="423"/>
      <c r="AV48" s="706"/>
      <c r="AW48" s="706"/>
      <c r="AX48" s="706"/>
      <c r="AY48" s="706"/>
      <c r="AZ48" s="423"/>
      <c r="BA48" s="706"/>
      <c r="BB48" s="706"/>
      <c r="BC48" s="456"/>
      <c r="BD48" s="766">
        <v>19.78</v>
      </c>
      <c r="BE48" s="766">
        <v>19.78</v>
      </c>
      <c r="BF48" s="766">
        <v>19.78</v>
      </c>
      <c r="BG48" s="766">
        <v>19.78</v>
      </c>
      <c r="BH48" s="766"/>
      <c r="BI48" s="766">
        <v>15.3</v>
      </c>
      <c r="BJ48" s="766">
        <v>15.3</v>
      </c>
      <c r="BK48" s="766">
        <v>15.3</v>
      </c>
      <c r="BL48" s="817"/>
      <c r="BM48" s="819">
        <v>20.975999999999999</v>
      </c>
      <c r="BN48" s="819">
        <v>20.975999999999999</v>
      </c>
      <c r="BO48" s="819">
        <v>20.975999999999999</v>
      </c>
      <c r="BP48" s="819">
        <v>20.975999999999999</v>
      </c>
      <c r="BQ48" s="819"/>
      <c r="BR48" s="819"/>
      <c r="BS48" s="819">
        <v>16.97</v>
      </c>
      <c r="BT48" s="819">
        <v>16.97</v>
      </c>
      <c r="BU48" s="819">
        <v>16.97</v>
      </c>
      <c r="BV48" s="819">
        <v>16.97</v>
      </c>
      <c r="BW48" s="819">
        <v>16.97</v>
      </c>
      <c r="BX48" s="819">
        <v>16.97</v>
      </c>
      <c r="BY48" s="819">
        <v>16.97</v>
      </c>
      <c r="BZ48" s="820"/>
      <c r="CA48" s="820"/>
      <c r="CB48" s="820"/>
      <c r="CC48" s="820"/>
      <c r="CD48" s="819">
        <v>21.44</v>
      </c>
      <c r="CE48" s="819">
        <v>22.75</v>
      </c>
      <c r="CF48" s="819"/>
      <c r="CG48" s="819"/>
      <c r="CH48" s="819">
        <v>33.15</v>
      </c>
      <c r="CI48" s="819"/>
      <c r="CJ48" s="819"/>
      <c r="CK48" s="819"/>
      <c r="CL48" s="819">
        <v>17.64</v>
      </c>
      <c r="CM48" s="819"/>
    </row>
    <row r="49" spans="1:91">
      <c r="A49" s="418" t="s">
        <v>1309</v>
      </c>
      <c r="B49" s="623" t="s">
        <v>1254</v>
      </c>
      <c r="C49" s="380" t="s">
        <v>438</v>
      </c>
      <c r="D49" s="380" t="s">
        <v>1307</v>
      </c>
      <c r="E49" s="380" t="s">
        <v>1310</v>
      </c>
      <c r="G49" s="762"/>
      <c r="H49" s="745">
        <v>22.67</v>
      </c>
      <c r="I49" s="745">
        <v>22.67</v>
      </c>
      <c r="J49" s="745"/>
      <c r="K49" s="745">
        <v>22.67</v>
      </c>
      <c r="L49" s="745">
        <v>22.67</v>
      </c>
      <c r="M49" s="745">
        <v>22.67</v>
      </c>
      <c r="N49" s="762"/>
      <c r="O49" s="745">
        <v>27.166</v>
      </c>
      <c r="P49" s="745">
        <v>27.166</v>
      </c>
      <c r="Q49" s="745">
        <v>27.166</v>
      </c>
      <c r="R49" s="745">
        <v>27.166</v>
      </c>
      <c r="S49" s="745">
        <v>27.166</v>
      </c>
      <c r="T49" s="742"/>
      <c r="U49" s="744">
        <v>29.8</v>
      </c>
      <c r="V49" s="744">
        <v>29.8</v>
      </c>
      <c r="W49" s="744">
        <v>32.340000000000003</v>
      </c>
      <c r="X49" s="744">
        <v>32.340000000000003</v>
      </c>
      <c r="Y49" s="828">
        <v>34.369999999999997</v>
      </c>
      <c r="Z49" s="744">
        <v>34.369999999999997</v>
      </c>
      <c r="AA49" s="833"/>
      <c r="AB49" s="744"/>
      <c r="AC49" s="831"/>
      <c r="AD49" s="744"/>
      <c r="AE49" s="744"/>
      <c r="AF49" s="744"/>
      <c r="AG49" s="744"/>
      <c r="AH49" s="423"/>
      <c r="AI49" s="706">
        <v>24.58</v>
      </c>
      <c r="AJ49" s="706">
        <v>24.58</v>
      </c>
      <c r="AK49" s="706">
        <v>24.58</v>
      </c>
      <c r="AL49" s="706">
        <v>24.58</v>
      </c>
      <c r="AM49" s="706">
        <v>24.58</v>
      </c>
      <c r="AN49" s="423"/>
      <c r="AO49" s="706">
        <v>22.25</v>
      </c>
      <c r="AP49" s="706">
        <v>22.25</v>
      </c>
      <c r="AQ49" s="706">
        <v>22.25</v>
      </c>
      <c r="AR49" s="423"/>
      <c r="AS49" s="706"/>
      <c r="AT49" s="706"/>
      <c r="AU49" s="423"/>
      <c r="AV49" s="706"/>
      <c r="AW49" s="706"/>
      <c r="AX49" s="706"/>
      <c r="AY49" s="706"/>
      <c r="AZ49" s="423"/>
      <c r="BA49" s="706"/>
      <c r="BB49" s="706"/>
      <c r="BC49" s="456"/>
      <c r="BD49" s="766">
        <v>20</v>
      </c>
      <c r="BE49" s="766">
        <v>20</v>
      </c>
      <c r="BF49" s="766">
        <v>20</v>
      </c>
      <c r="BG49" s="766">
        <v>20</v>
      </c>
      <c r="BH49" s="766"/>
      <c r="BI49" s="766">
        <v>15.1</v>
      </c>
      <c r="BJ49" s="766">
        <v>15.1</v>
      </c>
      <c r="BK49" s="766">
        <v>15.1</v>
      </c>
      <c r="BL49" s="817"/>
      <c r="BM49" s="819">
        <v>21.283999999999999</v>
      </c>
      <c r="BN49" s="819">
        <v>21.283999999999999</v>
      </c>
      <c r="BO49" s="819">
        <v>21.283999999999999</v>
      </c>
      <c r="BP49" s="819">
        <v>21.283999999999999</v>
      </c>
      <c r="BQ49" s="819"/>
      <c r="BR49" s="819"/>
      <c r="BS49" s="819">
        <v>15.04</v>
      </c>
      <c r="BT49" s="819">
        <v>15.04</v>
      </c>
      <c r="BU49" s="819">
        <v>16.559999999999999</v>
      </c>
      <c r="BV49" s="819">
        <v>16.559999999999999</v>
      </c>
      <c r="BW49" s="819">
        <v>16.559999999999999</v>
      </c>
      <c r="BX49" s="819">
        <v>16.559999999999999</v>
      </c>
      <c r="BY49" s="819">
        <v>16.559999999999999</v>
      </c>
      <c r="BZ49" s="820"/>
      <c r="CA49" s="820"/>
      <c r="CB49" s="820"/>
      <c r="CC49" s="820"/>
      <c r="CD49" s="819">
        <v>19.73</v>
      </c>
      <c r="CE49" s="819">
        <v>19.73</v>
      </c>
      <c r="CF49" s="819"/>
      <c r="CG49" s="819"/>
      <c r="CH49" s="819">
        <v>33.46</v>
      </c>
      <c r="CI49" s="819"/>
      <c r="CJ49" s="819"/>
      <c r="CK49" s="819"/>
      <c r="CL49" s="819">
        <v>17.62</v>
      </c>
      <c r="CM49" s="819"/>
    </row>
    <row r="50" spans="1:91">
      <c r="A50" s="418" t="s">
        <v>1311</v>
      </c>
      <c r="B50" s="623" t="s">
        <v>1254</v>
      </c>
      <c r="C50" s="380" t="s">
        <v>438</v>
      </c>
      <c r="D50" s="380" t="s">
        <v>1307</v>
      </c>
      <c r="E50" s="380" t="s">
        <v>1311</v>
      </c>
      <c r="G50" s="762"/>
      <c r="H50" s="745">
        <v>7.59</v>
      </c>
      <c r="I50" s="745">
        <v>7.59</v>
      </c>
      <c r="J50" s="745"/>
      <c r="K50" s="745">
        <v>7.59</v>
      </c>
      <c r="L50" s="745">
        <v>7.59</v>
      </c>
      <c r="M50" s="745">
        <v>7.59</v>
      </c>
      <c r="N50" s="762"/>
      <c r="O50" s="745">
        <v>7.65</v>
      </c>
      <c r="P50" s="745">
        <v>7.65</v>
      </c>
      <c r="Q50" s="745">
        <v>7.65</v>
      </c>
      <c r="R50" s="745">
        <v>7.65</v>
      </c>
      <c r="S50" s="745">
        <v>7.65</v>
      </c>
      <c r="T50" s="742"/>
      <c r="U50" s="744"/>
      <c r="V50" s="744"/>
      <c r="W50" s="744"/>
      <c r="X50" s="744"/>
      <c r="Y50" s="828">
        <v>11.66</v>
      </c>
      <c r="Z50" s="744">
        <v>11.84</v>
      </c>
      <c r="AA50" s="833"/>
      <c r="AB50" s="744"/>
      <c r="AC50" s="831"/>
      <c r="AD50" s="744"/>
      <c r="AE50" s="744"/>
      <c r="AF50" s="744"/>
      <c r="AG50" s="744"/>
      <c r="AH50" s="423"/>
      <c r="AI50" s="706">
        <v>7.98</v>
      </c>
      <c r="AJ50" s="706">
        <v>7.98</v>
      </c>
      <c r="AK50" s="706">
        <v>7.98</v>
      </c>
      <c r="AL50" s="706">
        <v>7.98</v>
      </c>
      <c r="AM50" s="706">
        <v>7.98</v>
      </c>
      <c r="AN50" s="423"/>
      <c r="AO50" s="706">
        <v>7.49</v>
      </c>
      <c r="AP50" s="706">
        <v>7.49</v>
      </c>
      <c r="AQ50" s="706">
        <v>7.49</v>
      </c>
      <c r="AR50" s="423"/>
      <c r="AS50" s="706"/>
      <c r="AT50" s="706"/>
      <c r="AU50" s="423"/>
      <c r="AV50" s="706"/>
      <c r="AW50" s="706"/>
      <c r="AX50" s="706"/>
      <c r="AY50" s="706"/>
      <c r="AZ50" s="423"/>
      <c r="BA50" s="706"/>
      <c r="BB50" s="706"/>
      <c r="BC50" s="456"/>
      <c r="BD50" s="766">
        <v>6.35</v>
      </c>
      <c r="BE50" s="766">
        <v>6.35</v>
      </c>
      <c r="BF50" s="766">
        <v>6.35</v>
      </c>
      <c r="BG50" s="766">
        <v>6.35</v>
      </c>
      <c r="BH50" s="766"/>
      <c r="BI50" s="766">
        <v>4.92</v>
      </c>
      <c r="BJ50" s="766">
        <v>4.92</v>
      </c>
      <c r="BK50" s="766">
        <v>4.92</v>
      </c>
      <c r="BL50" s="817"/>
      <c r="BM50" s="819">
        <v>7.234</v>
      </c>
      <c r="BN50" s="819">
        <v>7.234</v>
      </c>
      <c r="BO50" s="819">
        <v>7.234</v>
      </c>
      <c r="BP50" s="819">
        <v>7.234</v>
      </c>
      <c r="BQ50" s="819"/>
      <c r="BR50" s="819"/>
      <c r="BS50" s="819">
        <v>4.8600000000000003</v>
      </c>
      <c r="BT50" s="819">
        <v>4.8600000000000003</v>
      </c>
      <c r="BU50" s="819">
        <v>4.8600000000000003</v>
      </c>
      <c r="BV50" s="819">
        <v>4.8600000000000003</v>
      </c>
      <c r="BW50" s="819">
        <v>4.8600000000000003</v>
      </c>
      <c r="BX50" s="819">
        <v>4.8600000000000003</v>
      </c>
      <c r="BY50" s="819">
        <v>4.8600000000000003</v>
      </c>
      <c r="BZ50" s="820"/>
      <c r="CA50" s="820"/>
      <c r="CB50" s="820"/>
      <c r="CC50" s="820"/>
      <c r="CD50" s="819">
        <v>6.97</v>
      </c>
      <c r="CE50" s="819">
        <v>7</v>
      </c>
      <c r="CF50" s="819"/>
      <c r="CG50" s="819"/>
      <c r="CH50" s="819">
        <v>9.9499999999999993</v>
      </c>
      <c r="CI50" s="819"/>
      <c r="CJ50" s="819"/>
      <c r="CK50" s="819"/>
      <c r="CL50" s="819">
        <v>4.72</v>
      </c>
      <c r="CM50" s="819"/>
    </row>
    <row r="51" spans="1:91" ht="15.75">
      <c r="A51" s="510" t="s">
        <v>1312</v>
      </c>
      <c r="B51" s="626"/>
      <c r="C51" s="622"/>
      <c r="D51" s="622"/>
      <c r="E51" s="622"/>
      <c r="F51" s="622"/>
      <c r="G51" s="762"/>
      <c r="H51" s="543"/>
      <c r="I51" s="543"/>
      <c r="J51" s="543"/>
      <c r="K51" s="543"/>
      <c r="L51" s="543"/>
      <c r="M51" s="543"/>
      <c r="N51" s="762"/>
      <c r="O51" s="543"/>
      <c r="P51" s="543"/>
      <c r="Q51" s="543"/>
      <c r="R51" s="543"/>
      <c r="S51" s="543"/>
      <c r="T51" s="742"/>
      <c r="U51" s="543"/>
      <c r="V51" s="543"/>
      <c r="W51" s="543"/>
      <c r="X51" s="543"/>
      <c r="Y51" s="540"/>
      <c r="Z51" s="543"/>
      <c r="AA51" s="833"/>
      <c r="AB51" s="543"/>
      <c r="AC51" s="539"/>
      <c r="AD51" s="543"/>
      <c r="AE51" s="543"/>
      <c r="AF51" s="543"/>
      <c r="AG51" s="543"/>
      <c r="AH51" s="423"/>
      <c r="AI51" s="543"/>
      <c r="AJ51" s="543"/>
      <c r="AK51" s="543"/>
      <c r="AL51" s="543"/>
      <c r="AM51" s="543"/>
      <c r="AN51" s="423"/>
      <c r="AO51" s="543"/>
      <c r="AP51" s="543"/>
      <c r="AQ51" s="543"/>
      <c r="AR51" s="423"/>
      <c r="AS51" s="543"/>
      <c r="AT51" s="543"/>
      <c r="AU51" s="423"/>
      <c r="AV51" s="543"/>
      <c r="AW51" s="543"/>
      <c r="AX51" s="543"/>
      <c r="AY51" s="543"/>
      <c r="AZ51" s="423"/>
      <c r="BA51" s="543"/>
      <c r="BB51" s="543"/>
      <c r="BC51" s="456"/>
      <c r="BD51" s="543"/>
      <c r="BE51" s="539"/>
      <c r="BF51" s="539"/>
      <c r="BG51" s="539"/>
      <c r="BH51" s="539"/>
      <c r="BI51" s="543"/>
      <c r="BJ51" s="543"/>
      <c r="BK51" s="543"/>
      <c r="BL51" s="817"/>
      <c r="BM51" s="543"/>
      <c r="BN51" s="543"/>
      <c r="BO51" s="543"/>
      <c r="BP51" s="543"/>
      <c r="BQ51" s="543"/>
      <c r="BR51" s="543"/>
      <c r="BS51" s="543"/>
      <c r="BT51" s="543"/>
      <c r="BU51" s="543"/>
      <c r="BV51" s="543"/>
      <c r="BW51" s="543"/>
      <c r="BX51" s="543"/>
      <c r="BY51" s="539"/>
      <c r="BZ51" s="539"/>
      <c r="CA51" s="539"/>
      <c r="CB51" s="539"/>
      <c r="CC51" s="539"/>
      <c r="CD51" s="543"/>
      <c r="CE51" s="543"/>
      <c r="CF51" s="543"/>
      <c r="CG51" s="543"/>
      <c r="CH51" s="543"/>
      <c r="CI51" s="543"/>
      <c r="CJ51" s="543"/>
      <c r="CK51" s="543"/>
      <c r="CL51" s="543"/>
      <c r="CM51" s="543"/>
    </row>
    <row r="52" spans="1:91">
      <c r="A52" s="418" t="s">
        <v>1313</v>
      </c>
      <c r="B52" s="627" t="s">
        <v>1254</v>
      </c>
      <c r="C52" s="380" t="s">
        <v>438</v>
      </c>
      <c r="D52" s="380" t="s">
        <v>1307</v>
      </c>
      <c r="E52" s="516" t="s">
        <v>1313</v>
      </c>
      <c r="F52" s="516"/>
      <c r="G52" s="762"/>
      <c r="H52" s="745"/>
      <c r="I52" s="745"/>
      <c r="J52" s="745"/>
      <c r="K52" s="745"/>
      <c r="L52" s="745"/>
      <c r="M52" s="745"/>
      <c r="N52" s="762"/>
      <c r="O52" s="745"/>
      <c r="P52" s="745"/>
      <c r="Q52" s="745"/>
      <c r="R52" s="745"/>
      <c r="S52" s="745"/>
      <c r="T52" s="742"/>
      <c r="U52" s="744"/>
      <c r="V52" s="744"/>
      <c r="W52" s="744"/>
      <c r="X52" s="744"/>
      <c r="Y52" s="828"/>
      <c r="Z52" s="744"/>
      <c r="AA52" s="833"/>
      <c r="AB52" s="744"/>
      <c r="AC52" s="831"/>
      <c r="AD52" s="744"/>
      <c r="AE52" s="744"/>
      <c r="AF52" s="744"/>
      <c r="AG52" s="744"/>
      <c r="AH52" s="423"/>
      <c r="AI52" s="706"/>
      <c r="AJ52" s="706"/>
      <c r="AK52" s="706"/>
      <c r="AL52" s="706"/>
      <c r="AM52" s="706"/>
      <c r="AN52" s="423"/>
      <c r="AO52" s="706"/>
      <c r="AP52" s="706"/>
      <c r="AQ52" s="706"/>
      <c r="AR52" s="423"/>
      <c r="AS52" s="706"/>
      <c r="AT52" s="706"/>
      <c r="AU52" s="423"/>
      <c r="AV52" s="706"/>
      <c r="AW52" s="706"/>
      <c r="AX52" s="706"/>
      <c r="AY52" s="706"/>
      <c r="AZ52" s="423"/>
      <c r="BA52" s="706"/>
      <c r="BB52" s="706"/>
      <c r="BC52" s="456"/>
      <c r="BD52" s="766"/>
      <c r="BE52" s="427"/>
      <c r="BF52" s="427"/>
      <c r="BG52" s="427"/>
      <c r="BH52" s="427"/>
      <c r="BI52" s="766"/>
      <c r="BJ52" s="766"/>
      <c r="BK52" s="766"/>
      <c r="BL52" s="817"/>
      <c r="BM52" s="819"/>
      <c r="BN52" s="819"/>
      <c r="BO52" s="819"/>
      <c r="BP52" s="819"/>
      <c r="BQ52" s="819"/>
      <c r="BR52" s="819"/>
      <c r="BS52" s="819"/>
      <c r="BT52" s="819"/>
      <c r="BU52" s="819"/>
      <c r="BV52" s="819"/>
      <c r="BW52" s="819"/>
      <c r="BX52" s="819"/>
      <c r="BY52" s="820"/>
      <c r="BZ52" s="820"/>
      <c r="CA52" s="820"/>
      <c r="CB52" s="820"/>
      <c r="CC52" s="820"/>
      <c r="CD52" s="819"/>
      <c r="CE52" s="819"/>
      <c r="CF52" s="819"/>
      <c r="CG52" s="819"/>
      <c r="CH52" s="819"/>
      <c r="CI52" s="819"/>
      <c r="CJ52" s="819"/>
      <c r="CK52" s="819"/>
      <c r="CL52" s="819"/>
      <c r="CM52" s="819"/>
    </row>
    <row r="53" spans="1:91">
      <c r="A53" s="418" t="s">
        <v>1314</v>
      </c>
      <c r="B53" s="623" t="s">
        <v>1315</v>
      </c>
      <c r="C53" s="380" t="s">
        <v>438</v>
      </c>
      <c r="D53" s="380" t="s">
        <v>1307</v>
      </c>
      <c r="E53" s="380" t="s">
        <v>1316</v>
      </c>
      <c r="G53" s="762"/>
      <c r="H53" s="745"/>
      <c r="I53" s="745"/>
      <c r="J53" s="745"/>
      <c r="K53" s="745"/>
      <c r="L53" s="745"/>
      <c r="M53" s="745"/>
      <c r="N53" s="762"/>
      <c r="O53" s="745"/>
      <c r="P53" s="745"/>
      <c r="Q53" s="745"/>
      <c r="R53" s="745"/>
      <c r="S53" s="745"/>
      <c r="T53" s="742"/>
      <c r="U53" s="744"/>
      <c r="V53" s="744"/>
      <c r="W53" s="744"/>
      <c r="X53" s="744"/>
      <c r="Y53" s="828"/>
      <c r="Z53" s="744"/>
      <c r="AA53" s="833"/>
      <c r="AB53" s="744"/>
      <c r="AC53" s="831"/>
      <c r="AD53" s="744"/>
      <c r="AE53" s="744"/>
      <c r="AF53" s="744"/>
      <c r="AG53" s="744"/>
      <c r="AH53" s="423"/>
      <c r="AI53" s="706"/>
      <c r="AJ53" s="706"/>
      <c r="AK53" s="706"/>
      <c r="AL53" s="706"/>
      <c r="AM53" s="706"/>
      <c r="AN53" s="423"/>
      <c r="AO53" s="706"/>
      <c r="AP53" s="706"/>
      <c r="AQ53" s="706"/>
      <c r="AR53" s="423"/>
      <c r="AS53" s="706"/>
      <c r="AT53" s="706"/>
      <c r="AU53" s="423"/>
      <c r="AV53" s="706"/>
      <c r="AW53" s="706"/>
      <c r="AX53" s="706"/>
      <c r="AY53" s="706"/>
      <c r="AZ53" s="423"/>
      <c r="BA53" s="706"/>
      <c r="BB53" s="706"/>
      <c r="BC53" s="456"/>
      <c r="BD53" s="766"/>
      <c r="BE53" s="427"/>
      <c r="BF53" s="427"/>
      <c r="BG53" s="427"/>
      <c r="BH53" s="427"/>
      <c r="BI53" s="766"/>
      <c r="BJ53" s="766"/>
      <c r="BK53" s="766"/>
      <c r="BL53" s="817"/>
      <c r="BM53" s="819"/>
      <c r="BN53" s="819"/>
      <c r="BO53" s="819"/>
      <c r="BP53" s="819"/>
      <c r="BQ53" s="819"/>
      <c r="BR53" s="819"/>
      <c r="BS53" s="819"/>
      <c r="BT53" s="819"/>
      <c r="BU53" s="819"/>
      <c r="BV53" s="819"/>
      <c r="BW53" s="819"/>
      <c r="BX53" s="819"/>
      <c r="BY53" s="820"/>
      <c r="BZ53" s="820"/>
      <c r="CA53" s="820"/>
      <c r="CB53" s="820"/>
      <c r="CC53" s="820"/>
      <c r="CD53" s="819"/>
      <c r="CE53" s="819"/>
      <c r="CF53" s="819"/>
      <c r="CG53" s="819"/>
      <c r="CH53" s="819"/>
      <c r="CI53" s="819"/>
      <c r="CJ53" s="819"/>
      <c r="CK53" s="819"/>
      <c r="CL53" s="819"/>
      <c r="CM53" s="819"/>
    </row>
    <row r="54" spans="1:91">
      <c r="A54" s="418" t="s">
        <v>1317</v>
      </c>
      <c r="B54" s="623" t="s">
        <v>1254</v>
      </c>
      <c r="C54" s="380" t="s">
        <v>438</v>
      </c>
      <c r="D54" s="380" t="s">
        <v>1307</v>
      </c>
      <c r="E54" s="380" t="s">
        <v>1317</v>
      </c>
      <c r="G54" s="762"/>
      <c r="H54" s="745"/>
      <c r="I54" s="745"/>
      <c r="J54" s="745"/>
      <c r="K54" s="745"/>
      <c r="L54" s="745"/>
      <c r="M54" s="745"/>
      <c r="N54" s="762"/>
      <c r="O54" s="745"/>
      <c r="P54" s="745"/>
      <c r="Q54" s="745"/>
      <c r="R54" s="745"/>
      <c r="S54" s="745"/>
      <c r="T54" s="742"/>
      <c r="U54" s="744"/>
      <c r="V54" s="744"/>
      <c r="W54" s="744"/>
      <c r="X54" s="744"/>
      <c r="Y54" s="828"/>
      <c r="Z54" s="744"/>
      <c r="AA54" s="833"/>
      <c r="AB54" s="744"/>
      <c r="AC54" s="831"/>
      <c r="AD54" s="744"/>
      <c r="AE54" s="744"/>
      <c r="AF54" s="744"/>
      <c r="AG54" s="744"/>
      <c r="AH54" s="423"/>
      <c r="AI54" s="706"/>
      <c r="AJ54" s="706"/>
      <c r="AK54" s="706"/>
      <c r="AL54" s="706"/>
      <c r="AM54" s="706"/>
      <c r="AN54" s="423"/>
      <c r="AO54" s="706"/>
      <c r="AP54" s="706"/>
      <c r="AQ54" s="706"/>
      <c r="AR54" s="423"/>
      <c r="AS54" s="706"/>
      <c r="AT54" s="706"/>
      <c r="AU54" s="423"/>
      <c r="AV54" s="706"/>
      <c r="AW54" s="706"/>
      <c r="AX54" s="706"/>
      <c r="AY54" s="706"/>
      <c r="AZ54" s="423"/>
      <c r="BA54" s="706"/>
      <c r="BB54" s="706"/>
      <c r="BC54" s="456"/>
      <c r="BD54" s="766"/>
      <c r="BE54" s="427"/>
      <c r="BF54" s="427"/>
      <c r="BG54" s="427"/>
      <c r="BH54" s="427"/>
      <c r="BI54" s="766"/>
      <c r="BJ54" s="766"/>
      <c r="BK54" s="766"/>
      <c r="BL54" s="817"/>
      <c r="BM54" s="819"/>
      <c r="BN54" s="819"/>
      <c r="BO54" s="819"/>
      <c r="BP54" s="819"/>
      <c r="BQ54" s="819"/>
      <c r="BR54" s="819"/>
      <c r="BS54" s="819"/>
      <c r="BT54" s="819"/>
      <c r="BU54" s="819"/>
      <c r="BV54" s="819"/>
      <c r="BW54" s="819"/>
      <c r="BX54" s="819"/>
      <c r="BY54" s="820"/>
      <c r="BZ54" s="820"/>
      <c r="CA54" s="820"/>
      <c r="CB54" s="820"/>
      <c r="CC54" s="820"/>
      <c r="CD54" s="819"/>
      <c r="CE54" s="819"/>
      <c r="CF54" s="819"/>
      <c r="CG54" s="819"/>
      <c r="CH54" s="819"/>
      <c r="CI54" s="819"/>
      <c r="CJ54" s="819"/>
      <c r="CK54" s="819"/>
      <c r="CL54" s="819"/>
      <c r="CM54" s="819"/>
    </row>
    <row r="55" spans="1:91">
      <c r="A55" s="418" t="s">
        <v>1318</v>
      </c>
      <c r="B55" s="623" t="s">
        <v>1319</v>
      </c>
      <c r="C55" s="380" t="s">
        <v>438</v>
      </c>
      <c r="D55" s="380" t="s">
        <v>1307</v>
      </c>
      <c r="E55" s="380" t="s">
        <v>1320</v>
      </c>
      <c r="G55" s="762"/>
      <c r="H55" s="745"/>
      <c r="I55" s="745"/>
      <c r="J55" s="745"/>
      <c r="K55" s="745"/>
      <c r="L55" s="745"/>
      <c r="M55" s="745"/>
      <c r="N55" s="762"/>
      <c r="O55" s="745"/>
      <c r="P55" s="745"/>
      <c r="Q55" s="745"/>
      <c r="R55" s="745"/>
      <c r="S55" s="745"/>
      <c r="T55" s="742"/>
      <c r="U55" s="744"/>
      <c r="V55" s="744"/>
      <c r="W55" s="744"/>
      <c r="X55" s="744"/>
      <c r="Y55" s="828"/>
      <c r="Z55" s="744"/>
      <c r="AA55" s="833"/>
      <c r="AB55" s="744"/>
      <c r="AC55" s="831"/>
      <c r="AD55" s="744"/>
      <c r="AE55" s="744"/>
      <c r="AF55" s="744"/>
      <c r="AG55" s="744"/>
      <c r="AH55" s="423"/>
      <c r="AI55" s="706">
        <v>79.900000000000006</v>
      </c>
      <c r="AJ55" s="706">
        <v>79.900000000000006</v>
      </c>
      <c r="AK55" s="706">
        <v>79.900000000000006</v>
      </c>
      <c r="AL55" s="706">
        <v>79.900000000000006</v>
      </c>
      <c r="AM55" s="706">
        <v>79.900000000000006</v>
      </c>
      <c r="AN55" s="423"/>
      <c r="AO55" s="706">
        <v>54.35</v>
      </c>
      <c r="AP55" s="706">
        <v>54.35</v>
      </c>
      <c r="AQ55" s="706">
        <v>54.35</v>
      </c>
      <c r="AR55" s="423"/>
      <c r="AS55" s="706"/>
      <c r="AT55" s="706"/>
      <c r="AU55" s="423"/>
      <c r="AV55" s="706"/>
      <c r="AW55" s="706"/>
      <c r="AX55" s="706"/>
      <c r="AY55" s="706"/>
      <c r="AZ55" s="423"/>
      <c r="BA55" s="706"/>
      <c r="BB55" s="706"/>
      <c r="BC55" s="456"/>
      <c r="BD55" s="766">
        <v>39.43</v>
      </c>
      <c r="BE55" s="766">
        <v>39.43</v>
      </c>
      <c r="BF55" s="766">
        <v>39.43</v>
      </c>
      <c r="BG55" s="766">
        <v>39.43</v>
      </c>
      <c r="BH55" s="766"/>
      <c r="BI55" s="766">
        <v>29.1</v>
      </c>
      <c r="BJ55" s="766">
        <v>29.1</v>
      </c>
      <c r="BK55" s="766">
        <v>29.1</v>
      </c>
      <c r="BL55" s="817"/>
      <c r="BM55" s="819">
        <v>40</v>
      </c>
      <c r="BN55" s="819">
        <v>40</v>
      </c>
      <c r="BO55" s="819">
        <v>40</v>
      </c>
      <c r="BP55" s="819">
        <v>40</v>
      </c>
      <c r="BQ55" s="819"/>
      <c r="BR55" s="819"/>
      <c r="BS55" s="819">
        <v>32</v>
      </c>
      <c r="BT55" s="819">
        <v>32</v>
      </c>
      <c r="BU55" s="819">
        <v>32</v>
      </c>
      <c r="BV55" s="819">
        <v>32</v>
      </c>
      <c r="BW55" s="819">
        <v>32</v>
      </c>
      <c r="BX55" s="819">
        <v>32</v>
      </c>
      <c r="BY55" s="820">
        <v>32</v>
      </c>
      <c r="BZ55" s="820"/>
      <c r="CA55" s="820"/>
      <c r="CB55" s="820"/>
      <c r="CC55" s="820"/>
      <c r="CD55" s="819">
        <v>41.8</v>
      </c>
      <c r="CE55" s="819">
        <v>41.8</v>
      </c>
      <c r="CF55" s="819"/>
      <c r="CG55" s="819"/>
      <c r="CH55" s="819">
        <v>135.80000000000001</v>
      </c>
      <c r="CI55" s="819"/>
      <c r="CJ55" s="819"/>
      <c r="CK55" s="819"/>
      <c r="CL55" s="819">
        <v>28.985700000000001</v>
      </c>
      <c r="CM55" s="819"/>
    </row>
    <row r="56" spans="1:91">
      <c r="A56" s="418" t="s">
        <v>1321</v>
      </c>
      <c r="B56" s="623" t="s">
        <v>1213</v>
      </c>
      <c r="C56" s="380" t="s">
        <v>438</v>
      </c>
      <c r="D56" s="380" t="s">
        <v>1307</v>
      </c>
      <c r="E56" s="380" t="s">
        <v>1322</v>
      </c>
      <c r="G56" s="762"/>
      <c r="H56" s="745"/>
      <c r="I56" s="745"/>
      <c r="J56" s="745"/>
      <c r="K56" s="745"/>
      <c r="L56" s="745"/>
      <c r="M56" s="745"/>
      <c r="N56" s="762"/>
      <c r="O56" s="745"/>
      <c r="P56" s="745"/>
      <c r="Q56" s="745"/>
      <c r="R56" s="745"/>
      <c r="S56" s="745"/>
      <c r="T56" s="742"/>
      <c r="U56" s="744"/>
      <c r="V56" s="744"/>
      <c r="W56" s="744"/>
      <c r="X56" s="744"/>
      <c r="Y56" s="828"/>
      <c r="Z56" s="744"/>
      <c r="AA56" s="833"/>
      <c r="AB56" s="744"/>
      <c r="AC56" s="831"/>
      <c r="AD56" s="744"/>
      <c r="AE56" s="744"/>
      <c r="AF56" s="744"/>
      <c r="AG56" s="744"/>
      <c r="AH56" s="423"/>
      <c r="AI56" s="706"/>
      <c r="AJ56" s="706"/>
      <c r="AK56" s="706"/>
      <c r="AL56" s="706"/>
      <c r="AM56" s="706"/>
      <c r="AN56" s="423"/>
      <c r="AO56" s="706"/>
      <c r="AP56" s="706"/>
      <c r="AQ56" s="706"/>
      <c r="AR56" s="423"/>
      <c r="AS56" s="706"/>
      <c r="AT56" s="706"/>
      <c r="AU56" s="423"/>
      <c r="AV56" s="706"/>
      <c r="AW56" s="706"/>
      <c r="AX56" s="706"/>
      <c r="AY56" s="706"/>
      <c r="AZ56" s="423"/>
      <c r="BA56" s="706"/>
      <c r="BB56" s="706"/>
      <c r="BC56" s="456"/>
      <c r="BD56" s="766"/>
      <c r="BE56" s="427"/>
      <c r="BF56" s="427"/>
      <c r="BG56" s="427"/>
      <c r="BH56" s="427"/>
      <c r="BI56" s="766"/>
      <c r="BJ56" s="766"/>
      <c r="BK56" s="766"/>
      <c r="BL56" s="817"/>
      <c r="BM56" s="819"/>
      <c r="BN56" s="819"/>
      <c r="BO56" s="819"/>
      <c r="BP56" s="819"/>
      <c r="BQ56" s="819"/>
      <c r="BR56" s="819"/>
      <c r="BS56" s="819"/>
      <c r="BT56" s="819"/>
      <c r="BU56" s="819"/>
      <c r="BV56" s="819"/>
      <c r="BW56" s="819"/>
      <c r="BX56" s="819"/>
      <c r="BY56" s="820"/>
      <c r="BZ56" s="820"/>
      <c r="CA56" s="820"/>
      <c r="CB56" s="820"/>
      <c r="CC56" s="820"/>
      <c r="CD56" s="819"/>
      <c r="CE56" s="819"/>
      <c r="CF56" s="819"/>
      <c r="CG56" s="819"/>
      <c r="CH56" s="819"/>
      <c r="CI56" s="819"/>
      <c r="CJ56" s="819"/>
      <c r="CK56" s="819"/>
      <c r="CL56" s="819"/>
      <c r="CM56" s="819"/>
    </row>
    <row r="57" spans="1:91">
      <c r="A57" s="451" t="s">
        <v>1654</v>
      </c>
      <c r="B57" s="626"/>
      <c r="C57" s="622"/>
      <c r="D57" s="622"/>
      <c r="E57" s="622"/>
      <c r="F57" s="622"/>
      <c r="G57" s="762"/>
      <c r="H57" s="543"/>
      <c r="I57" s="543"/>
      <c r="J57" s="543"/>
      <c r="K57" s="543"/>
      <c r="L57" s="543"/>
      <c r="M57" s="543"/>
      <c r="N57" s="762"/>
      <c r="O57" s="543"/>
      <c r="P57" s="543"/>
      <c r="Q57" s="543"/>
      <c r="R57" s="543"/>
      <c r="S57" s="543"/>
      <c r="T57" s="742"/>
      <c r="U57" s="543"/>
      <c r="V57" s="543"/>
      <c r="W57" s="543"/>
      <c r="X57" s="543"/>
      <c r="Y57" s="540"/>
      <c r="Z57" s="543"/>
      <c r="AA57" s="833"/>
      <c r="AB57" s="543"/>
      <c r="AC57" s="539"/>
      <c r="AD57" s="543"/>
      <c r="AE57" s="543"/>
      <c r="AF57" s="543"/>
      <c r="AG57" s="543"/>
      <c r="AH57" s="423"/>
      <c r="AI57" s="543"/>
      <c r="AJ57" s="543"/>
      <c r="AK57" s="543"/>
      <c r="AL57" s="543"/>
      <c r="AM57" s="543"/>
      <c r="AN57" s="423"/>
      <c r="AO57" s="543"/>
      <c r="AP57" s="543"/>
      <c r="AQ57" s="543"/>
      <c r="AR57" s="423"/>
      <c r="AS57" s="543"/>
      <c r="AT57" s="543"/>
      <c r="AU57" s="423"/>
      <c r="AV57" s="543"/>
      <c r="AW57" s="543"/>
      <c r="AX57" s="543"/>
      <c r="AY57" s="543"/>
      <c r="AZ57" s="423"/>
      <c r="BA57" s="543"/>
      <c r="BB57" s="543"/>
      <c r="BC57" s="456"/>
      <c r="BD57" s="543"/>
      <c r="BE57" s="539"/>
      <c r="BF57" s="539"/>
      <c r="BG57" s="539"/>
      <c r="BH57" s="539"/>
      <c r="BI57" s="543"/>
      <c r="BJ57" s="543"/>
      <c r="BK57" s="543"/>
      <c r="BL57" s="817"/>
      <c r="BM57" s="543"/>
      <c r="BN57" s="543"/>
      <c r="BO57" s="543"/>
      <c r="BP57" s="543"/>
      <c r="BQ57" s="543"/>
      <c r="BR57" s="543"/>
      <c r="BS57" s="543"/>
      <c r="BT57" s="543"/>
      <c r="BU57" s="543"/>
      <c r="BV57" s="543"/>
      <c r="BW57" s="543"/>
      <c r="BX57" s="543"/>
      <c r="BY57" s="539"/>
      <c r="BZ57" s="539"/>
      <c r="CA57" s="539"/>
      <c r="CB57" s="539"/>
      <c r="CC57" s="539"/>
      <c r="CD57" s="543"/>
      <c r="CE57" s="543"/>
      <c r="CF57" s="543"/>
      <c r="CG57" s="543"/>
      <c r="CH57" s="543"/>
      <c r="CI57" s="543"/>
      <c r="CJ57" s="543"/>
      <c r="CK57" s="543"/>
      <c r="CL57" s="543"/>
      <c r="CM57" s="543"/>
    </row>
    <row r="58" spans="1:91" ht="45">
      <c r="A58" s="418" t="s">
        <v>1655</v>
      </c>
      <c r="B58" s="623" t="s">
        <v>17</v>
      </c>
      <c r="C58" s="380" t="s">
        <v>438</v>
      </c>
      <c r="D58" s="380" t="s">
        <v>529</v>
      </c>
      <c r="E58" s="380" t="s">
        <v>1655</v>
      </c>
      <c r="G58" s="762"/>
      <c r="H58" s="745" t="s">
        <v>1656</v>
      </c>
      <c r="I58" s="745" t="s">
        <v>1656</v>
      </c>
      <c r="J58" s="745"/>
      <c r="K58" s="745" t="s">
        <v>1657</v>
      </c>
      <c r="L58" s="745" t="s">
        <v>1657</v>
      </c>
      <c r="M58" s="745" t="s">
        <v>1657</v>
      </c>
      <c r="N58" s="762"/>
      <c r="O58" s="745" t="s">
        <v>1658</v>
      </c>
      <c r="P58" s="745"/>
      <c r="Q58" s="745" t="s">
        <v>1659</v>
      </c>
      <c r="R58" s="745" t="s">
        <v>1657</v>
      </c>
      <c r="S58" s="745" t="s">
        <v>1657</v>
      </c>
      <c r="T58" s="742"/>
      <c r="U58" s="744" t="s">
        <v>1660</v>
      </c>
      <c r="V58" s="744" t="s">
        <v>1661</v>
      </c>
      <c r="W58" s="744" t="s">
        <v>1662</v>
      </c>
      <c r="X58" s="744" t="s">
        <v>1663</v>
      </c>
      <c r="Y58" s="828" t="s">
        <v>1664</v>
      </c>
      <c r="Z58" s="744" t="s">
        <v>1665</v>
      </c>
      <c r="AA58" s="833"/>
      <c r="AB58" s="744"/>
      <c r="AC58" s="831"/>
      <c r="AD58" s="744"/>
      <c r="AE58" s="744"/>
      <c r="AF58" s="744"/>
      <c r="AG58" s="744"/>
      <c r="AH58" s="423"/>
      <c r="AI58" s="706"/>
      <c r="AJ58" s="706" t="s">
        <v>1666</v>
      </c>
      <c r="AK58" s="706" t="s">
        <v>1666</v>
      </c>
      <c r="AL58" s="706" t="s">
        <v>1666</v>
      </c>
      <c r="AM58" s="706" t="s">
        <v>1666</v>
      </c>
      <c r="AN58" s="423"/>
      <c r="AO58" s="706" t="s">
        <v>1667</v>
      </c>
      <c r="AP58" s="706" t="s">
        <v>1667</v>
      </c>
      <c r="AQ58" s="706" t="s">
        <v>1667</v>
      </c>
      <c r="AR58" s="423"/>
      <c r="AS58" s="706" t="s">
        <v>1668</v>
      </c>
      <c r="AT58" s="706" t="s">
        <v>1668</v>
      </c>
      <c r="AU58" s="423"/>
      <c r="AV58" s="706" t="s">
        <v>1669</v>
      </c>
      <c r="AW58" s="706" t="s">
        <v>1669</v>
      </c>
      <c r="AX58" s="706" t="s">
        <v>1668</v>
      </c>
      <c r="AY58" s="706" t="s">
        <v>1669</v>
      </c>
      <c r="AZ58" s="423"/>
      <c r="BA58" s="706" t="s">
        <v>1670</v>
      </c>
      <c r="BB58" s="706" t="s">
        <v>1670</v>
      </c>
      <c r="BC58" s="456"/>
      <c r="BD58" s="427" t="s">
        <v>1671</v>
      </c>
      <c r="BE58" s="427" t="s">
        <v>1671</v>
      </c>
      <c r="BF58" s="427" t="s">
        <v>1671</v>
      </c>
      <c r="BG58" s="427" t="s">
        <v>1671</v>
      </c>
      <c r="BH58" s="427"/>
      <c r="BI58" s="766"/>
      <c r="BJ58" s="766"/>
      <c r="BK58" s="766"/>
      <c r="BL58" s="817"/>
      <c r="BM58" s="819" t="s">
        <v>1672</v>
      </c>
      <c r="BN58" s="819" t="s">
        <v>1673</v>
      </c>
      <c r="BO58" s="819" t="s">
        <v>1674</v>
      </c>
      <c r="BP58" s="819" t="s">
        <v>1674</v>
      </c>
      <c r="BQ58" s="819"/>
      <c r="BR58" s="819"/>
      <c r="BS58" s="819" t="s">
        <v>1675</v>
      </c>
      <c r="BT58" s="819" t="s">
        <v>1676</v>
      </c>
      <c r="BU58" s="819" t="s">
        <v>1675</v>
      </c>
      <c r="BV58" s="819" t="s">
        <v>1675</v>
      </c>
      <c r="BW58" s="819" t="s">
        <v>1675</v>
      </c>
      <c r="BX58" s="819" t="s">
        <v>1675</v>
      </c>
      <c r="BY58" s="820"/>
      <c r="BZ58" s="820" t="s">
        <v>1677</v>
      </c>
      <c r="CA58" s="820" t="s">
        <v>1678</v>
      </c>
      <c r="CB58" s="820" t="s">
        <v>1679</v>
      </c>
      <c r="CC58" s="820" t="s">
        <v>1680</v>
      </c>
      <c r="CD58" s="819" t="s">
        <v>1681</v>
      </c>
      <c r="CE58" s="819" t="s">
        <v>1681</v>
      </c>
      <c r="CF58" s="819"/>
      <c r="CG58" s="819"/>
      <c r="CH58" s="819"/>
      <c r="CI58" s="819"/>
      <c r="CJ58" s="819"/>
      <c r="CK58" s="819"/>
      <c r="CL58" s="819" t="s">
        <v>1682</v>
      </c>
      <c r="CM58" s="819"/>
    </row>
    <row r="59" spans="1:91">
      <c r="A59" s="418" t="s">
        <v>1683</v>
      </c>
      <c r="B59" s="623" t="s">
        <v>898</v>
      </c>
      <c r="C59" s="380" t="s">
        <v>438</v>
      </c>
      <c r="D59" s="380" t="s">
        <v>529</v>
      </c>
      <c r="E59" s="380" t="s">
        <v>1654</v>
      </c>
      <c r="F59" s="380" t="s">
        <v>1683</v>
      </c>
      <c r="G59" s="762"/>
      <c r="H59" s="745">
        <v>4</v>
      </c>
      <c r="I59" s="745">
        <v>4</v>
      </c>
      <c r="J59" s="745"/>
      <c r="K59" s="745">
        <v>6</v>
      </c>
      <c r="L59" s="745">
        <v>6</v>
      </c>
      <c r="M59" s="745">
        <v>6</v>
      </c>
      <c r="N59" s="762"/>
      <c r="O59" s="745">
        <v>4</v>
      </c>
      <c r="P59" s="745"/>
      <c r="Q59" s="745">
        <v>4</v>
      </c>
      <c r="R59" s="745">
        <v>6</v>
      </c>
      <c r="S59" s="745">
        <v>6</v>
      </c>
      <c r="T59" s="742"/>
      <c r="U59" s="744">
        <v>4</v>
      </c>
      <c r="V59" s="744">
        <v>4</v>
      </c>
      <c r="W59" s="744">
        <v>4</v>
      </c>
      <c r="X59" s="744">
        <v>4</v>
      </c>
      <c r="Y59" s="828">
        <v>6</v>
      </c>
      <c r="Z59" s="744">
        <v>6</v>
      </c>
      <c r="AA59" s="833"/>
      <c r="AB59" s="744"/>
      <c r="AC59" s="831"/>
      <c r="AD59" s="744"/>
      <c r="AE59" s="744"/>
      <c r="AF59" s="744"/>
      <c r="AG59" s="744"/>
      <c r="AH59" s="423"/>
      <c r="AI59" s="706"/>
      <c r="AJ59" s="706"/>
      <c r="AK59" s="706"/>
      <c r="AL59" s="706"/>
      <c r="AM59" s="706"/>
      <c r="AN59" s="423"/>
      <c r="AO59" s="706"/>
      <c r="AP59" s="706"/>
      <c r="AQ59" s="706"/>
      <c r="AR59" s="423"/>
      <c r="AS59" s="706"/>
      <c r="AT59" s="706"/>
      <c r="AU59" s="423"/>
      <c r="AV59" s="706"/>
      <c r="AW59" s="706"/>
      <c r="AX59" s="706"/>
      <c r="AY59" s="706"/>
      <c r="AZ59" s="423"/>
      <c r="BA59" s="706"/>
      <c r="BB59" s="706"/>
      <c r="BC59" s="456"/>
      <c r="BD59" s="427">
        <v>4</v>
      </c>
      <c r="BE59" s="427">
        <v>4</v>
      </c>
      <c r="BF59" s="427">
        <v>4</v>
      </c>
      <c r="BG59" s="427">
        <v>4</v>
      </c>
      <c r="BH59" s="427"/>
      <c r="BI59" s="766"/>
      <c r="BJ59" s="766"/>
      <c r="BK59" s="766"/>
      <c r="BL59" s="817"/>
      <c r="BM59" s="819">
        <v>6</v>
      </c>
      <c r="BN59" s="819">
        <v>6</v>
      </c>
      <c r="BO59" s="819">
        <v>6</v>
      </c>
      <c r="BP59" s="819">
        <v>6</v>
      </c>
      <c r="BQ59" s="819"/>
      <c r="BR59" s="819"/>
      <c r="BS59" s="819">
        <v>4</v>
      </c>
      <c r="BT59" s="819">
        <v>4</v>
      </c>
      <c r="BU59" s="819">
        <v>4</v>
      </c>
      <c r="BV59" s="819">
        <v>4</v>
      </c>
      <c r="BW59" s="819">
        <v>4</v>
      </c>
      <c r="BX59" s="819">
        <v>4</v>
      </c>
      <c r="BY59" s="820">
        <v>5</v>
      </c>
      <c r="BZ59" s="820">
        <v>3</v>
      </c>
      <c r="CA59" s="820">
        <v>4</v>
      </c>
      <c r="CB59" s="820">
        <v>4</v>
      </c>
      <c r="CC59" s="820">
        <v>4</v>
      </c>
      <c r="CD59" s="819">
        <v>4</v>
      </c>
      <c r="CE59" s="819">
        <v>4</v>
      </c>
      <c r="CF59" s="819"/>
      <c r="CG59" s="819"/>
      <c r="CH59" s="819"/>
      <c r="CI59" s="819"/>
      <c r="CJ59" s="819"/>
      <c r="CK59" s="819"/>
      <c r="CL59" s="819">
        <v>4</v>
      </c>
      <c r="CM59" s="819"/>
    </row>
    <row r="60" spans="1:91">
      <c r="A60" s="418" t="s">
        <v>1684</v>
      </c>
      <c r="B60" s="623" t="s">
        <v>1254</v>
      </c>
      <c r="C60" s="380" t="s">
        <v>438</v>
      </c>
      <c r="D60" s="380" t="s">
        <v>529</v>
      </c>
      <c r="E60" s="380" t="s">
        <v>1654</v>
      </c>
      <c r="F60" s="380" t="s">
        <v>1684</v>
      </c>
      <c r="G60" s="762"/>
      <c r="H60" s="745">
        <v>3.96</v>
      </c>
      <c r="I60" s="745">
        <v>3.96</v>
      </c>
      <c r="J60" s="745"/>
      <c r="K60" s="745">
        <v>3.93</v>
      </c>
      <c r="L60" s="745">
        <v>3.93</v>
      </c>
      <c r="M60" s="745">
        <v>3.93</v>
      </c>
      <c r="N60" s="762"/>
      <c r="O60" s="745">
        <v>3.96</v>
      </c>
      <c r="P60" s="745"/>
      <c r="Q60" s="745">
        <v>3.96</v>
      </c>
      <c r="R60" s="745">
        <v>3.93</v>
      </c>
      <c r="S60" s="745">
        <v>3.93</v>
      </c>
      <c r="T60" s="742"/>
      <c r="U60" s="744">
        <v>4.1147999999999998</v>
      </c>
      <c r="V60" s="744">
        <v>4.1147999999999998</v>
      </c>
      <c r="W60" s="744">
        <v>4.1147999999999998</v>
      </c>
      <c r="X60" s="744">
        <v>4.1147999999999998</v>
      </c>
      <c r="Y60" s="828">
        <v>4.1147999999999998</v>
      </c>
      <c r="Z60" s="744">
        <v>4.1147999999999998</v>
      </c>
      <c r="AA60" s="833"/>
      <c r="AB60" s="744"/>
      <c r="AC60" s="831"/>
      <c r="AD60" s="744"/>
      <c r="AE60" s="744"/>
      <c r="AF60" s="744"/>
      <c r="AG60" s="744"/>
      <c r="AH60" s="423"/>
      <c r="AI60" s="706">
        <v>3.4289999999999998</v>
      </c>
      <c r="AJ60" s="706">
        <v>3.4289999999999998</v>
      </c>
      <c r="AK60" s="706">
        <v>3.4289999999999998</v>
      </c>
      <c r="AL60" s="706">
        <v>3.4289999999999998</v>
      </c>
      <c r="AM60" s="706">
        <v>3.4289999999999998</v>
      </c>
      <c r="AN60" s="423"/>
      <c r="AO60" s="706">
        <v>3.96</v>
      </c>
      <c r="AP60" s="706">
        <v>3.96</v>
      </c>
      <c r="AQ60" s="706">
        <v>3.96</v>
      </c>
      <c r="AR60" s="423"/>
      <c r="AS60" s="706">
        <v>3.96</v>
      </c>
      <c r="AT60" s="706">
        <v>3.96</v>
      </c>
      <c r="AU60" s="423"/>
      <c r="AV60" s="706">
        <v>3.96</v>
      </c>
      <c r="AW60" s="706">
        <v>3.96</v>
      </c>
      <c r="AX60" s="706">
        <v>3.96</v>
      </c>
      <c r="AY60" s="706">
        <v>3.96</v>
      </c>
      <c r="AZ60" s="423"/>
      <c r="BA60" s="706">
        <v>4.1100000000000003</v>
      </c>
      <c r="BB60" s="706">
        <v>4.1100000000000003</v>
      </c>
      <c r="BC60" s="456"/>
      <c r="BD60" s="766"/>
      <c r="BE60" s="427"/>
      <c r="BF60" s="427"/>
      <c r="BG60" s="427"/>
      <c r="BH60" s="427"/>
      <c r="BI60" s="766"/>
      <c r="BJ60" s="766"/>
      <c r="BK60" s="766"/>
      <c r="BL60" s="817"/>
      <c r="BM60" s="819"/>
      <c r="BN60" s="819">
        <v>3.6067999999999998</v>
      </c>
      <c r="BO60" s="819"/>
      <c r="BP60" s="819"/>
      <c r="BQ60" s="819"/>
      <c r="BR60" s="819"/>
      <c r="BS60" s="819">
        <v>2.6920000000000002</v>
      </c>
      <c r="BT60" s="819">
        <v>2.6920000000000002</v>
      </c>
      <c r="BU60" s="819">
        <v>2.6920000000000002</v>
      </c>
      <c r="BV60" s="819">
        <v>2.6920000000000002</v>
      </c>
      <c r="BW60" s="819">
        <v>2.6920000000000002</v>
      </c>
      <c r="BX60" s="819">
        <v>2.6920000000000002</v>
      </c>
      <c r="BY60" s="820"/>
      <c r="BZ60" s="820">
        <v>2.5908000000000002</v>
      </c>
      <c r="CA60" s="820">
        <v>2.6924000000000001</v>
      </c>
      <c r="CB60" s="820">
        <v>2.6924000000000001</v>
      </c>
      <c r="CC60" s="820">
        <v>2.6924000000000001</v>
      </c>
      <c r="CD60" s="819">
        <v>3.35</v>
      </c>
      <c r="CE60" s="819">
        <v>3.35</v>
      </c>
      <c r="CF60" s="819"/>
      <c r="CG60" s="819"/>
      <c r="CH60" s="819"/>
      <c r="CI60" s="819"/>
      <c r="CJ60" s="819"/>
      <c r="CK60" s="819"/>
      <c r="CL60" s="819"/>
      <c r="CM60" s="819"/>
    </row>
    <row r="61" spans="1:91" ht="15.75">
      <c r="A61" s="510" t="s">
        <v>1325</v>
      </c>
      <c r="B61" s="626"/>
      <c r="C61" s="622"/>
      <c r="D61" s="622"/>
      <c r="E61" s="622"/>
      <c r="F61" s="622"/>
      <c r="G61" s="762"/>
      <c r="H61" s="543"/>
      <c r="I61" s="543"/>
      <c r="J61" s="543"/>
      <c r="K61" s="543"/>
      <c r="L61" s="543"/>
      <c r="M61" s="543"/>
      <c r="N61" s="762"/>
      <c r="O61" s="543"/>
      <c r="P61" s="543"/>
      <c r="Q61" s="543"/>
      <c r="R61" s="543"/>
      <c r="S61" s="543"/>
      <c r="T61" s="742"/>
      <c r="U61" s="543"/>
      <c r="V61" s="543"/>
      <c r="W61" s="543"/>
      <c r="X61" s="543"/>
      <c r="Y61" s="540"/>
      <c r="Z61" s="543"/>
      <c r="AA61" s="833"/>
      <c r="AB61" s="543"/>
      <c r="AC61" s="539"/>
      <c r="AD61" s="543"/>
      <c r="AE61" s="543"/>
      <c r="AF61" s="543"/>
      <c r="AG61" s="543"/>
      <c r="AH61" s="423"/>
      <c r="AI61" s="543"/>
      <c r="AJ61" s="543"/>
      <c r="AK61" s="543"/>
      <c r="AL61" s="543"/>
      <c r="AM61" s="543"/>
      <c r="AN61" s="423"/>
      <c r="AO61" s="543"/>
      <c r="AP61" s="543"/>
      <c r="AQ61" s="543"/>
      <c r="AR61" s="423"/>
      <c r="AS61" s="543"/>
      <c r="AT61" s="543"/>
      <c r="AU61" s="423"/>
      <c r="AV61" s="543"/>
      <c r="AW61" s="543"/>
      <c r="AX61" s="543"/>
      <c r="AY61" s="543"/>
      <c r="AZ61" s="423"/>
      <c r="BA61" s="543"/>
      <c r="BB61" s="543"/>
      <c r="BC61" s="456"/>
      <c r="BD61" s="543"/>
      <c r="BE61" s="539"/>
      <c r="BF61" s="539"/>
      <c r="BG61" s="539"/>
      <c r="BH61" s="539"/>
      <c r="BI61" s="543"/>
      <c r="BJ61" s="543"/>
      <c r="BK61" s="543"/>
      <c r="BL61" s="817"/>
      <c r="BM61" s="543"/>
      <c r="BN61" s="543"/>
      <c r="BO61" s="543"/>
      <c r="BP61" s="543"/>
      <c r="BQ61" s="543"/>
      <c r="BR61" s="543"/>
      <c r="BS61" s="543"/>
      <c r="BT61" s="543"/>
      <c r="BU61" s="543"/>
      <c r="BV61" s="543"/>
      <c r="BW61" s="543"/>
      <c r="BX61" s="543"/>
      <c r="BY61" s="539"/>
      <c r="BZ61" s="539"/>
      <c r="CA61" s="539"/>
      <c r="CB61" s="539"/>
      <c r="CC61" s="539"/>
      <c r="CD61" s="543"/>
      <c r="CE61" s="543"/>
      <c r="CF61" s="543"/>
      <c r="CG61" s="543"/>
      <c r="CH61" s="543"/>
      <c r="CI61" s="543"/>
      <c r="CJ61" s="543"/>
      <c r="CK61" s="543"/>
      <c r="CL61" s="543"/>
      <c r="CM61" s="543"/>
    </row>
    <row r="62" spans="1:91">
      <c r="A62" s="418" t="s">
        <v>1326</v>
      </c>
      <c r="B62" s="623" t="s">
        <v>898</v>
      </c>
      <c r="C62" s="380" t="s">
        <v>420</v>
      </c>
      <c r="D62" s="380" t="s">
        <v>1327</v>
      </c>
      <c r="G62" s="762"/>
      <c r="H62" s="745">
        <v>2</v>
      </c>
      <c r="I62" s="745">
        <v>2</v>
      </c>
      <c r="J62" s="745">
        <v>2</v>
      </c>
      <c r="K62" s="745">
        <v>2</v>
      </c>
      <c r="L62" s="745">
        <v>2</v>
      </c>
      <c r="M62" s="745">
        <v>2</v>
      </c>
      <c r="N62" s="762"/>
      <c r="O62" s="745">
        <v>2</v>
      </c>
      <c r="P62" s="745"/>
      <c r="Q62" s="745">
        <v>2</v>
      </c>
      <c r="R62" s="745">
        <v>2</v>
      </c>
      <c r="S62" s="745">
        <v>2</v>
      </c>
      <c r="T62" s="742"/>
      <c r="U62" s="744">
        <v>3</v>
      </c>
      <c r="V62" s="744">
        <v>3</v>
      </c>
      <c r="W62" s="744">
        <v>3</v>
      </c>
      <c r="X62" s="744">
        <v>3</v>
      </c>
      <c r="Y62" s="828">
        <v>2</v>
      </c>
      <c r="Z62" s="744">
        <v>2</v>
      </c>
      <c r="AA62" s="833"/>
      <c r="AB62" s="744"/>
      <c r="AC62" s="831"/>
      <c r="AD62" s="744"/>
      <c r="AE62" s="744"/>
      <c r="AF62" s="744"/>
      <c r="AG62" s="744"/>
      <c r="AH62" s="423"/>
      <c r="AI62" s="706">
        <v>2</v>
      </c>
      <c r="AJ62" s="706">
        <v>2</v>
      </c>
      <c r="AK62" s="706">
        <v>2</v>
      </c>
      <c r="AL62" s="706">
        <v>2</v>
      </c>
      <c r="AM62" s="706">
        <v>2</v>
      </c>
      <c r="AN62" s="423"/>
      <c r="AO62" s="706">
        <v>2</v>
      </c>
      <c r="AP62" s="706">
        <v>2</v>
      </c>
      <c r="AQ62" s="706">
        <v>2</v>
      </c>
      <c r="AR62" s="423"/>
      <c r="AS62" s="706">
        <v>2</v>
      </c>
      <c r="AT62" s="706">
        <v>2</v>
      </c>
      <c r="AU62" s="423"/>
      <c r="AV62" s="706">
        <v>2</v>
      </c>
      <c r="AW62" s="706">
        <v>2</v>
      </c>
      <c r="AX62" s="706">
        <v>2</v>
      </c>
      <c r="AY62" s="706">
        <v>2</v>
      </c>
      <c r="AZ62" s="423"/>
      <c r="BA62" s="706">
        <v>2</v>
      </c>
      <c r="BB62" s="706">
        <v>2</v>
      </c>
      <c r="BC62" s="456"/>
      <c r="BD62" s="766">
        <v>3</v>
      </c>
      <c r="BE62" s="427">
        <v>3</v>
      </c>
      <c r="BF62" s="427">
        <v>3</v>
      </c>
      <c r="BG62" s="427">
        <v>3</v>
      </c>
      <c r="BH62" s="427"/>
      <c r="BI62" s="766"/>
      <c r="BJ62" s="766"/>
      <c r="BK62" s="766"/>
      <c r="BL62" s="817"/>
      <c r="BM62" s="819">
        <v>2</v>
      </c>
      <c r="BN62" s="819">
        <v>2</v>
      </c>
      <c r="BO62" s="819">
        <v>2</v>
      </c>
      <c r="BP62" s="819">
        <v>2</v>
      </c>
      <c r="BQ62" s="819"/>
      <c r="BR62" s="819"/>
      <c r="BS62" s="819"/>
      <c r="BT62" s="819"/>
      <c r="BU62" s="819"/>
      <c r="BV62" s="819"/>
      <c r="BW62" s="819"/>
      <c r="BX62" s="819"/>
      <c r="BY62" s="820"/>
      <c r="BZ62" s="820"/>
      <c r="CA62" s="820"/>
      <c r="CB62" s="820"/>
      <c r="CC62" s="820"/>
      <c r="CD62" s="819"/>
      <c r="CE62" s="819"/>
      <c r="CF62" s="819"/>
      <c r="CG62" s="819"/>
      <c r="CH62" s="819">
        <v>9</v>
      </c>
      <c r="CI62" s="819"/>
      <c r="CJ62" s="819"/>
      <c r="CK62" s="819">
        <v>1</v>
      </c>
      <c r="CL62" s="819">
        <v>2</v>
      </c>
      <c r="CM62" s="819"/>
    </row>
    <row r="63" spans="1:91">
      <c r="A63" s="418" t="s">
        <v>1328</v>
      </c>
      <c r="B63" s="623" t="s">
        <v>898</v>
      </c>
      <c r="C63" s="380" t="s">
        <v>420</v>
      </c>
      <c r="D63" s="380" t="s">
        <v>1329</v>
      </c>
      <c r="G63" s="762"/>
      <c r="H63" s="745">
        <v>2</v>
      </c>
      <c r="I63" s="745">
        <v>2</v>
      </c>
      <c r="J63" s="745"/>
      <c r="K63" s="745">
        <v>2</v>
      </c>
      <c r="L63" s="745">
        <v>2</v>
      </c>
      <c r="M63" s="745">
        <v>2</v>
      </c>
      <c r="N63" s="762"/>
      <c r="O63" s="745">
        <v>2</v>
      </c>
      <c r="P63" s="745"/>
      <c r="Q63" s="745">
        <v>2</v>
      </c>
      <c r="R63" s="745">
        <v>2</v>
      </c>
      <c r="S63" s="745">
        <v>2</v>
      </c>
      <c r="T63" s="742"/>
      <c r="U63" s="744"/>
      <c r="V63" s="744"/>
      <c r="W63" s="744"/>
      <c r="X63" s="744"/>
      <c r="Y63" s="828"/>
      <c r="Z63" s="744"/>
      <c r="AA63" s="833"/>
      <c r="AB63" s="744"/>
      <c r="AC63" s="831"/>
      <c r="AD63" s="744"/>
      <c r="AE63" s="744"/>
      <c r="AF63" s="744"/>
      <c r="AG63" s="744"/>
      <c r="AH63" s="423"/>
      <c r="AI63" s="706"/>
      <c r="AJ63" s="706"/>
      <c r="AK63" s="706"/>
      <c r="AL63" s="706"/>
      <c r="AM63" s="706"/>
      <c r="AN63" s="423"/>
      <c r="AO63" s="706"/>
      <c r="AP63" s="706"/>
      <c r="AQ63" s="706"/>
      <c r="AR63" s="423"/>
      <c r="AS63" s="706"/>
      <c r="AT63" s="706"/>
      <c r="AU63" s="423"/>
      <c r="AV63" s="706"/>
      <c r="AW63" s="706"/>
      <c r="AX63" s="706"/>
      <c r="AY63" s="706"/>
      <c r="AZ63" s="423"/>
      <c r="BA63" s="706"/>
      <c r="BB63" s="706"/>
      <c r="BC63" s="456"/>
      <c r="BD63" s="766">
        <v>1</v>
      </c>
      <c r="BE63" s="427">
        <v>1</v>
      </c>
      <c r="BF63" s="427"/>
      <c r="BG63" s="427">
        <v>1</v>
      </c>
      <c r="BH63" s="427"/>
      <c r="BI63" s="766"/>
      <c r="BJ63" s="766"/>
      <c r="BK63" s="766"/>
      <c r="BL63" s="817"/>
      <c r="BM63" s="819"/>
      <c r="BN63" s="819"/>
      <c r="BO63" s="819"/>
      <c r="BP63" s="819"/>
      <c r="BQ63" s="819"/>
      <c r="BR63" s="819"/>
      <c r="BS63" s="819"/>
      <c r="BT63" s="819"/>
      <c r="BU63" s="819"/>
      <c r="BV63" s="819"/>
      <c r="BW63" s="819"/>
      <c r="BX63" s="819"/>
      <c r="BY63" s="820"/>
      <c r="BZ63" s="820"/>
      <c r="CA63" s="820"/>
      <c r="CB63" s="820"/>
      <c r="CC63" s="820"/>
      <c r="CD63" s="819"/>
      <c r="CE63" s="819"/>
      <c r="CF63" s="819"/>
      <c r="CG63" s="819"/>
      <c r="CH63" s="819"/>
      <c r="CI63" s="819"/>
      <c r="CJ63" s="819"/>
      <c r="CK63" s="819"/>
      <c r="CL63" s="819"/>
      <c r="CM63" s="819"/>
    </row>
    <row r="64" spans="1:91" ht="15.75">
      <c r="A64" s="510" t="s">
        <v>1330</v>
      </c>
      <c r="B64" s="626"/>
      <c r="C64" s="622"/>
      <c r="D64" s="622"/>
      <c r="E64" s="622"/>
      <c r="F64" s="622"/>
      <c r="G64" s="762"/>
      <c r="H64" s="543"/>
      <c r="I64" s="543"/>
      <c r="J64" s="543"/>
      <c r="K64" s="543"/>
      <c r="L64" s="543"/>
      <c r="M64" s="543"/>
      <c r="N64" s="762"/>
      <c r="O64" s="543"/>
      <c r="P64" s="543"/>
      <c r="Q64" s="543"/>
      <c r="R64" s="543"/>
      <c r="S64" s="543"/>
      <c r="T64" s="742"/>
      <c r="U64" s="543"/>
      <c r="V64" s="543"/>
      <c r="W64" s="543"/>
      <c r="X64" s="543"/>
      <c r="Y64" s="540"/>
      <c r="Z64" s="543"/>
      <c r="AA64" s="833"/>
      <c r="AB64" s="543"/>
      <c r="AC64" s="539"/>
      <c r="AD64" s="543"/>
      <c r="AE64" s="543"/>
      <c r="AF64" s="543"/>
      <c r="AG64" s="543"/>
      <c r="AH64" s="423"/>
      <c r="AI64" s="543"/>
      <c r="AJ64" s="543"/>
      <c r="AK64" s="543"/>
      <c r="AL64" s="543"/>
      <c r="AM64" s="543"/>
      <c r="AN64" s="423"/>
      <c r="AO64" s="543"/>
      <c r="AP64" s="543"/>
      <c r="AQ64" s="543"/>
      <c r="AR64" s="423"/>
      <c r="AS64" s="543"/>
      <c r="AT64" s="543"/>
      <c r="AU64" s="423"/>
      <c r="AV64" s="543"/>
      <c r="AW64" s="543"/>
      <c r="AX64" s="543"/>
      <c r="AY64" s="543"/>
      <c r="AZ64" s="423"/>
      <c r="BA64" s="543"/>
      <c r="BB64" s="543"/>
      <c r="BC64" s="456"/>
      <c r="BD64" s="543"/>
      <c r="BE64" s="539"/>
      <c r="BF64" s="539"/>
      <c r="BG64" s="539"/>
      <c r="BH64" s="539"/>
      <c r="BI64" s="543"/>
      <c r="BJ64" s="543"/>
      <c r="BK64" s="543"/>
      <c r="BL64" s="817"/>
      <c r="BM64" s="543"/>
      <c r="BN64" s="543"/>
      <c r="BO64" s="543"/>
      <c r="BP64" s="543"/>
      <c r="BQ64" s="543"/>
      <c r="BR64" s="543"/>
      <c r="BS64" s="543"/>
      <c r="BT64" s="543"/>
      <c r="BU64" s="543"/>
      <c r="BV64" s="543"/>
      <c r="BW64" s="543"/>
      <c r="BX64" s="543"/>
      <c r="BY64" s="539"/>
      <c r="BZ64" s="539"/>
      <c r="CA64" s="539"/>
      <c r="CB64" s="539"/>
      <c r="CC64" s="539"/>
      <c r="CD64" s="543"/>
      <c r="CE64" s="543"/>
      <c r="CF64" s="543"/>
      <c r="CG64" s="543"/>
      <c r="CH64" s="543"/>
      <c r="CI64" s="543"/>
      <c r="CJ64" s="543"/>
      <c r="CK64" s="543"/>
      <c r="CL64" s="543"/>
      <c r="CM64" s="543"/>
    </row>
    <row r="65" spans="1:91" ht="75">
      <c r="A65" s="418" t="s">
        <v>1331</v>
      </c>
      <c r="B65" s="623" t="s">
        <v>901</v>
      </c>
      <c r="C65" s="380" t="s">
        <v>420</v>
      </c>
      <c r="D65" s="380" t="s">
        <v>1332</v>
      </c>
      <c r="G65" s="762"/>
      <c r="H65" s="745" t="s">
        <v>1685</v>
      </c>
      <c r="I65" s="745" t="s">
        <v>1685</v>
      </c>
      <c r="J65" s="745" t="s">
        <v>1685</v>
      </c>
      <c r="K65" s="745" t="s">
        <v>1685</v>
      </c>
      <c r="L65" s="745" t="s">
        <v>1685</v>
      </c>
      <c r="M65" s="745" t="s">
        <v>1685</v>
      </c>
      <c r="N65" s="762"/>
      <c r="O65" s="745" t="s">
        <v>1685</v>
      </c>
      <c r="P65" s="745" t="s">
        <v>1686</v>
      </c>
      <c r="Q65" s="745" t="s">
        <v>1685</v>
      </c>
      <c r="R65" s="745" t="s">
        <v>1687</v>
      </c>
      <c r="S65" s="745" t="s">
        <v>1687</v>
      </c>
      <c r="T65" s="742"/>
      <c r="U65" s="744" t="s">
        <v>1688</v>
      </c>
      <c r="V65" s="744" t="s">
        <v>1689</v>
      </c>
      <c r="W65" s="744" t="s">
        <v>1690</v>
      </c>
      <c r="X65" s="744" t="s">
        <v>1691</v>
      </c>
      <c r="Y65" s="828" t="s">
        <v>1692</v>
      </c>
      <c r="Z65" s="744" t="s">
        <v>1693</v>
      </c>
      <c r="AA65" s="833"/>
      <c r="AB65" s="744"/>
      <c r="AC65" s="831"/>
      <c r="AD65" s="744"/>
      <c r="AE65" s="744"/>
      <c r="AF65" s="744"/>
      <c r="AG65" s="744"/>
      <c r="AH65" s="423"/>
      <c r="AI65" s="706" t="s">
        <v>1694</v>
      </c>
      <c r="AJ65" s="706" t="s">
        <v>1694</v>
      </c>
      <c r="AK65" s="706" t="s">
        <v>1694</v>
      </c>
      <c r="AL65" s="706" t="s">
        <v>1694</v>
      </c>
      <c r="AM65" s="706" t="s">
        <v>1694</v>
      </c>
      <c r="AN65" s="423"/>
      <c r="AO65" s="706" t="s">
        <v>1695</v>
      </c>
      <c r="AP65" s="706" t="s">
        <v>1695</v>
      </c>
      <c r="AQ65" s="706" t="s">
        <v>1695</v>
      </c>
      <c r="AR65" s="423"/>
      <c r="AS65" s="706" t="s">
        <v>1696</v>
      </c>
      <c r="AT65" s="706" t="s">
        <v>1696</v>
      </c>
      <c r="AU65" s="423"/>
      <c r="AV65" s="706" t="s">
        <v>1697</v>
      </c>
      <c r="AW65" s="706" t="s">
        <v>1697</v>
      </c>
      <c r="AX65" s="706" t="s">
        <v>1697</v>
      </c>
      <c r="AY65" s="706" t="s">
        <v>1697</v>
      </c>
      <c r="AZ65" s="423"/>
      <c r="BA65" s="706" t="s">
        <v>1698</v>
      </c>
      <c r="BB65" s="706" t="s">
        <v>1698</v>
      </c>
      <c r="BC65" s="456"/>
      <c r="BD65" s="766" t="s">
        <v>1699</v>
      </c>
      <c r="BE65" s="766" t="s">
        <v>1700</v>
      </c>
      <c r="BF65" s="766" t="s">
        <v>1700</v>
      </c>
      <c r="BG65" s="766" t="s">
        <v>1700</v>
      </c>
      <c r="BH65" s="766"/>
      <c r="BI65" s="766" t="s">
        <v>1701</v>
      </c>
      <c r="BJ65" s="766" t="s">
        <v>1701</v>
      </c>
      <c r="BK65" s="766" t="s">
        <v>1701</v>
      </c>
      <c r="BL65" s="817"/>
      <c r="BM65" s="819" t="s">
        <v>1702</v>
      </c>
      <c r="BN65" s="819" t="s">
        <v>1703</v>
      </c>
      <c r="BO65" s="819" t="s">
        <v>1703</v>
      </c>
      <c r="BP65" s="819" t="s">
        <v>1703</v>
      </c>
      <c r="BQ65" s="819"/>
      <c r="BR65" s="819"/>
      <c r="BS65" s="819" t="s">
        <v>1704</v>
      </c>
      <c r="BT65" s="819" t="s">
        <v>1705</v>
      </c>
      <c r="BU65" s="819" t="s">
        <v>1706</v>
      </c>
      <c r="BV65" s="819" t="s">
        <v>1705</v>
      </c>
      <c r="BW65" s="819" t="s">
        <v>1705</v>
      </c>
      <c r="BX65" s="819" t="s">
        <v>1705</v>
      </c>
      <c r="BY65" s="820" t="s">
        <v>1707</v>
      </c>
      <c r="BZ65" s="820" t="s">
        <v>1708</v>
      </c>
      <c r="CA65" s="820" t="s">
        <v>1708</v>
      </c>
      <c r="CB65" s="820" t="s">
        <v>1708</v>
      </c>
      <c r="CC65" s="820" t="s">
        <v>1708</v>
      </c>
      <c r="CD65" s="819" t="s">
        <v>1709</v>
      </c>
      <c r="CE65" s="819" t="s">
        <v>1709</v>
      </c>
      <c r="CF65" s="819"/>
      <c r="CG65" s="819"/>
      <c r="CH65" s="819" t="s">
        <v>1710</v>
      </c>
      <c r="CI65" s="819"/>
      <c r="CJ65" s="819"/>
      <c r="CK65" s="819" t="s">
        <v>1711</v>
      </c>
      <c r="CL65" s="819" t="s">
        <v>1712</v>
      </c>
      <c r="CM65" s="819"/>
    </row>
    <row r="66" spans="1:91">
      <c r="A66" s="472"/>
      <c r="B66" s="623"/>
      <c r="G66" s="764"/>
      <c r="H66" s="745"/>
      <c r="I66" s="745"/>
      <c r="J66" s="745"/>
      <c r="K66" s="745"/>
      <c r="L66" s="745"/>
      <c r="M66" s="745"/>
      <c r="N66" s="764"/>
      <c r="O66" s="745"/>
      <c r="P66" s="745"/>
      <c r="Q66" s="745"/>
      <c r="R66" s="745"/>
      <c r="S66" s="745"/>
      <c r="T66" s="742"/>
      <c r="U66" s="744"/>
      <c r="V66" s="744"/>
      <c r="W66" s="744"/>
      <c r="X66" s="744"/>
      <c r="Y66" s="828"/>
      <c r="Z66" s="744"/>
      <c r="AA66" s="833"/>
      <c r="AB66" s="744"/>
      <c r="AC66" s="831"/>
      <c r="AD66" s="744"/>
      <c r="AE66" s="744"/>
      <c r="AF66" s="744"/>
      <c r="AG66" s="744"/>
      <c r="AH66" s="441"/>
      <c r="AI66" s="706"/>
      <c r="AJ66" s="706"/>
      <c r="AK66" s="706"/>
      <c r="AL66" s="706"/>
      <c r="AM66" s="706"/>
      <c r="AN66" s="441"/>
      <c r="AO66" s="706"/>
      <c r="AP66" s="706"/>
      <c r="AQ66" s="706"/>
      <c r="AR66" s="441"/>
      <c r="AS66" s="706"/>
      <c r="AT66" s="706"/>
      <c r="AU66" s="441"/>
      <c r="AV66" s="706"/>
      <c r="AW66" s="706"/>
      <c r="AX66" s="706"/>
      <c r="AY66" s="706"/>
      <c r="AZ66" s="441"/>
      <c r="BA66" s="706"/>
      <c r="BB66" s="706"/>
      <c r="BC66" s="456"/>
      <c r="BD66" s="766"/>
      <c r="BE66" s="427"/>
      <c r="BF66" s="427"/>
      <c r="BG66" s="427"/>
      <c r="BH66" s="427"/>
      <c r="BI66" s="766"/>
      <c r="BJ66" s="766"/>
      <c r="BK66" s="766"/>
      <c r="BL66" s="817"/>
      <c r="BM66" s="819"/>
      <c r="BN66" s="819"/>
      <c r="BO66" s="819"/>
      <c r="BP66" s="819"/>
      <c r="BQ66" s="819"/>
      <c r="BR66" s="819"/>
      <c r="BS66" s="819"/>
      <c r="BT66" s="819"/>
      <c r="BU66" s="819"/>
      <c r="BV66" s="819"/>
      <c r="BW66" s="819"/>
      <c r="BX66" s="819"/>
      <c r="BY66" s="820"/>
      <c r="BZ66" s="820"/>
      <c r="CA66" s="820"/>
      <c r="CB66" s="820"/>
      <c r="CC66" s="820"/>
      <c r="CD66" s="819"/>
      <c r="CE66" s="819"/>
      <c r="CF66" s="819"/>
      <c r="CG66" s="819"/>
      <c r="CH66" s="819"/>
      <c r="CI66" s="819"/>
      <c r="CJ66" s="819"/>
      <c r="CK66" s="819"/>
      <c r="CL66" s="819"/>
      <c r="CM66" s="819"/>
    </row>
  </sheetData>
  <phoneticPr fontId="50" type="noConversion"/>
  <conditionalFormatting sqref="A1:BH15 BL1:CJ37 BI1:BK641 A16:AN16 AR16 AZ16:BA16 BC16:BH16 A17:BH37 BL38:BO39 BQ38:CJ39 A38:E41 G38:BH41 BL40:CJ66 A42:BH641">
    <cfRule type="expression" dxfId="22" priority="13">
      <formula>_xlfn.ISFORMULA(A1)</formula>
    </cfRule>
  </conditionalFormatting>
  <conditionalFormatting sqref="CK1:CM66">
    <cfRule type="expression" dxfId="21" priority="1">
      <formula>_xlfn.ISFORMULA(CK1)</formula>
    </cfRule>
  </conditionalFormatting>
  <hyperlinks>
    <hyperlink ref="A1" r:id="rId1" xr:uid="{55216D30-F918-4AB0-9E25-937A4FF4C483}"/>
  </hyperlinks>
  <pageMargins left="0.7" right="0.7" top="0.75" bottom="0.75" header="0.3" footer="0.3"/>
  <pageSetup orientation="portrait"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D4259-0082-47F2-8D0A-EF18C96C1A97}">
  <dimension ref="A1:HE167"/>
  <sheetViews>
    <sheetView zoomScaleNormal="100" workbookViewId="0">
      <pane xSplit="2" ySplit="2" topLeftCell="AP3" activePane="bottomRight" state="frozen"/>
      <selection pane="topRight" activeCell="D1" sqref="D1"/>
      <selection pane="bottomLeft" activeCell="A3" sqref="A3"/>
      <selection pane="bottomRight" activeCell="AS10" sqref="AS10"/>
    </sheetView>
  </sheetViews>
  <sheetFormatPr defaultColWidth="30.7109375" defaultRowHeight="15"/>
  <cols>
    <col min="1" max="1" width="30.7109375" style="527"/>
    <col min="2" max="2" width="10.7109375" style="380" customWidth="1"/>
    <col min="3" max="3" width="16.7109375" style="380" customWidth="1"/>
    <col min="4" max="4" width="2.7109375" style="507" customWidth="1"/>
    <col min="5" max="9" width="30.7109375" style="379"/>
    <col min="10" max="10" width="30.7109375" style="490"/>
    <col min="11" max="33" width="30.7109375" style="379"/>
    <col min="34" max="35" width="30.7109375" style="696"/>
    <col min="36" max="45" width="30.7109375" style="379"/>
    <col min="46" max="46" width="30.7109375" style="696"/>
    <col min="47" max="53" width="30.7109375" style="379"/>
    <col min="54" max="55" width="30.7109375" style="696"/>
    <col min="56" max="56" width="30.7109375" style="379"/>
    <col min="57" max="57" width="30.7109375" style="696"/>
    <col min="58" max="62" width="30.7109375" style="379"/>
    <col min="63" max="63" width="30.7109375" style="696"/>
    <col min="64" max="65" width="30.7109375" style="379"/>
    <col min="66" max="66" width="30.7109375" style="696"/>
    <col min="67" max="126" width="30.7109375" style="379"/>
    <col min="127" max="128" width="30.7109375" style="696"/>
    <col min="129" max="131" width="30.7109375" style="379"/>
    <col min="132" max="132" width="30.7109375" style="696"/>
    <col min="133" max="149" width="30.7109375" style="379"/>
    <col min="150" max="151" width="30.7109375" style="696"/>
    <col min="152" max="152" width="30.7109375" style="851"/>
    <col min="153" max="153" width="30.7109375" style="696"/>
    <col min="154" max="206" width="30.7109375" style="379"/>
    <col min="207" max="210" width="30.7109375" style="376"/>
    <col min="211" max="212" width="30.7109375" style="379"/>
    <col min="214" max="16384" width="30.7109375" style="379"/>
  </cols>
  <sheetData>
    <row r="1" spans="1:213" ht="10.5" customHeight="1">
      <c r="B1" s="380" t="s">
        <v>1</v>
      </c>
      <c r="C1" s="521" t="s">
        <v>1713</v>
      </c>
      <c r="D1" s="519"/>
      <c r="E1" s="523"/>
      <c r="F1" s="523"/>
      <c r="G1" s="523"/>
      <c r="H1" s="523"/>
      <c r="I1" s="523"/>
      <c r="J1" s="523"/>
      <c r="K1" s="523"/>
      <c r="L1" s="523"/>
      <c r="M1" s="523"/>
      <c r="N1" s="523"/>
      <c r="O1" s="523"/>
      <c r="P1" s="523"/>
      <c r="Q1" s="523"/>
      <c r="R1" s="523"/>
      <c r="S1" s="523"/>
      <c r="T1" s="523"/>
      <c r="U1" s="523"/>
      <c r="V1" s="523"/>
      <c r="W1" s="523"/>
      <c r="X1" s="523"/>
      <c r="Y1" s="523"/>
      <c r="Z1" s="523"/>
      <c r="AA1" s="523"/>
      <c r="AB1" s="523"/>
      <c r="AC1" s="523"/>
      <c r="AD1" s="523"/>
      <c r="AE1" s="523"/>
      <c r="AF1" s="523"/>
      <c r="AG1" s="523"/>
      <c r="AH1" s="698"/>
      <c r="AI1" s="698"/>
      <c r="AJ1" s="523"/>
      <c r="AK1" s="523"/>
      <c r="AL1" s="523"/>
      <c r="AM1" s="523"/>
      <c r="AN1" s="523"/>
      <c r="AO1" s="523"/>
      <c r="AP1" s="523"/>
      <c r="AQ1" s="523"/>
      <c r="AR1" s="523"/>
      <c r="AS1" s="523"/>
      <c r="AT1" s="698"/>
      <c r="AU1" s="523"/>
      <c r="AV1" s="523"/>
      <c r="AW1" s="523"/>
      <c r="AX1" s="523"/>
      <c r="AY1" s="523"/>
      <c r="AZ1" s="523"/>
      <c r="BA1" s="523"/>
      <c r="BB1" s="698"/>
      <c r="BC1" s="698"/>
      <c r="BD1" s="523"/>
      <c r="BE1" s="698"/>
      <c r="BF1" s="523"/>
      <c r="BG1" s="523"/>
      <c r="BH1" s="523"/>
      <c r="BI1" s="523"/>
      <c r="BJ1" s="523"/>
      <c r="BK1" s="698"/>
      <c r="BL1" s="523"/>
      <c r="BM1" s="523"/>
      <c r="BN1" s="698"/>
      <c r="BO1" s="523"/>
      <c r="BP1" s="523"/>
      <c r="BQ1" s="523"/>
      <c r="BR1" s="523"/>
      <c r="BS1" s="523"/>
      <c r="BT1" s="523"/>
      <c r="BU1" s="523"/>
      <c r="BV1" s="523"/>
      <c r="BW1" s="523"/>
      <c r="BX1" s="523"/>
      <c r="BY1" s="523"/>
      <c r="BZ1" s="523"/>
      <c r="CA1" s="523"/>
      <c r="CB1" s="523"/>
      <c r="CC1" s="523"/>
      <c r="CD1" s="523"/>
      <c r="CE1" s="523"/>
      <c r="CF1" s="523"/>
      <c r="CG1" s="523"/>
      <c r="CH1" s="523"/>
      <c r="CI1" s="523"/>
      <c r="CJ1" s="523"/>
      <c r="CK1" s="523"/>
      <c r="CL1" s="523"/>
      <c r="CM1" s="523"/>
      <c r="CN1" s="523"/>
      <c r="CO1" s="523"/>
      <c r="CP1" s="523"/>
      <c r="CQ1" s="523"/>
      <c r="CR1" s="523"/>
      <c r="CS1" s="523"/>
      <c r="CT1" s="523"/>
      <c r="CU1" s="523"/>
      <c r="CV1" s="523"/>
      <c r="CW1" s="523"/>
      <c r="CX1" s="523"/>
      <c r="CY1" s="523"/>
      <c r="CZ1" s="523"/>
      <c r="DA1" s="523"/>
      <c r="DB1" s="523"/>
      <c r="DC1" s="523"/>
      <c r="DD1" s="523"/>
      <c r="DE1" s="523"/>
      <c r="DF1" s="523"/>
      <c r="DG1" s="523"/>
      <c r="DH1" s="523"/>
      <c r="DI1" s="523"/>
      <c r="DJ1" s="523"/>
      <c r="DK1" s="523"/>
      <c r="DL1" s="698"/>
      <c r="DM1" s="698"/>
      <c r="DN1" s="698"/>
      <c r="DO1" s="698"/>
      <c r="DP1" s="523"/>
      <c r="DQ1" s="523"/>
      <c r="DR1" s="523"/>
      <c r="DS1" s="523"/>
      <c r="DT1" s="523"/>
      <c r="DU1" s="523"/>
      <c r="DV1" s="523"/>
      <c r="DW1" s="698"/>
      <c r="DX1" s="698"/>
      <c r="DY1" s="523"/>
      <c r="DZ1" s="523"/>
      <c r="EA1" s="523"/>
      <c r="EB1" s="698"/>
      <c r="EC1" s="523"/>
      <c r="ED1" s="523"/>
      <c r="EE1" s="523"/>
      <c r="EF1" s="523"/>
      <c r="EG1" s="523"/>
      <c r="EH1" s="523"/>
      <c r="EI1" s="523"/>
      <c r="EJ1" s="523"/>
      <c r="EK1" s="523"/>
      <c r="EL1" s="523"/>
      <c r="EM1" s="523"/>
      <c r="EN1" s="523"/>
      <c r="EO1" s="523"/>
      <c r="EP1" s="523"/>
      <c r="EQ1" s="523"/>
      <c r="ER1" s="523"/>
      <c r="ES1" s="523"/>
      <c r="ET1" s="698"/>
      <c r="EU1" s="698"/>
      <c r="EV1" s="846"/>
      <c r="EW1" s="698"/>
      <c r="EX1" s="523"/>
      <c r="EY1" s="523"/>
      <c r="EZ1" s="523"/>
      <c r="FA1" s="523"/>
      <c r="FB1" s="523"/>
      <c r="FC1" s="523"/>
      <c r="FD1" s="523"/>
      <c r="FE1" s="523"/>
      <c r="FF1" s="523"/>
      <c r="FG1" s="523"/>
      <c r="FH1" s="523"/>
      <c r="FI1" s="523"/>
      <c r="FJ1" s="523"/>
      <c r="FK1" s="523"/>
      <c r="FL1" s="523"/>
      <c r="FM1" s="523"/>
      <c r="FN1" s="523"/>
      <c r="FO1" s="523"/>
      <c r="FP1" s="523"/>
      <c r="FQ1" s="523"/>
      <c r="FR1" s="523"/>
      <c r="FS1" s="523"/>
      <c r="FT1" s="523"/>
      <c r="FU1" s="523"/>
      <c r="FV1" s="523"/>
      <c r="FW1" s="523"/>
      <c r="FX1" s="523"/>
      <c r="FY1" s="523"/>
      <c r="FZ1" s="523"/>
      <c r="GA1" s="523"/>
      <c r="GB1" s="523"/>
      <c r="GC1" s="523"/>
      <c r="GD1" s="523"/>
      <c r="GE1" s="523"/>
      <c r="GF1" s="523"/>
      <c r="GG1" s="523"/>
      <c r="GH1" s="523"/>
      <c r="GI1" s="523"/>
      <c r="GJ1" s="523"/>
      <c r="GK1" s="523"/>
      <c r="GL1" s="523"/>
      <c r="GM1" s="523"/>
      <c r="GN1" s="523"/>
      <c r="GO1" s="523"/>
      <c r="GP1" s="523"/>
      <c r="GQ1" s="523"/>
      <c r="GR1" s="523"/>
      <c r="GS1" s="523"/>
      <c r="GT1" s="660"/>
      <c r="GU1" s="668"/>
      <c r="GV1" s="668"/>
      <c r="GW1" s="668"/>
      <c r="GX1" s="687"/>
      <c r="GY1" s="753"/>
      <c r="GZ1" s="687"/>
      <c r="HA1" s="687"/>
      <c r="HB1" s="668"/>
      <c r="HC1" s="687"/>
      <c r="HD1" s="675"/>
    </row>
    <row r="2" spans="1:213" ht="27" customHeight="1">
      <c r="A2" s="528" t="s">
        <v>1714</v>
      </c>
      <c r="B2" s="380" t="s">
        <v>17</v>
      </c>
      <c r="C2" s="521"/>
      <c r="D2" s="792"/>
      <c r="E2" s="517" t="s">
        <v>530</v>
      </c>
      <c r="F2" s="518" t="s">
        <v>531</v>
      </c>
      <c r="G2" s="517" t="s">
        <v>532</v>
      </c>
      <c r="H2" s="518" t="s">
        <v>533</v>
      </c>
      <c r="I2" s="517" t="s">
        <v>534</v>
      </c>
      <c r="J2" s="518" t="s">
        <v>535</v>
      </c>
      <c r="K2" s="517" t="s">
        <v>536</v>
      </c>
      <c r="L2" s="518" t="s">
        <v>537</v>
      </c>
      <c r="M2" s="517" t="s">
        <v>538</v>
      </c>
      <c r="N2" s="518" t="s">
        <v>539</v>
      </c>
      <c r="O2" s="517" t="s">
        <v>540</v>
      </c>
      <c r="P2" s="518" t="s">
        <v>541</v>
      </c>
      <c r="Q2" s="517" t="s">
        <v>542</v>
      </c>
      <c r="R2" s="518" t="s">
        <v>543</v>
      </c>
      <c r="S2" s="517" t="s">
        <v>544</v>
      </c>
      <c r="T2" s="518" t="s">
        <v>545</v>
      </c>
      <c r="U2" s="517" t="s">
        <v>546</v>
      </c>
      <c r="V2" s="518" t="s">
        <v>547</v>
      </c>
      <c r="W2" s="517" t="s">
        <v>548</v>
      </c>
      <c r="X2" s="518" t="s">
        <v>549</v>
      </c>
      <c r="Y2" s="517" t="s">
        <v>550</v>
      </c>
      <c r="Z2" s="518" t="s">
        <v>551</v>
      </c>
      <c r="AA2" s="517" t="s">
        <v>552</v>
      </c>
      <c r="AB2" s="518" t="s">
        <v>553</v>
      </c>
      <c r="AC2" s="517" t="s">
        <v>554</v>
      </c>
      <c r="AD2" s="518" t="s">
        <v>555</v>
      </c>
      <c r="AE2" s="517" t="s">
        <v>556</v>
      </c>
      <c r="AF2" s="518" t="s">
        <v>557</v>
      </c>
      <c r="AG2" s="517" t="s">
        <v>558</v>
      </c>
      <c r="AH2" s="691" t="s">
        <v>559</v>
      </c>
      <c r="AI2" s="690" t="s">
        <v>560</v>
      </c>
      <c r="AJ2" s="518" t="s">
        <v>561</v>
      </c>
      <c r="AK2" s="517" t="s">
        <v>562</v>
      </c>
      <c r="AL2" s="518" t="s">
        <v>563</v>
      </c>
      <c r="AM2" s="517" t="s">
        <v>564</v>
      </c>
      <c r="AN2" s="518" t="s">
        <v>565</v>
      </c>
      <c r="AO2" s="517" t="s">
        <v>566</v>
      </c>
      <c r="AP2" s="518" t="s">
        <v>567</v>
      </c>
      <c r="AQ2" s="517" t="s">
        <v>568</v>
      </c>
      <c r="AR2" s="518" t="s">
        <v>569</v>
      </c>
      <c r="AS2" s="517" t="s">
        <v>570</v>
      </c>
      <c r="AT2" s="691" t="s">
        <v>571</v>
      </c>
      <c r="AU2" s="517" t="s">
        <v>572</v>
      </c>
      <c r="AV2" s="656" t="s">
        <v>573</v>
      </c>
      <c r="AW2" s="517" t="s">
        <v>574</v>
      </c>
      <c r="AX2" s="518" t="s">
        <v>575</v>
      </c>
      <c r="AY2" s="517" t="s">
        <v>576</v>
      </c>
      <c r="AZ2" s="518" t="s">
        <v>577</v>
      </c>
      <c r="BA2" s="517" t="s">
        <v>578</v>
      </c>
      <c r="BB2" s="691" t="s">
        <v>579</v>
      </c>
      <c r="BC2" s="690" t="s">
        <v>580</v>
      </c>
      <c r="BD2" s="518" t="s">
        <v>581</v>
      </c>
      <c r="BE2" s="690" t="s">
        <v>582</v>
      </c>
      <c r="BF2" s="518" t="s">
        <v>583</v>
      </c>
      <c r="BG2" s="517" t="s">
        <v>584</v>
      </c>
      <c r="BH2" s="518" t="s">
        <v>585</v>
      </c>
      <c r="BI2" s="517" t="s">
        <v>586</v>
      </c>
      <c r="BJ2" s="518" t="s">
        <v>587</v>
      </c>
      <c r="BK2" s="690" t="s">
        <v>588</v>
      </c>
      <c r="BL2" s="518" t="s">
        <v>589</v>
      </c>
      <c r="BM2" s="517" t="s">
        <v>590</v>
      </c>
      <c r="BN2" s="691" t="s">
        <v>591</v>
      </c>
      <c r="BO2" s="517" t="s">
        <v>592</v>
      </c>
      <c r="BP2" s="518" t="s">
        <v>593</v>
      </c>
      <c r="BQ2" s="517" t="s">
        <v>594</v>
      </c>
      <c r="BR2" s="518" t="s">
        <v>595</v>
      </c>
      <c r="BS2" s="517" t="s">
        <v>596</v>
      </c>
      <c r="BT2" s="518" t="s">
        <v>597</v>
      </c>
      <c r="BU2" s="517" t="s">
        <v>598</v>
      </c>
      <c r="BV2" s="518" t="s">
        <v>599</v>
      </c>
      <c r="BW2" s="517" t="s">
        <v>600</v>
      </c>
      <c r="BX2" s="518" t="s">
        <v>601</v>
      </c>
      <c r="BY2" s="517" t="s">
        <v>602</v>
      </c>
      <c r="BZ2" s="517" t="s">
        <v>603</v>
      </c>
      <c r="CA2" s="814" t="s">
        <v>1715</v>
      </c>
      <c r="CB2" s="517" t="s">
        <v>604</v>
      </c>
      <c r="CC2" s="518" t="s">
        <v>605</v>
      </c>
      <c r="CD2" s="517" t="s">
        <v>606</v>
      </c>
      <c r="CE2" s="518" t="s">
        <v>607</v>
      </c>
      <c r="CF2" s="517" t="s">
        <v>608</v>
      </c>
      <c r="CG2" s="518" t="s">
        <v>609</v>
      </c>
      <c r="CH2" s="517" t="s">
        <v>610</v>
      </c>
      <c r="CI2" s="518" t="s">
        <v>611</v>
      </c>
      <c r="CJ2" s="517" t="s">
        <v>612</v>
      </c>
      <c r="CK2" s="518" t="s">
        <v>613</v>
      </c>
      <c r="CL2" s="517" t="s">
        <v>614</v>
      </c>
      <c r="CM2" s="518" t="s">
        <v>615</v>
      </c>
      <c r="CN2" s="517" t="s">
        <v>616</v>
      </c>
      <c r="CO2" s="518" t="s">
        <v>617</v>
      </c>
      <c r="CP2" s="518" t="s">
        <v>618</v>
      </c>
      <c r="CQ2" s="517" t="s">
        <v>619</v>
      </c>
      <c r="CR2" s="518" t="s">
        <v>620</v>
      </c>
      <c r="CS2" s="517" t="s">
        <v>621</v>
      </c>
      <c r="CT2" s="518" t="s">
        <v>622</v>
      </c>
      <c r="CU2" s="517" t="s">
        <v>623</v>
      </c>
      <c r="CV2" s="518" t="s">
        <v>624</v>
      </c>
      <c r="CW2" s="517" t="s">
        <v>625</v>
      </c>
      <c r="CX2" s="518" t="s">
        <v>626</v>
      </c>
      <c r="CY2" s="517" t="s">
        <v>627</v>
      </c>
      <c r="CZ2" s="518" t="s">
        <v>628</v>
      </c>
      <c r="DA2" s="517" t="s">
        <v>629</v>
      </c>
      <c r="DB2" s="518" t="s">
        <v>630</v>
      </c>
      <c r="DC2" s="517" t="s">
        <v>631</v>
      </c>
      <c r="DD2" s="518" t="s">
        <v>632</v>
      </c>
      <c r="DE2" s="517" t="s">
        <v>633</v>
      </c>
      <c r="DF2" s="518" t="s">
        <v>634</v>
      </c>
      <c r="DG2" s="517" t="s">
        <v>635</v>
      </c>
      <c r="DH2" s="518" t="s">
        <v>636</v>
      </c>
      <c r="DI2" s="517" t="s">
        <v>637</v>
      </c>
      <c r="DJ2" s="518" t="s">
        <v>638</v>
      </c>
      <c r="DK2" s="517" t="s">
        <v>639</v>
      </c>
      <c r="DL2" s="691" t="s">
        <v>640</v>
      </c>
      <c r="DM2" s="690" t="s">
        <v>641</v>
      </c>
      <c r="DN2" s="691" t="s">
        <v>642</v>
      </c>
      <c r="DO2" s="690" t="s">
        <v>643</v>
      </c>
      <c r="DP2" s="518" t="s">
        <v>644</v>
      </c>
      <c r="DQ2" s="517" t="s">
        <v>645</v>
      </c>
      <c r="DR2" s="518" t="s">
        <v>646</v>
      </c>
      <c r="DS2" s="517" t="s">
        <v>647</v>
      </c>
      <c r="DT2" s="518" t="s">
        <v>648</v>
      </c>
      <c r="DU2" s="518" t="s">
        <v>649</v>
      </c>
      <c r="DV2" s="517" t="s">
        <v>650</v>
      </c>
      <c r="DW2" s="690" t="s">
        <v>651</v>
      </c>
      <c r="DX2" s="691" t="s">
        <v>652</v>
      </c>
      <c r="DY2" s="517" t="s">
        <v>653</v>
      </c>
      <c r="DZ2" s="518" t="s">
        <v>654</v>
      </c>
      <c r="EA2" s="517" t="s">
        <v>655</v>
      </c>
      <c r="EB2" s="691" t="s">
        <v>656</v>
      </c>
      <c r="EC2" s="517" t="s">
        <v>657</v>
      </c>
      <c r="ED2" s="691" t="s">
        <v>658</v>
      </c>
      <c r="EE2" s="690" t="s">
        <v>659</v>
      </c>
      <c r="EF2" s="517" t="s">
        <v>660</v>
      </c>
      <c r="EG2" s="518" t="s">
        <v>661</v>
      </c>
      <c r="EH2" s="517" t="s">
        <v>662</v>
      </c>
      <c r="EI2" s="518" t="s">
        <v>663</v>
      </c>
      <c r="EJ2" s="517" t="s">
        <v>664</v>
      </c>
      <c r="EK2" s="518" t="s">
        <v>665</v>
      </c>
      <c r="EL2" s="517" t="s">
        <v>666</v>
      </c>
      <c r="EM2" s="518" t="s">
        <v>667</v>
      </c>
      <c r="EN2" s="518" t="s">
        <v>668</v>
      </c>
      <c r="EO2" s="517" t="s">
        <v>669</v>
      </c>
      <c r="EP2" s="518" t="s">
        <v>670</v>
      </c>
      <c r="EQ2" s="517" t="s">
        <v>671</v>
      </c>
      <c r="ER2" s="518" t="s">
        <v>672</v>
      </c>
      <c r="ES2" s="517" t="s">
        <v>673</v>
      </c>
      <c r="ET2" s="691" t="s">
        <v>674</v>
      </c>
      <c r="EU2" s="690" t="s">
        <v>675</v>
      </c>
      <c r="EV2" s="847" t="s">
        <v>676</v>
      </c>
      <c r="EW2" s="690" t="s">
        <v>677</v>
      </c>
      <c r="EX2" s="518" t="s">
        <v>678</v>
      </c>
      <c r="EY2" s="517" t="s">
        <v>679</v>
      </c>
      <c r="EZ2" s="518" t="s">
        <v>680</v>
      </c>
      <c r="FA2" s="517" t="s">
        <v>681</v>
      </c>
      <c r="FB2" s="517" t="s">
        <v>682</v>
      </c>
      <c r="FC2" s="518" t="s">
        <v>683</v>
      </c>
      <c r="FD2" s="517" t="s">
        <v>684</v>
      </c>
      <c r="FE2" s="518" t="s">
        <v>685</v>
      </c>
      <c r="FF2" s="518" t="s">
        <v>686</v>
      </c>
      <c r="FG2" s="517" t="s">
        <v>687</v>
      </c>
      <c r="FH2" s="518" t="s">
        <v>688</v>
      </c>
      <c r="FI2" s="517" t="s">
        <v>689</v>
      </c>
      <c r="FJ2" s="518" t="s">
        <v>690</v>
      </c>
      <c r="FK2" s="517" t="s">
        <v>691</v>
      </c>
      <c r="FL2" s="518" t="s">
        <v>692</v>
      </c>
      <c r="FM2" s="517" t="s">
        <v>693</v>
      </c>
      <c r="FN2" s="518" t="s">
        <v>694</v>
      </c>
      <c r="FO2" s="517" t="s">
        <v>695</v>
      </c>
      <c r="FP2" s="518" t="s">
        <v>696</v>
      </c>
      <c r="FQ2" s="517" t="s">
        <v>697</v>
      </c>
      <c r="FR2" s="518" t="s">
        <v>698</v>
      </c>
      <c r="FS2" s="517" t="s">
        <v>699</v>
      </c>
      <c r="FT2" s="518" t="s">
        <v>700</v>
      </c>
      <c r="FU2" s="517" t="s">
        <v>701</v>
      </c>
      <c r="FV2" s="518" t="s">
        <v>702</v>
      </c>
      <c r="FW2" s="517" t="s">
        <v>703</v>
      </c>
      <c r="FX2" s="518" t="s">
        <v>704</v>
      </c>
      <c r="FY2" s="517" t="s">
        <v>705</v>
      </c>
      <c r="FZ2" s="518" t="s">
        <v>706</v>
      </c>
      <c r="GA2" s="517" t="s">
        <v>707</v>
      </c>
      <c r="GB2" s="518" t="s">
        <v>708</v>
      </c>
      <c r="GC2" s="517" t="s">
        <v>709</v>
      </c>
      <c r="GD2" s="518" t="s">
        <v>710</v>
      </c>
      <c r="GE2" s="517" t="s">
        <v>711</v>
      </c>
      <c r="GF2" s="518" t="s">
        <v>712</v>
      </c>
      <c r="GG2" s="517" t="s">
        <v>713</v>
      </c>
      <c r="GH2" s="518" t="s">
        <v>714</v>
      </c>
      <c r="GI2" s="517" t="s">
        <v>715</v>
      </c>
      <c r="GJ2" s="518" t="s">
        <v>716</v>
      </c>
      <c r="GK2" s="517" t="s">
        <v>717</v>
      </c>
      <c r="GL2" s="518" t="s">
        <v>718</v>
      </c>
      <c r="GM2" s="517" t="s">
        <v>719</v>
      </c>
      <c r="GN2" s="518" t="s">
        <v>720</v>
      </c>
      <c r="GO2" s="517" t="s">
        <v>721</v>
      </c>
      <c r="GP2" s="518" t="s">
        <v>722</v>
      </c>
      <c r="GQ2" s="661" t="s">
        <v>723</v>
      </c>
      <c r="GR2" s="679" t="s">
        <v>724</v>
      </c>
      <c r="GS2" s="676" t="s">
        <v>725</v>
      </c>
      <c r="GT2" s="679" t="s">
        <v>726</v>
      </c>
      <c r="GU2" s="676" t="s">
        <v>727</v>
      </c>
      <c r="GV2" s="679" t="s">
        <v>728</v>
      </c>
      <c r="GW2" s="686" t="s">
        <v>729</v>
      </c>
      <c r="GX2" s="679" t="s">
        <v>730</v>
      </c>
      <c r="GY2" s="754" t="s">
        <v>731</v>
      </c>
      <c r="GZ2" s="755" t="s">
        <v>732</v>
      </c>
      <c r="HA2" s="754" t="s">
        <v>733</v>
      </c>
    </row>
    <row r="3" spans="1:213" s="226" customFormat="1" ht="15.75">
      <c r="A3" s="528" t="s">
        <v>420</v>
      </c>
      <c r="B3" s="534"/>
      <c r="C3" s="658"/>
      <c r="D3" s="519"/>
      <c r="E3" s="520"/>
      <c r="F3" s="520"/>
      <c r="G3" s="520"/>
      <c r="H3" s="520"/>
      <c r="I3" s="520"/>
      <c r="J3" s="520"/>
      <c r="K3" s="520"/>
      <c r="L3" s="520"/>
      <c r="M3" s="520"/>
      <c r="N3" s="520"/>
      <c r="O3" s="520"/>
      <c r="P3" s="520"/>
      <c r="Q3" s="520"/>
      <c r="R3" s="520"/>
      <c r="S3" s="520"/>
      <c r="T3" s="520"/>
      <c r="U3" s="520"/>
      <c r="V3" s="520"/>
      <c r="W3" s="520"/>
      <c r="X3" s="520"/>
      <c r="Y3" s="520"/>
      <c r="Z3" s="520"/>
      <c r="AA3" s="520"/>
      <c r="AB3" s="520"/>
      <c r="AC3" s="520"/>
      <c r="AD3" s="520"/>
      <c r="AE3" s="520"/>
      <c r="AF3" s="520"/>
      <c r="AG3" s="520"/>
      <c r="AH3" s="692"/>
      <c r="AI3" s="692"/>
      <c r="AJ3" s="520"/>
      <c r="AK3" s="520"/>
      <c r="AL3" s="520"/>
      <c r="AM3" s="520"/>
      <c r="AN3" s="520"/>
      <c r="AO3" s="520"/>
      <c r="AP3" s="520"/>
      <c r="AQ3" s="520"/>
      <c r="AR3" s="520"/>
      <c r="AS3" s="520"/>
      <c r="AT3" s="692"/>
      <c r="AU3" s="520"/>
      <c r="AV3" s="520"/>
      <c r="AW3" s="520"/>
      <c r="AX3" s="520"/>
      <c r="AY3" s="520"/>
      <c r="AZ3" s="520"/>
      <c r="BA3" s="520"/>
      <c r="BB3" s="692"/>
      <c r="BC3" s="692"/>
      <c r="BD3" s="520"/>
      <c r="BE3" s="692"/>
      <c r="BF3" s="520"/>
      <c r="BG3" s="520"/>
      <c r="BH3" s="520"/>
      <c r="BI3" s="520"/>
      <c r="BJ3" s="520"/>
      <c r="BK3" s="692"/>
      <c r="BL3" s="520"/>
      <c r="BM3" s="520"/>
      <c r="BN3" s="692"/>
      <c r="BO3" s="520"/>
      <c r="BP3" s="520"/>
      <c r="BQ3" s="520"/>
      <c r="BR3" s="520"/>
      <c r="BS3" s="520"/>
      <c r="BT3" s="520"/>
      <c r="BU3" s="520"/>
      <c r="BV3" s="520"/>
      <c r="BW3" s="520"/>
      <c r="BX3" s="520"/>
      <c r="BY3" s="520"/>
      <c r="BZ3" s="520"/>
      <c r="CA3" s="520"/>
      <c r="CB3" s="520"/>
      <c r="CC3" s="520"/>
      <c r="CD3" s="520"/>
      <c r="CE3" s="520"/>
      <c r="CF3" s="520"/>
      <c r="CG3" s="520"/>
      <c r="CH3" s="520"/>
      <c r="CI3" s="520"/>
      <c r="CJ3" s="520"/>
      <c r="CK3" s="520"/>
      <c r="CL3" s="520"/>
      <c r="CM3" s="520"/>
      <c r="CN3" s="520"/>
      <c r="CO3" s="520"/>
      <c r="CP3" s="520"/>
      <c r="CQ3" s="520"/>
      <c r="CR3" s="520"/>
      <c r="CS3" s="520"/>
      <c r="CT3" s="520"/>
      <c r="CU3" s="520"/>
      <c r="CV3" s="520"/>
      <c r="CW3" s="520"/>
      <c r="CX3" s="520"/>
      <c r="CY3" s="520"/>
      <c r="CZ3" s="520"/>
      <c r="DA3" s="520"/>
      <c r="DB3" s="520"/>
      <c r="DC3" s="520"/>
      <c r="DD3" s="520"/>
      <c r="DE3" s="520"/>
      <c r="DF3" s="520"/>
      <c r="DG3" s="520"/>
      <c r="DH3" s="520"/>
      <c r="DI3" s="520"/>
      <c r="DJ3" s="520"/>
      <c r="DK3" s="520"/>
      <c r="DL3" s="692"/>
      <c r="DM3" s="692"/>
      <c r="DN3" s="692"/>
      <c r="DO3" s="692"/>
      <c r="DP3" s="520"/>
      <c r="DQ3" s="520"/>
      <c r="DR3" s="520"/>
      <c r="DS3" s="520"/>
      <c r="DT3" s="520"/>
      <c r="DU3" s="520"/>
      <c r="DV3" s="520"/>
      <c r="DW3" s="692"/>
      <c r="DX3" s="692"/>
      <c r="DY3" s="520"/>
      <c r="DZ3" s="520"/>
      <c r="EA3" s="520"/>
      <c r="EB3" s="692"/>
      <c r="EC3" s="520"/>
      <c r="ED3" s="692"/>
      <c r="EE3" s="692"/>
      <c r="EF3" s="520"/>
      <c r="EG3" s="520"/>
      <c r="EH3" s="520"/>
      <c r="EI3" s="520"/>
      <c r="EJ3" s="520"/>
      <c r="EK3" s="520"/>
      <c r="EL3" s="520"/>
      <c r="EM3" s="520"/>
      <c r="EN3" s="520"/>
      <c r="EO3" s="520"/>
      <c r="EP3" s="520"/>
      <c r="EQ3" s="520"/>
      <c r="ER3" s="520"/>
      <c r="ES3" s="520"/>
      <c r="ET3" s="692"/>
      <c r="EU3" s="692"/>
      <c r="EV3" s="848"/>
      <c r="EW3" s="692"/>
      <c r="EX3" s="520"/>
      <c r="EY3" s="520"/>
      <c r="EZ3" s="520"/>
      <c r="FA3" s="520"/>
      <c r="FB3" s="520"/>
      <c r="FC3" s="520"/>
      <c r="FD3" s="520"/>
      <c r="FE3" s="520"/>
      <c r="FF3" s="520"/>
      <c r="FG3" s="520"/>
      <c r="FH3" s="520"/>
      <c r="FI3" s="520"/>
      <c r="FJ3" s="520"/>
      <c r="FK3" s="520"/>
      <c r="FL3" s="520"/>
      <c r="FM3" s="520"/>
      <c r="FN3" s="520"/>
      <c r="FO3" s="520"/>
      <c r="FP3" s="520"/>
      <c r="FQ3" s="520"/>
      <c r="FR3" s="520"/>
      <c r="FS3" s="520"/>
      <c r="FT3" s="520"/>
      <c r="FU3" s="520"/>
      <c r="FV3" s="520"/>
      <c r="FW3" s="520"/>
      <c r="FX3" s="520"/>
      <c r="FY3" s="520"/>
      <c r="FZ3" s="520"/>
      <c r="GA3" s="520"/>
      <c r="GB3" s="520"/>
      <c r="GC3" s="520"/>
      <c r="GD3" s="520"/>
      <c r="GE3" s="520"/>
      <c r="GF3" s="520"/>
      <c r="GG3" s="520"/>
      <c r="GH3" s="520"/>
      <c r="GI3" s="520"/>
      <c r="GJ3" s="520"/>
      <c r="GK3" s="520"/>
      <c r="GL3" s="520"/>
      <c r="GM3" s="520"/>
      <c r="GN3" s="520"/>
      <c r="GO3" s="520"/>
      <c r="GP3" s="520"/>
      <c r="GQ3" s="662"/>
      <c r="GR3" s="668"/>
      <c r="GS3" s="668"/>
      <c r="GT3" s="668"/>
      <c r="GU3" s="668"/>
      <c r="GV3" s="675"/>
      <c r="GW3" s="675"/>
      <c r="GX3" s="688"/>
      <c r="GY3" s="543"/>
      <c r="GZ3" s="668"/>
      <c r="HA3" s="668"/>
      <c r="HB3" s="747"/>
      <c r="HC3" s="687"/>
    </row>
    <row r="4" spans="1:213" ht="45">
      <c r="A4" s="797" t="s">
        <v>421</v>
      </c>
      <c r="B4" s="380" t="s">
        <v>17</v>
      </c>
      <c r="C4" s="521" t="s">
        <v>421</v>
      </c>
      <c r="D4" s="519"/>
      <c r="E4" s="517" t="s">
        <v>1716</v>
      </c>
      <c r="F4" s="518" t="s">
        <v>1716</v>
      </c>
      <c r="G4" s="517" t="s">
        <v>1716</v>
      </c>
      <c r="H4" s="518" t="s">
        <v>1717</v>
      </c>
      <c r="I4" s="517" t="s">
        <v>1717</v>
      </c>
      <c r="J4" s="518" t="s">
        <v>1717</v>
      </c>
      <c r="K4" s="517" t="s">
        <v>1717</v>
      </c>
      <c r="L4" s="518" t="s">
        <v>1717</v>
      </c>
      <c r="M4" s="517" t="s">
        <v>1717</v>
      </c>
      <c r="N4" s="518" t="s">
        <v>1717</v>
      </c>
      <c r="O4" s="517" t="s">
        <v>1718</v>
      </c>
      <c r="P4" s="518" t="s">
        <v>1718</v>
      </c>
      <c r="Q4" s="517" t="s">
        <v>1718</v>
      </c>
      <c r="R4" s="518" t="s">
        <v>1718</v>
      </c>
      <c r="S4" s="517" t="s">
        <v>1719</v>
      </c>
      <c r="T4" s="518" t="s">
        <v>1718</v>
      </c>
      <c r="U4" s="517" t="s">
        <v>1718</v>
      </c>
      <c r="V4" s="518" t="s">
        <v>1720</v>
      </c>
      <c r="W4" s="517" t="s">
        <v>1720</v>
      </c>
      <c r="X4" s="518" t="s">
        <v>1718</v>
      </c>
      <c r="Y4" s="517" t="s">
        <v>1718</v>
      </c>
      <c r="Z4" s="518" t="s">
        <v>1718</v>
      </c>
      <c r="AA4" s="517" t="s">
        <v>1720</v>
      </c>
      <c r="AB4" s="518" t="s">
        <v>1719</v>
      </c>
      <c r="AC4" s="517" t="s">
        <v>1718</v>
      </c>
      <c r="AD4" s="518" t="s">
        <v>1720</v>
      </c>
      <c r="AE4" s="517" t="s">
        <v>1720</v>
      </c>
      <c r="AF4" s="518" t="s">
        <v>1716</v>
      </c>
      <c r="AG4" s="670" t="s">
        <v>1716</v>
      </c>
      <c r="AH4" s="691" t="s">
        <v>1720</v>
      </c>
      <c r="AI4" s="690" t="s">
        <v>1720</v>
      </c>
      <c r="AJ4" s="518" t="s">
        <v>1716</v>
      </c>
      <c r="AK4" s="670" t="s">
        <v>1716</v>
      </c>
      <c r="AL4" s="518" t="s">
        <v>1716</v>
      </c>
      <c r="AM4" s="670" t="s">
        <v>1716</v>
      </c>
      <c r="AN4" s="518" t="s">
        <v>1716</v>
      </c>
      <c r="AO4" s="517" t="s">
        <v>1721</v>
      </c>
      <c r="AP4" s="518" t="s">
        <v>1721</v>
      </c>
      <c r="AQ4" s="517" t="s">
        <v>1721</v>
      </c>
      <c r="AR4" s="518" t="s">
        <v>1716</v>
      </c>
      <c r="AS4" s="517" t="s">
        <v>1716</v>
      </c>
      <c r="AT4" s="691" t="s">
        <v>1720</v>
      </c>
      <c r="AU4" s="517" t="s">
        <v>1716</v>
      </c>
      <c r="AV4" s="518" t="s">
        <v>1716</v>
      </c>
      <c r="AW4" s="517" t="s">
        <v>1716</v>
      </c>
      <c r="AX4" s="518" t="s">
        <v>1716</v>
      </c>
      <c r="AY4" s="517" t="s">
        <v>1721</v>
      </c>
      <c r="AZ4" s="518" t="s">
        <v>1721</v>
      </c>
      <c r="BA4" s="517" t="s">
        <v>1721</v>
      </c>
      <c r="BB4" s="691" t="s">
        <v>1720</v>
      </c>
      <c r="BC4" s="690" t="s">
        <v>1720</v>
      </c>
      <c r="BD4" s="518" t="s">
        <v>1716</v>
      </c>
      <c r="BE4" s="690" t="s">
        <v>1720</v>
      </c>
      <c r="BF4" s="518" t="s">
        <v>1716</v>
      </c>
      <c r="BG4" s="517" t="s">
        <v>1716</v>
      </c>
      <c r="BH4" s="518" t="s">
        <v>1721</v>
      </c>
      <c r="BI4" s="517" t="s">
        <v>1716</v>
      </c>
      <c r="BJ4" s="518" t="s">
        <v>1721</v>
      </c>
      <c r="BK4" s="690" t="s">
        <v>1720</v>
      </c>
      <c r="BL4" s="518" t="s">
        <v>1716</v>
      </c>
      <c r="BM4" s="670" t="s">
        <v>1716</v>
      </c>
      <c r="BN4" s="691" t="s">
        <v>1720</v>
      </c>
      <c r="BO4" s="670" t="s">
        <v>1716</v>
      </c>
      <c r="BP4" s="518" t="s">
        <v>1718</v>
      </c>
      <c r="BQ4" s="517" t="s">
        <v>1722</v>
      </c>
      <c r="BR4" s="518" t="s">
        <v>1718</v>
      </c>
      <c r="BS4" s="517" t="s">
        <v>1720</v>
      </c>
      <c r="BT4" s="518" t="s">
        <v>1717</v>
      </c>
      <c r="BU4" s="517" t="s">
        <v>1720</v>
      </c>
      <c r="BV4" s="518" t="s">
        <v>1720</v>
      </c>
      <c r="BW4" s="517" t="s">
        <v>1720</v>
      </c>
      <c r="BX4" s="518" t="s">
        <v>1717</v>
      </c>
      <c r="BY4" s="517" t="s">
        <v>1717</v>
      </c>
      <c r="BZ4" s="517" t="s">
        <v>1717</v>
      </c>
      <c r="CA4" s="812"/>
      <c r="CB4" s="517" t="s">
        <v>1720</v>
      </c>
      <c r="CC4" s="518" t="s">
        <v>1720</v>
      </c>
      <c r="CD4" s="517"/>
      <c r="CE4" s="518" t="s">
        <v>1720</v>
      </c>
      <c r="CF4" s="517" t="s">
        <v>1723</v>
      </c>
      <c r="CG4" s="518" t="s">
        <v>1723</v>
      </c>
      <c r="CH4" s="517" t="s">
        <v>1720</v>
      </c>
      <c r="CI4" s="518" t="s">
        <v>1720</v>
      </c>
      <c r="CJ4" s="517" t="s">
        <v>1720</v>
      </c>
      <c r="CK4" s="518" t="s">
        <v>1720</v>
      </c>
      <c r="CL4" s="517" t="s">
        <v>1716</v>
      </c>
      <c r="CM4" s="518" t="s">
        <v>1716</v>
      </c>
      <c r="CN4" s="517" t="s">
        <v>1716</v>
      </c>
      <c r="CO4" s="518" t="s">
        <v>1716</v>
      </c>
      <c r="CP4" s="518" t="s">
        <v>1716</v>
      </c>
      <c r="CQ4" s="517"/>
      <c r="CR4" s="518" t="s">
        <v>1720</v>
      </c>
      <c r="CS4" s="517" t="s">
        <v>1717</v>
      </c>
      <c r="CT4" s="518" t="s">
        <v>1718</v>
      </c>
      <c r="CU4" s="517" t="s">
        <v>1720</v>
      </c>
      <c r="CV4" s="518" t="s">
        <v>1720</v>
      </c>
      <c r="CW4" s="517" t="s">
        <v>1720</v>
      </c>
      <c r="CX4" s="518" t="s">
        <v>1718</v>
      </c>
      <c r="CY4" s="517" t="s">
        <v>1717</v>
      </c>
      <c r="CZ4" s="518" t="s">
        <v>1720</v>
      </c>
      <c r="DA4" s="517" t="s">
        <v>1719</v>
      </c>
      <c r="DB4" s="518" t="s">
        <v>1719</v>
      </c>
      <c r="DC4" s="517" t="s">
        <v>1720</v>
      </c>
      <c r="DD4" s="518" t="s">
        <v>1717</v>
      </c>
      <c r="DE4" s="517" t="s">
        <v>1718</v>
      </c>
      <c r="DF4" s="518" t="s">
        <v>1720</v>
      </c>
      <c r="DG4" s="517" t="s">
        <v>1717</v>
      </c>
      <c r="DH4" s="518" t="s">
        <v>1718</v>
      </c>
      <c r="DI4" s="517" t="s">
        <v>1720</v>
      </c>
      <c r="DJ4" s="518" t="s">
        <v>1717</v>
      </c>
      <c r="DK4" s="517" t="s">
        <v>1718</v>
      </c>
      <c r="DL4" s="691" t="s">
        <v>1717</v>
      </c>
      <c r="DM4" s="690" t="s">
        <v>1720</v>
      </c>
      <c r="DN4" s="691" t="s">
        <v>1720</v>
      </c>
      <c r="DO4" s="696" t="s">
        <v>1717</v>
      </c>
      <c r="DP4" s="518" t="s">
        <v>1720</v>
      </c>
      <c r="DQ4" s="517" t="s">
        <v>1718</v>
      </c>
      <c r="DR4" s="518" t="s">
        <v>1717</v>
      </c>
      <c r="DS4" s="517" t="s">
        <v>1718</v>
      </c>
      <c r="DT4" s="518" t="s">
        <v>1718</v>
      </c>
      <c r="DU4" s="518" t="s">
        <v>1718</v>
      </c>
      <c r="DV4" s="690" t="s">
        <v>1720</v>
      </c>
      <c r="DW4" s="690" t="s">
        <v>1720</v>
      </c>
      <c r="DX4" s="691" t="s">
        <v>1720</v>
      </c>
      <c r="DY4" s="517" t="s">
        <v>1717</v>
      </c>
      <c r="DZ4" s="518" t="s">
        <v>1717</v>
      </c>
      <c r="EA4" s="517" t="s">
        <v>1718</v>
      </c>
      <c r="EB4" s="691" t="s">
        <v>1720</v>
      </c>
      <c r="EC4" s="517" t="s">
        <v>1717</v>
      </c>
      <c r="ED4" s="691" t="s">
        <v>1718</v>
      </c>
      <c r="EE4" s="690" t="s">
        <v>1718</v>
      </c>
      <c r="EF4" s="517" t="s">
        <v>1717</v>
      </c>
      <c r="EG4" s="518" t="s">
        <v>1717</v>
      </c>
      <c r="EH4" s="517" t="s">
        <v>1717</v>
      </c>
      <c r="EI4" s="518" t="s">
        <v>1718</v>
      </c>
      <c r="EJ4" s="517" t="s">
        <v>1718</v>
      </c>
      <c r="EK4" s="518" t="s">
        <v>1724</v>
      </c>
      <c r="EL4" s="517"/>
      <c r="EM4" s="518" t="s">
        <v>1718</v>
      </c>
      <c r="EN4" s="518" t="s">
        <v>1718</v>
      </c>
      <c r="EO4" s="517"/>
      <c r="EP4" s="518"/>
      <c r="EQ4" s="517" t="s">
        <v>1718</v>
      </c>
      <c r="ER4" s="518" t="s">
        <v>1718</v>
      </c>
      <c r="ES4" s="517" t="s">
        <v>1718</v>
      </c>
      <c r="ET4" s="691" t="s">
        <v>1720</v>
      </c>
      <c r="EU4" s="690" t="s">
        <v>1720</v>
      </c>
      <c r="EV4" s="847" t="s">
        <v>1720</v>
      </c>
      <c r="EW4" s="690" t="s">
        <v>1720</v>
      </c>
      <c r="EX4" s="518" t="s">
        <v>1718</v>
      </c>
      <c r="EY4" s="517" t="s">
        <v>1718</v>
      </c>
      <c r="EZ4" s="518" t="s">
        <v>1718</v>
      </c>
      <c r="FA4" s="517" t="s">
        <v>1718</v>
      </c>
      <c r="FB4" s="517" t="s">
        <v>1725</v>
      </c>
      <c r="FC4" s="518" t="s">
        <v>1725</v>
      </c>
      <c r="FD4" s="517" t="s">
        <v>1725</v>
      </c>
      <c r="FE4" s="518" t="s">
        <v>1725</v>
      </c>
      <c r="FF4" s="518" t="s">
        <v>1726</v>
      </c>
      <c r="FG4" s="517" t="s">
        <v>1726</v>
      </c>
      <c r="FH4" s="518" t="s">
        <v>1718</v>
      </c>
      <c r="FI4" s="517" t="s">
        <v>1718</v>
      </c>
      <c r="FJ4" s="518" t="s">
        <v>1718</v>
      </c>
      <c r="FK4" s="517" t="s">
        <v>1718</v>
      </c>
      <c r="FL4" s="518" t="s">
        <v>1718</v>
      </c>
      <c r="FM4" s="517" t="s">
        <v>1718</v>
      </c>
      <c r="FN4" s="518" t="s">
        <v>1718</v>
      </c>
      <c r="FO4" s="517" t="s">
        <v>1718</v>
      </c>
      <c r="FP4" s="518" t="s">
        <v>1718</v>
      </c>
      <c r="FQ4" s="517" t="s">
        <v>1718</v>
      </c>
      <c r="FR4" s="518" t="s">
        <v>1727</v>
      </c>
      <c r="FS4" s="517" t="s">
        <v>1727</v>
      </c>
      <c r="FT4" s="518" t="s">
        <v>1727</v>
      </c>
      <c r="FU4" s="517" t="s">
        <v>1727</v>
      </c>
      <c r="FV4" s="518" t="s">
        <v>1727</v>
      </c>
      <c r="FW4" s="517" t="s">
        <v>1720</v>
      </c>
      <c r="FX4" s="518" t="s">
        <v>1720</v>
      </c>
      <c r="FY4" s="517" t="s">
        <v>1717</v>
      </c>
      <c r="FZ4" s="518" t="s">
        <v>1720</v>
      </c>
      <c r="GA4" s="517" t="s">
        <v>1716</v>
      </c>
      <c r="GB4" s="518" t="s">
        <v>1719</v>
      </c>
      <c r="GC4" s="517" t="s">
        <v>1720</v>
      </c>
      <c r="GD4" s="518" t="s">
        <v>1720</v>
      </c>
      <c r="GE4" s="517" t="s">
        <v>1718</v>
      </c>
      <c r="GF4" s="518" t="s">
        <v>1718</v>
      </c>
      <c r="GG4" s="517" t="s">
        <v>1718</v>
      </c>
      <c r="GH4" s="518" t="s">
        <v>1720</v>
      </c>
      <c r="GI4" s="517" t="s">
        <v>1721</v>
      </c>
      <c r="GJ4" s="518" t="s">
        <v>1717</v>
      </c>
      <c r="GK4" s="517" t="s">
        <v>1717</v>
      </c>
      <c r="GL4" s="518" t="s">
        <v>1718</v>
      </c>
      <c r="GM4" s="517" t="s">
        <v>1718</v>
      </c>
      <c r="GN4" s="518"/>
      <c r="GO4" s="517"/>
      <c r="GP4" s="518"/>
      <c r="GQ4" s="661" t="s">
        <v>1718</v>
      </c>
      <c r="GR4" s="679" t="s">
        <v>1716</v>
      </c>
      <c r="GS4" s="676" t="s">
        <v>1728</v>
      </c>
      <c r="GT4" s="679" t="s">
        <v>1729</v>
      </c>
      <c r="GU4" s="676"/>
      <c r="GV4" s="679"/>
      <c r="GW4" s="676"/>
      <c r="GX4" s="679" t="s">
        <v>1718</v>
      </c>
      <c r="GY4" s="754" t="s">
        <v>1717</v>
      </c>
      <c r="GZ4" s="755" t="s">
        <v>1717</v>
      </c>
      <c r="HA4" s="754" t="s">
        <v>1730</v>
      </c>
      <c r="HE4">
        <f>COUNTBLANK(E4:GX4)</f>
        <v>12</v>
      </c>
    </row>
    <row r="5" spans="1:213">
      <c r="A5" s="797" t="s">
        <v>1731</v>
      </c>
      <c r="B5" s="380" t="s">
        <v>437</v>
      </c>
      <c r="C5" s="521" t="s">
        <v>440</v>
      </c>
      <c r="D5" s="519"/>
      <c r="E5" s="517">
        <v>1988</v>
      </c>
      <c r="F5" s="518">
        <v>1992</v>
      </c>
      <c r="G5" s="517">
        <v>1993</v>
      </c>
      <c r="H5" s="518">
        <v>2000</v>
      </c>
      <c r="I5" s="517">
        <v>2003</v>
      </c>
      <c r="J5" s="518">
        <v>2000</v>
      </c>
      <c r="K5" s="517">
        <v>2003</v>
      </c>
      <c r="L5" s="518">
        <v>2013</v>
      </c>
      <c r="M5" s="517">
        <v>2013</v>
      </c>
      <c r="N5" s="518">
        <v>2017</v>
      </c>
      <c r="O5" s="517">
        <v>1972</v>
      </c>
      <c r="P5" s="518">
        <v>1973</v>
      </c>
      <c r="Q5" s="517">
        <v>1976</v>
      </c>
      <c r="R5" s="518">
        <v>1978</v>
      </c>
      <c r="S5" s="517">
        <v>1974</v>
      </c>
      <c r="T5" s="518">
        <v>1985</v>
      </c>
      <c r="U5" s="517">
        <v>1987</v>
      </c>
      <c r="V5" s="518">
        <v>1982</v>
      </c>
      <c r="W5" s="517">
        <v>1988</v>
      </c>
      <c r="X5" s="518">
        <v>1988</v>
      </c>
      <c r="Y5" s="517">
        <v>1982</v>
      </c>
      <c r="Z5" s="518">
        <v>1986</v>
      </c>
      <c r="AA5" s="517">
        <v>1981</v>
      </c>
      <c r="AB5" s="518">
        <v>1981</v>
      </c>
      <c r="AC5" s="517">
        <v>1991</v>
      </c>
      <c r="AD5" s="518">
        <v>1987</v>
      </c>
      <c r="AE5" s="517">
        <v>1991</v>
      </c>
      <c r="AF5" s="518">
        <v>2002</v>
      </c>
      <c r="AG5" s="517">
        <v>2002</v>
      </c>
      <c r="AH5" s="691">
        <v>2005</v>
      </c>
      <c r="AI5" s="690">
        <v>2005</v>
      </c>
      <c r="AJ5" s="518">
        <v>1996</v>
      </c>
      <c r="AK5" s="517">
        <v>1996</v>
      </c>
      <c r="AL5" s="518">
        <v>1994</v>
      </c>
      <c r="AM5" s="517">
        <v>1994</v>
      </c>
      <c r="AN5" s="518">
        <v>1999</v>
      </c>
      <c r="AO5" s="517">
        <v>1996</v>
      </c>
      <c r="AP5" s="518">
        <v>1996</v>
      </c>
      <c r="AQ5" s="517">
        <v>1999</v>
      </c>
      <c r="AR5" s="518">
        <v>2015</v>
      </c>
      <c r="AS5" s="517">
        <v>2015</v>
      </c>
      <c r="AT5" s="691">
        <v>2015</v>
      </c>
      <c r="AU5" s="517">
        <v>1987</v>
      </c>
      <c r="AV5" s="518">
        <v>1990</v>
      </c>
      <c r="AW5" s="517">
        <v>1994</v>
      </c>
      <c r="AX5" s="518">
        <v>1996</v>
      </c>
      <c r="AY5" s="517">
        <v>1989</v>
      </c>
      <c r="AZ5" s="518">
        <v>1993</v>
      </c>
      <c r="BA5" s="517">
        <v>1995</v>
      </c>
      <c r="BB5" s="691">
        <v>2015</v>
      </c>
      <c r="BC5" s="690">
        <v>2015</v>
      </c>
      <c r="BD5" s="518">
        <v>2016</v>
      </c>
      <c r="BE5" s="690">
        <v>2018</v>
      </c>
      <c r="BF5" s="518">
        <v>1994</v>
      </c>
      <c r="BG5" s="517">
        <v>1993</v>
      </c>
      <c r="BH5" s="518">
        <v>1993</v>
      </c>
      <c r="BI5" s="517">
        <v>1996</v>
      </c>
      <c r="BJ5" s="518">
        <v>1997</v>
      </c>
      <c r="BK5" s="690">
        <v>2015</v>
      </c>
      <c r="BL5" s="518">
        <v>2015</v>
      </c>
      <c r="BM5" s="517">
        <v>2015</v>
      </c>
      <c r="BN5" s="691">
        <v>2015</v>
      </c>
      <c r="BO5" s="517">
        <v>2015</v>
      </c>
      <c r="BP5" s="518">
        <v>1993</v>
      </c>
      <c r="BQ5" s="517">
        <v>1997</v>
      </c>
      <c r="BR5" s="518">
        <v>2001</v>
      </c>
      <c r="BS5" s="517">
        <v>1998</v>
      </c>
      <c r="BT5" s="518">
        <v>1997</v>
      </c>
      <c r="BU5" s="517">
        <v>2009</v>
      </c>
      <c r="BV5" s="518">
        <v>1994</v>
      </c>
      <c r="BW5" s="517">
        <v>1994</v>
      </c>
      <c r="BX5" s="518">
        <v>1994</v>
      </c>
      <c r="BY5" s="517">
        <v>1994</v>
      </c>
      <c r="BZ5" s="517">
        <v>2018</v>
      </c>
      <c r="CA5" s="812"/>
      <c r="CB5" s="517">
        <v>1960</v>
      </c>
      <c r="CC5" s="518">
        <v>1956</v>
      </c>
      <c r="CD5" s="517">
        <v>1961</v>
      </c>
      <c r="CE5" s="518">
        <v>1963</v>
      </c>
      <c r="CF5" s="517">
        <v>1998</v>
      </c>
      <c r="CG5" s="518">
        <v>1998</v>
      </c>
      <c r="CH5" s="517">
        <v>1961</v>
      </c>
      <c r="CI5" s="518">
        <v>1967</v>
      </c>
      <c r="CJ5" s="517">
        <v>1971</v>
      </c>
      <c r="CK5" s="518">
        <v>1974</v>
      </c>
      <c r="CL5" s="517">
        <v>1984</v>
      </c>
      <c r="CM5" s="518">
        <v>1984</v>
      </c>
      <c r="CN5" s="517">
        <v>1994</v>
      </c>
      <c r="CO5" s="518">
        <v>1994</v>
      </c>
      <c r="CP5" s="518">
        <v>1994</v>
      </c>
      <c r="CQ5" s="517">
        <v>2016</v>
      </c>
      <c r="CR5" s="518">
        <v>1970</v>
      </c>
      <c r="CS5" s="517">
        <v>1978</v>
      </c>
      <c r="CT5" s="518">
        <v>1978</v>
      </c>
      <c r="CU5" s="517">
        <v>1972</v>
      </c>
      <c r="CV5" s="518">
        <v>1972</v>
      </c>
      <c r="CW5" s="517">
        <v>1976</v>
      </c>
      <c r="CX5" s="518">
        <v>1976</v>
      </c>
      <c r="CY5" s="517">
        <v>1981</v>
      </c>
      <c r="CZ5" s="518">
        <v>1982</v>
      </c>
      <c r="DA5" s="517">
        <v>1974</v>
      </c>
      <c r="DB5" s="518">
        <v>1974</v>
      </c>
      <c r="DC5" s="517">
        <v>1978</v>
      </c>
      <c r="DD5" s="518">
        <v>1979</v>
      </c>
      <c r="DE5" s="517">
        <v>1987</v>
      </c>
      <c r="DF5" s="518">
        <v>1997</v>
      </c>
      <c r="DG5" s="517">
        <v>1989</v>
      </c>
      <c r="DH5" s="518">
        <v>2002</v>
      </c>
      <c r="DI5" s="517">
        <v>1998</v>
      </c>
      <c r="DJ5" s="518">
        <v>1997</v>
      </c>
      <c r="DK5" s="517">
        <v>2011</v>
      </c>
      <c r="DL5" s="691">
        <v>1981</v>
      </c>
      <c r="DM5" s="690">
        <v>1983</v>
      </c>
      <c r="DN5" s="691">
        <v>1995</v>
      </c>
      <c r="DO5" s="690">
        <v>1989</v>
      </c>
      <c r="DP5" s="518">
        <v>1979</v>
      </c>
      <c r="DQ5" s="517">
        <v>1993</v>
      </c>
      <c r="DR5" s="518">
        <v>1989</v>
      </c>
      <c r="DS5" s="517">
        <v>1989</v>
      </c>
      <c r="DT5" s="518">
        <v>2000</v>
      </c>
      <c r="DU5" s="518">
        <v>2000</v>
      </c>
      <c r="DV5" s="517">
        <v>1995</v>
      </c>
      <c r="DW5" s="690">
        <v>1994</v>
      </c>
      <c r="DX5" s="691">
        <v>1994</v>
      </c>
      <c r="DY5" s="517">
        <v>1995</v>
      </c>
      <c r="DZ5" s="518">
        <v>1995</v>
      </c>
      <c r="EA5" s="517">
        <v>2000</v>
      </c>
      <c r="EB5" s="691">
        <v>1998</v>
      </c>
      <c r="EC5" s="517">
        <v>1996</v>
      </c>
      <c r="ED5" s="691">
        <v>2003</v>
      </c>
      <c r="EE5" s="690">
        <v>2003</v>
      </c>
      <c r="EF5" s="517">
        <v>2007</v>
      </c>
      <c r="EG5" s="518">
        <v>2013</v>
      </c>
      <c r="EH5" s="517">
        <v>2016</v>
      </c>
      <c r="EI5" s="518">
        <v>1995</v>
      </c>
      <c r="EJ5" s="517">
        <v>1995</v>
      </c>
      <c r="EK5" s="518">
        <v>1997</v>
      </c>
      <c r="EL5" s="517"/>
      <c r="EM5" s="518">
        <v>2000</v>
      </c>
      <c r="EN5" s="518">
        <v>2002</v>
      </c>
      <c r="EO5" s="517"/>
      <c r="EP5" s="518"/>
      <c r="EQ5" s="517">
        <v>1984</v>
      </c>
      <c r="ER5" s="518">
        <v>1988</v>
      </c>
      <c r="ES5" s="517">
        <v>1995</v>
      </c>
      <c r="ET5" s="691">
        <v>2016</v>
      </c>
      <c r="EU5" s="690">
        <v>2016</v>
      </c>
      <c r="EV5" s="847">
        <v>2018</v>
      </c>
      <c r="EW5" s="690">
        <v>2018</v>
      </c>
      <c r="EX5" s="518">
        <v>2002</v>
      </c>
      <c r="EY5" s="517">
        <v>2008</v>
      </c>
      <c r="EZ5" s="518">
        <v>2006</v>
      </c>
      <c r="FA5" s="517">
        <v>2006</v>
      </c>
      <c r="FB5" s="517">
        <v>1999</v>
      </c>
      <c r="FC5" s="518">
        <v>2003</v>
      </c>
      <c r="FD5" s="517">
        <v>1997</v>
      </c>
      <c r="FE5" s="518">
        <v>1999</v>
      </c>
      <c r="FF5" s="518"/>
      <c r="FG5" s="517"/>
      <c r="FH5" s="518">
        <v>1964</v>
      </c>
      <c r="FI5" s="517">
        <v>1966</v>
      </c>
      <c r="FJ5" s="518"/>
      <c r="FK5" s="517">
        <v>1968</v>
      </c>
      <c r="FL5" s="518">
        <v>1968</v>
      </c>
      <c r="FM5" s="517"/>
      <c r="FN5" s="518"/>
      <c r="FO5" s="517"/>
      <c r="FP5" s="518"/>
      <c r="FQ5" s="517">
        <v>1977</v>
      </c>
      <c r="FR5" s="518"/>
      <c r="FS5" s="517"/>
      <c r="FT5" s="518">
        <v>1999</v>
      </c>
      <c r="FU5" s="517">
        <v>1998</v>
      </c>
      <c r="FV5" s="518">
        <v>2013</v>
      </c>
      <c r="FW5" s="517">
        <v>1957</v>
      </c>
      <c r="FX5" s="518">
        <v>1958</v>
      </c>
      <c r="FY5" s="517">
        <v>1957</v>
      </c>
      <c r="FZ5" s="518">
        <v>1966</v>
      </c>
      <c r="GA5" s="517"/>
      <c r="GB5" s="518">
        <v>1963</v>
      </c>
      <c r="GC5" s="517">
        <v>1979</v>
      </c>
      <c r="GD5" s="518">
        <v>1985</v>
      </c>
      <c r="GE5" s="517">
        <v>1970</v>
      </c>
      <c r="GF5" s="518">
        <v>1981</v>
      </c>
      <c r="GG5" s="517">
        <v>1988</v>
      </c>
      <c r="GH5" s="518">
        <v>1981</v>
      </c>
      <c r="GI5" s="517">
        <v>1993</v>
      </c>
      <c r="GJ5" s="518">
        <v>1973</v>
      </c>
      <c r="GK5" s="517">
        <v>1978</v>
      </c>
      <c r="GL5" s="518"/>
      <c r="GM5" s="517"/>
      <c r="GN5" s="518"/>
      <c r="GO5" s="517"/>
      <c r="GP5" s="518"/>
      <c r="GQ5" s="661">
        <v>2011</v>
      </c>
      <c r="GR5" s="679">
        <v>2016</v>
      </c>
      <c r="GS5" s="676">
        <v>1982</v>
      </c>
      <c r="GT5" s="679">
        <v>1992</v>
      </c>
      <c r="GU5" s="676"/>
      <c r="GV5" s="679"/>
      <c r="GW5" s="676"/>
      <c r="GX5" s="679">
        <v>2020</v>
      </c>
      <c r="GY5" s="754">
        <v>2004</v>
      </c>
      <c r="GZ5" s="755">
        <v>2005</v>
      </c>
      <c r="HA5" s="754">
        <v>2007</v>
      </c>
      <c r="HE5">
        <f>COUNTBLANK(E5:GX5)</f>
        <v>22</v>
      </c>
    </row>
    <row r="6" spans="1:213">
      <c r="A6" s="797" t="s">
        <v>1732</v>
      </c>
      <c r="B6" s="380" t="s">
        <v>17</v>
      </c>
      <c r="C6" s="521" t="s">
        <v>441</v>
      </c>
      <c r="D6" s="519"/>
      <c r="E6" s="517"/>
      <c r="F6" s="518"/>
      <c r="G6" s="517"/>
      <c r="H6" s="518"/>
      <c r="I6" s="517"/>
      <c r="J6" s="518"/>
      <c r="K6" s="517"/>
      <c r="L6" s="518"/>
      <c r="M6" s="517"/>
      <c r="N6" s="518"/>
      <c r="O6" s="517"/>
      <c r="P6" s="518"/>
      <c r="Q6" s="517"/>
      <c r="R6" s="518"/>
      <c r="S6" s="517"/>
      <c r="T6" s="518"/>
      <c r="U6" s="517"/>
      <c r="V6" s="518"/>
      <c r="W6" s="517" t="s">
        <v>1733</v>
      </c>
      <c r="X6" s="518"/>
      <c r="Y6" s="517"/>
      <c r="Z6" s="518"/>
      <c r="AA6" s="517"/>
      <c r="AB6" s="518"/>
      <c r="AC6" s="517"/>
      <c r="AD6" s="518" t="s">
        <v>1733</v>
      </c>
      <c r="AE6" s="517" t="s">
        <v>1733</v>
      </c>
      <c r="AF6" s="518"/>
      <c r="AG6" s="517"/>
      <c r="AH6" s="691"/>
      <c r="AI6" s="690"/>
      <c r="AJ6" s="518"/>
      <c r="AK6" s="517"/>
      <c r="AL6" s="518"/>
      <c r="AM6" s="517"/>
      <c r="AN6" s="518"/>
      <c r="AO6" s="517"/>
      <c r="AP6" s="518"/>
      <c r="AQ6" s="517"/>
      <c r="AR6" s="518"/>
      <c r="AS6" s="517"/>
      <c r="AT6" s="691" t="s">
        <v>1734</v>
      </c>
      <c r="AU6" s="517" t="s">
        <v>1735</v>
      </c>
      <c r="AV6" s="518"/>
      <c r="AW6" s="517"/>
      <c r="AX6" s="518"/>
      <c r="AY6" s="517"/>
      <c r="AZ6" s="518"/>
      <c r="BA6" s="517"/>
      <c r="BB6" s="691" t="s">
        <v>1734</v>
      </c>
      <c r="BC6" s="690" t="s">
        <v>1734</v>
      </c>
      <c r="BD6" s="518"/>
      <c r="BE6" s="690" t="s">
        <v>1734</v>
      </c>
      <c r="BF6" s="518"/>
      <c r="BG6" s="517"/>
      <c r="BH6" s="518"/>
      <c r="BI6" s="517"/>
      <c r="BJ6" s="518"/>
      <c r="BK6" s="690" t="s">
        <v>1734</v>
      </c>
      <c r="BL6" s="518"/>
      <c r="BM6" s="517"/>
      <c r="BN6" s="691" t="s">
        <v>1734</v>
      </c>
      <c r="BO6" s="517"/>
      <c r="BP6" s="518"/>
      <c r="BQ6" s="517"/>
      <c r="BR6" s="518"/>
      <c r="BS6" s="517" t="s">
        <v>1736</v>
      </c>
      <c r="BT6" s="518"/>
      <c r="BU6" s="517" t="s">
        <v>1736</v>
      </c>
      <c r="BV6" s="518" t="s">
        <v>1736</v>
      </c>
      <c r="BW6" s="517" t="s">
        <v>1736</v>
      </c>
      <c r="BX6" s="518"/>
      <c r="BY6" s="517"/>
      <c r="BZ6" s="517"/>
      <c r="CA6" s="812"/>
      <c r="CB6" s="517"/>
      <c r="CC6" s="518"/>
      <c r="CD6" s="517"/>
      <c r="CE6" s="518"/>
      <c r="CF6" s="517"/>
      <c r="CG6" s="518"/>
      <c r="CH6" s="517"/>
      <c r="CI6" s="518"/>
      <c r="CJ6" s="517"/>
      <c r="CK6" s="518"/>
      <c r="CL6" s="517"/>
      <c r="CM6" s="518"/>
      <c r="CN6" s="517"/>
      <c r="CO6" s="518"/>
      <c r="CP6" s="518"/>
      <c r="CQ6" s="517"/>
      <c r="CR6" s="518"/>
      <c r="CS6" s="517"/>
      <c r="CT6" s="518"/>
      <c r="CU6" s="517"/>
      <c r="CV6" s="518"/>
      <c r="CW6" s="517"/>
      <c r="CX6" s="518"/>
      <c r="CY6" s="517"/>
      <c r="CZ6" s="518"/>
      <c r="DA6" s="517"/>
      <c r="DB6" s="518"/>
      <c r="DC6" s="517"/>
      <c r="DD6" s="518"/>
      <c r="DE6" s="517"/>
      <c r="DF6" s="518" t="s">
        <v>1733</v>
      </c>
      <c r="DG6" s="517"/>
      <c r="DH6" s="518"/>
      <c r="DI6" s="517" t="s">
        <v>1733</v>
      </c>
      <c r="DJ6" s="518"/>
      <c r="DK6" s="517"/>
      <c r="DL6" s="691"/>
      <c r="DM6" s="690" t="s">
        <v>1737</v>
      </c>
      <c r="DN6" s="691" t="s">
        <v>1737</v>
      </c>
      <c r="DO6" s="690"/>
      <c r="DP6" s="518"/>
      <c r="DQ6" s="517"/>
      <c r="DR6" s="518"/>
      <c r="DS6" s="517"/>
      <c r="DT6" s="518" t="s">
        <v>819</v>
      </c>
      <c r="DU6" s="518"/>
      <c r="DV6" s="517"/>
      <c r="DW6" s="690" t="s">
        <v>1738</v>
      </c>
      <c r="DX6" s="691" t="s">
        <v>1738</v>
      </c>
      <c r="DY6" s="517" t="s">
        <v>1739</v>
      </c>
      <c r="DZ6" s="518" t="s">
        <v>1740</v>
      </c>
      <c r="EA6" s="517"/>
      <c r="EB6" s="691" t="s">
        <v>1738</v>
      </c>
      <c r="EC6" s="517" t="s">
        <v>1741</v>
      </c>
      <c r="ED6" s="691"/>
      <c r="EE6" s="690"/>
      <c r="EF6" s="517"/>
      <c r="EG6" s="518"/>
      <c r="EH6" s="517"/>
      <c r="EI6" s="518"/>
      <c r="EJ6" s="517"/>
      <c r="EK6" s="518"/>
      <c r="EL6" s="517"/>
      <c r="EM6" s="518"/>
      <c r="EN6" s="518"/>
      <c r="EO6" s="517"/>
      <c r="EP6" s="518"/>
      <c r="EQ6" s="517"/>
      <c r="ER6" s="518"/>
      <c r="ES6" s="517"/>
      <c r="ET6" s="691" t="s">
        <v>1742</v>
      </c>
      <c r="EU6" s="690" t="s">
        <v>1742</v>
      </c>
      <c r="EV6" s="847" t="s">
        <v>1742</v>
      </c>
      <c r="EW6" s="690" t="s">
        <v>1742</v>
      </c>
      <c r="EX6" s="518"/>
      <c r="EY6" s="517"/>
      <c r="EZ6" s="518"/>
      <c r="FA6" s="517"/>
      <c r="FB6" s="517"/>
      <c r="FC6" s="518"/>
      <c r="FD6" s="517"/>
      <c r="FE6" s="518"/>
      <c r="FF6" s="518"/>
      <c r="FG6" s="517"/>
      <c r="FH6" s="518"/>
      <c r="FI6" s="517"/>
      <c r="FJ6" s="518"/>
      <c r="FK6" s="517"/>
      <c r="FL6" s="518"/>
      <c r="FM6" s="517"/>
      <c r="FN6" s="518"/>
      <c r="FO6" s="517"/>
      <c r="FP6" s="518"/>
      <c r="FQ6" s="517"/>
      <c r="FR6" s="518"/>
      <c r="FS6" s="517"/>
      <c r="FT6" s="518" t="s">
        <v>1743</v>
      </c>
      <c r="FU6" s="517" t="s">
        <v>1744</v>
      </c>
      <c r="FV6" s="518" t="s">
        <v>1745</v>
      </c>
      <c r="FW6" s="517"/>
      <c r="FX6" s="518"/>
      <c r="FY6" s="517"/>
      <c r="FZ6" s="518"/>
      <c r="GA6" s="517"/>
      <c r="GB6" s="518"/>
      <c r="GC6" s="517"/>
      <c r="GD6" s="518"/>
      <c r="GE6" s="517"/>
      <c r="GF6" s="518"/>
      <c r="GG6" s="517"/>
      <c r="GH6" s="518"/>
      <c r="GI6" s="517"/>
      <c r="GJ6" s="518"/>
      <c r="GK6" s="517"/>
      <c r="GL6" s="518"/>
      <c r="GM6" s="517"/>
      <c r="GN6" s="518"/>
      <c r="GO6" s="517"/>
      <c r="GP6" s="518"/>
      <c r="GQ6" s="661"/>
      <c r="GR6" s="679"/>
      <c r="GS6" s="676"/>
      <c r="GT6" s="679"/>
      <c r="GU6" s="676"/>
      <c r="GV6" s="679"/>
      <c r="GW6" s="676"/>
      <c r="GX6" s="679"/>
      <c r="GY6" s="754"/>
      <c r="GZ6" s="755"/>
      <c r="HA6" s="754"/>
    </row>
    <row r="7" spans="1:213" s="380" customFormat="1" ht="39" customHeight="1">
      <c r="A7" s="797" t="s">
        <v>900</v>
      </c>
      <c r="B7" s="380" t="s">
        <v>901</v>
      </c>
      <c r="C7" s="521" t="s">
        <v>900</v>
      </c>
      <c r="D7" s="793"/>
      <c r="E7" s="521" t="s">
        <v>1746</v>
      </c>
      <c r="F7" s="522" t="s">
        <v>1746</v>
      </c>
      <c r="G7" s="521" t="s">
        <v>1746</v>
      </c>
      <c r="H7" s="522" t="s">
        <v>1747</v>
      </c>
      <c r="I7" s="521" t="s">
        <v>1747</v>
      </c>
      <c r="J7" s="522" t="s">
        <v>1747</v>
      </c>
      <c r="K7" s="521" t="s">
        <v>1747</v>
      </c>
      <c r="L7" s="522" t="s">
        <v>1747</v>
      </c>
      <c r="M7" s="521" t="s">
        <v>1747</v>
      </c>
      <c r="N7" s="522" t="s">
        <v>1747</v>
      </c>
      <c r="O7" s="521" t="s">
        <v>1748</v>
      </c>
      <c r="P7" s="522" t="s">
        <v>1748</v>
      </c>
      <c r="Q7" s="521" t="s">
        <v>1748</v>
      </c>
      <c r="R7" s="522" t="s">
        <v>1748</v>
      </c>
      <c r="S7" s="521" t="s">
        <v>1749</v>
      </c>
      <c r="T7" s="522" t="s">
        <v>1750</v>
      </c>
      <c r="U7" s="521" t="s">
        <v>1750</v>
      </c>
      <c r="V7" s="522" t="s">
        <v>1751</v>
      </c>
      <c r="W7" s="521" t="s">
        <v>1752</v>
      </c>
      <c r="X7" s="522" t="s">
        <v>1750</v>
      </c>
      <c r="Y7" s="521" t="s">
        <v>1750</v>
      </c>
      <c r="Z7" s="522" t="s">
        <v>1750</v>
      </c>
      <c r="AA7" s="521" t="s">
        <v>1751</v>
      </c>
      <c r="AB7" s="522" t="s">
        <v>1751</v>
      </c>
      <c r="AC7" s="521" t="s">
        <v>1750</v>
      </c>
      <c r="AD7" s="522" t="s">
        <v>1752</v>
      </c>
      <c r="AE7" s="521" t="s">
        <v>1752</v>
      </c>
      <c r="AF7" s="522" t="s">
        <v>1746</v>
      </c>
      <c r="AG7" s="521" t="s">
        <v>1746</v>
      </c>
      <c r="AH7" s="694" t="s">
        <v>1753</v>
      </c>
      <c r="AI7" s="693" t="s">
        <v>1753</v>
      </c>
      <c r="AJ7" s="522" t="s">
        <v>1746</v>
      </c>
      <c r="AK7" s="521" t="s">
        <v>1746</v>
      </c>
      <c r="AL7" s="522" t="s">
        <v>1746</v>
      </c>
      <c r="AM7" s="521" t="s">
        <v>1746</v>
      </c>
      <c r="AN7" s="522" t="s">
        <v>1746</v>
      </c>
      <c r="AO7" s="521" t="s">
        <v>1754</v>
      </c>
      <c r="AP7" s="522" t="s">
        <v>1754</v>
      </c>
      <c r="AQ7" s="521" t="s">
        <v>1754</v>
      </c>
      <c r="AR7" s="522" t="s">
        <v>1746</v>
      </c>
      <c r="AS7" s="521" t="s">
        <v>1746</v>
      </c>
      <c r="AT7" s="694" t="s">
        <v>1755</v>
      </c>
      <c r="AU7" s="521" t="s">
        <v>1746</v>
      </c>
      <c r="AV7" s="522" t="s">
        <v>1746</v>
      </c>
      <c r="AW7" s="521" t="s">
        <v>1746</v>
      </c>
      <c r="AX7" s="522" t="s">
        <v>1746</v>
      </c>
      <c r="AY7" s="521"/>
      <c r="AZ7" s="522"/>
      <c r="BA7" s="521"/>
      <c r="BB7" s="694" t="s">
        <v>1755</v>
      </c>
      <c r="BC7" s="693" t="s">
        <v>1755</v>
      </c>
      <c r="BD7" s="705" t="s">
        <v>1746</v>
      </c>
      <c r="BE7" s="693" t="s">
        <v>1755</v>
      </c>
      <c r="BF7" s="522" t="s">
        <v>1746</v>
      </c>
      <c r="BG7" s="521" t="s">
        <v>1746</v>
      </c>
      <c r="BH7" s="522"/>
      <c r="BI7" s="521" t="s">
        <v>1746</v>
      </c>
      <c r="BJ7" s="522"/>
      <c r="BK7" s="693" t="s">
        <v>1755</v>
      </c>
      <c r="BL7" s="522" t="s">
        <v>1746</v>
      </c>
      <c r="BM7" s="521" t="s">
        <v>1746</v>
      </c>
      <c r="BN7" s="694" t="s">
        <v>1755</v>
      </c>
      <c r="BO7" s="521" t="s">
        <v>1746</v>
      </c>
      <c r="BP7" s="522" t="s">
        <v>1756</v>
      </c>
      <c r="BQ7" s="521" t="s">
        <v>1756</v>
      </c>
      <c r="BR7" s="522" t="s">
        <v>1756</v>
      </c>
      <c r="BS7" s="521" t="s">
        <v>1757</v>
      </c>
      <c r="BT7" s="522" t="s">
        <v>1758</v>
      </c>
      <c r="BU7" s="521" t="s">
        <v>1757</v>
      </c>
      <c r="BV7" s="522" t="s">
        <v>1757</v>
      </c>
      <c r="BW7" s="521" t="s">
        <v>1757</v>
      </c>
      <c r="BX7" s="522" t="s">
        <v>1758</v>
      </c>
      <c r="BY7" s="521" t="s">
        <v>1758</v>
      </c>
      <c r="BZ7" s="521" t="s">
        <v>1759</v>
      </c>
      <c r="CA7" s="813"/>
      <c r="CB7" s="521" t="s">
        <v>1760</v>
      </c>
      <c r="CC7" s="522" t="s">
        <v>1761</v>
      </c>
      <c r="CD7" s="521" t="s">
        <v>1760</v>
      </c>
      <c r="CE7" s="522" t="s">
        <v>1760</v>
      </c>
      <c r="CF7" s="521" t="s">
        <v>1762</v>
      </c>
      <c r="CG7" s="522" t="s">
        <v>1762</v>
      </c>
      <c r="CH7" s="521" t="s">
        <v>1763</v>
      </c>
      <c r="CI7" s="522" t="s">
        <v>1764</v>
      </c>
      <c r="CJ7" s="521" t="s">
        <v>1763</v>
      </c>
      <c r="CK7" s="522" t="s">
        <v>1764</v>
      </c>
      <c r="CL7" s="521" t="s">
        <v>1746</v>
      </c>
      <c r="CM7" s="522" t="s">
        <v>1746</v>
      </c>
      <c r="CN7" s="521" t="s">
        <v>1746</v>
      </c>
      <c r="CO7" s="522" t="s">
        <v>1746</v>
      </c>
      <c r="CP7" s="522" t="s">
        <v>1746</v>
      </c>
      <c r="CQ7" s="521" t="s">
        <v>1746</v>
      </c>
      <c r="CR7" s="522" t="s">
        <v>1765</v>
      </c>
      <c r="CS7" s="521" t="s">
        <v>1766</v>
      </c>
      <c r="CT7" s="522" t="s">
        <v>1750</v>
      </c>
      <c r="CU7" s="521" t="s">
        <v>1765</v>
      </c>
      <c r="CV7" s="522" t="s">
        <v>1765</v>
      </c>
      <c r="CW7" s="521" t="s">
        <v>1765</v>
      </c>
      <c r="CX7" s="522" t="s">
        <v>1767</v>
      </c>
      <c r="CY7" s="521" t="s">
        <v>1766</v>
      </c>
      <c r="CZ7" s="522" t="s">
        <v>1749</v>
      </c>
      <c r="DA7" s="521" t="s">
        <v>1765</v>
      </c>
      <c r="DB7" s="522" t="s">
        <v>1768</v>
      </c>
      <c r="DC7" s="521" t="s">
        <v>1749</v>
      </c>
      <c r="DD7" s="522" t="s">
        <v>1766</v>
      </c>
      <c r="DE7" s="521" t="s">
        <v>1750</v>
      </c>
      <c r="DF7" s="522" t="s">
        <v>1752</v>
      </c>
      <c r="DG7" s="521" t="s">
        <v>1766</v>
      </c>
      <c r="DH7" s="522" t="s">
        <v>1750</v>
      </c>
      <c r="DI7" s="521" t="s">
        <v>1752</v>
      </c>
      <c r="DJ7" s="522" t="s">
        <v>1766</v>
      </c>
      <c r="DK7" s="521" t="s">
        <v>1769</v>
      </c>
      <c r="DL7" s="694" t="s">
        <v>1770</v>
      </c>
      <c r="DM7" s="693" t="s">
        <v>1771</v>
      </c>
      <c r="DN7" s="694" t="s">
        <v>1771</v>
      </c>
      <c r="DO7" s="693" t="s">
        <v>1770</v>
      </c>
      <c r="DP7" s="522" t="s">
        <v>1772</v>
      </c>
      <c r="DQ7" s="521" t="s">
        <v>1750</v>
      </c>
      <c r="DR7" s="522"/>
      <c r="DS7" s="521" t="s">
        <v>1750</v>
      </c>
      <c r="DT7" s="522" t="s">
        <v>1750</v>
      </c>
      <c r="DU7" s="522" t="s">
        <v>1750</v>
      </c>
      <c r="DV7" s="521" t="s">
        <v>1773</v>
      </c>
      <c r="DW7" s="693" t="s">
        <v>1774</v>
      </c>
      <c r="DX7" s="694" t="s">
        <v>1774</v>
      </c>
      <c r="DY7" s="521" t="s">
        <v>1775</v>
      </c>
      <c r="DZ7" s="522" t="s">
        <v>1775</v>
      </c>
      <c r="EA7" s="521" t="s">
        <v>1776</v>
      </c>
      <c r="EB7" s="694" t="s">
        <v>1774</v>
      </c>
      <c r="EC7" s="521" t="s">
        <v>1775</v>
      </c>
      <c r="ED7" s="694" t="s">
        <v>1777</v>
      </c>
      <c r="EE7" s="693" t="s">
        <v>1776</v>
      </c>
      <c r="EF7" s="521" t="s">
        <v>1747</v>
      </c>
      <c r="EG7" s="522" t="s">
        <v>1747</v>
      </c>
      <c r="EH7" s="521" t="s">
        <v>1747</v>
      </c>
      <c r="EI7" s="522"/>
      <c r="EJ7" s="521"/>
      <c r="EK7" s="522"/>
      <c r="EL7" s="521"/>
      <c r="EM7" s="522" t="s">
        <v>1750</v>
      </c>
      <c r="EN7" s="522" t="s">
        <v>1750</v>
      </c>
      <c r="EO7" s="521"/>
      <c r="EP7" s="522"/>
      <c r="EQ7" s="521" t="s">
        <v>1778</v>
      </c>
      <c r="ER7" s="522" t="s">
        <v>1778</v>
      </c>
      <c r="ES7" s="521" t="s">
        <v>1778</v>
      </c>
      <c r="ET7" s="694" t="s">
        <v>1755</v>
      </c>
      <c r="EU7" s="693" t="s">
        <v>1755</v>
      </c>
      <c r="EV7" s="849" t="s">
        <v>1755</v>
      </c>
      <c r="EW7" s="693" t="s">
        <v>1755</v>
      </c>
      <c r="EX7" s="522" t="s">
        <v>1779</v>
      </c>
      <c r="EY7" s="521" t="s">
        <v>1779</v>
      </c>
      <c r="EZ7" s="522" t="s">
        <v>1750</v>
      </c>
      <c r="FA7" s="521" t="s">
        <v>1779</v>
      </c>
      <c r="FB7" s="521"/>
      <c r="FC7" s="522"/>
      <c r="FD7" s="521"/>
      <c r="FE7" s="522"/>
      <c r="FF7" s="522"/>
      <c r="FG7" s="521"/>
      <c r="FH7" s="522" t="s">
        <v>1761</v>
      </c>
      <c r="FI7" s="521" t="s">
        <v>1761</v>
      </c>
      <c r="FJ7" s="518" t="s">
        <v>1780</v>
      </c>
      <c r="FK7" s="521" t="s">
        <v>1761</v>
      </c>
      <c r="FL7" s="522" t="s">
        <v>1761</v>
      </c>
      <c r="FM7" s="517" t="s">
        <v>1781</v>
      </c>
      <c r="FN7" s="518" t="s">
        <v>1781</v>
      </c>
      <c r="FO7" s="517" t="s">
        <v>1781</v>
      </c>
      <c r="FP7" s="518" t="s">
        <v>1781</v>
      </c>
      <c r="FQ7" s="521" t="s">
        <v>1761</v>
      </c>
      <c r="FR7" s="518" t="s">
        <v>1781</v>
      </c>
      <c r="FS7" s="521"/>
      <c r="FT7" s="522"/>
      <c r="FU7" s="521"/>
      <c r="FV7" s="522"/>
      <c r="FW7" s="521"/>
      <c r="FX7" s="522" t="s">
        <v>1782</v>
      </c>
      <c r="FY7" s="521" t="s">
        <v>1783</v>
      </c>
      <c r="FZ7" s="522" t="s">
        <v>1784</v>
      </c>
      <c r="GA7" s="521" t="s">
        <v>1785</v>
      </c>
      <c r="GB7" s="522" t="s">
        <v>1786</v>
      </c>
      <c r="GC7" s="521" t="s">
        <v>1787</v>
      </c>
      <c r="GD7" s="522" t="s">
        <v>1788</v>
      </c>
      <c r="GE7" s="521" t="s">
        <v>1789</v>
      </c>
      <c r="GF7" s="522"/>
      <c r="GG7" s="521" t="s">
        <v>1790</v>
      </c>
      <c r="GH7" s="522"/>
      <c r="GI7" s="521"/>
      <c r="GJ7" s="522" t="s">
        <v>1766</v>
      </c>
      <c r="GK7" s="521" t="s">
        <v>1766</v>
      </c>
      <c r="GL7" s="522" t="s">
        <v>1761</v>
      </c>
      <c r="GM7" s="521" t="s">
        <v>1761</v>
      </c>
      <c r="GN7" s="522"/>
      <c r="GO7" s="521"/>
      <c r="GP7" s="522"/>
      <c r="GQ7" s="663" t="s">
        <v>1791</v>
      </c>
      <c r="GR7" s="680" t="s">
        <v>1792</v>
      </c>
      <c r="GS7" s="677"/>
      <c r="GT7" s="680"/>
      <c r="GU7" s="677"/>
      <c r="GV7" s="680"/>
      <c r="GW7" s="677"/>
      <c r="GX7" s="680" t="s">
        <v>1750</v>
      </c>
      <c r="GY7" s="677" t="s">
        <v>1793</v>
      </c>
      <c r="GZ7" s="680" t="s">
        <v>1793</v>
      </c>
      <c r="HA7" s="677" t="s">
        <v>1794</v>
      </c>
    </row>
    <row r="8" spans="1:213" s="380" customFormat="1" ht="15" customHeight="1">
      <c r="A8" s="797" t="s">
        <v>1795</v>
      </c>
      <c r="B8" s="380" t="s">
        <v>898</v>
      </c>
      <c r="C8" s="521" t="s">
        <v>1218</v>
      </c>
      <c r="D8" s="793"/>
      <c r="E8" s="521"/>
      <c r="F8" s="522"/>
      <c r="G8" s="521"/>
      <c r="H8" s="522"/>
      <c r="I8" s="521"/>
      <c r="J8" s="522"/>
      <c r="K8" s="521"/>
      <c r="L8" s="522"/>
      <c r="M8" s="521"/>
      <c r="N8" s="522"/>
      <c r="O8" s="521"/>
      <c r="P8" s="522"/>
      <c r="Q8" s="521"/>
      <c r="R8" s="522"/>
      <c r="S8" s="521"/>
      <c r="T8" s="522"/>
      <c r="U8" s="521"/>
      <c r="V8" s="522"/>
      <c r="W8" s="521"/>
      <c r="X8" s="522"/>
      <c r="Y8" s="521"/>
      <c r="Z8" s="522"/>
      <c r="AA8" s="521"/>
      <c r="AB8" s="522"/>
      <c r="AC8" s="521"/>
      <c r="AD8" s="522"/>
      <c r="AE8" s="521"/>
      <c r="AF8" s="522"/>
      <c r="AG8" s="521"/>
      <c r="AH8" s="694"/>
      <c r="AI8" s="693"/>
      <c r="AJ8" s="522"/>
      <c r="AK8" s="521"/>
      <c r="AL8" s="522"/>
      <c r="AM8" s="521"/>
      <c r="AN8" s="522"/>
      <c r="AO8" s="521"/>
      <c r="AP8" s="522"/>
      <c r="AQ8" s="521"/>
      <c r="AR8" s="522"/>
      <c r="AS8" s="521"/>
      <c r="AT8" s="694"/>
      <c r="AU8" s="521"/>
      <c r="AV8" s="522"/>
      <c r="AW8" s="521"/>
      <c r="AX8" s="522"/>
      <c r="AY8" s="521"/>
      <c r="AZ8" s="522"/>
      <c r="BA8" s="521"/>
      <c r="BB8" s="694"/>
      <c r="BC8" s="693"/>
      <c r="BD8" s="522"/>
      <c r="BE8" s="693"/>
      <c r="BF8" s="522"/>
      <c r="BG8" s="521"/>
      <c r="BH8" s="522"/>
      <c r="BI8" s="521"/>
      <c r="BJ8" s="522"/>
      <c r="BK8" s="693"/>
      <c r="BL8" s="522"/>
      <c r="BM8" s="521"/>
      <c r="BN8" s="694"/>
      <c r="BO8" s="521"/>
      <c r="BP8" s="522"/>
      <c r="BQ8" s="521"/>
      <c r="BR8" s="522"/>
      <c r="BS8" s="521"/>
      <c r="BT8" s="522"/>
      <c r="BU8" s="521"/>
      <c r="BV8" s="522"/>
      <c r="BW8" s="521"/>
      <c r="BX8" s="522"/>
      <c r="BY8" s="521"/>
      <c r="BZ8" s="521"/>
      <c r="CA8" s="813"/>
      <c r="CB8" s="521"/>
      <c r="CC8" s="522"/>
      <c r="CD8" s="521"/>
      <c r="CE8" s="522"/>
      <c r="CF8" s="521"/>
      <c r="CG8" s="522"/>
      <c r="CH8" s="521"/>
      <c r="CI8" s="522"/>
      <c r="CJ8" s="521"/>
      <c r="CK8" s="522"/>
      <c r="CL8" s="521"/>
      <c r="CM8" s="522"/>
      <c r="CN8" s="521"/>
      <c r="CO8" s="522"/>
      <c r="CP8" s="522"/>
      <c r="CQ8" s="521"/>
      <c r="CR8" s="522"/>
      <c r="CS8" s="521"/>
      <c r="CT8" s="522"/>
      <c r="CU8" s="521"/>
      <c r="CV8" s="522"/>
      <c r="CW8" s="521"/>
      <c r="CX8" s="522"/>
      <c r="CY8" s="521"/>
      <c r="CZ8" s="522"/>
      <c r="DA8" s="521"/>
      <c r="DB8" s="522"/>
      <c r="DC8" s="521"/>
      <c r="DD8" s="522"/>
      <c r="DE8" s="521"/>
      <c r="DF8" s="522"/>
      <c r="DG8" s="521"/>
      <c r="DH8" s="522"/>
      <c r="DI8" s="521"/>
      <c r="DJ8" s="522"/>
      <c r="DK8" s="521"/>
      <c r="DL8" s="694"/>
      <c r="DM8" s="693"/>
      <c r="DN8" s="694"/>
      <c r="DO8" s="693"/>
      <c r="DP8" s="522"/>
      <c r="DQ8" s="521"/>
      <c r="DR8" s="522"/>
      <c r="DS8" s="521"/>
      <c r="DT8" s="522"/>
      <c r="DU8" s="522"/>
      <c r="DV8" s="521"/>
      <c r="DW8" s="693"/>
      <c r="DX8" s="694"/>
      <c r="DY8" s="521"/>
      <c r="DZ8" s="522"/>
      <c r="EA8" s="521"/>
      <c r="EB8" s="694"/>
      <c r="EC8" s="521"/>
      <c r="ED8" s="694"/>
      <c r="EE8" s="693"/>
      <c r="EF8" s="521"/>
      <c r="EG8" s="522"/>
      <c r="EH8" s="521"/>
      <c r="EI8" s="522"/>
      <c r="EJ8" s="521"/>
      <c r="EK8" s="522"/>
      <c r="EL8" s="521"/>
      <c r="EM8" s="522"/>
      <c r="EN8" s="522"/>
      <c r="EO8" s="521"/>
      <c r="EP8" s="522"/>
      <c r="EQ8" s="521"/>
      <c r="ER8" s="522"/>
      <c r="ES8" s="521"/>
      <c r="ET8" s="694"/>
      <c r="EU8" s="693"/>
      <c r="EV8" s="849"/>
      <c r="EW8" s="693"/>
      <c r="EX8" s="522"/>
      <c r="EY8" s="521"/>
      <c r="EZ8" s="522"/>
      <c r="FA8" s="521"/>
      <c r="FB8" s="521"/>
      <c r="FC8" s="522"/>
      <c r="FD8" s="521"/>
      <c r="FE8" s="522"/>
      <c r="FF8" s="522"/>
      <c r="FG8" s="521"/>
      <c r="FH8" s="522"/>
      <c r="FI8" s="521"/>
      <c r="FJ8" s="522"/>
      <c r="FK8" s="521"/>
      <c r="FL8" s="522"/>
      <c r="FM8" s="521"/>
      <c r="FN8" s="522"/>
      <c r="FO8" s="521"/>
      <c r="FP8" s="522"/>
      <c r="FQ8" s="521"/>
      <c r="FR8" s="522"/>
      <c r="FS8" s="521"/>
      <c r="FT8" s="522"/>
      <c r="FU8" s="521"/>
      <c r="FV8" s="522"/>
      <c r="FW8" s="521"/>
      <c r="FX8" s="522"/>
      <c r="FY8" s="521"/>
      <c r="FZ8" s="522"/>
      <c r="GA8" s="521"/>
      <c r="GB8" s="522"/>
      <c r="GC8" s="521"/>
      <c r="GD8" s="522"/>
      <c r="GE8" s="521"/>
      <c r="GF8" s="522"/>
      <c r="GG8" s="521"/>
      <c r="GH8" s="522"/>
      <c r="GI8" s="521"/>
      <c r="GJ8" s="522"/>
      <c r="GK8" s="521"/>
      <c r="GL8" s="522"/>
      <c r="GM8" s="521"/>
      <c r="GN8" s="522"/>
      <c r="GO8" s="521"/>
      <c r="GP8" s="522"/>
      <c r="GQ8" s="663"/>
      <c r="GR8" s="680"/>
      <c r="GS8" s="677"/>
      <c r="GT8" s="680"/>
      <c r="GU8" s="677"/>
      <c r="GV8" s="680"/>
      <c r="GW8" s="677"/>
      <c r="GX8" s="680"/>
      <c r="GY8" s="677"/>
      <c r="GZ8" s="680"/>
      <c r="HA8" s="677"/>
    </row>
    <row r="9" spans="1:213" ht="15" customHeight="1">
      <c r="A9" s="798" t="s">
        <v>1260</v>
      </c>
      <c r="B9" s="534"/>
      <c r="C9" s="658"/>
      <c r="D9" s="519"/>
      <c r="E9" s="533"/>
      <c r="F9" s="533"/>
      <c r="G9" s="533"/>
      <c r="H9" s="533"/>
      <c r="I9" s="533"/>
      <c r="J9" s="533"/>
      <c r="K9" s="533"/>
      <c r="L9" s="533"/>
      <c r="M9" s="533"/>
      <c r="N9" s="533"/>
      <c r="O9" s="533"/>
      <c r="P9" s="533"/>
      <c r="Q9" s="533"/>
      <c r="R9" s="533"/>
      <c r="S9" s="533"/>
      <c r="T9" s="533"/>
      <c r="U9" s="533"/>
      <c r="V9" s="533"/>
      <c r="W9" s="533"/>
      <c r="X9" s="533"/>
      <c r="Y9" s="533"/>
      <c r="Z9" s="533"/>
      <c r="AA9" s="533"/>
      <c r="AB9" s="533"/>
      <c r="AC9" s="533"/>
      <c r="AD9" s="533"/>
      <c r="AE9" s="533"/>
      <c r="AF9" s="533"/>
      <c r="AG9" s="533"/>
      <c r="AH9" s="695"/>
      <c r="AI9" s="695"/>
      <c r="AJ9" s="533"/>
      <c r="AK9" s="533"/>
      <c r="AL9" s="533"/>
      <c r="AM9" s="533"/>
      <c r="AN9" s="533"/>
      <c r="AO9" s="533"/>
      <c r="AP9" s="533"/>
      <c r="AQ9" s="533"/>
      <c r="AR9" s="533"/>
      <c r="AS9" s="533"/>
      <c r="AT9" s="695"/>
      <c r="AU9" s="533"/>
      <c r="AV9" s="533"/>
      <c r="AW9" s="533"/>
      <c r="AX9" s="533"/>
      <c r="AY9" s="533"/>
      <c r="AZ9" s="533"/>
      <c r="BA9" s="533"/>
      <c r="BB9" s="695"/>
      <c r="BC9" s="695"/>
      <c r="BD9" s="533"/>
      <c r="BE9" s="695"/>
      <c r="BF9" s="533"/>
      <c r="BG9" s="533"/>
      <c r="BH9" s="533"/>
      <c r="BI9" s="533"/>
      <c r="BJ9" s="533"/>
      <c r="BK9" s="695"/>
      <c r="BL9" s="533"/>
      <c r="BM9" s="533"/>
      <c r="BN9" s="695"/>
      <c r="BO9" s="533"/>
      <c r="BP9" s="533"/>
      <c r="BQ9" s="533"/>
      <c r="BR9" s="533"/>
      <c r="BS9" s="533"/>
      <c r="BT9" s="533"/>
      <c r="BU9" s="533"/>
      <c r="BV9" s="533"/>
      <c r="BW9" s="533"/>
      <c r="BX9" s="533"/>
      <c r="BY9" s="533"/>
      <c r="BZ9" s="533"/>
      <c r="CA9" s="533"/>
      <c r="CB9" s="533"/>
      <c r="CC9" s="533"/>
      <c r="CD9" s="533"/>
      <c r="CE9" s="533"/>
      <c r="CF9" s="533"/>
      <c r="CG9" s="533"/>
      <c r="CH9" s="533"/>
      <c r="CI9" s="533"/>
      <c r="CJ9" s="533"/>
      <c r="CK9" s="533"/>
      <c r="CL9" s="533"/>
      <c r="CM9" s="533"/>
      <c r="CN9" s="533"/>
      <c r="CO9" s="533"/>
      <c r="CP9" s="533"/>
      <c r="CQ9" s="533"/>
      <c r="CR9" s="533"/>
      <c r="CS9" s="533"/>
      <c r="CT9" s="533"/>
      <c r="CU9" s="533"/>
      <c r="CV9" s="533"/>
      <c r="CW9" s="533"/>
      <c r="CX9" s="533"/>
      <c r="CY9" s="533"/>
      <c r="CZ9" s="533"/>
      <c r="DA9" s="533"/>
      <c r="DB9" s="533"/>
      <c r="DC9" s="533"/>
      <c r="DD9" s="533"/>
      <c r="DE9" s="533"/>
      <c r="DF9" s="533"/>
      <c r="DG9" s="533"/>
      <c r="DH9" s="533"/>
      <c r="DI9" s="533"/>
      <c r="DJ9" s="533"/>
      <c r="DK9" s="683"/>
      <c r="DL9" s="695"/>
      <c r="DM9" s="695"/>
      <c r="DN9" s="695"/>
      <c r="DO9" s="695"/>
      <c r="DP9" s="533"/>
      <c r="DQ9" s="533"/>
      <c r="DR9" s="533"/>
      <c r="DS9" s="533"/>
      <c r="DT9" s="533"/>
      <c r="DU9" s="533"/>
      <c r="DV9" s="533"/>
      <c r="DW9" s="695"/>
      <c r="DX9" s="695"/>
      <c r="DY9" s="533"/>
      <c r="DZ9" s="533"/>
      <c r="EA9" s="533"/>
      <c r="EB9" s="695"/>
      <c r="EC9" s="533"/>
      <c r="ED9" s="695"/>
      <c r="EE9" s="695"/>
      <c r="EF9" s="533"/>
      <c r="EG9" s="533"/>
      <c r="EH9" s="533"/>
      <c r="EI9" s="533"/>
      <c r="EJ9" s="533"/>
      <c r="EK9" s="533"/>
      <c r="EL9" s="533"/>
      <c r="EM9" s="533"/>
      <c r="EN9" s="533"/>
      <c r="EO9" s="533"/>
      <c r="EP9" s="533"/>
      <c r="EQ9" s="533"/>
      <c r="ER9" s="533"/>
      <c r="ES9" s="533"/>
      <c r="ET9" s="695"/>
      <c r="EU9" s="695"/>
      <c r="EV9" s="850"/>
      <c r="EW9" s="695"/>
      <c r="EX9" s="533"/>
      <c r="EY9" s="533"/>
      <c r="EZ9" s="533"/>
      <c r="FA9" s="533"/>
      <c r="FB9" s="533"/>
      <c r="FC9" s="533"/>
      <c r="FD9" s="533"/>
      <c r="FE9" s="533"/>
      <c r="FF9" s="533"/>
      <c r="FG9" s="533"/>
      <c r="FH9" s="533"/>
      <c r="FI9" s="533"/>
      <c r="FJ9" s="533"/>
      <c r="FK9" s="533"/>
      <c r="FL9" s="533"/>
      <c r="FM9" s="533"/>
      <c r="FN9" s="533"/>
      <c r="FO9" s="533"/>
      <c r="FP9" s="533"/>
      <c r="FQ9" s="533"/>
      <c r="FR9" s="533"/>
      <c r="FS9" s="533"/>
      <c r="FT9" s="533"/>
      <c r="FU9" s="533"/>
      <c r="FV9" s="533"/>
      <c r="FW9" s="533"/>
      <c r="FX9" s="533"/>
      <c r="FY9" s="533"/>
      <c r="FZ9" s="533"/>
      <c r="GA9" s="533"/>
      <c r="GB9" s="533"/>
      <c r="GC9" s="533"/>
      <c r="GD9" s="533"/>
      <c r="GE9" s="533"/>
      <c r="GF9" s="533"/>
      <c r="GG9" s="533"/>
      <c r="GH9" s="533"/>
      <c r="GI9" s="533"/>
      <c r="GJ9" s="533"/>
      <c r="GK9" s="533"/>
      <c r="GL9" s="533"/>
      <c r="GM9" s="533"/>
      <c r="GN9" s="533"/>
      <c r="GO9" s="533"/>
      <c r="GP9" s="533"/>
      <c r="GQ9" s="664"/>
      <c r="GR9" s="668"/>
      <c r="GS9" s="668"/>
      <c r="GT9" s="668"/>
      <c r="GU9" s="668"/>
      <c r="GV9" s="675"/>
      <c r="GW9" s="675"/>
      <c r="GX9" s="675"/>
      <c r="GY9" s="543"/>
      <c r="GZ9" s="668"/>
      <c r="HA9" s="668"/>
      <c r="HB9" s="747"/>
      <c r="HC9" s="687"/>
    </row>
    <row r="10" spans="1:213">
      <c r="A10" s="797" t="s">
        <v>1796</v>
      </c>
      <c r="B10" s="380" t="s">
        <v>1259</v>
      </c>
      <c r="C10" s="521" t="s">
        <v>1797</v>
      </c>
      <c r="D10" s="519"/>
      <c r="E10" s="517">
        <v>138780</v>
      </c>
      <c r="F10" s="518">
        <v>138780</v>
      </c>
      <c r="G10" s="517">
        <v>151240</v>
      </c>
      <c r="H10" s="518">
        <v>248100</v>
      </c>
      <c r="I10" s="517">
        <v>260000</v>
      </c>
      <c r="J10" s="518">
        <v>260000</v>
      </c>
      <c r="K10" s="517">
        <v>275300</v>
      </c>
      <c r="L10" s="518">
        <v>374500</v>
      </c>
      <c r="M10" s="517">
        <v>330000</v>
      </c>
      <c r="N10" s="518">
        <v>431500</v>
      </c>
      <c r="O10" s="517">
        <v>215293.93</v>
      </c>
      <c r="P10" s="518">
        <v>224190.37</v>
      </c>
      <c r="Q10" s="517">
        <v>230417.88</v>
      </c>
      <c r="R10" s="518">
        <v>230417.88</v>
      </c>
      <c r="S10" s="517">
        <v>230062.02</v>
      </c>
      <c r="T10" s="518">
        <v>257374</v>
      </c>
      <c r="U10" s="517">
        <v>262223</v>
      </c>
      <c r="V10" s="518">
        <v>249100.41</v>
      </c>
      <c r="W10" s="517">
        <v>258000</v>
      </c>
      <c r="X10" s="518">
        <v>267338</v>
      </c>
      <c r="Y10" s="517">
        <v>217829</v>
      </c>
      <c r="Z10" s="518">
        <v>233354</v>
      </c>
      <c r="AA10" s="517">
        <v>213514.64</v>
      </c>
      <c r="AB10" s="518">
        <v>222411.08</v>
      </c>
      <c r="AC10" s="517">
        <v>257374</v>
      </c>
      <c r="AD10" s="518">
        <v>231310</v>
      </c>
      <c r="AE10" s="517">
        <v>249100</v>
      </c>
      <c r="AF10" s="518">
        <v>96080</v>
      </c>
      <c r="AG10" s="517">
        <v>103640</v>
      </c>
      <c r="AH10" s="691">
        <v>98300</v>
      </c>
      <c r="AI10" s="690">
        <v>105870</v>
      </c>
      <c r="AJ10" s="518">
        <v>97860</v>
      </c>
      <c r="AK10" s="517">
        <v>104530</v>
      </c>
      <c r="AL10" s="518">
        <v>97860</v>
      </c>
      <c r="AM10" s="517">
        <v>104530</v>
      </c>
      <c r="AN10" s="518">
        <v>120100</v>
      </c>
      <c r="AO10" s="517">
        <v>102480</v>
      </c>
      <c r="AP10" s="518">
        <v>108890</v>
      </c>
      <c r="AQ10" s="517">
        <v>110310</v>
      </c>
      <c r="AR10" s="518">
        <v>106800</v>
      </c>
      <c r="AS10" s="517">
        <v>120640</v>
      </c>
      <c r="AT10" s="691">
        <v>107820</v>
      </c>
      <c r="AU10" s="517">
        <v>111200</v>
      </c>
      <c r="AV10" s="518">
        <v>117870</v>
      </c>
      <c r="AW10" s="517">
        <v>120100</v>
      </c>
      <c r="AX10" s="518">
        <v>104530</v>
      </c>
      <c r="AY10" s="517">
        <v>110310</v>
      </c>
      <c r="AZ10" s="518">
        <v>110310</v>
      </c>
      <c r="BA10" s="517">
        <v>110310</v>
      </c>
      <c r="BB10" s="691">
        <v>120430</v>
      </c>
      <c r="BC10" s="690">
        <v>107820</v>
      </c>
      <c r="BD10" s="518">
        <v>132090</v>
      </c>
      <c r="BE10" s="690">
        <v>130000</v>
      </c>
      <c r="BF10" s="518">
        <v>133450</v>
      </c>
      <c r="BG10" s="517">
        <v>137890</v>
      </c>
      <c r="BH10" s="518">
        <v>133000</v>
      </c>
      <c r="BI10" s="517">
        <v>142340</v>
      </c>
      <c r="BJ10" s="518">
        <v>140560</v>
      </c>
      <c r="BK10" s="690">
        <v>147280</v>
      </c>
      <c r="BL10" s="518">
        <v>143050</v>
      </c>
      <c r="BM10" s="517">
        <v>143050</v>
      </c>
      <c r="BN10" s="691">
        <v>147280</v>
      </c>
      <c r="BO10" s="517">
        <v>143050</v>
      </c>
      <c r="BP10" s="518">
        <v>287043.74</v>
      </c>
      <c r="BQ10" s="517">
        <v>297452.58</v>
      </c>
      <c r="BR10" s="518">
        <v>304836.63</v>
      </c>
      <c r="BS10" s="517">
        <v>305140</v>
      </c>
      <c r="BT10" s="518">
        <v>316300</v>
      </c>
      <c r="BU10" s="517">
        <v>311370</v>
      </c>
      <c r="BV10" s="518">
        <v>286910</v>
      </c>
      <c r="BW10" s="517">
        <v>305140</v>
      </c>
      <c r="BX10" s="518">
        <v>300300</v>
      </c>
      <c r="BY10" s="517">
        <v>316300</v>
      </c>
      <c r="BZ10" s="517">
        <v>324000</v>
      </c>
      <c r="CA10" s="812"/>
      <c r="CB10" s="517">
        <v>78733.521999999997</v>
      </c>
      <c r="CC10" s="518">
        <v>77843.88</v>
      </c>
      <c r="CD10" s="517">
        <v>80067.989000000001</v>
      </c>
      <c r="CE10" s="518">
        <v>80067.989000000001</v>
      </c>
      <c r="CF10" s="517">
        <v>83230</v>
      </c>
      <c r="CG10" s="518">
        <v>95330</v>
      </c>
      <c r="CH10" s="517">
        <v>62275</v>
      </c>
      <c r="CI10" s="518">
        <v>64499</v>
      </c>
      <c r="CJ10" s="517">
        <v>68947.399999999994</v>
      </c>
      <c r="CK10" s="518">
        <v>71171.55</v>
      </c>
      <c r="CL10" s="517">
        <v>88964.432000000001</v>
      </c>
      <c r="CM10" s="518">
        <v>97860.875</v>
      </c>
      <c r="CN10" s="517">
        <v>91630</v>
      </c>
      <c r="CO10" s="518">
        <v>107650</v>
      </c>
      <c r="CP10" s="518">
        <v>116990</v>
      </c>
      <c r="CQ10" s="517">
        <v>130410</v>
      </c>
      <c r="CR10" s="518">
        <v>193497.64</v>
      </c>
      <c r="CS10" s="517">
        <v>218496.64000000001</v>
      </c>
      <c r="CT10" s="518">
        <v>202838.9</v>
      </c>
      <c r="CU10" s="517">
        <v>205285.43</v>
      </c>
      <c r="CV10" s="518">
        <v>212046.72</v>
      </c>
      <c r="CW10" s="517">
        <v>216405.98</v>
      </c>
      <c r="CX10" s="518">
        <v>230417.88</v>
      </c>
      <c r="CY10" s="517">
        <v>237801.93</v>
      </c>
      <c r="CZ10" s="518">
        <v>243540.13</v>
      </c>
      <c r="DA10" s="517">
        <v>207954.36</v>
      </c>
      <c r="DB10" s="518">
        <v>216405.98</v>
      </c>
      <c r="DC10" s="517">
        <v>230862.7</v>
      </c>
      <c r="DD10" s="518">
        <v>224635.19</v>
      </c>
      <c r="DE10" s="517">
        <v>249011</v>
      </c>
      <c r="DF10" s="518">
        <v>252440</v>
      </c>
      <c r="DG10" s="517">
        <v>252970.36</v>
      </c>
      <c r="DH10" s="518">
        <v>231352</v>
      </c>
      <c r="DI10" s="517">
        <v>275790</v>
      </c>
      <c r="DJ10" s="682">
        <v>264446.77</v>
      </c>
      <c r="DK10" s="685">
        <v>299400</v>
      </c>
      <c r="DL10" s="699">
        <v>163400</v>
      </c>
      <c r="DM10" s="690">
        <v>166941.76000000001</v>
      </c>
      <c r="DN10" s="691">
        <v>191273.53</v>
      </c>
      <c r="DO10" s="690">
        <v>189300</v>
      </c>
      <c r="DP10" s="518">
        <v>213514.64</v>
      </c>
      <c r="DQ10" s="517">
        <v>216494</v>
      </c>
      <c r="DR10" s="518">
        <v>264446.77</v>
      </c>
      <c r="DS10" s="517">
        <v>267027</v>
      </c>
      <c r="DT10" s="518">
        <v>267027</v>
      </c>
      <c r="DU10" s="518">
        <v>267026.74</v>
      </c>
      <c r="DV10" s="517">
        <v>360620</v>
      </c>
      <c r="DW10" s="690">
        <v>355679.8</v>
      </c>
      <c r="DX10" s="691">
        <v>385927.71</v>
      </c>
      <c r="DY10" s="517">
        <v>351000</v>
      </c>
      <c r="DZ10" s="518">
        <v>380000</v>
      </c>
      <c r="EA10" s="517">
        <v>432810</v>
      </c>
      <c r="EB10" s="691">
        <v>440551.87</v>
      </c>
      <c r="EC10" s="517">
        <v>406800</v>
      </c>
      <c r="ED10" s="691">
        <v>492685</v>
      </c>
      <c r="EE10" s="690">
        <v>513950</v>
      </c>
      <c r="EF10" s="517">
        <v>307800</v>
      </c>
      <c r="EG10" s="518">
        <v>307800</v>
      </c>
      <c r="EH10" s="517">
        <v>347500</v>
      </c>
      <c r="EI10" s="518"/>
      <c r="EJ10" s="517"/>
      <c r="EK10" s="518">
        <v>65600</v>
      </c>
      <c r="EL10" s="517"/>
      <c r="EM10" s="518">
        <v>61340</v>
      </c>
      <c r="EN10" s="518">
        <v>64540</v>
      </c>
      <c r="EO10" s="517"/>
      <c r="EP10" s="518"/>
      <c r="EQ10" s="517">
        <v>40660</v>
      </c>
      <c r="ER10" s="518">
        <v>41010</v>
      </c>
      <c r="ES10" s="517">
        <v>41010</v>
      </c>
      <c r="ET10" s="691">
        <v>108540</v>
      </c>
      <c r="EU10" s="690">
        <v>97730</v>
      </c>
      <c r="EV10" s="847">
        <v>100310</v>
      </c>
      <c r="EW10" s="690">
        <v>107240</v>
      </c>
      <c r="EX10" s="518">
        <v>64540</v>
      </c>
      <c r="EY10" s="517">
        <v>90570</v>
      </c>
      <c r="EZ10" s="518">
        <v>83720</v>
      </c>
      <c r="FA10" s="517">
        <v>83720</v>
      </c>
      <c r="FB10" s="517">
        <v>32020</v>
      </c>
      <c r="FC10" s="518">
        <v>39670</v>
      </c>
      <c r="FD10" s="517">
        <v>33710</v>
      </c>
      <c r="FE10" s="518">
        <v>33710</v>
      </c>
      <c r="FF10" s="518">
        <v>16236</v>
      </c>
      <c r="FG10" s="517">
        <v>19661</v>
      </c>
      <c r="FH10" s="518">
        <v>12677</v>
      </c>
      <c r="FI10" s="517">
        <v>13122</v>
      </c>
      <c r="FJ10" s="518"/>
      <c r="FK10" s="517">
        <v>13789</v>
      </c>
      <c r="FL10" s="518">
        <v>13789</v>
      </c>
      <c r="FM10" s="517"/>
      <c r="FN10" s="518"/>
      <c r="FO10" s="517"/>
      <c r="FP10" s="518"/>
      <c r="FQ10" s="517">
        <v>13122</v>
      </c>
      <c r="FR10" s="518"/>
      <c r="FS10" s="517">
        <v>15569</v>
      </c>
      <c r="FT10" s="518">
        <v>15570</v>
      </c>
      <c r="FU10" s="517">
        <v>15570</v>
      </c>
      <c r="FV10" s="518">
        <v>15570</v>
      </c>
      <c r="FW10" s="517">
        <v>70282</v>
      </c>
      <c r="FX10" s="518">
        <v>74730</v>
      </c>
      <c r="FY10" s="517">
        <v>77800</v>
      </c>
      <c r="FZ10" s="518">
        <v>85783.95</v>
      </c>
      <c r="GA10" s="517">
        <v>97860.875</v>
      </c>
      <c r="GB10" s="518">
        <v>62275.1</v>
      </c>
      <c r="GC10" s="517">
        <v>85628.27</v>
      </c>
      <c r="GD10" s="518">
        <v>96526.41</v>
      </c>
      <c r="GE10" s="517">
        <v>174815.11</v>
      </c>
      <c r="GF10" s="518">
        <v>202838.9</v>
      </c>
      <c r="GG10" s="517">
        <v>269962.57</v>
      </c>
      <c r="GH10" s="518">
        <v>92745.42</v>
      </c>
      <c r="GI10" s="517">
        <v>111200</v>
      </c>
      <c r="GJ10" s="518">
        <v>182510.53</v>
      </c>
      <c r="GK10" s="517">
        <v>218496.64000000001</v>
      </c>
      <c r="GL10" s="518">
        <v>49820</v>
      </c>
      <c r="GM10" s="517">
        <v>71616</v>
      </c>
      <c r="GN10" s="518"/>
      <c r="GO10" s="517"/>
      <c r="GP10" s="518"/>
      <c r="GQ10" s="661">
        <v>78466.581675681999</v>
      </c>
      <c r="GR10" s="679">
        <v>129980</v>
      </c>
      <c r="GS10" s="676">
        <v>31004</v>
      </c>
      <c r="GT10" s="679">
        <v>31137.55</v>
      </c>
      <c r="GU10" s="676"/>
      <c r="GV10" s="679"/>
      <c r="GW10" s="676"/>
      <c r="GX10" s="679">
        <v>489300</v>
      </c>
      <c r="GY10" s="754">
        <v>348310</v>
      </c>
      <c r="GZ10" s="755">
        <v>356810</v>
      </c>
      <c r="HA10" s="754">
        <v>332440</v>
      </c>
    </row>
    <row r="11" spans="1:213">
      <c r="A11" s="797" t="s">
        <v>1798</v>
      </c>
      <c r="B11" s="380" t="s">
        <v>1259</v>
      </c>
      <c r="C11" s="521" t="s">
        <v>1799</v>
      </c>
      <c r="D11" s="519"/>
      <c r="E11" s="517">
        <v>125880</v>
      </c>
      <c r="F11" s="518">
        <v>125880</v>
      </c>
      <c r="G11" s="517">
        <v>133710</v>
      </c>
      <c r="H11" s="518">
        <v>197300</v>
      </c>
      <c r="I11" s="517">
        <v>197300</v>
      </c>
      <c r="J11" s="518">
        <v>197300</v>
      </c>
      <c r="K11" s="517">
        <v>197300</v>
      </c>
      <c r="L11" s="518">
        <v>317600</v>
      </c>
      <c r="M11" s="517">
        <v>296300</v>
      </c>
      <c r="N11" s="518">
        <v>369600</v>
      </c>
      <c r="O11" s="517">
        <v>205952.66</v>
      </c>
      <c r="P11" s="518">
        <v>205952.66</v>
      </c>
      <c r="Q11" s="517">
        <v>205952.66</v>
      </c>
      <c r="R11" s="518">
        <v>205952.66</v>
      </c>
      <c r="S11" s="517">
        <v>199146.88</v>
      </c>
      <c r="T11" s="518">
        <v>237490</v>
      </c>
      <c r="U11" s="517">
        <v>243718</v>
      </c>
      <c r="V11" s="518">
        <v>222411.08</v>
      </c>
      <c r="W11" s="517">
        <v>220540</v>
      </c>
      <c r="X11" s="518">
        <v>250034</v>
      </c>
      <c r="Y11" s="517">
        <v>203728</v>
      </c>
      <c r="Z11" s="518">
        <v>213870</v>
      </c>
      <c r="AA11" s="517">
        <v>203728.55</v>
      </c>
      <c r="AB11" s="518">
        <v>211290.53</v>
      </c>
      <c r="AC11" s="517">
        <v>213870</v>
      </c>
      <c r="AD11" s="518">
        <v>218850</v>
      </c>
      <c r="AE11" s="517">
        <v>218850</v>
      </c>
      <c r="AF11" s="518">
        <v>84780</v>
      </c>
      <c r="AG11" s="517">
        <v>90080</v>
      </c>
      <c r="AH11" s="691">
        <v>90300</v>
      </c>
      <c r="AI11" s="690">
        <v>92970</v>
      </c>
      <c r="AJ11" s="518">
        <v>90080</v>
      </c>
      <c r="AK11" s="517">
        <v>90080</v>
      </c>
      <c r="AL11" s="518">
        <v>91950</v>
      </c>
      <c r="AM11" s="517">
        <v>91950</v>
      </c>
      <c r="AN11" s="518">
        <v>108400</v>
      </c>
      <c r="AO11" s="517">
        <v>85400</v>
      </c>
      <c r="AP11" s="518">
        <v>85400</v>
      </c>
      <c r="AQ11" s="517">
        <v>98920</v>
      </c>
      <c r="AR11" s="518">
        <v>104580</v>
      </c>
      <c r="AS11" s="517">
        <v>106760</v>
      </c>
      <c r="AT11" s="691">
        <v>106910</v>
      </c>
      <c r="AU11" s="517">
        <v>105400</v>
      </c>
      <c r="AV11" s="518">
        <v>105400</v>
      </c>
      <c r="AW11" s="517">
        <v>108400</v>
      </c>
      <c r="AX11" s="518">
        <v>90080</v>
      </c>
      <c r="AY11" s="517"/>
      <c r="AZ11" s="518">
        <v>98920</v>
      </c>
      <c r="BA11" s="517">
        <v>98920</v>
      </c>
      <c r="BB11" s="691">
        <v>117180</v>
      </c>
      <c r="BC11" s="690">
        <v>106910</v>
      </c>
      <c r="BD11" s="518">
        <v>118680</v>
      </c>
      <c r="BE11" s="690">
        <v>117190</v>
      </c>
      <c r="BF11" s="518">
        <v>129400</v>
      </c>
      <c r="BG11" s="517">
        <v>129400</v>
      </c>
      <c r="BH11" s="518">
        <v>119870</v>
      </c>
      <c r="BI11" s="517">
        <v>129400</v>
      </c>
      <c r="BJ11" s="518">
        <v>119870</v>
      </c>
      <c r="BK11" s="690">
        <v>145810</v>
      </c>
      <c r="BL11" s="518">
        <v>140960</v>
      </c>
      <c r="BM11" s="517">
        <v>140960</v>
      </c>
      <c r="BN11" s="691">
        <v>145810</v>
      </c>
      <c r="BO11" s="517">
        <v>140960</v>
      </c>
      <c r="BP11" s="518">
        <v>268672.58</v>
      </c>
      <c r="BQ11" s="517">
        <v>268672.58</v>
      </c>
      <c r="BR11" s="518">
        <v>268672.58</v>
      </c>
      <c r="BS11" s="517">
        <v>264030</v>
      </c>
      <c r="BT11" s="518">
        <v>287200</v>
      </c>
      <c r="BU11" s="517">
        <v>264030</v>
      </c>
      <c r="BV11" s="518">
        <v>248210</v>
      </c>
      <c r="BW11" s="517">
        <v>264030</v>
      </c>
      <c r="BX11" s="518">
        <v>268700</v>
      </c>
      <c r="BY11" s="517">
        <v>282700</v>
      </c>
      <c r="BZ11" s="517">
        <v>298200</v>
      </c>
      <c r="CA11" s="812"/>
      <c r="CB11" s="517">
        <v>64499.213000000003</v>
      </c>
      <c r="CC11" s="518">
        <v>66278.5</v>
      </c>
      <c r="CD11" s="517">
        <v>72950.834000000003</v>
      </c>
      <c r="CE11" s="518">
        <v>72950.834000000003</v>
      </c>
      <c r="CF11" s="517">
        <v>78740</v>
      </c>
      <c r="CG11" s="518">
        <v>90840</v>
      </c>
      <c r="CH11" s="517">
        <v>56047.59</v>
      </c>
      <c r="CI11" s="518">
        <v>56047.59</v>
      </c>
      <c r="CJ11" s="517">
        <v>61163.05</v>
      </c>
      <c r="CK11" s="518">
        <v>67612.97</v>
      </c>
      <c r="CL11" s="517"/>
      <c r="CM11" s="518">
        <v>91180</v>
      </c>
      <c r="CN11" s="517">
        <v>86300</v>
      </c>
      <c r="CO11" s="518">
        <v>101420</v>
      </c>
      <c r="CP11" s="518">
        <v>115210</v>
      </c>
      <c r="CQ11" s="517">
        <v>127620</v>
      </c>
      <c r="CR11" s="518">
        <v>161915.26999999999</v>
      </c>
      <c r="CS11" s="517">
        <v>199191.36</v>
      </c>
      <c r="CT11" s="518">
        <v>192385.58</v>
      </c>
      <c r="CU11" s="517">
        <v>178284.72</v>
      </c>
      <c r="CV11" s="518">
        <v>178284.72</v>
      </c>
      <c r="CW11" s="517">
        <v>178818.51</v>
      </c>
      <c r="CX11" s="518">
        <v>205952.66</v>
      </c>
      <c r="CY11" s="517">
        <v>210089.51</v>
      </c>
      <c r="CZ11" s="518">
        <v>223300.72</v>
      </c>
      <c r="DA11" s="517">
        <v>178818.51</v>
      </c>
      <c r="DB11" s="518">
        <v>178185.1</v>
      </c>
      <c r="DC11" s="517">
        <v>199814.11</v>
      </c>
      <c r="DD11" s="518">
        <v>205151.98</v>
      </c>
      <c r="DE11" s="517">
        <v>220409</v>
      </c>
      <c r="DF11" s="518">
        <v>220320</v>
      </c>
      <c r="DG11" s="517">
        <v>210089.51</v>
      </c>
      <c r="DH11" s="518">
        <v>218586</v>
      </c>
      <c r="DI11" s="517">
        <v>223520</v>
      </c>
      <c r="DJ11" s="682">
        <v>210089.51</v>
      </c>
      <c r="DK11" s="685">
        <v>260200</v>
      </c>
      <c r="DL11" s="699">
        <v>149100</v>
      </c>
      <c r="DM11" s="690">
        <v>154086.39999999999</v>
      </c>
      <c r="DN11" s="691">
        <v>162004.23000000001</v>
      </c>
      <c r="DO11" s="690">
        <v>156600</v>
      </c>
      <c r="DP11" s="518">
        <v>203728.55</v>
      </c>
      <c r="DQ11" s="517">
        <v>203373</v>
      </c>
      <c r="DR11" s="518">
        <v>210089.51</v>
      </c>
      <c r="DS11" s="517">
        <v>249857</v>
      </c>
      <c r="DT11" s="518">
        <v>249857</v>
      </c>
      <c r="DU11" s="518">
        <v>249856.61</v>
      </c>
      <c r="DV11" s="517">
        <v>335530</v>
      </c>
      <c r="DW11" s="690">
        <v>315779.25</v>
      </c>
      <c r="DX11" s="691">
        <v>315779.25</v>
      </c>
      <c r="DY11" s="517">
        <v>312300</v>
      </c>
      <c r="DZ11" s="518">
        <v>312300</v>
      </c>
      <c r="EA11" s="517">
        <v>402920</v>
      </c>
      <c r="EB11" s="691">
        <v>343936.49</v>
      </c>
      <c r="EC11" s="517">
        <v>343300</v>
      </c>
      <c r="ED11" s="691">
        <v>489300</v>
      </c>
      <c r="EE11" s="690">
        <v>489300</v>
      </c>
      <c r="EF11" s="517">
        <v>287900</v>
      </c>
      <c r="EG11" s="518">
        <v>287900</v>
      </c>
      <c r="EH11" s="517">
        <v>319500</v>
      </c>
      <c r="EI11" s="518"/>
      <c r="EJ11" s="517"/>
      <c r="EK11" s="518">
        <v>64300</v>
      </c>
      <c r="EL11" s="517"/>
      <c r="EM11" s="518">
        <v>59050</v>
      </c>
      <c r="EN11" s="518">
        <v>60840</v>
      </c>
      <c r="EO11" s="517"/>
      <c r="EP11" s="518"/>
      <c r="EQ11" s="517">
        <v>39680</v>
      </c>
      <c r="ER11" s="518">
        <v>40660</v>
      </c>
      <c r="ES11" s="517">
        <v>40660</v>
      </c>
      <c r="ET11" s="691">
        <v>102530</v>
      </c>
      <c r="EU11" s="690">
        <v>92350</v>
      </c>
      <c r="EV11" s="847">
        <v>90320</v>
      </c>
      <c r="EW11" s="690">
        <v>96990</v>
      </c>
      <c r="EX11" s="518">
        <v>60140</v>
      </c>
      <c r="EY11" s="517">
        <v>75800</v>
      </c>
      <c r="EZ11" s="518">
        <v>75800</v>
      </c>
      <c r="FA11" s="517">
        <v>75800</v>
      </c>
      <c r="FB11" s="517">
        <v>30330</v>
      </c>
      <c r="FC11" s="518">
        <v>32650</v>
      </c>
      <c r="FD11" s="517">
        <v>30330</v>
      </c>
      <c r="FE11" s="518">
        <v>30330</v>
      </c>
      <c r="FF11" s="518"/>
      <c r="FG11" s="517"/>
      <c r="FH11" s="518"/>
      <c r="FI11" s="517"/>
      <c r="FJ11" s="518"/>
      <c r="FK11" s="517">
        <v>13011.05</v>
      </c>
      <c r="FL11" s="518">
        <v>13011.05</v>
      </c>
      <c r="FM11" s="517"/>
      <c r="FN11" s="518"/>
      <c r="FO11" s="517"/>
      <c r="FP11" s="518"/>
      <c r="FQ11" s="517">
        <v>12677.43</v>
      </c>
      <c r="FR11" s="518"/>
      <c r="FS11" s="517"/>
      <c r="FT11" s="518">
        <v>16240</v>
      </c>
      <c r="FU11" s="517">
        <v>16240</v>
      </c>
      <c r="FV11" s="518">
        <v>17310</v>
      </c>
      <c r="FW11" s="517">
        <v>55602.77</v>
      </c>
      <c r="FX11" s="518">
        <v>60050.99</v>
      </c>
      <c r="FY11" s="517"/>
      <c r="FZ11" s="518">
        <v>77354.570000000007</v>
      </c>
      <c r="GA11" s="517">
        <v>94747.12</v>
      </c>
      <c r="GB11" s="518">
        <v>56047.59</v>
      </c>
      <c r="GC11" s="517">
        <v>71171.55</v>
      </c>
      <c r="GD11" s="518">
        <v>84071.39</v>
      </c>
      <c r="GE11" s="517">
        <v>166808.31</v>
      </c>
      <c r="GF11" s="518">
        <v>192385.58</v>
      </c>
      <c r="GG11" s="517">
        <v>252347.61</v>
      </c>
      <c r="GH11" s="518">
        <v>80067.990000000005</v>
      </c>
      <c r="GI11" s="517">
        <v>106310</v>
      </c>
      <c r="GJ11" s="518">
        <v>178551.62</v>
      </c>
      <c r="GK11" s="517">
        <v>199191.36</v>
      </c>
      <c r="GL11" s="518"/>
      <c r="GM11" s="517"/>
      <c r="GN11" s="518"/>
      <c r="GO11" s="517"/>
      <c r="GP11" s="518"/>
      <c r="GQ11" s="661"/>
      <c r="GR11" s="679">
        <v>127930</v>
      </c>
      <c r="GS11" s="676"/>
      <c r="GT11" s="679"/>
      <c r="GU11" s="676"/>
      <c r="GV11" s="679"/>
      <c r="GW11" s="676"/>
      <c r="GX11" s="679">
        <v>460390</v>
      </c>
      <c r="GY11" s="754">
        <v>319600</v>
      </c>
      <c r="GZ11" s="755">
        <v>319600</v>
      </c>
      <c r="HA11" s="754">
        <v>326810</v>
      </c>
    </row>
    <row r="12" spans="1:213">
      <c r="A12" s="797" t="s">
        <v>1800</v>
      </c>
      <c r="B12" s="380" t="s">
        <v>1259</v>
      </c>
      <c r="C12" s="521" t="s">
        <v>1801</v>
      </c>
      <c r="D12" s="519"/>
      <c r="E12" s="517">
        <v>30759</v>
      </c>
      <c r="F12" s="518"/>
      <c r="G12" s="517">
        <v>31582.37</v>
      </c>
      <c r="H12" s="518"/>
      <c r="I12" s="517"/>
      <c r="J12" s="518"/>
      <c r="K12" s="517"/>
      <c r="L12" s="518"/>
      <c r="M12" s="517"/>
      <c r="N12" s="518"/>
      <c r="O12" s="517"/>
      <c r="P12" s="518">
        <v>49375</v>
      </c>
      <c r="Q12" s="517">
        <v>51399</v>
      </c>
      <c r="R12" s="518">
        <v>51399</v>
      </c>
      <c r="S12" s="517">
        <v>53156</v>
      </c>
      <c r="T12" s="518">
        <v>52533</v>
      </c>
      <c r="U12" s="517">
        <v>50443</v>
      </c>
      <c r="V12" s="518">
        <v>54490</v>
      </c>
      <c r="W12" s="517"/>
      <c r="X12" s="518">
        <v>50443</v>
      </c>
      <c r="Y12" s="517">
        <v>49130</v>
      </c>
      <c r="Z12" s="518">
        <v>50398</v>
      </c>
      <c r="AA12" s="517">
        <v>49820</v>
      </c>
      <c r="AB12" s="518">
        <v>52044</v>
      </c>
      <c r="AC12" s="517"/>
      <c r="AD12" s="518"/>
      <c r="AE12" s="517"/>
      <c r="AF12" s="518"/>
      <c r="AG12" s="517"/>
      <c r="AH12" s="691"/>
      <c r="AI12" s="690"/>
      <c r="AJ12" s="518">
        <v>22330</v>
      </c>
      <c r="AK12" s="517">
        <v>22330</v>
      </c>
      <c r="AL12" s="518">
        <v>22241</v>
      </c>
      <c r="AM12" s="517">
        <v>22241</v>
      </c>
      <c r="AN12" s="518">
        <v>25978</v>
      </c>
      <c r="AP12" s="518"/>
      <c r="AQ12" s="517"/>
      <c r="AR12" s="518"/>
      <c r="AS12" s="517"/>
      <c r="AT12" s="691"/>
      <c r="AU12" s="517">
        <v>22241</v>
      </c>
      <c r="AV12" s="518">
        <v>22241</v>
      </c>
      <c r="AW12" s="517">
        <v>22241</v>
      </c>
      <c r="AX12" s="518"/>
      <c r="AY12" s="517"/>
      <c r="AZ12" s="518"/>
      <c r="BA12" s="517"/>
      <c r="BB12" s="691"/>
      <c r="BC12" s="690"/>
      <c r="BD12" s="518"/>
      <c r="BE12" s="690"/>
      <c r="BF12" s="518">
        <v>25977</v>
      </c>
      <c r="BG12" s="517">
        <v>25977</v>
      </c>
      <c r="BH12" s="518"/>
      <c r="BI12" s="517"/>
      <c r="BJ12" s="518">
        <v>25466</v>
      </c>
      <c r="BK12" s="690"/>
      <c r="BL12" s="518"/>
      <c r="BM12" s="517"/>
      <c r="BN12" s="691"/>
      <c r="BO12" s="517"/>
      <c r="BP12" s="518"/>
      <c r="BQ12" s="517"/>
      <c r="BR12" s="518"/>
      <c r="BS12" s="517"/>
      <c r="BT12" s="518"/>
      <c r="BU12" s="517"/>
      <c r="BV12" s="518"/>
      <c r="BW12" s="517"/>
      <c r="BX12" s="518"/>
      <c r="BY12" s="517"/>
      <c r="BZ12" s="517"/>
      <c r="CA12" s="812"/>
      <c r="CB12" s="517"/>
      <c r="CC12" s="518">
        <v>20895</v>
      </c>
      <c r="CD12" s="517">
        <v>22300</v>
      </c>
      <c r="CE12" s="518"/>
      <c r="CF12" s="517"/>
      <c r="CG12" s="518"/>
      <c r="CH12" s="517">
        <v>18994</v>
      </c>
      <c r="CI12" s="518">
        <v>20195</v>
      </c>
      <c r="CJ12" s="517">
        <v>21885</v>
      </c>
      <c r="CK12" s="518">
        <v>22864</v>
      </c>
      <c r="CL12" s="517">
        <v>20684.23</v>
      </c>
      <c r="CM12" s="518">
        <v>22419.040000000001</v>
      </c>
      <c r="CN12" s="517">
        <v>24243</v>
      </c>
      <c r="CO12" s="518">
        <v>24376</v>
      </c>
      <c r="CP12" s="518">
        <v>24376</v>
      </c>
      <c r="CQ12" s="517"/>
      <c r="CR12" s="518">
        <v>45372</v>
      </c>
      <c r="CS12" s="517"/>
      <c r="CT12" s="518">
        <v>50042</v>
      </c>
      <c r="CU12" s="517">
        <v>48174</v>
      </c>
      <c r="CV12" s="518">
        <v>48174</v>
      </c>
      <c r="CW12" s="517">
        <v>49153</v>
      </c>
      <c r="CX12" s="518">
        <v>51399</v>
      </c>
      <c r="CY12" s="517">
        <v>49953</v>
      </c>
      <c r="CZ12" s="518">
        <v>54490</v>
      </c>
      <c r="DA12" s="517">
        <v>49153</v>
      </c>
      <c r="DB12" s="518"/>
      <c r="DC12" s="517">
        <v>53156</v>
      </c>
      <c r="DD12" s="518">
        <v>51110</v>
      </c>
      <c r="DE12" s="517">
        <v>57026</v>
      </c>
      <c r="DF12" s="518"/>
      <c r="DG12" s="517">
        <v>52547</v>
      </c>
      <c r="DH12" s="518"/>
      <c r="DI12" s="517"/>
      <c r="DJ12" s="518"/>
      <c r="DK12" s="684"/>
      <c r="DL12" s="691"/>
      <c r="DM12" s="690">
        <v>28913</v>
      </c>
      <c r="DN12" s="691"/>
      <c r="DO12" s="690"/>
      <c r="DP12" s="518">
        <v>49820</v>
      </c>
      <c r="DQ12" s="517">
        <v>49130</v>
      </c>
      <c r="DR12" s="518"/>
      <c r="DS12" s="517"/>
      <c r="DT12" s="518"/>
      <c r="DU12" s="518"/>
      <c r="DV12" s="517"/>
      <c r="DW12" s="690"/>
      <c r="DX12" s="691"/>
      <c r="DY12" s="517"/>
      <c r="DZ12" s="518"/>
      <c r="EA12" s="517"/>
      <c r="EB12" s="691">
        <v>62275</v>
      </c>
      <c r="EC12" s="517"/>
      <c r="ED12" s="691"/>
      <c r="EE12" s="690"/>
      <c r="EF12" s="517"/>
      <c r="EG12" s="518"/>
      <c r="EH12" s="517"/>
      <c r="EI12" s="518"/>
      <c r="EJ12" s="517"/>
      <c r="EK12" s="518"/>
      <c r="EL12" s="517"/>
      <c r="EM12" s="518"/>
      <c r="EN12" s="518"/>
      <c r="EO12" s="517"/>
      <c r="EP12" s="518"/>
      <c r="EQ12" s="517"/>
      <c r="ER12" s="518"/>
      <c r="ES12" s="517"/>
      <c r="ET12" s="691"/>
      <c r="EU12" s="690"/>
      <c r="EV12" s="847"/>
      <c r="EW12" s="690"/>
      <c r="EX12" s="518"/>
      <c r="EY12" s="517"/>
      <c r="EZ12" s="518"/>
      <c r="FA12" s="517"/>
      <c r="FB12" s="517"/>
      <c r="FC12" s="518"/>
      <c r="FD12" s="517"/>
      <c r="FE12" s="518"/>
      <c r="FF12" s="518"/>
      <c r="FG12" s="517"/>
      <c r="FH12" s="518"/>
      <c r="FI12" s="517"/>
      <c r="FJ12" s="518"/>
      <c r="FK12" s="517"/>
      <c r="FL12" s="518"/>
      <c r="FM12" s="517"/>
      <c r="FN12" s="518"/>
      <c r="FO12" s="517"/>
      <c r="FP12" s="518"/>
      <c r="FQ12" s="517"/>
      <c r="FR12" s="518"/>
      <c r="FS12" s="517"/>
      <c r="FT12" s="518"/>
      <c r="FU12" s="517"/>
      <c r="FV12" s="518"/>
      <c r="FW12" s="517"/>
      <c r="FX12" s="518"/>
      <c r="FY12" s="517"/>
      <c r="FZ12" s="518"/>
      <c r="GA12" s="517">
        <v>22152.14</v>
      </c>
      <c r="GB12" s="518"/>
      <c r="GC12" s="517">
        <v>21996</v>
      </c>
      <c r="GD12" s="518">
        <v>23309</v>
      </c>
      <c r="GE12" s="517">
        <v>40390</v>
      </c>
      <c r="GF12" s="518">
        <v>51399</v>
      </c>
      <c r="GG12" s="517"/>
      <c r="GH12" s="518"/>
      <c r="GI12" s="517">
        <v>25680</v>
      </c>
      <c r="GJ12" s="518">
        <v>42236</v>
      </c>
      <c r="GK12" s="517"/>
      <c r="GL12" s="518"/>
      <c r="GM12" s="517"/>
      <c r="GN12" s="518"/>
      <c r="GO12" s="517"/>
      <c r="GP12" s="518"/>
      <c r="GQ12" s="661"/>
      <c r="GR12" s="679"/>
      <c r="GS12" s="676"/>
      <c r="GT12" s="679"/>
      <c r="GU12" s="676"/>
      <c r="GV12" s="679"/>
      <c r="GW12" s="676"/>
      <c r="GX12" s="679"/>
      <c r="GY12" s="754"/>
      <c r="GZ12" s="755"/>
      <c r="HA12" s="754">
        <v>56000</v>
      </c>
    </row>
    <row r="13" spans="1:213" ht="15.75">
      <c r="A13" s="798" t="s">
        <v>1228</v>
      </c>
      <c r="B13" s="535"/>
      <c r="C13" s="520"/>
      <c r="D13" s="519"/>
      <c r="E13" s="533"/>
      <c r="F13" s="533"/>
      <c r="G13" s="533"/>
      <c r="H13" s="533"/>
      <c r="I13" s="533"/>
      <c r="J13" s="533"/>
      <c r="K13" s="533"/>
      <c r="L13" s="533"/>
      <c r="M13" s="533"/>
      <c r="N13" s="533"/>
      <c r="O13" s="533"/>
      <c r="P13" s="533"/>
      <c r="Q13" s="533"/>
      <c r="R13" s="533"/>
      <c r="S13" s="533"/>
      <c r="T13" s="533"/>
      <c r="U13" s="533"/>
      <c r="V13" s="533"/>
      <c r="W13" s="533"/>
      <c r="X13" s="533"/>
      <c r="Y13" s="533"/>
      <c r="Z13" s="533"/>
      <c r="AA13" s="533"/>
      <c r="AB13" s="533"/>
      <c r="AC13" s="533"/>
      <c r="AD13" s="533"/>
      <c r="AE13" s="533"/>
      <c r="AF13" s="533"/>
      <c r="AG13" s="533"/>
      <c r="AH13" s="695"/>
      <c r="AI13" s="695"/>
      <c r="AJ13" s="533"/>
      <c r="AK13" s="533"/>
      <c r="AL13" s="533"/>
      <c r="AM13" s="533"/>
      <c r="AN13" s="533"/>
      <c r="AO13" s="533"/>
      <c r="AP13" s="533"/>
      <c r="AQ13" s="533"/>
      <c r="AR13" s="533"/>
      <c r="AS13" s="533"/>
      <c r="AT13" s="695"/>
      <c r="AU13" s="533"/>
      <c r="AV13" s="533"/>
      <c r="AW13" s="533"/>
      <c r="AX13" s="533"/>
      <c r="AY13" s="533"/>
      <c r="AZ13" s="533"/>
      <c r="BA13" s="533"/>
      <c r="BB13" s="695"/>
      <c r="BC13" s="695"/>
      <c r="BD13" s="533"/>
      <c r="BE13" s="695"/>
      <c r="BF13" s="533"/>
      <c r="BG13" s="533"/>
      <c r="BH13" s="533"/>
      <c r="BI13" s="533"/>
      <c r="BJ13" s="533"/>
      <c r="BK13" s="695"/>
      <c r="BL13" s="533"/>
      <c r="BM13" s="533"/>
      <c r="BN13" s="695"/>
      <c r="BO13" s="533"/>
      <c r="BP13" s="533"/>
      <c r="BQ13" s="533"/>
      <c r="BR13" s="533"/>
      <c r="BS13" s="533"/>
      <c r="BT13" s="533"/>
      <c r="BU13" s="533"/>
      <c r="BV13" s="533"/>
      <c r="BW13" s="533"/>
      <c r="BX13" s="533"/>
      <c r="BY13" s="533"/>
      <c r="BZ13" s="533"/>
      <c r="CA13" s="533"/>
      <c r="CB13" s="533"/>
      <c r="CC13" s="533"/>
      <c r="CD13" s="533"/>
      <c r="CE13" s="533"/>
      <c r="CF13" s="533"/>
      <c r="CG13" s="533"/>
      <c r="CH13" s="533"/>
      <c r="CI13" s="533"/>
      <c r="CJ13" s="533"/>
      <c r="CK13" s="533"/>
      <c r="CL13" s="533"/>
      <c r="CM13" s="533"/>
      <c r="CN13" s="533"/>
      <c r="CO13" s="533"/>
      <c r="CP13" s="533"/>
      <c r="CQ13" s="533"/>
      <c r="CR13" s="533"/>
      <c r="CS13" s="533"/>
      <c r="CT13" s="533"/>
      <c r="CU13" s="533"/>
      <c r="CV13" s="533"/>
      <c r="CW13" s="533"/>
      <c r="CX13" s="533"/>
      <c r="CY13" s="533"/>
      <c r="CZ13" s="533"/>
      <c r="DA13" s="533"/>
      <c r="DB13" s="533"/>
      <c r="DC13" s="533"/>
      <c r="DD13" s="533"/>
      <c r="DE13" s="533"/>
      <c r="DF13" s="533"/>
      <c r="DG13" s="533"/>
      <c r="DH13" s="533"/>
      <c r="DI13" s="533"/>
      <c r="DJ13" s="533"/>
      <c r="DK13" s="533"/>
      <c r="DL13" s="695"/>
      <c r="DM13" s="695"/>
      <c r="DN13" s="695"/>
      <c r="DO13" s="695"/>
      <c r="DP13" s="533"/>
      <c r="DQ13" s="533"/>
      <c r="DR13" s="533"/>
      <c r="DS13" s="533"/>
      <c r="DT13" s="533"/>
      <c r="DU13" s="533"/>
      <c r="DV13" s="533"/>
      <c r="DW13" s="695"/>
      <c r="DX13" s="695"/>
      <c r="DY13" s="533"/>
      <c r="DZ13" s="533"/>
      <c r="EA13" s="533"/>
      <c r="EB13" s="695"/>
      <c r="EC13" s="533"/>
      <c r="ED13" s="695"/>
      <c r="EE13" s="695"/>
      <c r="EF13" s="533"/>
      <c r="EG13" s="533"/>
      <c r="EH13" s="533"/>
      <c r="EI13" s="533"/>
      <c r="EJ13" s="533"/>
      <c r="EK13" s="533"/>
      <c r="EL13" s="533"/>
      <c r="EM13" s="533"/>
      <c r="EN13" s="533"/>
      <c r="EO13" s="533"/>
      <c r="EP13" s="533"/>
      <c r="EQ13" s="533"/>
      <c r="ER13" s="533"/>
      <c r="ES13" s="533"/>
      <c r="ET13" s="695"/>
      <c r="EU13" s="695"/>
      <c r="EV13" s="850"/>
      <c r="EW13" s="695"/>
      <c r="EX13" s="533"/>
      <c r="EY13" s="533"/>
      <c r="EZ13" s="533"/>
      <c r="FA13" s="533"/>
      <c r="FB13" s="533"/>
      <c r="FC13" s="533"/>
      <c r="FD13" s="533"/>
      <c r="FE13" s="533"/>
      <c r="FF13" s="533"/>
      <c r="FG13" s="533"/>
      <c r="FH13" s="533"/>
      <c r="FI13" s="533"/>
      <c r="FJ13" s="533"/>
      <c r="FK13" s="533"/>
      <c r="FL13" s="533"/>
      <c r="FM13" s="533"/>
      <c r="FN13" s="533"/>
      <c r="FO13" s="533"/>
      <c r="FP13" s="533"/>
      <c r="FQ13" s="533"/>
      <c r="FR13" s="533"/>
      <c r="FS13" s="533"/>
      <c r="FT13" s="533"/>
      <c r="FU13" s="533"/>
      <c r="FV13" s="533"/>
      <c r="FW13" s="533"/>
      <c r="FX13" s="533"/>
      <c r="FY13" s="533"/>
      <c r="FZ13" s="533"/>
      <c r="GA13" s="533"/>
      <c r="GB13" s="533"/>
      <c r="GC13" s="533"/>
      <c r="GD13" s="533"/>
      <c r="GE13" s="533"/>
      <c r="GF13" s="533"/>
      <c r="GG13" s="533"/>
      <c r="GH13" s="533"/>
      <c r="GI13" s="533"/>
      <c r="GJ13" s="533"/>
      <c r="GK13" s="533"/>
      <c r="GL13" s="533"/>
      <c r="GM13" s="533"/>
      <c r="GN13" s="533"/>
      <c r="GO13" s="533"/>
      <c r="GP13" s="533"/>
      <c r="GQ13" s="664"/>
      <c r="GR13" s="668"/>
      <c r="GS13" s="668"/>
      <c r="GT13" s="668"/>
      <c r="GU13" s="668"/>
      <c r="GV13" s="668"/>
      <c r="GW13" s="668"/>
      <c r="GX13" s="668"/>
      <c r="GY13" s="543"/>
      <c r="GZ13" s="668"/>
      <c r="HA13" s="668"/>
      <c r="HB13" s="747"/>
      <c r="HC13" s="687"/>
    </row>
    <row r="14" spans="1:213">
      <c r="A14" s="797" t="s">
        <v>1802</v>
      </c>
      <c r="B14" s="516" t="s">
        <v>1803</v>
      </c>
      <c r="C14" s="521" t="s">
        <v>1802</v>
      </c>
      <c r="D14" s="519"/>
      <c r="E14" s="517"/>
      <c r="F14" s="518"/>
      <c r="G14" s="517"/>
      <c r="H14" s="518"/>
      <c r="I14" s="517"/>
      <c r="J14" s="518"/>
      <c r="K14" s="517"/>
      <c r="L14" s="518"/>
      <c r="M14" s="517"/>
      <c r="N14" s="518"/>
      <c r="O14" s="517">
        <v>1.69</v>
      </c>
      <c r="P14" s="518"/>
      <c r="Q14" s="517"/>
      <c r="R14" s="518"/>
      <c r="S14" s="517"/>
      <c r="T14" s="518"/>
      <c r="U14" s="517">
        <v>1.73</v>
      </c>
      <c r="V14" s="518">
        <v>1.68</v>
      </c>
      <c r="W14" s="517">
        <v>1.7</v>
      </c>
      <c r="X14" s="518"/>
      <c r="Y14" s="517">
        <v>1.7</v>
      </c>
      <c r="Z14" s="518">
        <v>1.66</v>
      </c>
      <c r="AA14" s="517"/>
      <c r="AB14" s="518"/>
      <c r="AC14" s="517"/>
      <c r="AD14" s="518">
        <v>1.7</v>
      </c>
      <c r="AE14" s="517">
        <v>1.7</v>
      </c>
      <c r="AF14" s="518"/>
      <c r="AG14" s="517"/>
      <c r="AH14" s="691"/>
      <c r="AI14" s="690"/>
      <c r="AJ14" s="518"/>
      <c r="AK14" s="517"/>
      <c r="AL14" s="518"/>
      <c r="AM14" s="517"/>
      <c r="AN14" s="518"/>
      <c r="AO14" s="517"/>
      <c r="AP14" s="518"/>
      <c r="AQ14" s="517"/>
      <c r="AR14" s="518"/>
      <c r="AS14" s="517"/>
      <c r="AT14" s="691"/>
      <c r="AU14" s="517">
        <v>1.55</v>
      </c>
      <c r="AV14" s="518"/>
      <c r="AW14" s="517"/>
      <c r="AX14" s="518"/>
      <c r="AY14" s="517">
        <v>1.7</v>
      </c>
      <c r="AZ14" s="518"/>
      <c r="BA14" s="517"/>
      <c r="BB14" s="691"/>
      <c r="BC14" s="690"/>
      <c r="BD14" s="518"/>
      <c r="BE14" s="690"/>
      <c r="BF14" s="518"/>
      <c r="BG14" s="517"/>
      <c r="BH14" s="518"/>
      <c r="BI14" s="517"/>
      <c r="BJ14" s="518">
        <v>1.79</v>
      </c>
      <c r="BK14" s="690"/>
      <c r="BL14" s="518"/>
      <c r="BM14" s="517"/>
      <c r="BN14" s="691"/>
      <c r="BO14" s="517"/>
      <c r="BP14" s="518"/>
      <c r="BQ14" s="517"/>
      <c r="BR14" s="518"/>
      <c r="BS14" s="517">
        <v>1.75</v>
      </c>
      <c r="BT14" s="518"/>
      <c r="BU14" s="517">
        <v>1.76</v>
      </c>
      <c r="BV14" s="518">
        <v>1.75</v>
      </c>
      <c r="BW14" s="517">
        <v>1.75</v>
      </c>
      <c r="BX14" s="518"/>
      <c r="BY14" s="517"/>
      <c r="BZ14" s="517"/>
      <c r="CA14" s="812"/>
      <c r="CB14" s="517"/>
      <c r="CC14" s="518"/>
      <c r="CD14" s="517">
        <v>1.75</v>
      </c>
      <c r="CE14" s="518">
        <v>1.74</v>
      </c>
      <c r="CF14" s="517"/>
      <c r="CG14" s="518"/>
      <c r="CH14" s="517">
        <v>1.93</v>
      </c>
      <c r="CI14" s="518">
        <v>1.91</v>
      </c>
      <c r="CJ14" s="517"/>
      <c r="CK14" s="518"/>
      <c r="CL14" s="517"/>
      <c r="CM14" s="518"/>
      <c r="CN14" s="517"/>
      <c r="CO14" s="518"/>
      <c r="CP14" s="518"/>
      <c r="CQ14" s="517"/>
      <c r="CR14" s="518">
        <v>1.51</v>
      </c>
      <c r="CS14" s="517"/>
      <c r="CT14" s="518"/>
      <c r="CU14" s="517"/>
      <c r="CV14" s="518"/>
      <c r="CW14" s="517"/>
      <c r="CX14" s="518"/>
      <c r="CY14" s="517"/>
      <c r="CZ14" s="518"/>
      <c r="DA14" s="517"/>
      <c r="DB14" s="518"/>
      <c r="DC14" s="517"/>
      <c r="DD14" s="518"/>
      <c r="DE14" s="517"/>
      <c r="DF14" s="518">
        <v>1.7</v>
      </c>
      <c r="DG14" s="517"/>
      <c r="DH14" s="518"/>
      <c r="DI14" s="517">
        <v>1.8</v>
      </c>
      <c r="DJ14" s="518"/>
      <c r="DK14" s="517"/>
      <c r="DL14" s="691"/>
      <c r="DM14" s="690">
        <v>1.63</v>
      </c>
      <c r="DN14" s="691">
        <v>1.63</v>
      </c>
      <c r="DO14" s="690"/>
      <c r="DP14" s="518"/>
      <c r="DQ14" s="517">
        <v>1.7</v>
      </c>
      <c r="DR14" s="518"/>
      <c r="DS14" s="517"/>
      <c r="DT14" s="518"/>
      <c r="DU14" s="518"/>
      <c r="DV14" s="517">
        <v>1.65</v>
      </c>
      <c r="DW14" s="690">
        <v>1.7</v>
      </c>
      <c r="DX14" s="691">
        <v>1.7</v>
      </c>
      <c r="DY14" s="517"/>
      <c r="DZ14" s="518"/>
      <c r="EA14" s="517">
        <v>1.65</v>
      </c>
      <c r="EB14" s="691">
        <v>1.75</v>
      </c>
      <c r="EC14" s="517"/>
      <c r="ED14" s="691"/>
      <c r="EE14" s="690"/>
      <c r="EF14" s="517"/>
      <c r="EG14" s="518"/>
      <c r="EH14" s="517"/>
      <c r="EI14" s="518"/>
      <c r="EJ14" s="517"/>
      <c r="EK14" s="518"/>
      <c r="EL14" s="517"/>
      <c r="EM14" s="518"/>
      <c r="EN14" s="518"/>
      <c r="EO14" s="517"/>
      <c r="EP14" s="518"/>
      <c r="EQ14" s="517"/>
      <c r="ER14" s="518"/>
      <c r="ES14" s="517"/>
      <c r="ET14" s="691"/>
      <c r="EU14" s="690"/>
      <c r="EV14" s="847"/>
      <c r="EW14" s="690"/>
      <c r="EX14" s="518"/>
      <c r="EY14" s="517"/>
      <c r="EZ14" s="518"/>
      <c r="FA14" s="517"/>
      <c r="FB14" s="517"/>
      <c r="FC14" s="518"/>
      <c r="FD14" s="517"/>
      <c r="FE14" s="518"/>
      <c r="FF14" s="518">
        <v>2.8</v>
      </c>
      <c r="FG14" s="517"/>
      <c r="FH14" s="518"/>
      <c r="FI14" s="517"/>
      <c r="FJ14" s="518"/>
      <c r="FK14" s="517"/>
      <c r="FL14" s="518"/>
      <c r="FM14" s="517"/>
      <c r="FN14" s="518"/>
      <c r="FO14" s="517"/>
      <c r="FP14" s="518"/>
      <c r="FQ14" s="517"/>
      <c r="FR14" s="518"/>
      <c r="FS14" s="517">
        <v>1.54</v>
      </c>
      <c r="FT14" s="518"/>
      <c r="FU14" s="517"/>
      <c r="FV14" s="518"/>
      <c r="FW14" s="517"/>
      <c r="FX14" s="518"/>
      <c r="FY14" s="517"/>
      <c r="FZ14" s="518">
        <v>1.82</v>
      </c>
      <c r="GA14" s="517">
        <v>1.45</v>
      </c>
      <c r="GB14" s="518">
        <v>1.9</v>
      </c>
      <c r="GC14" s="517"/>
      <c r="GD14" s="518">
        <v>1.91</v>
      </c>
      <c r="GE14" s="517"/>
      <c r="GF14" s="518"/>
      <c r="GG14" s="517"/>
      <c r="GH14" s="518"/>
      <c r="GI14" s="517"/>
      <c r="GJ14" s="518"/>
      <c r="GK14" s="517"/>
      <c r="GL14" s="518"/>
      <c r="GM14" s="517"/>
      <c r="GN14" s="518"/>
      <c r="GO14" s="517"/>
      <c r="GP14" s="518"/>
      <c r="GQ14" s="661"/>
      <c r="GR14" s="679"/>
      <c r="GS14" s="676"/>
      <c r="GT14" s="679"/>
      <c r="GU14" s="676"/>
      <c r="GV14" s="679"/>
      <c r="GW14" s="676"/>
      <c r="GX14" s="679"/>
      <c r="GY14" s="754"/>
      <c r="GZ14" s="755"/>
      <c r="HA14" s="754"/>
    </row>
    <row r="15" spans="1:213">
      <c r="A15" s="797" t="s">
        <v>1804</v>
      </c>
      <c r="B15" s="516" t="s">
        <v>1803</v>
      </c>
      <c r="C15" s="521" t="s">
        <v>1805</v>
      </c>
      <c r="D15" s="519"/>
      <c r="E15" s="517">
        <v>6.6</v>
      </c>
      <c r="F15" s="518">
        <v>6.5</v>
      </c>
      <c r="G15" s="517">
        <v>6.4</v>
      </c>
      <c r="H15" s="518">
        <v>8.5</v>
      </c>
      <c r="I15" s="517">
        <v>8.5</v>
      </c>
      <c r="J15" s="518">
        <v>8.5</v>
      </c>
      <c r="K15" s="517">
        <v>8.5</v>
      </c>
      <c r="L15" s="518">
        <v>9.6</v>
      </c>
      <c r="M15" s="517">
        <v>9.6</v>
      </c>
      <c r="N15" s="518">
        <v>9.6</v>
      </c>
      <c r="O15" s="517">
        <v>4.4000000000000004</v>
      </c>
      <c r="P15" s="518">
        <v>4.26</v>
      </c>
      <c r="Q15" s="517">
        <v>4.24</v>
      </c>
      <c r="R15" s="518">
        <v>4.3099999999999996</v>
      </c>
      <c r="S15" s="517">
        <v>4.9000000000000004</v>
      </c>
      <c r="T15" s="518">
        <v>5.15</v>
      </c>
      <c r="U15" s="517">
        <v>5.05</v>
      </c>
      <c r="V15" s="518">
        <v>4.8</v>
      </c>
      <c r="W15" s="517">
        <v>4.75</v>
      </c>
      <c r="X15" s="518">
        <v>5.05</v>
      </c>
      <c r="Y15" s="517">
        <v>4.59</v>
      </c>
      <c r="Z15" s="518">
        <v>5.05</v>
      </c>
      <c r="AA15" s="517">
        <v>4.9000000000000004</v>
      </c>
      <c r="AB15" s="518">
        <v>4.9000000000000004</v>
      </c>
      <c r="AC15" s="517">
        <v>5.05</v>
      </c>
      <c r="AD15" s="518">
        <v>4.8499999999999996</v>
      </c>
      <c r="AE15" s="517">
        <v>4.8499999999999996</v>
      </c>
      <c r="AF15" s="518">
        <v>6</v>
      </c>
      <c r="AG15" s="517">
        <v>6</v>
      </c>
      <c r="AH15" s="691">
        <v>5</v>
      </c>
      <c r="AI15" s="690">
        <v>4.8</v>
      </c>
      <c r="AJ15" s="518">
        <v>6</v>
      </c>
      <c r="AK15" s="517">
        <v>5.9</v>
      </c>
      <c r="AL15" s="518">
        <v>6.2</v>
      </c>
      <c r="AM15" s="517">
        <v>6.2</v>
      </c>
      <c r="AN15" s="518">
        <v>5.7</v>
      </c>
      <c r="AO15" s="517">
        <v>4.9000000000000004</v>
      </c>
      <c r="AP15" s="518">
        <v>4.9000000000000004</v>
      </c>
      <c r="AQ15" s="517">
        <v>4.8</v>
      </c>
      <c r="AR15" s="518">
        <v>11</v>
      </c>
      <c r="AS15" s="517">
        <v>11</v>
      </c>
      <c r="AT15" s="691">
        <v>12.5</v>
      </c>
      <c r="AU15" s="517">
        <v>6</v>
      </c>
      <c r="AV15" s="518">
        <v>6</v>
      </c>
      <c r="AW15" s="517">
        <v>5.7</v>
      </c>
      <c r="AX15" s="518">
        <v>5.9</v>
      </c>
      <c r="AY15" s="517">
        <v>5.42</v>
      </c>
      <c r="AZ15" s="518">
        <v>4.75</v>
      </c>
      <c r="BA15" s="517">
        <v>4.8</v>
      </c>
      <c r="BB15" s="691">
        <v>12.5</v>
      </c>
      <c r="BC15" s="690">
        <v>12.5</v>
      </c>
      <c r="BD15" s="518">
        <v>11</v>
      </c>
      <c r="BE15" s="690">
        <v>12.5</v>
      </c>
      <c r="BF15" s="518">
        <v>5.5</v>
      </c>
      <c r="BG15" s="517">
        <v>5.5</v>
      </c>
      <c r="BH15" s="518">
        <v>4.5999999999999996</v>
      </c>
      <c r="BI15" s="517">
        <v>5.4</v>
      </c>
      <c r="BJ15" s="518">
        <v>4.5</v>
      </c>
      <c r="BK15" s="690">
        <v>12.5</v>
      </c>
      <c r="BL15" s="518">
        <v>11</v>
      </c>
      <c r="BM15" s="517">
        <v>11</v>
      </c>
      <c r="BN15" s="691">
        <v>12.5</v>
      </c>
      <c r="BO15" s="517">
        <v>11</v>
      </c>
      <c r="BP15" s="518">
        <v>5.3</v>
      </c>
      <c r="BQ15" s="517">
        <v>5</v>
      </c>
      <c r="BR15" s="518">
        <v>5</v>
      </c>
      <c r="BS15" s="517">
        <v>4.9000000000000004</v>
      </c>
      <c r="BT15" s="518">
        <v>5</v>
      </c>
      <c r="BU15" s="517">
        <v>4.9000000000000004</v>
      </c>
      <c r="BV15" s="518">
        <v>4.9000000000000004</v>
      </c>
      <c r="BW15" s="517">
        <v>4.9000000000000004</v>
      </c>
      <c r="BX15" s="518">
        <v>5</v>
      </c>
      <c r="BY15" s="517">
        <v>5</v>
      </c>
      <c r="BZ15" s="517">
        <v>10</v>
      </c>
      <c r="CA15" s="812"/>
      <c r="CB15" s="517">
        <v>1.4</v>
      </c>
      <c r="CC15" s="518"/>
      <c r="CD15" s="517">
        <v>1.25</v>
      </c>
      <c r="CE15" s="518">
        <v>1.37</v>
      </c>
      <c r="CF15" s="517">
        <v>4.7</v>
      </c>
      <c r="CG15" s="518">
        <v>5</v>
      </c>
      <c r="CH15" s="517">
        <v>1.07</v>
      </c>
      <c r="CI15" s="518">
        <v>1.03</v>
      </c>
      <c r="CJ15" s="517">
        <v>1.03</v>
      </c>
      <c r="CK15" s="518">
        <v>1.01</v>
      </c>
      <c r="CL15" s="517">
        <v>6</v>
      </c>
      <c r="CM15" s="518">
        <v>5.9</v>
      </c>
      <c r="CN15" s="517">
        <v>5.6</v>
      </c>
      <c r="CO15" s="518">
        <v>5.3</v>
      </c>
      <c r="CP15" s="518">
        <v>5.0999999999999996</v>
      </c>
      <c r="CQ15" s="517">
        <v>9</v>
      </c>
      <c r="CR15" s="518">
        <v>5.2</v>
      </c>
      <c r="CS15" s="517">
        <v>5</v>
      </c>
      <c r="CT15" s="518">
        <v>4.6399999999999997</v>
      </c>
      <c r="CU15" s="517">
        <v>5.0999999999999996</v>
      </c>
      <c r="CV15" s="518">
        <v>5.0999999999999996</v>
      </c>
      <c r="CW15" s="517">
        <v>5.0999999999999996</v>
      </c>
      <c r="CX15" s="518">
        <v>4.3099999999999996</v>
      </c>
      <c r="CY15" s="517">
        <v>5</v>
      </c>
      <c r="CZ15" s="518">
        <v>4.8</v>
      </c>
      <c r="DA15" s="517">
        <v>5.0999999999999996</v>
      </c>
      <c r="DB15" s="518">
        <v>5.0999999999999996</v>
      </c>
      <c r="DC15" s="517">
        <v>4.9000000000000004</v>
      </c>
      <c r="DD15" s="518">
        <v>5</v>
      </c>
      <c r="DE15" s="517">
        <v>5.19</v>
      </c>
      <c r="DF15" s="518">
        <v>4.8499999999999996</v>
      </c>
      <c r="DG15" s="517">
        <v>4.3</v>
      </c>
      <c r="DH15" s="518"/>
      <c r="DI15" s="517">
        <v>4.8499999999999996</v>
      </c>
      <c r="DJ15" s="518">
        <v>4.3</v>
      </c>
      <c r="DK15" s="517">
        <v>8</v>
      </c>
      <c r="DL15" s="691">
        <v>4.46</v>
      </c>
      <c r="DM15" s="690">
        <v>5.8</v>
      </c>
      <c r="DN15" s="691">
        <v>6</v>
      </c>
      <c r="DO15" s="690">
        <v>4.4000000000000004</v>
      </c>
      <c r="DP15" s="518">
        <v>4.9000000000000004</v>
      </c>
      <c r="DQ15" s="517">
        <v>4.59</v>
      </c>
      <c r="DR15" s="518">
        <v>4.3</v>
      </c>
      <c r="DS15" s="517">
        <v>5.0599999999999996</v>
      </c>
      <c r="DT15" s="518"/>
      <c r="DU15" s="518"/>
      <c r="DV15" s="517">
        <v>8.4</v>
      </c>
      <c r="DW15" s="690">
        <v>6.2</v>
      </c>
      <c r="DX15" s="691">
        <v>6.41</v>
      </c>
      <c r="DY15" s="517">
        <v>6</v>
      </c>
      <c r="DZ15" s="518">
        <v>6</v>
      </c>
      <c r="EA15" s="517">
        <v>8.4</v>
      </c>
      <c r="EB15" s="691">
        <v>5.8</v>
      </c>
      <c r="EC15" s="517">
        <v>6</v>
      </c>
      <c r="ED15" s="691">
        <v>9</v>
      </c>
      <c r="EE15" s="690">
        <v>9</v>
      </c>
      <c r="EF15" s="517">
        <v>10</v>
      </c>
      <c r="EG15" s="518">
        <v>10</v>
      </c>
      <c r="EH15" s="517">
        <v>10</v>
      </c>
      <c r="EI15" s="518"/>
      <c r="EJ15" s="517">
        <v>6</v>
      </c>
      <c r="EK15" s="518">
        <v>4.2</v>
      </c>
      <c r="EL15" s="517"/>
      <c r="EM15" s="518">
        <v>4.9000000000000004</v>
      </c>
      <c r="EN15" s="518">
        <v>4.9000000000000004</v>
      </c>
      <c r="EO15" s="517"/>
      <c r="EP15" s="518"/>
      <c r="EQ15" s="517"/>
      <c r="ER15" s="518"/>
      <c r="ES15" s="517"/>
      <c r="ET15" s="691">
        <v>12</v>
      </c>
      <c r="EU15" s="690">
        <v>12</v>
      </c>
      <c r="EV15" s="847">
        <v>12</v>
      </c>
      <c r="EW15" s="690">
        <v>12</v>
      </c>
      <c r="EX15" s="518"/>
      <c r="EY15" s="517"/>
      <c r="EZ15" s="518">
        <v>5</v>
      </c>
      <c r="FA15" s="517"/>
      <c r="FB15" s="517">
        <v>5.3</v>
      </c>
      <c r="FC15" s="518">
        <v>5.3</v>
      </c>
      <c r="FD15" s="517">
        <v>5.3</v>
      </c>
      <c r="FE15" s="518">
        <v>5.3</v>
      </c>
      <c r="FF15" s="518">
        <v>2.8</v>
      </c>
      <c r="FG15" s="517">
        <v>2.9</v>
      </c>
      <c r="FH15" s="518"/>
      <c r="FI15" s="517"/>
      <c r="FJ15" s="518"/>
      <c r="FK15" s="517"/>
      <c r="FL15" s="518"/>
      <c r="FM15" s="517"/>
      <c r="FN15" s="518"/>
      <c r="FO15" s="517"/>
      <c r="FP15" s="518"/>
      <c r="FQ15" s="517"/>
      <c r="FR15" s="518"/>
      <c r="FS15" s="517">
        <v>2.66</v>
      </c>
      <c r="FT15" s="518">
        <v>3.1</v>
      </c>
      <c r="FU15" s="517"/>
      <c r="FV15" s="518"/>
      <c r="FW15" s="517"/>
      <c r="FX15" s="518"/>
      <c r="FY15" s="517">
        <v>0.3</v>
      </c>
      <c r="FZ15" s="518">
        <v>1.43</v>
      </c>
      <c r="GA15" s="517">
        <v>6</v>
      </c>
      <c r="GB15" s="518">
        <v>1.06</v>
      </c>
      <c r="GC15" s="517">
        <v>1.82</v>
      </c>
      <c r="GD15" s="518">
        <v>1.77</v>
      </c>
      <c r="GE15" s="517">
        <v>5.72</v>
      </c>
      <c r="GF15" s="518">
        <v>4.6399999999999997</v>
      </c>
      <c r="GG15" s="517">
        <v>5.03</v>
      </c>
      <c r="GH15" s="518">
        <v>1.77</v>
      </c>
      <c r="GI15" s="517">
        <v>4.8</v>
      </c>
      <c r="GJ15" s="518">
        <v>5</v>
      </c>
      <c r="GK15" s="517">
        <v>5</v>
      </c>
      <c r="GL15" s="518"/>
      <c r="GM15" s="517"/>
      <c r="GN15" s="518"/>
      <c r="GO15" s="517"/>
      <c r="GP15" s="517"/>
      <c r="GQ15" s="661">
        <v>5</v>
      </c>
      <c r="GR15" s="679">
        <v>11</v>
      </c>
      <c r="GS15" s="676">
        <v>5.71</v>
      </c>
      <c r="GT15" s="679">
        <v>5.7</v>
      </c>
      <c r="GU15" s="676"/>
      <c r="GV15" s="679"/>
      <c r="GW15" s="676"/>
      <c r="GX15" s="679">
        <v>9.9</v>
      </c>
      <c r="GY15" s="754">
        <v>8.5</v>
      </c>
      <c r="GZ15" s="755">
        <v>8.5</v>
      </c>
      <c r="HA15" s="754">
        <v>8.6999999999999993</v>
      </c>
    </row>
    <row r="16" spans="1:213">
      <c r="A16" s="797" t="s">
        <v>1806</v>
      </c>
      <c r="B16" s="516" t="s">
        <v>1803</v>
      </c>
      <c r="C16" s="521" t="s">
        <v>1807</v>
      </c>
      <c r="D16" s="519"/>
      <c r="E16" s="517">
        <v>32.6</v>
      </c>
      <c r="F16" s="518">
        <v>32.6</v>
      </c>
      <c r="G16" s="517">
        <v>33.9</v>
      </c>
      <c r="H16" s="518">
        <v>35</v>
      </c>
      <c r="I16" s="517">
        <v>35</v>
      </c>
      <c r="J16" s="518">
        <v>35</v>
      </c>
      <c r="K16" s="517">
        <v>35</v>
      </c>
      <c r="L16" s="518">
        <v>50</v>
      </c>
      <c r="M16" s="517">
        <v>50</v>
      </c>
      <c r="N16" s="518">
        <v>50</v>
      </c>
      <c r="O16" s="517">
        <v>28.6</v>
      </c>
      <c r="P16" s="518">
        <v>29.3</v>
      </c>
      <c r="Q16" s="517">
        <v>30.1</v>
      </c>
      <c r="R16" s="518">
        <v>30.4</v>
      </c>
      <c r="S16" s="517">
        <v>24.5</v>
      </c>
      <c r="T16" s="518">
        <v>30.4</v>
      </c>
      <c r="U16" s="517">
        <v>31.1</v>
      </c>
      <c r="V16" s="518">
        <v>26.7</v>
      </c>
      <c r="W16" s="517">
        <v>30.7</v>
      </c>
      <c r="X16" s="518">
        <v>31.5</v>
      </c>
      <c r="Y16" s="517">
        <v>28.4</v>
      </c>
      <c r="Z16" s="518">
        <v>27.8</v>
      </c>
      <c r="AA16" s="517">
        <v>23.4</v>
      </c>
      <c r="AB16" s="518">
        <v>24.2</v>
      </c>
      <c r="AC16" s="517">
        <v>30.4</v>
      </c>
      <c r="AD16" s="518">
        <v>27.3</v>
      </c>
      <c r="AE16" s="517">
        <v>29.8</v>
      </c>
      <c r="AF16" s="518"/>
      <c r="AG16" s="517"/>
      <c r="AH16" s="691">
        <v>26.1</v>
      </c>
      <c r="AI16" s="690">
        <v>28.2</v>
      </c>
      <c r="AJ16" s="518">
        <v>24.4</v>
      </c>
      <c r="AK16" s="517">
        <v>25.8</v>
      </c>
      <c r="AL16" s="518">
        <v>24.1</v>
      </c>
      <c r="AM16" s="517">
        <v>25.4</v>
      </c>
      <c r="AN16" s="518">
        <v>29.1</v>
      </c>
      <c r="AO16" s="517">
        <v>25.2</v>
      </c>
      <c r="AP16" s="518">
        <v>26.5</v>
      </c>
      <c r="AQ16" s="517"/>
      <c r="AR16" s="518">
        <v>40</v>
      </c>
      <c r="AS16" s="517">
        <v>40</v>
      </c>
      <c r="AT16" s="691"/>
      <c r="AU16" s="517">
        <v>26.5</v>
      </c>
      <c r="AV16" s="518">
        <v>27.8</v>
      </c>
      <c r="AW16" s="517">
        <v>29.1</v>
      </c>
      <c r="AX16" s="518">
        <v>25.8</v>
      </c>
      <c r="AY16" s="517">
        <v>29.7</v>
      </c>
      <c r="AZ16" s="518">
        <v>27.4</v>
      </c>
      <c r="BA16" s="517"/>
      <c r="BB16" s="691"/>
      <c r="BC16" s="690"/>
      <c r="BD16" s="518">
        <v>40</v>
      </c>
      <c r="BE16" s="690"/>
      <c r="BF16" s="518">
        <v>32</v>
      </c>
      <c r="BG16" s="517">
        <v>32.9</v>
      </c>
      <c r="BH16" s="518">
        <v>31.6</v>
      </c>
      <c r="BI16" s="517">
        <v>33.700000000000003</v>
      </c>
      <c r="BJ16" s="518">
        <v>33.4</v>
      </c>
      <c r="BK16" s="690"/>
      <c r="BL16" s="518">
        <v>40</v>
      </c>
      <c r="BM16" s="517">
        <v>40</v>
      </c>
      <c r="BN16" s="691"/>
      <c r="BO16" s="517">
        <v>40</v>
      </c>
      <c r="BP16" s="518">
        <v>32.4</v>
      </c>
      <c r="BQ16" s="517">
        <v>33.700000000000003</v>
      </c>
      <c r="BR16" s="518">
        <v>33.700000000000003</v>
      </c>
      <c r="BS16" s="517">
        <v>32.4</v>
      </c>
      <c r="BT16" s="518">
        <v>36</v>
      </c>
      <c r="BU16" s="517">
        <v>34.1</v>
      </c>
      <c r="BV16" s="518">
        <v>32</v>
      </c>
      <c r="BW16" s="517">
        <v>32.4</v>
      </c>
      <c r="BX16" s="518">
        <v>36</v>
      </c>
      <c r="BY16" s="517">
        <v>36</v>
      </c>
      <c r="BZ16" s="517">
        <v>50</v>
      </c>
      <c r="CA16" s="812"/>
      <c r="CB16" s="517">
        <v>12.5</v>
      </c>
      <c r="CC16" s="518">
        <v>12.5</v>
      </c>
      <c r="CD16" s="517">
        <v>16</v>
      </c>
      <c r="CE16" s="518">
        <v>13.6</v>
      </c>
      <c r="CF16" s="517">
        <v>32.1</v>
      </c>
      <c r="CG16" s="518">
        <v>32.6</v>
      </c>
      <c r="CH16" s="517">
        <v>15.8</v>
      </c>
      <c r="CI16" s="518">
        <v>15.9</v>
      </c>
      <c r="CJ16" s="517">
        <v>16.5</v>
      </c>
      <c r="CK16" s="518">
        <v>16.899999999999999</v>
      </c>
      <c r="CL16" s="517">
        <v>22.6</v>
      </c>
      <c r="CM16" s="518">
        <v>24.3</v>
      </c>
      <c r="CN16" s="517">
        <v>22.7</v>
      </c>
      <c r="CO16" s="518">
        <v>26</v>
      </c>
      <c r="CP16" s="518">
        <v>27.9</v>
      </c>
      <c r="CQ16" s="517">
        <v>40</v>
      </c>
      <c r="CR16" s="518">
        <v>21.5</v>
      </c>
      <c r="CS16" s="517">
        <v>28</v>
      </c>
      <c r="CT16" s="518">
        <v>26.3</v>
      </c>
      <c r="CU16" s="517">
        <v>22.5</v>
      </c>
      <c r="CV16" s="518">
        <v>22.5</v>
      </c>
      <c r="CW16" s="517">
        <v>23.5</v>
      </c>
      <c r="CX16" s="518">
        <v>30.4</v>
      </c>
      <c r="CY16" s="517">
        <v>29.5</v>
      </c>
      <c r="CZ16" s="518">
        <v>26.3</v>
      </c>
      <c r="DA16" s="517">
        <v>22.8</v>
      </c>
      <c r="DB16" s="518"/>
      <c r="DC16" s="517">
        <v>24.5</v>
      </c>
      <c r="DD16" s="518">
        <v>29</v>
      </c>
      <c r="DE16" s="517">
        <v>29.3</v>
      </c>
      <c r="DF16" s="518">
        <v>28.4</v>
      </c>
      <c r="DG16" s="517">
        <v>32.9</v>
      </c>
      <c r="DH16" s="518">
        <v>31.4</v>
      </c>
      <c r="DI16" s="517">
        <v>32.299999999999997</v>
      </c>
      <c r="DJ16" s="518">
        <v>32.799999999999997</v>
      </c>
      <c r="DK16" s="517">
        <v>44.7</v>
      </c>
      <c r="DL16" s="691">
        <v>21.2</v>
      </c>
      <c r="DM16" s="690">
        <v>27.4</v>
      </c>
      <c r="DN16" s="691">
        <v>31.9</v>
      </c>
      <c r="DO16" s="690">
        <v>25</v>
      </c>
      <c r="DP16" s="518">
        <v>23.4</v>
      </c>
      <c r="DQ16" s="517">
        <v>28.4</v>
      </c>
      <c r="DR16" s="518">
        <v>32.9</v>
      </c>
      <c r="DS16" s="517">
        <v>31.4</v>
      </c>
      <c r="DT16" s="518">
        <v>31.4</v>
      </c>
      <c r="DU16" s="518">
        <v>31.4</v>
      </c>
      <c r="DV16" s="517">
        <v>39.299999999999997</v>
      </c>
      <c r="DW16" s="690">
        <v>31.5</v>
      </c>
      <c r="DX16" s="691">
        <v>36.299999999999997</v>
      </c>
      <c r="DY16" s="517">
        <v>34.700000000000003</v>
      </c>
      <c r="DZ16" s="518">
        <v>37.5</v>
      </c>
      <c r="EA16" s="517">
        <v>40</v>
      </c>
      <c r="EB16" s="691">
        <v>42.8</v>
      </c>
      <c r="EC16" s="517">
        <v>39.6</v>
      </c>
      <c r="ED16" s="691">
        <v>42</v>
      </c>
      <c r="EE16" s="690">
        <v>42</v>
      </c>
      <c r="EF16" s="517">
        <v>50</v>
      </c>
      <c r="EG16" s="518">
        <v>50</v>
      </c>
      <c r="EH16" s="517">
        <v>50</v>
      </c>
      <c r="EI16" s="518"/>
      <c r="EJ16" s="517"/>
      <c r="EK16" s="518">
        <v>25.7</v>
      </c>
      <c r="EL16" s="517"/>
      <c r="EM16" s="518">
        <v>27</v>
      </c>
      <c r="EN16" s="518"/>
      <c r="EO16" s="517"/>
      <c r="EP16" s="518"/>
      <c r="EQ16" s="517"/>
      <c r="ER16" s="518"/>
      <c r="ES16" s="517"/>
      <c r="ET16" s="691"/>
      <c r="EU16" s="690"/>
      <c r="EV16" s="847"/>
      <c r="EW16" s="690"/>
      <c r="EX16" s="518"/>
      <c r="EY16" s="517"/>
      <c r="EZ16" s="518"/>
      <c r="FA16" s="517"/>
      <c r="FB16" s="517"/>
      <c r="FC16" s="518"/>
      <c r="FD16" s="517">
        <v>24</v>
      </c>
      <c r="FE16" s="518">
        <v>24</v>
      </c>
      <c r="FF16" s="518">
        <v>14.6</v>
      </c>
      <c r="FG16" s="517"/>
      <c r="FH16" s="518"/>
      <c r="FI16" s="517">
        <v>6.8</v>
      </c>
      <c r="FJ16" s="518"/>
      <c r="FK16" s="517"/>
      <c r="FL16" s="518">
        <v>6.8</v>
      </c>
      <c r="FM16" s="517"/>
      <c r="FN16" s="518"/>
      <c r="FO16" s="517"/>
      <c r="FP16" s="518"/>
      <c r="FQ16" s="517"/>
      <c r="FR16" s="518"/>
      <c r="FS16" s="517">
        <v>13</v>
      </c>
      <c r="FT16" s="518"/>
      <c r="FU16" s="517"/>
      <c r="FV16" s="518"/>
      <c r="FW16" s="517"/>
      <c r="FX16" s="518"/>
      <c r="FY16" s="517">
        <v>14.1</v>
      </c>
      <c r="FZ16" s="518">
        <v>13.5</v>
      </c>
      <c r="GA16" s="517">
        <v>24.7</v>
      </c>
      <c r="GB16" s="518">
        <v>15.4</v>
      </c>
      <c r="GC16" s="517">
        <v>17.399999999999999</v>
      </c>
      <c r="GD16" s="518">
        <v>19.2</v>
      </c>
      <c r="GE16" s="517">
        <v>24.3</v>
      </c>
      <c r="GF16" s="518">
        <v>26.3</v>
      </c>
      <c r="GG16" s="517">
        <v>31.8</v>
      </c>
      <c r="GH16" s="518">
        <v>18.600000000000001</v>
      </c>
      <c r="GI16" s="517">
        <v>27.7</v>
      </c>
      <c r="GJ16" s="518">
        <v>24.7</v>
      </c>
      <c r="GK16" s="517">
        <v>24.7</v>
      </c>
      <c r="GL16" s="518"/>
      <c r="GM16" s="517">
        <v>13</v>
      </c>
      <c r="GN16" s="518"/>
      <c r="GO16" s="517"/>
      <c r="GP16" s="518"/>
      <c r="GQ16" s="661">
        <v>29</v>
      </c>
      <c r="GR16" s="679">
        <v>40</v>
      </c>
      <c r="GS16" s="676">
        <v>11.6</v>
      </c>
      <c r="GT16" s="679">
        <v>13.8</v>
      </c>
      <c r="GU16" s="676"/>
      <c r="GV16" s="679"/>
      <c r="GW16" s="676"/>
      <c r="GX16" s="679">
        <v>60</v>
      </c>
      <c r="GY16" s="754">
        <v>41</v>
      </c>
      <c r="GZ16" s="755">
        <v>41</v>
      </c>
      <c r="HA16" s="754">
        <v>45.6</v>
      </c>
    </row>
    <row r="17" spans="1:211">
      <c r="A17" s="797" t="s">
        <v>1808</v>
      </c>
      <c r="B17" s="516" t="s">
        <v>1803</v>
      </c>
      <c r="C17" s="521" t="s">
        <v>1809</v>
      </c>
      <c r="D17" s="519"/>
      <c r="E17" s="517"/>
      <c r="F17" s="518"/>
      <c r="G17" s="517"/>
      <c r="H17" s="518"/>
      <c r="I17" s="517"/>
      <c r="J17" s="518"/>
      <c r="K17" s="517"/>
      <c r="L17" s="518"/>
      <c r="M17" s="517"/>
      <c r="N17" s="518"/>
      <c r="O17" s="517"/>
      <c r="P17" s="518"/>
      <c r="Q17" s="517"/>
      <c r="R17" s="518"/>
      <c r="S17" s="517"/>
      <c r="T17" s="518"/>
      <c r="U17" s="517"/>
      <c r="V17" s="518"/>
      <c r="W17" s="517"/>
      <c r="X17" s="518"/>
      <c r="Y17" s="517"/>
      <c r="Z17" s="518"/>
      <c r="AA17" s="517"/>
      <c r="AB17" s="518"/>
      <c r="AC17" s="517"/>
      <c r="AD17" s="518"/>
      <c r="AE17" s="517"/>
      <c r="AF17" s="518"/>
      <c r="AG17" s="517"/>
      <c r="AH17" s="691"/>
      <c r="AI17" s="690"/>
      <c r="AJ17" s="518">
        <v>32.6</v>
      </c>
      <c r="AK17" s="517">
        <v>32.6</v>
      </c>
      <c r="AL17" s="518"/>
      <c r="AM17" s="517"/>
      <c r="AN17" s="518">
        <v>35.5</v>
      </c>
      <c r="AO17" s="517"/>
      <c r="AP17" s="518"/>
      <c r="AQ17" s="517"/>
      <c r="AR17" s="518"/>
      <c r="AS17" s="517"/>
      <c r="AT17" s="691"/>
      <c r="AU17" s="517">
        <v>31.3</v>
      </c>
      <c r="AV17" s="518"/>
      <c r="AW17" s="517">
        <v>32.6</v>
      </c>
      <c r="AX17" s="518"/>
      <c r="AY17" s="517"/>
      <c r="AZ17" s="518"/>
      <c r="BA17" s="517"/>
      <c r="BB17" s="691"/>
      <c r="BC17" s="690"/>
      <c r="BD17" s="518"/>
      <c r="BE17" s="690"/>
      <c r="BF17" s="518">
        <v>35.4</v>
      </c>
      <c r="BG17" s="517">
        <v>35.5</v>
      </c>
      <c r="BH17" s="518"/>
      <c r="BI17" s="517"/>
      <c r="BJ17" s="518"/>
      <c r="BK17" s="690"/>
      <c r="BL17" s="518"/>
      <c r="BM17" s="517"/>
      <c r="BN17" s="691"/>
      <c r="BO17" s="517"/>
      <c r="BP17" s="518"/>
      <c r="BQ17" s="517"/>
      <c r="BR17" s="518"/>
      <c r="BS17" s="517"/>
      <c r="BT17" s="518"/>
      <c r="BU17" s="517"/>
      <c r="BV17" s="518"/>
      <c r="BW17" s="517"/>
      <c r="BX17" s="518"/>
      <c r="BY17" s="517"/>
      <c r="BZ17" s="517"/>
      <c r="CA17" s="812"/>
      <c r="CB17" s="517"/>
      <c r="CC17" s="518"/>
      <c r="CD17" s="517"/>
      <c r="CE17" s="518"/>
      <c r="CF17" s="517"/>
      <c r="CG17" s="518"/>
      <c r="CH17" s="517"/>
      <c r="CI17" s="518"/>
      <c r="CJ17" s="517"/>
      <c r="CK17" s="518"/>
      <c r="CL17" s="517">
        <v>27.5</v>
      </c>
      <c r="CM17" s="518">
        <v>28.8</v>
      </c>
      <c r="CN17" s="517">
        <v>32.299999999999997</v>
      </c>
      <c r="CO17" s="518">
        <v>32.799999999999997</v>
      </c>
      <c r="CP17" s="518">
        <v>32.799999999999997</v>
      </c>
      <c r="CQ17" s="517"/>
      <c r="CR17" s="518"/>
      <c r="CS17" s="517"/>
      <c r="CT17" s="518"/>
      <c r="CU17" s="517"/>
      <c r="CV17" s="518"/>
      <c r="CW17" s="517"/>
      <c r="CX17" s="518"/>
      <c r="CY17" s="517"/>
      <c r="CZ17" s="518"/>
      <c r="DA17" s="517"/>
      <c r="DB17" s="518"/>
      <c r="DC17" s="517"/>
      <c r="DD17" s="518"/>
      <c r="DE17" s="517"/>
      <c r="DF17" s="518"/>
      <c r="DG17" s="517"/>
      <c r="DH17" s="518"/>
      <c r="DI17" s="517"/>
      <c r="DJ17" s="518"/>
      <c r="DK17" s="517">
        <v>52.4</v>
      </c>
      <c r="DL17" s="691"/>
      <c r="DM17" s="690">
        <v>30.8</v>
      </c>
      <c r="DN17" s="691"/>
      <c r="DO17" s="690"/>
      <c r="DP17" s="518"/>
      <c r="DQ17" s="517"/>
      <c r="DR17" s="518"/>
      <c r="DS17" s="517"/>
      <c r="DT17" s="518"/>
      <c r="DU17" s="518"/>
      <c r="DV17" s="517"/>
      <c r="DW17" s="690"/>
      <c r="DX17" s="691"/>
      <c r="DY17" s="517"/>
      <c r="DZ17" s="518"/>
      <c r="EA17" s="517"/>
      <c r="EB17" s="691"/>
      <c r="EC17" s="517"/>
      <c r="ED17" s="691"/>
      <c r="EE17" s="690"/>
      <c r="EF17" s="517"/>
      <c r="EG17" s="518"/>
      <c r="EH17" s="517"/>
      <c r="EI17" s="518"/>
      <c r="EJ17" s="517"/>
      <c r="EK17" s="518"/>
      <c r="EL17" s="517"/>
      <c r="EM17" s="518"/>
      <c r="EN17" s="518"/>
      <c r="EO17" s="517"/>
      <c r="EP17" s="518"/>
      <c r="EQ17" s="517"/>
      <c r="ER17" s="518"/>
      <c r="ES17" s="517"/>
      <c r="ET17" s="691"/>
      <c r="EU17" s="690"/>
      <c r="EV17" s="847"/>
      <c r="EW17" s="690"/>
      <c r="EX17" s="518"/>
      <c r="EY17" s="517"/>
      <c r="EZ17" s="518"/>
      <c r="FA17" s="517"/>
      <c r="FB17" s="517"/>
      <c r="FC17" s="518"/>
      <c r="FD17" s="517"/>
      <c r="FE17" s="518"/>
      <c r="FF17" s="518"/>
      <c r="FG17" s="517"/>
      <c r="FH17" s="518"/>
      <c r="FI17" s="517"/>
      <c r="FJ17" s="518"/>
      <c r="FK17" s="517"/>
      <c r="FL17" s="518"/>
      <c r="FM17" s="517"/>
      <c r="FN17" s="518"/>
      <c r="FO17" s="517"/>
      <c r="FP17" s="518"/>
      <c r="FQ17" s="517"/>
      <c r="FR17" s="518"/>
      <c r="FS17" s="517"/>
      <c r="FT17" s="518"/>
      <c r="FU17" s="517"/>
      <c r="FV17" s="518"/>
      <c r="FW17" s="517"/>
      <c r="FX17" s="518"/>
      <c r="FY17" s="517"/>
      <c r="FZ17" s="518"/>
      <c r="GA17" s="517">
        <v>31.2</v>
      </c>
      <c r="GB17" s="518"/>
      <c r="GC17" s="517"/>
      <c r="GD17" s="518"/>
      <c r="GE17" s="517"/>
      <c r="GF17" s="518"/>
      <c r="GG17" s="517"/>
      <c r="GH17" s="518"/>
      <c r="GI17" s="517"/>
      <c r="GJ17" s="518"/>
      <c r="GK17" s="517"/>
      <c r="GL17" s="518"/>
      <c r="GM17" s="517"/>
      <c r="GN17" s="518"/>
      <c r="GO17" s="517"/>
      <c r="GP17" s="518"/>
      <c r="GQ17" s="661"/>
      <c r="GR17" s="679"/>
      <c r="GS17" s="676"/>
      <c r="GT17" s="679"/>
      <c r="GU17" s="676"/>
      <c r="GV17" s="679"/>
      <c r="GW17" s="676"/>
      <c r="GX17" s="679"/>
      <c r="GY17" s="754"/>
      <c r="GZ17" s="755"/>
      <c r="HA17" s="754">
        <v>43.9</v>
      </c>
    </row>
    <row r="18" spans="1:211" ht="15.75">
      <c r="A18" s="798" t="s">
        <v>1810</v>
      </c>
      <c r="B18" s="535"/>
      <c r="C18" s="520"/>
      <c r="D18" s="519"/>
      <c r="E18" s="533"/>
      <c r="F18" s="533"/>
      <c r="G18" s="533"/>
      <c r="H18" s="533"/>
      <c r="I18" s="533"/>
      <c r="J18" s="533"/>
      <c r="K18" s="533"/>
      <c r="L18" s="533"/>
      <c r="M18" s="533"/>
      <c r="N18" s="533"/>
      <c r="O18" s="533"/>
      <c r="P18" s="533"/>
      <c r="Q18" s="533"/>
      <c r="R18" s="533"/>
      <c r="S18" s="533"/>
      <c r="T18" s="533"/>
      <c r="U18" s="533"/>
      <c r="V18" s="533"/>
      <c r="W18" s="533"/>
      <c r="X18" s="533"/>
      <c r="Y18" s="533"/>
      <c r="Z18" s="533"/>
      <c r="AA18" s="533"/>
      <c r="AB18" s="533"/>
      <c r="AC18" s="533"/>
      <c r="AD18" s="533"/>
      <c r="AE18" s="533"/>
      <c r="AF18" s="533"/>
      <c r="AG18" s="533"/>
      <c r="AH18" s="695"/>
      <c r="AI18" s="695"/>
      <c r="AJ18" s="533"/>
      <c r="AK18" s="533"/>
      <c r="AL18" s="533"/>
      <c r="AM18" s="533"/>
      <c r="AN18" s="533"/>
      <c r="AO18" s="533"/>
      <c r="AP18" s="533"/>
      <c r="AQ18" s="533"/>
      <c r="AR18" s="533"/>
      <c r="AS18" s="533"/>
      <c r="AT18" s="695"/>
      <c r="AU18" s="533"/>
      <c r="AV18" s="533"/>
      <c r="AW18" s="533"/>
      <c r="AX18" s="533"/>
      <c r="AY18" s="533"/>
      <c r="AZ18" s="533"/>
      <c r="BA18" s="533"/>
      <c r="BB18" s="695"/>
      <c r="BC18" s="695"/>
      <c r="BD18" s="533"/>
      <c r="BE18" s="695"/>
      <c r="BF18" s="533"/>
      <c r="BG18" s="533"/>
      <c r="BH18" s="533"/>
      <c r="BI18" s="533"/>
      <c r="BJ18" s="533"/>
      <c r="BK18" s="695"/>
      <c r="BL18" s="533"/>
      <c r="BM18" s="533"/>
      <c r="BN18" s="695"/>
      <c r="BO18" s="533"/>
      <c r="BP18" s="533"/>
      <c r="BQ18" s="533"/>
      <c r="BR18" s="533"/>
      <c r="BS18" s="533"/>
      <c r="BT18" s="533"/>
      <c r="BU18" s="533"/>
      <c r="BV18" s="533"/>
      <c r="BW18" s="533"/>
      <c r="BX18" s="533"/>
      <c r="BY18" s="533"/>
      <c r="BZ18" s="533"/>
      <c r="CA18" s="533"/>
      <c r="CB18" s="533"/>
      <c r="CC18" s="533"/>
      <c r="CD18" s="533"/>
      <c r="CE18" s="533"/>
      <c r="CF18" s="533"/>
      <c r="CG18" s="533"/>
      <c r="CH18" s="533"/>
      <c r="CI18" s="533"/>
      <c r="CJ18" s="533"/>
      <c r="CK18" s="533"/>
      <c r="CL18" s="533"/>
      <c r="CM18" s="533"/>
      <c r="CN18" s="533"/>
      <c r="CO18" s="533"/>
      <c r="CP18" s="533"/>
      <c r="CQ18" s="533"/>
      <c r="CR18" s="533"/>
      <c r="CS18" s="533"/>
      <c r="CT18" s="533"/>
      <c r="CU18" s="533"/>
      <c r="CV18" s="533"/>
      <c r="CW18" s="533"/>
      <c r="CX18" s="533"/>
      <c r="CY18" s="533"/>
      <c r="CZ18" s="533"/>
      <c r="DA18" s="533"/>
      <c r="DB18" s="533"/>
      <c r="DC18" s="533"/>
      <c r="DD18" s="533"/>
      <c r="DE18" s="533"/>
      <c r="DF18" s="533"/>
      <c r="DG18" s="533"/>
      <c r="DH18" s="533"/>
      <c r="DI18" s="533"/>
      <c r="DJ18" s="533"/>
      <c r="DK18" s="683"/>
      <c r="DL18" s="695"/>
      <c r="DM18" s="695"/>
      <c r="DN18" s="695"/>
      <c r="DO18" s="695"/>
      <c r="DP18" s="533"/>
      <c r="DQ18" s="533"/>
      <c r="DR18" s="533"/>
      <c r="DS18" s="533"/>
      <c r="DT18" s="533"/>
      <c r="DU18" s="533"/>
      <c r="DV18" s="533"/>
      <c r="DW18" s="695"/>
      <c r="DX18" s="695"/>
      <c r="DY18" s="533"/>
      <c r="DZ18" s="533"/>
      <c r="EA18" s="533"/>
      <c r="EB18" s="695"/>
      <c r="EC18" s="533"/>
      <c r="ED18" s="695"/>
      <c r="EE18" s="695"/>
      <c r="EF18" s="533"/>
      <c r="EG18" s="533"/>
      <c r="EH18" s="533"/>
      <c r="EI18" s="533"/>
      <c r="EJ18" s="533"/>
      <c r="EK18" s="533"/>
      <c r="EL18" s="533"/>
      <c r="EM18" s="533"/>
      <c r="EN18" s="533"/>
      <c r="EO18" s="533"/>
      <c r="EP18" s="533"/>
      <c r="EQ18" s="533"/>
      <c r="ER18" s="533"/>
      <c r="ES18" s="533"/>
      <c r="ET18" s="695"/>
      <c r="EU18" s="695"/>
      <c r="EV18" s="850"/>
      <c r="EW18" s="695"/>
      <c r="EX18" s="533"/>
      <c r="EY18" s="533"/>
      <c r="EZ18" s="533"/>
      <c r="FA18" s="533"/>
      <c r="FB18" s="533"/>
      <c r="FC18" s="533"/>
      <c r="FD18" s="533"/>
      <c r="FE18" s="533"/>
      <c r="FF18" s="533"/>
      <c r="FG18" s="533"/>
      <c r="FH18" s="533"/>
      <c r="FI18" s="533"/>
      <c r="FJ18" s="533"/>
      <c r="FK18" s="533"/>
      <c r="FL18" s="533"/>
      <c r="FM18" s="533"/>
      <c r="FN18" s="533"/>
      <c r="FO18" s="533"/>
      <c r="FP18" s="533"/>
      <c r="FQ18" s="533"/>
      <c r="FR18" s="533"/>
      <c r="FS18" s="533"/>
      <c r="FT18" s="533"/>
      <c r="FU18" s="533"/>
      <c r="FV18" s="533"/>
      <c r="FW18" s="533"/>
      <c r="FX18" s="533"/>
      <c r="FY18" s="533"/>
      <c r="FZ18" s="533"/>
      <c r="GA18" s="533"/>
      <c r="GB18" s="533"/>
      <c r="GC18" s="533"/>
      <c r="GD18" s="533"/>
      <c r="GE18" s="533"/>
      <c r="GF18" s="533"/>
      <c r="GG18" s="533"/>
      <c r="GH18" s="533"/>
      <c r="GI18" s="533"/>
      <c r="GJ18" s="533"/>
      <c r="GK18" s="533"/>
      <c r="GL18" s="533"/>
      <c r="GM18" s="533"/>
      <c r="GN18" s="533"/>
      <c r="GO18" s="533"/>
      <c r="GP18" s="533"/>
      <c r="GQ18" s="664"/>
      <c r="GR18" s="668"/>
      <c r="GS18" s="668"/>
      <c r="GT18" s="668"/>
      <c r="GU18" s="668"/>
      <c r="GV18" s="668"/>
      <c r="GW18" s="668"/>
      <c r="GX18" s="668"/>
      <c r="GY18" s="543"/>
      <c r="GZ18" s="668"/>
      <c r="HA18" s="668"/>
      <c r="HB18" s="747"/>
      <c r="HC18" s="687"/>
    </row>
    <row r="19" spans="1:211">
      <c r="A19" s="797" t="s">
        <v>1247</v>
      </c>
      <c r="B19" s="380" t="s">
        <v>1244</v>
      </c>
      <c r="C19" s="521" t="s">
        <v>1811</v>
      </c>
      <c r="D19" s="519"/>
      <c r="E19" s="517">
        <v>0.8</v>
      </c>
      <c r="F19" s="518">
        <v>0.8</v>
      </c>
      <c r="G19" s="517">
        <v>0.8</v>
      </c>
      <c r="H19" s="518">
        <v>0.8</v>
      </c>
      <c r="I19" s="517">
        <v>0.8</v>
      </c>
      <c r="J19" s="518">
        <v>0.8</v>
      </c>
      <c r="K19" s="517">
        <v>0.8</v>
      </c>
      <c r="L19" s="518"/>
      <c r="M19" s="517"/>
      <c r="N19" s="518"/>
      <c r="O19" s="517">
        <v>0.8</v>
      </c>
      <c r="P19" s="518">
        <v>0.8</v>
      </c>
      <c r="Q19" s="517">
        <v>0.8</v>
      </c>
      <c r="R19" s="518">
        <v>0.8</v>
      </c>
      <c r="S19" s="517">
        <v>0.85</v>
      </c>
      <c r="T19" s="518">
        <v>0.8</v>
      </c>
      <c r="U19" s="517">
        <v>0.8</v>
      </c>
      <c r="V19" s="518">
        <v>0.85</v>
      </c>
      <c r="W19" s="517"/>
      <c r="X19" s="518">
        <v>0.8</v>
      </c>
      <c r="Y19" s="517">
        <v>0.8</v>
      </c>
      <c r="Z19" s="518">
        <v>0.8</v>
      </c>
      <c r="AA19" s="517">
        <v>0.85</v>
      </c>
      <c r="AB19" s="518">
        <v>0.85</v>
      </c>
      <c r="AC19" s="517"/>
      <c r="AD19" s="518"/>
      <c r="AE19" s="517"/>
      <c r="AF19" s="518"/>
      <c r="AG19" s="517"/>
      <c r="AH19" s="691"/>
      <c r="AI19" s="690"/>
      <c r="AJ19" s="518">
        <v>0.8</v>
      </c>
      <c r="AK19" s="670">
        <v>0.8</v>
      </c>
      <c r="AL19" s="518">
        <v>0.8</v>
      </c>
      <c r="AM19" s="517">
        <v>0.8</v>
      </c>
      <c r="AN19" s="518">
        <v>0.8</v>
      </c>
      <c r="AO19" s="517">
        <v>0.8</v>
      </c>
      <c r="AP19" s="518"/>
      <c r="AQ19" s="517"/>
      <c r="AR19" s="518"/>
      <c r="AS19" s="517"/>
      <c r="AT19" s="691"/>
      <c r="AU19" s="517">
        <v>0.8</v>
      </c>
      <c r="AV19" s="518">
        <v>0.8</v>
      </c>
      <c r="AW19" s="517">
        <v>0.8</v>
      </c>
      <c r="AX19" s="518"/>
      <c r="AY19" s="517">
        <v>0.8</v>
      </c>
      <c r="AZ19" s="518"/>
      <c r="BA19" s="517"/>
      <c r="BB19" s="691"/>
      <c r="BC19" s="690"/>
      <c r="BD19" s="518"/>
      <c r="BE19" s="690"/>
      <c r="BF19" s="518">
        <v>0.8</v>
      </c>
      <c r="BG19" s="517">
        <v>0.8</v>
      </c>
      <c r="BH19" s="518"/>
      <c r="BI19" s="517"/>
      <c r="BJ19" s="518">
        <v>0.8</v>
      </c>
      <c r="BK19" s="690"/>
      <c r="BL19" s="518"/>
      <c r="BM19" s="517"/>
      <c r="BN19" s="691"/>
      <c r="BO19" s="517"/>
      <c r="BP19" s="518"/>
      <c r="BQ19" s="517"/>
      <c r="BR19" s="518"/>
      <c r="BS19" s="517"/>
      <c r="BT19" s="518"/>
      <c r="BU19" s="517"/>
      <c r="BV19" s="518"/>
      <c r="BW19" s="517"/>
      <c r="BX19" s="518"/>
      <c r="BY19" s="517"/>
      <c r="BZ19" s="517">
        <v>0.86</v>
      </c>
      <c r="CA19" s="812"/>
      <c r="CB19" s="517"/>
      <c r="CC19" s="518">
        <v>0.8</v>
      </c>
      <c r="CD19" s="517">
        <v>0.8</v>
      </c>
      <c r="CE19" s="518"/>
      <c r="CF19" s="517"/>
      <c r="CG19" s="518"/>
      <c r="CH19" s="517">
        <v>0.8</v>
      </c>
      <c r="CI19" s="518">
        <v>0.8</v>
      </c>
      <c r="CJ19" s="517">
        <v>0.8</v>
      </c>
      <c r="CK19" s="518">
        <v>0.8</v>
      </c>
      <c r="CL19" s="517">
        <v>0.8</v>
      </c>
      <c r="CM19" s="518">
        <v>0.8</v>
      </c>
      <c r="CN19" s="517">
        <v>0.8</v>
      </c>
      <c r="CO19" s="518">
        <v>0.8</v>
      </c>
      <c r="CP19" s="518">
        <v>0.8</v>
      </c>
      <c r="CQ19" s="517"/>
      <c r="CR19" s="518">
        <v>0.85</v>
      </c>
      <c r="CS19" s="517"/>
      <c r="CT19" s="518">
        <v>0.8</v>
      </c>
      <c r="CU19" s="517">
        <v>0.85</v>
      </c>
      <c r="CV19" s="518">
        <v>0.85</v>
      </c>
      <c r="CW19" s="517">
        <v>0.85</v>
      </c>
      <c r="CX19" s="518">
        <v>0.8</v>
      </c>
      <c r="CY19" s="517">
        <v>0.85</v>
      </c>
      <c r="CZ19" s="518">
        <v>0.85</v>
      </c>
      <c r="DA19" s="517">
        <v>0.85</v>
      </c>
      <c r="DB19" s="518"/>
      <c r="DC19" s="517">
        <v>0.85</v>
      </c>
      <c r="DD19" s="518">
        <v>0.85</v>
      </c>
      <c r="DE19" s="517">
        <v>0.8</v>
      </c>
      <c r="DF19" s="518"/>
      <c r="DG19" s="517">
        <v>0.85</v>
      </c>
      <c r="DH19" s="518"/>
      <c r="DI19" s="517"/>
      <c r="DJ19" s="682"/>
      <c r="DK19" s="676"/>
      <c r="DL19" s="699"/>
      <c r="DM19" s="690">
        <v>0.85</v>
      </c>
      <c r="DN19" s="691"/>
      <c r="DO19" s="690"/>
      <c r="DP19" s="518">
        <v>0.85</v>
      </c>
      <c r="DQ19" s="517">
        <v>0.8</v>
      </c>
      <c r="DR19" s="518">
        <v>0.85</v>
      </c>
      <c r="DS19" s="517"/>
      <c r="DT19" s="518"/>
      <c r="DU19" s="518"/>
      <c r="DV19" s="517">
        <v>0.83</v>
      </c>
      <c r="DW19" s="690"/>
      <c r="DX19" s="691"/>
      <c r="DY19" s="517"/>
      <c r="DZ19" s="518"/>
      <c r="EA19" s="517"/>
      <c r="EB19" s="691">
        <v>0.83</v>
      </c>
      <c r="EC19" s="517">
        <v>0.83</v>
      </c>
      <c r="ED19" s="691"/>
      <c r="EE19" s="690"/>
      <c r="EF19" s="517"/>
      <c r="EG19" s="518"/>
      <c r="EH19" s="517"/>
      <c r="EI19" s="518"/>
      <c r="EJ19" s="517"/>
      <c r="EK19" s="518"/>
      <c r="EL19" s="517"/>
      <c r="EM19" s="518"/>
      <c r="EN19" s="518"/>
      <c r="EO19" s="517"/>
      <c r="EP19" s="518"/>
      <c r="EQ19" s="517"/>
      <c r="ER19" s="518"/>
      <c r="ES19" s="517"/>
      <c r="ET19" s="691"/>
      <c r="EU19" s="690"/>
      <c r="EV19" s="847"/>
      <c r="EW19" s="690"/>
      <c r="EX19" s="518">
        <v>0.8</v>
      </c>
      <c r="EY19" s="517"/>
      <c r="EZ19" s="518"/>
      <c r="FA19" s="517"/>
      <c r="FB19" s="517"/>
      <c r="FC19" s="518"/>
      <c r="FD19" s="517"/>
      <c r="FE19" s="518"/>
      <c r="FF19" s="518"/>
      <c r="FG19" s="517"/>
      <c r="FH19" s="518"/>
      <c r="FI19" s="517"/>
      <c r="FJ19" s="518"/>
      <c r="FK19" s="517"/>
      <c r="FL19" s="518"/>
      <c r="FM19" s="517"/>
      <c r="FN19" s="518"/>
      <c r="FO19" s="517"/>
      <c r="FP19" s="518"/>
      <c r="FQ19" s="517"/>
      <c r="FR19" s="518"/>
      <c r="FS19" s="517"/>
      <c r="FT19" s="518"/>
      <c r="FU19" s="517"/>
      <c r="FV19" s="518"/>
      <c r="FW19" s="517"/>
      <c r="FX19" s="518"/>
      <c r="FY19" s="517">
        <v>0.83</v>
      </c>
      <c r="FZ19" s="518"/>
      <c r="GA19" s="517">
        <v>0.8</v>
      </c>
      <c r="GB19" s="518"/>
      <c r="GC19" s="517">
        <v>0.8</v>
      </c>
      <c r="GD19" s="518">
        <v>0.76</v>
      </c>
      <c r="GE19" s="517">
        <v>0.8</v>
      </c>
      <c r="GF19" s="518">
        <v>0.8</v>
      </c>
      <c r="GG19" s="517"/>
      <c r="GH19" s="518">
        <v>0.8</v>
      </c>
      <c r="GI19" s="517">
        <v>0.8</v>
      </c>
      <c r="GJ19" s="518">
        <v>0.85</v>
      </c>
      <c r="GK19" s="517"/>
      <c r="GL19" s="518"/>
      <c r="GM19" s="517"/>
      <c r="GN19" s="518"/>
      <c r="GO19" s="517"/>
      <c r="GP19" s="518"/>
      <c r="GQ19" s="661"/>
      <c r="GR19" s="679"/>
      <c r="GS19" s="676"/>
      <c r="GT19" s="679"/>
      <c r="GU19" s="676"/>
      <c r="GV19" s="679"/>
      <c r="GW19" s="676"/>
      <c r="GX19" s="679"/>
      <c r="GY19" s="754">
        <v>0.85</v>
      </c>
      <c r="GZ19" s="755">
        <v>0.85</v>
      </c>
      <c r="HA19" s="754">
        <v>0.85</v>
      </c>
    </row>
    <row r="20" spans="1:211">
      <c r="A20" s="797" t="s">
        <v>1812</v>
      </c>
      <c r="B20" s="380" t="s">
        <v>1254</v>
      </c>
      <c r="C20" s="521" t="s">
        <v>1813</v>
      </c>
      <c r="D20" s="519"/>
      <c r="E20" s="517">
        <v>10668</v>
      </c>
      <c r="F20" s="518"/>
      <c r="G20" s="517">
        <v>10668</v>
      </c>
      <c r="H20" s="518">
        <v>9144</v>
      </c>
      <c r="I20" s="517">
        <v>9144</v>
      </c>
      <c r="J20" s="518">
        <v>9144</v>
      </c>
      <c r="K20" s="517">
        <v>9144</v>
      </c>
      <c r="L20" s="518"/>
      <c r="M20" s="517"/>
      <c r="N20" s="518"/>
      <c r="O20" s="517">
        <v>10668</v>
      </c>
      <c r="P20" s="518">
        <v>10668</v>
      </c>
      <c r="Q20" s="517">
        <v>10668</v>
      </c>
      <c r="R20" s="518">
        <v>10668</v>
      </c>
      <c r="S20" s="517">
        <v>10668</v>
      </c>
      <c r="T20" s="518">
        <v>10668</v>
      </c>
      <c r="U20" s="517">
        <v>10668</v>
      </c>
      <c r="V20" s="518">
        <v>10670</v>
      </c>
      <c r="W20" s="517"/>
      <c r="X20" s="518">
        <v>10668</v>
      </c>
      <c r="Y20" s="517">
        <v>10668</v>
      </c>
      <c r="Z20" s="518">
        <v>10668</v>
      </c>
      <c r="AA20" s="517">
        <v>10668</v>
      </c>
      <c r="AB20" s="518">
        <v>10668</v>
      </c>
      <c r="AC20" s="517"/>
      <c r="AD20" s="518"/>
      <c r="AE20" s="517"/>
      <c r="AF20" s="518"/>
      <c r="AG20" s="517"/>
      <c r="AH20" s="691"/>
      <c r="AI20" s="690"/>
      <c r="AJ20" s="518">
        <v>10670</v>
      </c>
      <c r="AK20" s="670">
        <v>10670</v>
      </c>
      <c r="AL20" s="518">
        <v>10668</v>
      </c>
      <c r="AM20" s="517">
        <v>10668</v>
      </c>
      <c r="AN20" s="518">
        <v>10670</v>
      </c>
      <c r="AO20" s="517">
        <v>10668</v>
      </c>
      <c r="AP20" s="518"/>
      <c r="AQ20" s="517"/>
      <c r="AR20" s="518"/>
      <c r="AS20" s="517"/>
      <c r="AT20" s="691"/>
      <c r="AU20" s="517">
        <v>10668</v>
      </c>
      <c r="AV20" s="518">
        <v>10668</v>
      </c>
      <c r="AW20" s="517">
        <v>10668</v>
      </c>
      <c r="AX20" s="518"/>
      <c r="AY20" s="517">
        <v>10668</v>
      </c>
      <c r="AZ20" s="518"/>
      <c r="BA20" s="517"/>
      <c r="BB20" s="691"/>
      <c r="BC20" s="690"/>
      <c r="BD20" s="518"/>
      <c r="BE20" s="690"/>
      <c r="BF20" s="518">
        <v>10668</v>
      </c>
      <c r="BG20" s="517">
        <v>10688</v>
      </c>
      <c r="BH20" s="518"/>
      <c r="BI20" s="517"/>
      <c r="BJ20" s="518">
        <v>10668</v>
      </c>
      <c r="BK20" s="690"/>
      <c r="BL20" s="518"/>
      <c r="BM20" s="517"/>
      <c r="BN20" s="691"/>
      <c r="BO20" s="517"/>
      <c r="BP20" s="518"/>
      <c r="BQ20" s="517"/>
      <c r="BR20" s="518"/>
      <c r="BS20" s="517"/>
      <c r="BT20" s="518"/>
      <c r="BU20" s="517"/>
      <c r="BV20" s="518"/>
      <c r="BW20" s="517"/>
      <c r="BX20" s="518"/>
      <c r="BY20" s="517"/>
      <c r="BZ20" s="517">
        <v>12634</v>
      </c>
      <c r="CA20" s="812"/>
      <c r="CB20" s="517"/>
      <c r="CC20" s="518">
        <v>11000</v>
      </c>
      <c r="CD20" s="517"/>
      <c r="CE20" s="518"/>
      <c r="CF20" s="517"/>
      <c r="CG20" s="518"/>
      <c r="CH20" s="517">
        <v>9144</v>
      </c>
      <c r="CI20" s="518">
        <v>9144</v>
      </c>
      <c r="CJ20" s="517">
        <v>9144</v>
      </c>
      <c r="CK20" s="518">
        <v>9144</v>
      </c>
      <c r="CL20" s="517">
        <v>10668</v>
      </c>
      <c r="CM20" s="518">
        <v>10668</v>
      </c>
      <c r="CN20" s="517">
        <v>10668</v>
      </c>
      <c r="CO20" s="518">
        <v>10668</v>
      </c>
      <c r="CP20" s="518">
        <v>10668</v>
      </c>
      <c r="CQ20" s="517"/>
      <c r="CR20" s="518">
        <v>10668</v>
      </c>
      <c r="CS20" s="517"/>
      <c r="CT20" s="518">
        <v>10668</v>
      </c>
      <c r="CU20" s="517">
        <v>10668</v>
      </c>
      <c r="CV20" s="518">
        <v>10668</v>
      </c>
      <c r="CW20" s="517">
        <v>10668</v>
      </c>
      <c r="CX20" s="518">
        <v>10668</v>
      </c>
      <c r="CY20" s="517">
        <v>10668</v>
      </c>
      <c r="CZ20" s="518">
        <v>10668</v>
      </c>
      <c r="DA20" s="517">
        <v>10668</v>
      </c>
      <c r="DB20" s="518"/>
      <c r="DC20" s="517">
        <v>10668</v>
      </c>
      <c r="DD20" s="518">
        <v>10668</v>
      </c>
      <c r="DE20" s="517">
        <v>10668</v>
      </c>
      <c r="DF20" s="518"/>
      <c r="DG20" s="517">
        <v>10668</v>
      </c>
      <c r="DH20" s="518"/>
      <c r="DI20" s="517"/>
      <c r="DJ20" s="682"/>
      <c r="DK20" s="676"/>
      <c r="DL20" s="699"/>
      <c r="DM20" s="690">
        <v>10668</v>
      </c>
      <c r="DN20" s="691"/>
      <c r="DO20" s="690"/>
      <c r="DP20" s="518">
        <v>10668</v>
      </c>
      <c r="DQ20" s="517">
        <v>10668</v>
      </c>
      <c r="DR20" s="518">
        <v>10668</v>
      </c>
      <c r="DS20" s="517"/>
      <c r="DT20" s="518"/>
      <c r="DU20" s="518"/>
      <c r="DV20" s="517">
        <v>10668</v>
      </c>
      <c r="DW20" s="690"/>
      <c r="DX20" s="691"/>
      <c r="DY20" s="517"/>
      <c r="DZ20" s="518"/>
      <c r="EA20" s="517"/>
      <c r="EB20" s="691">
        <v>10668</v>
      </c>
      <c r="EC20" s="517">
        <v>10668</v>
      </c>
      <c r="ED20" s="691"/>
      <c r="EE20" s="690"/>
      <c r="EF20" s="517"/>
      <c r="EG20" s="518"/>
      <c r="EH20" s="517"/>
      <c r="EI20" s="518"/>
      <c r="EJ20" s="517"/>
      <c r="EK20" s="518"/>
      <c r="EL20" s="517"/>
      <c r="EM20" s="518"/>
      <c r="EN20" s="518"/>
      <c r="EO20" s="517"/>
      <c r="EP20" s="518"/>
      <c r="EQ20" s="517"/>
      <c r="ER20" s="518"/>
      <c r="ES20" s="517"/>
      <c r="ET20" s="691"/>
      <c r="EU20" s="690"/>
      <c r="EV20" s="847"/>
      <c r="EW20" s="690"/>
      <c r="EX20" s="518">
        <v>10668</v>
      </c>
      <c r="EY20" s="517"/>
      <c r="EZ20" s="518"/>
      <c r="FA20" s="517"/>
      <c r="FB20" s="517"/>
      <c r="FC20" s="518"/>
      <c r="FD20" s="517"/>
      <c r="FE20" s="518"/>
      <c r="FF20" s="518"/>
      <c r="FG20" s="517"/>
      <c r="FH20" s="518"/>
      <c r="FI20" s="517"/>
      <c r="FJ20" s="518"/>
      <c r="FK20" s="517"/>
      <c r="FL20" s="518"/>
      <c r="FM20" s="517"/>
      <c r="FN20" s="518"/>
      <c r="FO20" s="517"/>
      <c r="FP20" s="518"/>
      <c r="FQ20" s="517"/>
      <c r="FR20" s="518"/>
      <c r="FS20" s="517"/>
      <c r="FT20" s="518"/>
      <c r="FU20" s="517"/>
      <c r="FV20" s="518"/>
      <c r="FW20" s="517"/>
      <c r="FX20" s="518"/>
      <c r="FY20" s="517">
        <v>10973</v>
      </c>
      <c r="FZ20" s="518"/>
      <c r="GA20" s="517">
        <v>10668</v>
      </c>
      <c r="GB20" s="518"/>
      <c r="GC20" s="517">
        <v>10668</v>
      </c>
      <c r="GD20" s="518">
        <v>10668</v>
      </c>
      <c r="GE20" s="517">
        <v>10668</v>
      </c>
      <c r="GF20" s="518">
        <v>10668</v>
      </c>
      <c r="GG20" s="517"/>
      <c r="GH20" s="518">
        <v>10668</v>
      </c>
      <c r="GI20" s="517">
        <v>10668</v>
      </c>
      <c r="GJ20" s="518">
        <v>10668</v>
      </c>
      <c r="GK20" s="517"/>
      <c r="GL20" s="518"/>
      <c r="GM20" s="517"/>
      <c r="GN20" s="518"/>
      <c r="GO20" s="517"/>
      <c r="GP20" s="518"/>
      <c r="GQ20" s="661"/>
      <c r="GR20" s="679"/>
      <c r="GS20" s="676"/>
      <c r="GT20" s="679"/>
      <c r="GU20" s="676"/>
      <c r="GV20" s="679"/>
      <c r="GW20" s="676"/>
      <c r="GX20" s="679"/>
      <c r="GY20" s="754">
        <v>10668</v>
      </c>
      <c r="GZ20" s="755">
        <v>10668</v>
      </c>
      <c r="HA20" s="754">
        <v>10668</v>
      </c>
    </row>
    <row r="21" spans="1:211" ht="15.75">
      <c r="A21" s="798" t="s">
        <v>1232</v>
      </c>
      <c r="B21" s="535"/>
      <c r="C21" s="520"/>
      <c r="D21" s="519"/>
      <c r="E21" s="533"/>
      <c r="F21" s="533"/>
      <c r="G21" s="533"/>
      <c r="H21" s="533"/>
      <c r="I21" s="533"/>
      <c r="J21" s="533"/>
      <c r="K21" s="533"/>
      <c r="L21" s="533"/>
      <c r="M21" s="533"/>
      <c r="N21" s="533"/>
      <c r="O21" s="533"/>
      <c r="P21" s="533"/>
      <c r="Q21" s="533"/>
      <c r="R21" s="533"/>
      <c r="S21" s="533"/>
      <c r="T21" s="533"/>
      <c r="U21" s="533"/>
      <c r="V21" s="533"/>
      <c r="W21" s="533"/>
      <c r="X21" s="533"/>
      <c r="Y21" s="533"/>
      <c r="Z21" s="533"/>
      <c r="AA21" s="533"/>
      <c r="AB21" s="533"/>
      <c r="AC21" s="533"/>
      <c r="AD21" s="533"/>
      <c r="AE21" s="533"/>
      <c r="AF21" s="533"/>
      <c r="AG21" s="533"/>
      <c r="AH21" s="695"/>
      <c r="AI21" s="695"/>
      <c r="AJ21" s="533"/>
      <c r="AK21" s="533"/>
      <c r="AL21" s="533"/>
      <c r="AM21" s="533"/>
      <c r="AN21" s="533"/>
      <c r="AO21" s="533"/>
      <c r="AP21" s="533"/>
      <c r="AQ21" s="533"/>
      <c r="AR21" s="533"/>
      <c r="AS21" s="533"/>
      <c r="AT21" s="695"/>
      <c r="AU21" s="533"/>
      <c r="AV21" s="533"/>
      <c r="AW21" s="533"/>
      <c r="AX21" s="533"/>
      <c r="AY21" s="533"/>
      <c r="AZ21" s="533"/>
      <c r="BA21" s="533"/>
      <c r="BB21" s="695"/>
      <c r="BC21" s="695"/>
      <c r="BD21" s="533"/>
      <c r="BE21" s="695"/>
      <c r="BF21" s="533"/>
      <c r="BG21" s="533"/>
      <c r="BH21" s="533"/>
      <c r="BI21" s="533"/>
      <c r="BJ21" s="533"/>
      <c r="BK21" s="695"/>
      <c r="BL21" s="533"/>
      <c r="BM21" s="533"/>
      <c r="BN21" s="695"/>
      <c r="BO21" s="533"/>
      <c r="BP21" s="533"/>
      <c r="BQ21" s="533"/>
      <c r="BR21" s="533"/>
      <c r="BS21" s="533"/>
      <c r="BT21" s="533"/>
      <c r="BU21" s="533"/>
      <c r="BV21" s="533"/>
      <c r="BW21" s="533"/>
      <c r="BX21" s="533"/>
      <c r="BY21" s="533"/>
      <c r="BZ21" s="533"/>
      <c r="CA21" s="533"/>
      <c r="CB21" s="533"/>
      <c r="CC21" s="533"/>
      <c r="CD21" s="533"/>
      <c r="CE21" s="533"/>
      <c r="CF21" s="533"/>
      <c r="CG21" s="533"/>
      <c r="CH21" s="533"/>
      <c r="CI21" s="533"/>
      <c r="CJ21" s="533"/>
      <c r="CK21" s="533"/>
      <c r="CL21" s="533"/>
      <c r="CM21" s="533"/>
      <c r="CN21" s="533"/>
      <c r="CO21" s="533"/>
      <c r="CP21" s="533"/>
      <c r="CQ21" s="533"/>
      <c r="CR21" s="533"/>
      <c r="CS21" s="533"/>
      <c r="CT21" s="533"/>
      <c r="CU21" s="533"/>
      <c r="CV21" s="533"/>
      <c r="CW21" s="533"/>
      <c r="CX21" s="533"/>
      <c r="CY21" s="533"/>
      <c r="CZ21" s="533"/>
      <c r="DA21" s="533"/>
      <c r="DB21" s="533"/>
      <c r="DC21" s="533"/>
      <c r="DD21" s="533"/>
      <c r="DE21" s="533"/>
      <c r="DF21" s="533"/>
      <c r="DG21" s="533"/>
      <c r="DH21" s="533"/>
      <c r="DI21" s="533"/>
      <c r="DJ21" s="664"/>
      <c r="DK21" s="668"/>
      <c r="DL21" s="700"/>
      <c r="DM21" s="695"/>
      <c r="DN21" s="695"/>
      <c r="DO21" s="695"/>
      <c r="DP21" s="533"/>
      <c r="DQ21" s="533"/>
      <c r="DR21" s="533"/>
      <c r="DS21" s="533"/>
      <c r="DT21" s="533"/>
      <c r="DU21" s="533"/>
      <c r="DV21" s="533"/>
      <c r="DW21" s="695"/>
      <c r="DX21" s="695"/>
      <c r="DY21" s="533"/>
      <c r="DZ21" s="533"/>
      <c r="EA21" s="533"/>
      <c r="EB21" s="695"/>
      <c r="EC21" s="533"/>
      <c r="ED21" s="695"/>
      <c r="EE21" s="695"/>
      <c r="EF21" s="533"/>
      <c r="EG21" s="533"/>
      <c r="EH21" s="533"/>
      <c r="EI21" s="533"/>
      <c r="EJ21" s="533"/>
      <c r="EK21" s="533"/>
      <c r="EL21" s="533"/>
      <c r="EM21" s="533"/>
      <c r="EN21" s="533"/>
      <c r="EO21" s="533"/>
      <c r="EP21" s="533"/>
      <c r="EQ21" s="533"/>
      <c r="ER21" s="533"/>
      <c r="ES21" s="533"/>
      <c r="ET21" s="695"/>
      <c r="EU21" s="695"/>
      <c r="EV21" s="850"/>
      <c r="EW21" s="695"/>
      <c r="EX21" s="533"/>
      <c r="EY21" s="533"/>
      <c r="EZ21" s="533"/>
      <c r="FA21" s="533"/>
      <c r="FB21" s="533"/>
      <c r="FC21" s="533"/>
      <c r="FD21" s="533"/>
      <c r="FE21" s="533"/>
      <c r="FF21" s="533"/>
      <c r="FG21" s="533"/>
      <c r="FH21" s="533"/>
      <c r="FI21" s="533"/>
      <c r="FJ21" s="533"/>
      <c r="FK21" s="533"/>
      <c r="FL21" s="533"/>
      <c r="FM21" s="533"/>
      <c r="FN21" s="533"/>
      <c r="FO21" s="533"/>
      <c r="FP21" s="533"/>
      <c r="FQ21" s="533"/>
      <c r="FR21" s="533"/>
      <c r="FS21" s="533"/>
      <c r="FT21" s="533"/>
      <c r="FU21" s="533"/>
      <c r="FV21" s="533"/>
      <c r="FW21" s="533"/>
      <c r="FX21" s="533"/>
      <c r="FY21" s="533"/>
      <c r="FZ21" s="533"/>
      <c r="GA21" s="533"/>
      <c r="GB21" s="533"/>
      <c r="GC21" s="533"/>
      <c r="GD21" s="533"/>
      <c r="GE21" s="533"/>
      <c r="GF21" s="533"/>
      <c r="GG21" s="533"/>
      <c r="GH21" s="533"/>
      <c r="GI21" s="533"/>
      <c r="GJ21" s="533"/>
      <c r="GK21" s="533"/>
      <c r="GL21" s="533"/>
      <c r="GM21" s="533"/>
      <c r="GN21" s="533"/>
      <c r="GO21" s="533"/>
      <c r="GP21" s="533"/>
      <c r="GQ21" s="664"/>
      <c r="GR21" s="668"/>
      <c r="GS21" s="668"/>
      <c r="GT21" s="668"/>
      <c r="GU21" s="668"/>
      <c r="GV21" s="668"/>
      <c r="GW21" s="668"/>
      <c r="GX21" s="668"/>
      <c r="GY21" s="543"/>
      <c r="GZ21" s="668"/>
      <c r="HA21" s="668"/>
      <c r="HB21" s="747"/>
      <c r="HC21" s="687"/>
    </row>
    <row r="22" spans="1:211">
      <c r="A22" s="797" t="s">
        <v>1814</v>
      </c>
      <c r="B22" s="380" t="s">
        <v>1231</v>
      </c>
      <c r="C22" s="521" t="s">
        <v>1815</v>
      </c>
      <c r="D22" s="519"/>
      <c r="E22" s="517">
        <v>2644.4</v>
      </c>
      <c r="F22" s="518">
        <v>2644.4</v>
      </c>
      <c r="G22" s="670">
        <v>2644.4</v>
      </c>
      <c r="H22" s="518">
        <v>4990</v>
      </c>
      <c r="I22" s="517">
        <v>4990</v>
      </c>
      <c r="J22" s="518">
        <v>4990</v>
      </c>
      <c r="K22" s="517">
        <v>4990</v>
      </c>
      <c r="L22" s="518">
        <v>7277</v>
      </c>
      <c r="M22" s="517">
        <v>7277</v>
      </c>
      <c r="N22" s="518">
        <v>7549</v>
      </c>
      <c r="O22" s="517">
        <v>4002.953</v>
      </c>
      <c r="P22" s="518">
        <v>4066.9090000000001</v>
      </c>
      <c r="Q22" s="517">
        <v>4066.9090000000001</v>
      </c>
      <c r="R22" s="518">
        <v>4066.9090000000001</v>
      </c>
      <c r="S22" s="517">
        <v>4145.83</v>
      </c>
      <c r="T22" s="518">
        <v>4300.1000000000004</v>
      </c>
      <c r="U22" s="517">
        <v>4300.1000000000004</v>
      </c>
      <c r="V22" s="518">
        <v>4043.78</v>
      </c>
      <c r="W22" s="517">
        <v>4272.84</v>
      </c>
      <c r="X22" s="518">
        <v>4300.1000000000004</v>
      </c>
      <c r="Y22" s="517">
        <v>3973.5</v>
      </c>
      <c r="Z22" s="518">
        <v>4300.1000000000004</v>
      </c>
      <c r="AA22" s="517">
        <v>4043.78</v>
      </c>
      <c r="AB22" s="518">
        <v>4052.85</v>
      </c>
      <c r="AC22" s="517">
        <v>4300.1000000000004</v>
      </c>
      <c r="AD22" s="518">
        <v>4272.84</v>
      </c>
      <c r="AE22" s="517">
        <v>4272.84</v>
      </c>
      <c r="AF22" s="518">
        <v>2454.8000000000002</v>
      </c>
      <c r="AG22" s="670">
        <v>2454.8000000000002</v>
      </c>
      <c r="AH22" s="691"/>
      <c r="AI22" s="703"/>
      <c r="AJ22" s="518">
        <v>2454.8000000000002</v>
      </c>
      <c r="AK22" s="670">
        <v>2454.8000000000002</v>
      </c>
      <c r="AL22" s="518">
        <v>2331</v>
      </c>
      <c r="AM22" s="517">
        <v>2331</v>
      </c>
      <c r="AN22" s="518">
        <v>2454.8000000000002</v>
      </c>
      <c r="AO22" s="517">
        <v>2404</v>
      </c>
      <c r="AP22" s="518">
        <v>2404</v>
      </c>
      <c r="AQ22" s="517">
        <v>2404</v>
      </c>
      <c r="AR22" s="518">
        <v>2990</v>
      </c>
      <c r="AS22" s="670">
        <v>2990</v>
      </c>
      <c r="AT22" s="691">
        <v>2857.6</v>
      </c>
      <c r="AU22" s="517">
        <v>2331</v>
      </c>
      <c r="AV22" s="518">
        <v>2331</v>
      </c>
      <c r="AW22" s="517">
        <v>2454.8000000000002</v>
      </c>
      <c r="AX22" s="518">
        <v>2454.8000000000002</v>
      </c>
      <c r="AY22" s="517">
        <v>2363</v>
      </c>
      <c r="AZ22" s="518"/>
      <c r="BA22" s="517">
        <v>2404</v>
      </c>
      <c r="BB22" s="691">
        <v>2857.6</v>
      </c>
      <c r="BC22" s="690">
        <v>2857.6</v>
      </c>
      <c r="BD22" s="518">
        <v>2990</v>
      </c>
      <c r="BE22" s="690">
        <v>2857.6</v>
      </c>
      <c r="BF22" s="518">
        <v>2454.8000000000002</v>
      </c>
      <c r="BG22" s="517">
        <v>2454.8000000000002</v>
      </c>
      <c r="BH22" s="518">
        <v>2404</v>
      </c>
      <c r="BI22" s="517">
        <v>2454.8000000000002</v>
      </c>
      <c r="BJ22" s="518">
        <v>2404</v>
      </c>
      <c r="BK22" s="690">
        <v>2857.6</v>
      </c>
      <c r="BL22" s="518">
        <v>2990</v>
      </c>
      <c r="BM22" s="670">
        <v>2990</v>
      </c>
      <c r="BN22" s="691">
        <v>2857.6</v>
      </c>
      <c r="BO22" s="670">
        <v>2990</v>
      </c>
      <c r="BP22" s="518">
        <v>5091.57</v>
      </c>
      <c r="BQ22" s="517">
        <v>5091.57</v>
      </c>
      <c r="BR22" s="518">
        <v>5091.57</v>
      </c>
      <c r="BS22" s="517">
        <v>5851.3</v>
      </c>
      <c r="BT22" s="518">
        <v>6160</v>
      </c>
      <c r="BU22" s="517">
        <v>5851.3</v>
      </c>
      <c r="BV22" s="518">
        <v>5851.3</v>
      </c>
      <c r="BW22" s="517">
        <v>5851.3</v>
      </c>
      <c r="BX22" s="518">
        <v>6160</v>
      </c>
      <c r="BY22" s="517">
        <v>6160</v>
      </c>
      <c r="BZ22" s="517">
        <v>6445</v>
      </c>
      <c r="CA22" s="812"/>
      <c r="CB22" s="517">
        <v>1880.14</v>
      </c>
      <c r="CC22" s="518">
        <v>2313.3000000000002</v>
      </c>
      <c r="CD22" s="517">
        <v>1900.5519999999999</v>
      </c>
      <c r="CE22" s="518">
        <v>1968.5909999999999</v>
      </c>
      <c r="CF22" s="517">
        <v>2085</v>
      </c>
      <c r="CG22" s="518">
        <v>2085</v>
      </c>
      <c r="CH22" s="517">
        <v>1453.76</v>
      </c>
      <c r="CI22" s="518">
        <v>1475.08</v>
      </c>
      <c r="CJ22" s="517">
        <v>1548.56</v>
      </c>
      <c r="CK22" s="518">
        <v>1555.82</v>
      </c>
      <c r="CL22" s="517">
        <v>1966</v>
      </c>
      <c r="CM22" s="518">
        <v>1966</v>
      </c>
      <c r="CN22" s="517">
        <v>2386</v>
      </c>
      <c r="CO22" s="518">
        <v>2386</v>
      </c>
      <c r="CP22" s="518">
        <v>2386</v>
      </c>
      <c r="CQ22" s="517">
        <v>2256</v>
      </c>
      <c r="CR22" s="518">
        <v>3952.15</v>
      </c>
      <c r="CS22" s="517">
        <v>5060</v>
      </c>
      <c r="CT22" s="518">
        <v>4103.6499999999996</v>
      </c>
      <c r="CU22" s="517">
        <v>4027.9</v>
      </c>
      <c r="CV22" s="518">
        <v>4027.9</v>
      </c>
      <c r="CW22" s="517">
        <v>4027.9</v>
      </c>
      <c r="CX22" s="518">
        <v>4103.6499999999996</v>
      </c>
      <c r="CY22" s="517">
        <v>5078</v>
      </c>
      <c r="CZ22" s="518">
        <v>4159.4399999999996</v>
      </c>
      <c r="DA22" s="517">
        <v>4027.9</v>
      </c>
      <c r="DB22" s="518">
        <v>4027.9</v>
      </c>
      <c r="DC22" s="517">
        <v>4152.6400000000003</v>
      </c>
      <c r="DD22" s="518">
        <v>5080</v>
      </c>
      <c r="DE22" s="517">
        <v>4386.2</v>
      </c>
      <c r="DF22" s="518">
        <v>4272.84</v>
      </c>
      <c r="DG22" s="517">
        <v>5775</v>
      </c>
      <c r="DH22" s="518">
        <v>4440.7</v>
      </c>
      <c r="DI22" s="517">
        <v>4272.84</v>
      </c>
      <c r="DJ22" s="682">
        <v>5703</v>
      </c>
      <c r="DK22" s="685">
        <v>5613.2</v>
      </c>
      <c r="DL22" s="699">
        <v>3484</v>
      </c>
      <c r="DM22" s="690">
        <v>3311.2240000000002</v>
      </c>
      <c r="DN22" s="691">
        <v>3311.2240000000002</v>
      </c>
      <c r="DO22" s="690">
        <v>3449</v>
      </c>
      <c r="DP22" s="518">
        <v>4052.85</v>
      </c>
      <c r="DQ22" s="517">
        <v>3973.5</v>
      </c>
      <c r="DR22" s="518">
        <v>5775</v>
      </c>
      <c r="DS22" s="517">
        <v>4440.7</v>
      </c>
      <c r="DT22" s="518">
        <v>4440.7</v>
      </c>
      <c r="DU22" s="518">
        <v>4440.7</v>
      </c>
      <c r="DV22" s="517">
        <v>7892</v>
      </c>
      <c r="DW22" s="690">
        <v>6846.9768000000004</v>
      </c>
      <c r="DX22" s="691">
        <v>6846.9768000000004</v>
      </c>
      <c r="DY22" s="517">
        <v>6078</v>
      </c>
      <c r="DZ22" s="518">
        <v>6078</v>
      </c>
      <c r="EA22" s="517">
        <v>7892</v>
      </c>
      <c r="EB22" s="691">
        <v>7375.4119000000001</v>
      </c>
      <c r="EC22" s="517">
        <v>6078</v>
      </c>
      <c r="ED22" s="691">
        <v>8761</v>
      </c>
      <c r="EE22" s="690">
        <v>8761</v>
      </c>
      <c r="EF22" s="517">
        <v>5936</v>
      </c>
      <c r="EG22" s="518">
        <v>5947</v>
      </c>
      <c r="EH22" s="517">
        <v>6114</v>
      </c>
      <c r="EI22" s="518">
        <v>737.1</v>
      </c>
      <c r="EJ22" s="517">
        <v>757.5</v>
      </c>
      <c r="EK22" s="518">
        <v>1891</v>
      </c>
      <c r="EL22" s="517"/>
      <c r="EM22" s="518">
        <v>1227</v>
      </c>
      <c r="EN22" s="518">
        <v>1261</v>
      </c>
      <c r="EO22" s="517"/>
      <c r="EP22" s="518"/>
      <c r="EQ22" s="517">
        <v>737.1</v>
      </c>
      <c r="ER22" s="518">
        <v>737.1</v>
      </c>
      <c r="ES22" s="517">
        <v>757.5</v>
      </c>
      <c r="ET22" s="691">
        <v>2177</v>
      </c>
      <c r="EU22" s="690">
        <v>2177</v>
      </c>
      <c r="EV22" s="847">
        <v>2177</v>
      </c>
      <c r="EW22" s="690">
        <v>2177</v>
      </c>
      <c r="EX22" s="518">
        <v>1428</v>
      </c>
      <c r="EY22" s="517">
        <v>2079</v>
      </c>
      <c r="EZ22" s="518">
        <v>2079</v>
      </c>
      <c r="FA22" s="517">
        <v>2079</v>
      </c>
      <c r="FB22" s="517">
        <v>751.6</v>
      </c>
      <c r="FC22" s="518">
        <v>751.6</v>
      </c>
      <c r="FD22" s="517">
        <v>751.6</v>
      </c>
      <c r="FE22" s="518">
        <v>751.6</v>
      </c>
      <c r="FF22" s="518">
        <v>352</v>
      </c>
      <c r="FG22" s="517">
        <v>406</v>
      </c>
      <c r="FH22" s="518">
        <v>176</v>
      </c>
      <c r="FI22" s="517">
        <v>178</v>
      </c>
      <c r="FJ22" s="518"/>
      <c r="FK22" s="517">
        <v>185</v>
      </c>
      <c r="FL22" s="518">
        <v>189</v>
      </c>
      <c r="FM22" s="517"/>
      <c r="FN22" s="518"/>
      <c r="FO22" s="517"/>
      <c r="FP22" s="518"/>
      <c r="FQ22" s="517"/>
      <c r="FR22" s="518"/>
      <c r="FS22" s="517">
        <v>337</v>
      </c>
      <c r="FT22" s="518">
        <v>405.97</v>
      </c>
      <c r="FU22" s="517">
        <v>405.97</v>
      </c>
      <c r="FV22" s="518">
        <v>405.37</v>
      </c>
      <c r="FW22" s="517">
        <v>2277.0300000000002</v>
      </c>
      <c r="FX22" s="518">
        <v>2290.64</v>
      </c>
      <c r="FY22" s="517">
        <v>2061</v>
      </c>
      <c r="FZ22" s="518">
        <v>1968.59</v>
      </c>
      <c r="GA22" s="517">
        <v>2102.4005999999999</v>
      </c>
      <c r="GB22" s="518">
        <v>1453.76</v>
      </c>
      <c r="GC22" s="517">
        <v>2081.08</v>
      </c>
      <c r="GD22" s="518">
        <v>2124.63</v>
      </c>
      <c r="GE22" s="517">
        <v>3708.57</v>
      </c>
      <c r="GF22" s="518"/>
      <c r="GG22" s="517">
        <v>4440.67</v>
      </c>
      <c r="GH22" s="518">
        <v>2096.96</v>
      </c>
      <c r="GI22" s="517">
        <v>2595</v>
      </c>
      <c r="GJ22" s="518">
        <v>5410</v>
      </c>
      <c r="GK22" s="517">
        <v>5060</v>
      </c>
      <c r="GL22" s="518"/>
      <c r="GM22" s="517"/>
      <c r="GN22" s="518"/>
      <c r="GO22" s="517"/>
      <c r="GP22" s="518"/>
      <c r="GQ22" s="661">
        <v>1678.2919999999999</v>
      </c>
      <c r="GR22" s="679">
        <v>3935</v>
      </c>
      <c r="GS22" s="676">
        <v>606</v>
      </c>
      <c r="GT22" s="679">
        <v>628.22540000000004</v>
      </c>
      <c r="GU22" s="676"/>
      <c r="GV22" s="679"/>
      <c r="GW22" s="676"/>
      <c r="GX22" s="679">
        <v>9630</v>
      </c>
      <c r="GY22" s="754">
        <v>6246</v>
      </c>
      <c r="GZ22" s="755">
        <v>6246</v>
      </c>
      <c r="HA22" s="754">
        <v>6718</v>
      </c>
    </row>
    <row r="23" spans="1:211" ht="15.75">
      <c r="A23" s="798" t="s">
        <v>1305</v>
      </c>
      <c r="B23" s="535"/>
      <c r="C23" s="520"/>
      <c r="D23" s="519"/>
      <c r="E23" s="533"/>
      <c r="F23" s="533"/>
      <c r="G23" s="533"/>
      <c r="H23" s="533"/>
      <c r="I23" s="533"/>
      <c r="J23" s="533"/>
      <c r="K23" s="533"/>
      <c r="L23" s="533"/>
      <c r="M23" s="533"/>
      <c r="N23" s="533"/>
      <c r="O23" s="533"/>
      <c r="P23" s="533"/>
      <c r="Q23" s="533"/>
      <c r="R23" s="533"/>
      <c r="S23" s="533"/>
      <c r="T23" s="533"/>
      <c r="U23" s="533"/>
      <c r="V23" s="533"/>
      <c r="W23" s="533"/>
      <c r="X23" s="533"/>
      <c r="Y23" s="533"/>
      <c r="Z23" s="533"/>
      <c r="AA23" s="533"/>
      <c r="AB23" s="533"/>
      <c r="AC23" s="533"/>
      <c r="AD23" s="533"/>
      <c r="AE23" s="533"/>
      <c r="AF23" s="533"/>
      <c r="AG23" s="533"/>
      <c r="AH23" s="695"/>
      <c r="AI23" s="695"/>
      <c r="AJ23" s="533"/>
      <c r="AK23" s="533"/>
      <c r="AL23" s="533"/>
      <c r="AM23" s="533"/>
      <c r="AN23" s="533"/>
      <c r="AO23" s="533"/>
      <c r="AP23" s="533"/>
      <c r="AQ23" s="533"/>
      <c r="AR23" s="533"/>
      <c r="AS23" s="533"/>
      <c r="AT23" s="695"/>
      <c r="AU23" s="533"/>
      <c r="AV23" s="533"/>
      <c r="AW23" s="533"/>
      <c r="AX23" s="533"/>
      <c r="AY23" s="533"/>
      <c r="AZ23" s="533"/>
      <c r="BA23" s="533"/>
      <c r="BB23" s="695"/>
      <c r="BC23" s="695"/>
      <c r="BD23" s="533"/>
      <c r="BE23" s="695"/>
      <c r="BF23" s="533"/>
      <c r="BG23" s="533"/>
      <c r="BH23" s="533"/>
      <c r="BI23" s="533"/>
      <c r="BJ23" s="533"/>
      <c r="BK23" s="695"/>
      <c r="BL23" s="533"/>
      <c r="BM23" s="533"/>
      <c r="BN23" s="695"/>
      <c r="BO23" s="533"/>
      <c r="BP23" s="533"/>
      <c r="BQ23" s="533"/>
      <c r="BR23" s="533"/>
      <c r="BS23" s="533"/>
      <c r="BT23" s="533"/>
      <c r="BU23" s="533"/>
      <c r="BV23" s="533"/>
      <c r="BW23" s="533"/>
      <c r="BX23" s="533"/>
      <c r="BY23" s="533"/>
      <c r="BZ23" s="533"/>
      <c r="CA23" s="533"/>
      <c r="CB23" s="533"/>
      <c r="CC23" s="533"/>
      <c r="CD23" s="533"/>
      <c r="CE23" s="533"/>
      <c r="CF23" s="533"/>
      <c r="CG23" s="533"/>
      <c r="CH23" s="533"/>
      <c r="CI23" s="533"/>
      <c r="CJ23" s="533"/>
      <c r="CK23" s="533"/>
      <c r="CL23" s="533"/>
      <c r="CM23" s="533"/>
      <c r="CN23" s="533"/>
      <c r="CO23" s="533"/>
      <c r="CP23" s="533"/>
      <c r="CQ23" s="533"/>
      <c r="CR23" s="533"/>
      <c r="CS23" s="533"/>
      <c r="CT23" s="533"/>
      <c r="CU23" s="533"/>
      <c r="CV23" s="533"/>
      <c r="CW23" s="533"/>
      <c r="CX23" s="533"/>
      <c r="CY23" s="533"/>
      <c r="CZ23" s="533"/>
      <c r="DA23" s="533"/>
      <c r="DB23" s="533"/>
      <c r="DC23" s="533"/>
      <c r="DD23" s="533"/>
      <c r="DE23" s="533"/>
      <c r="DF23" s="533"/>
      <c r="DG23" s="533"/>
      <c r="DH23" s="533"/>
      <c r="DI23" s="533"/>
      <c r="DJ23" s="664"/>
      <c r="DK23" s="668"/>
      <c r="DL23" s="700"/>
      <c r="DM23" s="695"/>
      <c r="DN23" s="695"/>
      <c r="DO23" s="695"/>
      <c r="DP23" s="533"/>
      <c r="DQ23" s="533"/>
      <c r="DR23" s="533"/>
      <c r="DS23" s="533"/>
      <c r="DT23" s="533"/>
      <c r="DU23" s="533"/>
      <c r="DV23" s="533"/>
      <c r="DW23" s="695"/>
      <c r="DX23" s="695"/>
      <c r="DY23" s="533"/>
      <c r="DZ23" s="533"/>
      <c r="EA23" s="533"/>
      <c r="EB23" s="695"/>
      <c r="EC23" s="533"/>
      <c r="ED23" s="695"/>
      <c r="EE23" s="695"/>
      <c r="EF23" s="533"/>
      <c r="EG23" s="533"/>
      <c r="EH23" s="533"/>
      <c r="EI23" s="533"/>
      <c r="EJ23" s="533"/>
      <c r="EK23" s="533"/>
      <c r="EL23" s="533"/>
      <c r="EM23" s="533"/>
      <c r="EN23" s="533"/>
      <c r="EO23" s="533"/>
      <c r="EP23" s="533"/>
      <c r="EQ23" s="533"/>
      <c r="ER23" s="533"/>
      <c r="ES23" s="533"/>
      <c r="ET23" s="695"/>
      <c r="EU23" s="695"/>
      <c r="EV23" s="850"/>
      <c r="EW23" s="695"/>
      <c r="EX23" s="533"/>
      <c r="EY23" s="533"/>
      <c r="EZ23" s="533"/>
      <c r="FA23" s="533"/>
      <c r="FB23" s="533"/>
      <c r="FC23" s="533"/>
      <c r="FD23" s="533"/>
      <c r="FE23" s="533"/>
      <c r="FF23" s="533"/>
      <c r="FG23" s="533"/>
      <c r="FH23" s="533"/>
      <c r="FI23" s="533"/>
      <c r="FJ23" s="533"/>
      <c r="FK23" s="533"/>
      <c r="FL23" s="533"/>
      <c r="FM23" s="533"/>
      <c r="FN23" s="533"/>
      <c r="FO23" s="533"/>
      <c r="FP23" s="533"/>
      <c r="FQ23" s="533"/>
      <c r="FR23" s="533"/>
      <c r="FS23" s="533"/>
      <c r="FT23" s="533"/>
      <c r="FU23" s="533"/>
      <c r="FV23" s="533"/>
      <c r="FW23" s="533"/>
      <c r="FX23" s="533"/>
      <c r="FY23" s="533"/>
      <c r="FZ23" s="533"/>
      <c r="GA23" s="533"/>
      <c r="GB23" s="533"/>
      <c r="GC23" s="533"/>
      <c r="GD23" s="533"/>
      <c r="GE23" s="533"/>
      <c r="GF23" s="533"/>
      <c r="GG23" s="533"/>
      <c r="GH23" s="533"/>
      <c r="GI23" s="533"/>
      <c r="GJ23" s="533"/>
      <c r="GK23" s="533"/>
      <c r="GL23" s="533"/>
      <c r="GM23" s="533"/>
      <c r="GN23" s="533"/>
      <c r="GO23" s="533"/>
      <c r="GP23" s="533"/>
      <c r="GQ23" s="664"/>
      <c r="GR23" s="668"/>
      <c r="GS23" s="668"/>
      <c r="GT23" s="668"/>
      <c r="GU23" s="668"/>
      <c r="GV23" s="668"/>
      <c r="GW23" s="668"/>
      <c r="GX23" s="668"/>
      <c r="GY23" s="543"/>
      <c r="GZ23" s="668"/>
      <c r="HA23" s="668"/>
      <c r="HB23" s="747"/>
      <c r="HC23" s="687"/>
    </row>
    <row r="24" spans="1:211">
      <c r="A24" s="797" t="s">
        <v>1816</v>
      </c>
      <c r="B24" s="516" t="s">
        <v>1254</v>
      </c>
      <c r="C24" s="521" t="s">
        <v>1817</v>
      </c>
      <c r="D24" s="519"/>
      <c r="E24" s="517">
        <v>1.7350000000000001</v>
      </c>
      <c r="F24" s="518">
        <v>1.8360000000000001</v>
      </c>
      <c r="G24" s="517">
        <v>1.8360000000000001</v>
      </c>
      <c r="H24" s="518">
        <v>2.4740000000000002</v>
      </c>
      <c r="I24" s="517">
        <v>2.4740000000000002</v>
      </c>
      <c r="J24" s="518">
        <v>2.4740000000000002</v>
      </c>
      <c r="K24" s="517">
        <v>2.4740000000000002</v>
      </c>
      <c r="L24" s="518">
        <v>2.9971999999999999</v>
      </c>
      <c r="M24" s="517">
        <v>2.9971999999999999</v>
      </c>
      <c r="N24" s="518">
        <v>2.9971999999999999</v>
      </c>
      <c r="O24" s="517">
        <v>2.1949999999999998</v>
      </c>
      <c r="P24" s="518">
        <v>2.1949999999999998</v>
      </c>
      <c r="Q24" s="517">
        <v>2.1949999999999998</v>
      </c>
      <c r="R24" s="518">
        <v>2.1949999999999998</v>
      </c>
      <c r="S24" s="517">
        <v>2.4279999999999999</v>
      </c>
      <c r="T24" s="518">
        <v>2.3620000000000001</v>
      </c>
      <c r="U24" s="517">
        <v>2.3620000000000001</v>
      </c>
      <c r="V24" s="518">
        <v>2.3730000000000002</v>
      </c>
      <c r="W24" s="517">
        <v>2.3875999999999999</v>
      </c>
      <c r="X24" s="518">
        <v>2.3620000000000001</v>
      </c>
      <c r="Y24" s="517">
        <v>2.1949999999999998</v>
      </c>
      <c r="Z24" s="518">
        <v>2.3620000000000001</v>
      </c>
      <c r="AA24" s="517">
        <v>2.3719999999999999</v>
      </c>
      <c r="AB24" s="518">
        <v>2.3719999999999999</v>
      </c>
      <c r="AC24" s="517">
        <v>2.3620000000000001</v>
      </c>
      <c r="AD24" s="518">
        <v>2.3875999999999999</v>
      </c>
      <c r="AE24" s="517">
        <v>2.3875999999999999</v>
      </c>
      <c r="AF24" s="518">
        <v>1.7350000000000001</v>
      </c>
      <c r="AG24" s="517">
        <v>1.7350000000000001</v>
      </c>
      <c r="AH24" s="691" t="s">
        <v>1818</v>
      </c>
      <c r="AI24" s="690" t="s">
        <v>1818</v>
      </c>
      <c r="AJ24" s="518">
        <v>1.7350000000000001</v>
      </c>
      <c r="AK24" s="517">
        <v>1.7350000000000001</v>
      </c>
      <c r="AL24" s="518">
        <v>1.7350000000000001</v>
      </c>
      <c r="AM24" s="517">
        <v>1.7350000000000001</v>
      </c>
      <c r="AN24" s="518">
        <v>1.7350000000000001</v>
      </c>
      <c r="AO24" s="517">
        <v>1.6819999999999999</v>
      </c>
      <c r="AP24" s="518">
        <v>1.6819999999999999</v>
      </c>
      <c r="AQ24" s="517">
        <v>1.6819999999999999</v>
      </c>
      <c r="AR24" s="518">
        <v>1.9812000000000001</v>
      </c>
      <c r="AS24" s="517">
        <v>1.9812000000000001</v>
      </c>
      <c r="AT24" s="691">
        <v>2.0573999999999999</v>
      </c>
      <c r="AU24" s="517">
        <v>1.7350000000000001</v>
      </c>
      <c r="AV24" s="518">
        <v>1.7350000000000001</v>
      </c>
      <c r="AW24" s="517">
        <v>1.7350000000000001</v>
      </c>
      <c r="AX24" s="518">
        <v>1.7350000000000001</v>
      </c>
      <c r="AY24" s="517">
        <v>1.6819999999999999</v>
      </c>
      <c r="AZ24" s="518">
        <v>1.6819999999999999</v>
      </c>
      <c r="BA24" s="517">
        <v>1.6819999999999999</v>
      </c>
      <c r="BB24" s="691">
        <v>2.0573999999999999</v>
      </c>
      <c r="BC24" s="690">
        <v>2.0573999999999999</v>
      </c>
      <c r="BD24" s="518">
        <v>1.9812000000000001</v>
      </c>
      <c r="BE24" s="690">
        <v>2.0573999999999999</v>
      </c>
      <c r="BF24" s="518">
        <v>1.7350000000000001</v>
      </c>
      <c r="BG24" s="517">
        <v>1.7350000000000001</v>
      </c>
      <c r="BH24" s="518">
        <v>1.6819999999999999</v>
      </c>
      <c r="BI24" s="517">
        <v>1.7350000000000001</v>
      </c>
      <c r="BJ24" s="518">
        <v>1.6819999999999999</v>
      </c>
      <c r="BK24" s="690">
        <v>2.0573999999999999</v>
      </c>
      <c r="BL24" s="518">
        <v>1.9812000000000001</v>
      </c>
      <c r="BM24" s="517">
        <v>1.9812000000000001</v>
      </c>
      <c r="BN24" s="691">
        <v>2.0573999999999999</v>
      </c>
      <c r="BO24" s="517">
        <v>1.9812000000000001</v>
      </c>
      <c r="BP24" s="518">
        <v>2.794</v>
      </c>
      <c r="BQ24" s="517"/>
      <c r="BR24" s="518"/>
      <c r="BS24" s="517">
        <v>2.54</v>
      </c>
      <c r="BT24" s="518">
        <v>2.4739599999999999</v>
      </c>
      <c r="BU24" s="517">
        <v>2.54</v>
      </c>
      <c r="BV24" s="518">
        <v>2.54</v>
      </c>
      <c r="BW24" s="517">
        <v>2.54</v>
      </c>
      <c r="BX24" s="518">
        <v>2.4739599999999999</v>
      </c>
      <c r="BY24" s="517">
        <v>2.4739599999999999</v>
      </c>
      <c r="BZ24" s="517">
        <v>2.85</v>
      </c>
      <c r="CA24" s="812"/>
      <c r="CB24" s="517">
        <v>1.349</v>
      </c>
      <c r="CC24" s="518">
        <v>1.08</v>
      </c>
      <c r="CD24" s="517">
        <v>1.2849999999999999</v>
      </c>
      <c r="CE24" s="518">
        <v>1.349</v>
      </c>
      <c r="CF24" s="517">
        <v>1.4219999999999999</v>
      </c>
      <c r="CG24" s="518">
        <v>1.4219999999999999</v>
      </c>
      <c r="CH24" s="517">
        <v>1.08</v>
      </c>
      <c r="CI24" s="518">
        <v>1.08</v>
      </c>
      <c r="CJ24" s="517">
        <v>1.08</v>
      </c>
      <c r="CK24" s="518">
        <v>1.08</v>
      </c>
      <c r="CL24" s="517">
        <v>1.524</v>
      </c>
      <c r="CM24" s="518">
        <v>1.524</v>
      </c>
      <c r="CN24" s="517">
        <v>1.5489999999999999</v>
      </c>
      <c r="CO24" s="518">
        <v>1.5489999999999999</v>
      </c>
      <c r="CP24" s="518">
        <v>1.5489999999999999</v>
      </c>
      <c r="CQ24" s="517">
        <v>1.7525999999999999</v>
      </c>
      <c r="CR24" s="518">
        <v>2.4279999999999999</v>
      </c>
      <c r="CS24" s="517">
        <v>2.1539999999999999</v>
      </c>
      <c r="CT24" s="518">
        <v>2.1949999999999998</v>
      </c>
      <c r="CU24" s="517">
        <v>2.4279999999999999</v>
      </c>
      <c r="CV24" s="518">
        <v>2.4279999999999999</v>
      </c>
      <c r="CW24" s="517">
        <v>2.4279999999999999</v>
      </c>
      <c r="CX24" s="518">
        <v>2.1949999999999998</v>
      </c>
      <c r="CY24" s="517">
        <v>2.1789999999999998</v>
      </c>
      <c r="CZ24" s="518">
        <v>2.3719999999999999</v>
      </c>
      <c r="DA24" s="517">
        <v>2.4279999999999999</v>
      </c>
      <c r="DB24" s="518">
        <v>2.4279999999999999</v>
      </c>
      <c r="DC24" s="517">
        <v>2.38</v>
      </c>
      <c r="DD24" s="518">
        <v>2.1539999999999999</v>
      </c>
      <c r="DE24" s="517">
        <v>2.3620000000000001</v>
      </c>
      <c r="DF24" s="518">
        <v>2.3875999999999999</v>
      </c>
      <c r="DG24" s="517">
        <v>2.1920000000000002</v>
      </c>
      <c r="DH24" s="518"/>
      <c r="DI24" s="517">
        <v>2.3875999999999999</v>
      </c>
      <c r="DJ24" s="682">
        <v>2.1920000000000002</v>
      </c>
      <c r="DK24" s="676">
        <v>2.6593800000000001</v>
      </c>
      <c r="DL24" s="699">
        <v>1.859</v>
      </c>
      <c r="DM24" s="690">
        <v>1.994</v>
      </c>
      <c r="DN24" s="691">
        <v>1.994</v>
      </c>
      <c r="DO24" s="690">
        <v>1.8819999999999999</v>
      </c>
      <c r="DP24" s="518">
        <v>2.3719999999999999</v>
      </c>
      <c r="DQ24" s="517">
        <v>2.1949999999999998</v>
      </c>
      <c r="DR24" s="518">
        <v>2.1920000000000002</v>
      </c>
      <c r="DS24" s="517">
        <v>2.3620000000000001</v>
      </c>
      <c r="DT24" s="518">
        <v>2.3620000000000001</v>
      </c>
      <c r="DU24" s="518">
        <v>2.3620000000000001</v>
      </c>
      <c r="DV24" s="517"/>
      <c r="DW24" s="690">
        <v>2.8450000000000002</v>
      </c>
      <c r="DX24" s="691">
        <v>2.8450000000000002</v>
      </c>
      <c r="DY24" s="517">
        <v>2.794</v>
      </c>
      <c r="DZ24" s="518">
        <v>2.794</v>
      </c>
      <c r="EA24" s="517">
        <v>3.2511999999999999</v>
      </c>
      <c r="EB24" s="691">
        <v>2.8450000000000002</v>
      </c>
      <c r="EC24" s="517">
        <v>2.794</v>
      </c>
      <c r="ED24" s="691"/>
      <c r="EE24" s="690">
        <v>3.4289999999999998</v>
      </c>
      <c r="EF24" s="517">
        <v>2.8448000000000002</v>
      </c>
      <c r="EG24" s="518">
        <v>2.8448000000000002</v>
      </c>
      <c r="EH24" s="517">
        <v>2.8448000000000002</v>
      </c>
      <c r="EI24" s="518"/>
      <c r="EJ24" s="517"/>
      <c r="EK24" s="518"/>
      <c r="EL24" s="517"/>
      <c r="EM24" s="518">
        <v>1.173</v>
      </c>
      <c r="EN24" s="518">
        <v>1.173</v>
      </c>
      <c r="EO24" s="517"/>
      <c r="EP24" s="518"/>
      <c r="EQ24" s="517">
        <v>1.1180000000000001</v>
      </c>
      <c r="ER24" s="656">
        <v>1.1180000000000001</v>
      </c>
      <c r="ES24" s="517">
        <v>1.1180000000000001</v>
      </c>
      <c r="ET24" s="691">
        <v>1.8542000000000001</v>
      </c>
      <c r="EU24" s="690">
        <v>1.8542000000000001</v>
      </c>
      <c r="EV24" s="847">
        <v>1.8542000000000001</v>
      </c>
      <c r="EW24" s="690">
        <v>1.8542000000000001</v>
      </c>
      <c r="EX24" s="518">
        <v>1.1734800000000001</v>
      </c>
      <c r="EY24" s="517"/>
      <c r="EZ24" s="518">
        <v>1.3460000000000001</v>
      </c>
      <c r="FA24" s="517"/>
      <c r="FB24" s="517">
        <v>0.97799999999999998</v>
      </c>
      <c r="FC24" s="518">
        <v>0.97799999999999998</v>
      </c>
      <c r="FD24" s="517">
        <v>0.97799999999999998</v>
      </c>
      <c r="FE24" s="518">
        <v>0.97799999999999998</v>
      </c>
      <c r="FF24" s="518">
        <v>0.71599999999999997</v>
      </c>
      <c r="FG24" s="517">
        <v>0.71599999999999997</v>
      </c>
      <c r="FH24" s="518"/>
      <c r="FI24" s="517"/>
      <c r="FJ24" s="518"/>
      <c r="FK24" s="517"/>
      <c r="FL24" s="518"/>
      <c r="FM24" s="517"/>
      <c r="FN24" s="518"/>
      <c r="FO24" s="517"/>
      <c r="FP24" s="518"/>
      <c r="FQ24" s="517"/>
      <c r="FR24" s="518"/>
      <c r="FS24" s="517">
        <v>0.71599999999999997</v>
      </c>
      <c r="FT24" s="518">
        <v>0.71599999999999997</v>
      </c>
      <c r="FU24" s="517">
        <v>0.71599999999999997</v>
      </c>
      <c r="FV24" s="518">
        <v>0.71599999999999997</v>
      </c>
      <c r="FW24" s="517">
        <v>1.08</v>
      </c>
      <c r="FX24" s="518">
        <v>1.08</v>
      </c>
      <c r="FY24" s="517">
        <v>0.95499999999999996</v>
      </c>
      <c r="FZ24" s="518">
        <v>1.349</v>
      </c>
      <c r="GA24" s="517">
        <v>1.7350000000000001</v>
      </c>
      <c r="GB24" s="518">
        <v>1.08</v>
      </c>
      <c r="GC24" s="517">
        <v>1.25</v>
      </c>
      <c r="GD24" s="518">
        <v>1.25</v>
      </c>
      <c r="GE24" s="517">
        <v>2.1949999999999998</v>
      </c>
      <c r="GF24" s="518">
        <v>2.1949999999999998</v>
      </c>
      <c r="GG24" s="517">
        <v>2.3620000000000001</v>
      </c>
      <c r="GH24" s="518">
        <v>1.25</v>
      </c>
      <c r="GI24" s="517">
        <v>1.6819999999999999</v>
      </c>
      <c r="GJ24" s="518">
        <v>2.1539999999999999</v>
      </c>
      <c r="GK24" s="517">
        <v>2.1539999999999999</v>
      </c>
      <c r="GL24" s="518"/>
      <c r="GM24" s="517"/>
      <c r="GN24" s="518"/>
      <c r="GO24" s="517"/>
      <c r="GP24" s="518"/>
      <c r="GQ24" s="661">
        <v>1.3715999999999999</v>
      </c>
      <c r="GR24" s="679">
        <v>1.96</v>
      </c>
      <c r="GS24" s="676"/>
      <c r="GT24" s="679">
        <v>1.016</v>
      </c>
      <c r="GU24" s="676"/>
      <c r="GV24" s="679"/>
      <c r="GW24" s="676"/>
      <c r="GX24" s="679"/>
      <c r="GY24" s="754">
        <v>2.95</v>
      </c>
      <c r="GZ24" s="755">
        <v>2.95</v>
      </c>
      <c r="HA24" s="754"/>
    </row>
    <row r="25" spans="1:211">
      <c r="A25" s="797" t="s">
        <v>1819</v>
      </c>
      <c r="B25" s="516" t="s">
        <v>1254</v>
      </c>
      <c r="C25" s="521" t="s">
        <v>1819</v>
      </c>
      <c r="D25" s="519"/>
      <c r="E25" s="517">
        <v>1.9079999999999999</v>
      </c>
      <c r="F25" s="518">
        <v>1.9079999999999999</v>
      </c>
      <c r="G25" s="517">
        <v>1.9079999999999999</v>
      </c>
      <c r="H25" s="518">
        <v>3.3740000000000001</v>
      </c>
      <c r="I25" s="517">
        <v>3.3740000000000001</v>
      </c>
      <c r="J25" s="518">
        <v>3.3740000000000001</v>
      </c>
      <c r="K25" s="517">
        <v>3.3740000000000001</v>
      </c>
      <c r="L25" s="518">
        <v>4.0019999999999998</v>
      </c>
      <c r="M25" s="517">
        <v>4.0019999999999998</v>
      </c>
      <c r="N25" s="518">
        <v>4.0019999999999998</v>
      </c>
      <c r="O25" s="517">
        <v>2.3875999999999999</v>
      </c>
      <c r="P25" s="518">
        <v>2.3875999999999999</v>
      </c>
      <c r="Q25" s="517">
        <v>2.3875999999999999</v>
      </c>
      <c r="R25" s="518">
        <v>2.3875999999999999</v>
      </c>
      <c r="S25" s="517">
        <v>2.4700000000000002</v>
      </c>
      <c r="T25" s="518">
        <v>2.6695000000000002</v>
      </c>
      <c r="U25" s="517">
        <v>2.6695000000000002</v>
      </c>
      <c r="V25" s="518">
        <v>2.44</v>
      </c>
      <c r="W25" s="517">
        <v>2.48</v>
      </c>
      <c r="X25" s="518">
        <v>2.6695000000000002</v>
      </c>
      <c r="Y25" s="517">
        <v>2.4</v>
      </c>
      <c r="Z25" s="518">
        <v>2.6695000000000002</v>
      </c>
      <c r="AA25" s="517">
        <v>2.44</v>
      </c>
      <c r="AB25" s="518">
        <v>2.44</v>
      </c>
      <c r="AC25" s="517">
        <v>2.6695000000000002</v>
      </c>
      <c r="AD25" s="518">
        <v>2.48</v>
      </c>
      <c r="AE25" s="517">
        <v>2.48</v>
      </c>
      <c r="AF25" s="518">
        <v>1.9079999999999999</v>
      </c>
      <c r="AG25" s="517">
        <v>1.9079999999999999</v>
      </c>
      <c r="AH25" s="691">
        <v>1.5849</v>
      </c>
      <c r="AI25" s="690">
        <v>1.5849</v>
      </c>
      <c r="AJ25" s="518">
        <v>1.9079999999999999</v>
      </c>
      <c r="AK25" s="670">
        <v>1.9079999999999999</v>
      </c>
      <c r="AL25" s="518">
        <v>1.9079999999999999</v>
      </c>
      <c r="AM25" s="517">
        <v>1.9079999999999999</v>
      </c>
      <c r="AN25" s="518">
        <v>1.9079999999999999</v>
      </c>
      <c r="AO25" s="517">
        <v>1.7150000000000001</v>
      </c>
      <c r="AP25" s="518">
        <v>1.7150000000000001</v>
      </c>
      <c r="AQ25" s="517">
        <v>1.7150000000000001</v>
      </c>
      <c r="AR25" s="518">
        <v>2.5430000000000001</v>
      </c>
      <c r="AS25" s="517">
        <v>2.5430000000000001</v>
      </c>
      <c r="AT25" s="691">
        <v>2.2240000000000002</v>
      </c>
      <c r="AU25" s="517">
        <v>1.9079999999999999</v>
      </c>
      <c r="AV25" s="518">
        <v>1.9079999999999999</v>
      </c>
      <c r="AW25" s="670">
        <v>1.9079999999999999</v>
      </c>
      <c r="AX25" s="518">
        <v>1.9079999999999999</v>
      </c>
      <c r="AY25" s="517">
        <v>1.7150000000000001</v>
      </c>
      <c r="AZ25" s="518">
        <v>1.7150000000000001</v>
      </c>
      <c r="BA25" s="517">
        <v>1.7150000000000001</v>
      </c>
      <c r="BB25" s="691">
        <v>2.2240000000000002</v>
      </c>
      <c r="BC25" s="690">
        <v>2.2240000000000002</v>
      </c>
      <c r="BD25" s="518">
        <v>2.5430000000000001</v>
      </c>
      <c r="BE25" s="690">
        <v>2.2240000000000002</v>
      </c>
      <c r="BF25" s="518">
        <v>1.9079999999999999</v>
      </c>
      <c r="BG25" s="670">
        <v>1.9079999999999999</v>
      </c>
      <c r="BH25" s="518">
        <v>1.7150000000000001</v>
      </c>
      <c r="BI25" s="670">
        <v>1.9079999999999999</v>
      </c>
      <c r="BJ25" s="518">
        <v>1.7150000000000001</v>
      </c>
      <c r="BK25" s="690">
        <v>2.2240000000000002</v>
      </c>
      <c r="BL25" s="518">
        <v>2.5430000000000001</v>
      </c>
      <c r="BM25" s="517">
        <v>2.5430000000000001</v>
      </c>
      <c r="BN25" s="691">
        <v>2.2240000000000002</v>
      </c>
      <c r="BO25" s="517">
        <v>2.5430000000000001</v>
      </c>
      <c r="BP25" s="518">
        <v>2.9</v>
      </c>
      <c r="BQ25" s="517">
        <v>2.9</v>
      </c>
      <c r="BR25" s="518">
        <v>2.9</v>
      </c>
      <c r="BS25" s="517">
        <v>3.13</v>
      </c>
      <c r="BT25" s="518">
        <v>2.742</v>
      </c>
      <c r="BU25" s="517">
        <v>3.13</v>
      </c>
      <c r="BV25" s="518">
        <v>3.13</v>
      </c>
      <c r="BW25" s="517">
        <v>3.13</v>
      </c>
      <c r="BX25" s="518">
        <v>2.742</v>
      </c>
      <c r="BY25" s="517">
        <v>2.742</v>
      </c>
      <c r="BZ25" s="517">
        <v>3.6739999999999999</v>
      </c>
      <c r="CA25" s="812"/>
      <c r="CB25" s="517">
        <v>1.3462000000000001</v>
      </c>
      <c r="CC25" s="518"/>
      <c r="CD25" s="517">
        <v>1.3462000000000001</v>
      </c>
      <c r="CE25" s="518">
        <v>1.3462000000000001</v>
      </c>
      <c r="CF25" s="517">
        <v>1.5289999999999999</v>
      </c>
      <c r="CG25" s="518">
        <v>1.5289999999999999</v>
      </c>
      <c r="CH25" s="517">
        <v>1.08</v>
      </c>
      <c r="CI25" s="518">
        <v>1.08</v>
      </c>
      <c r="CJ25" s="517">
        <v>1.08</v>
      </c>
      <c r="CK25" s="518">
        <v>1.08</v>
      </c>
      <c r="CL25" s="517">
        <v>2.0179999999999998</v>
      </c>
      <c r="CM25" s="518">
        <v>2.0179999999999998</v>
      </c>
      <c r="CN25" s="517">
        <v>2.1179999999999999</v>
      </c>
      <c r="CO25" s="518">
        <v>2.1179999999999999</v>
      </c>
      <c r="CP25" s="518">
        <v>2.1179999999999999</v>
      </c>
      <c r="CQ25" s="517">
        <v>2.4209999999999998</v>
      </c>
      <c r="CR25" s="518">
        <v>2.4300000000000002</v>
      </c>
      <c r="CS25" s="517">
        <v>2.4129999999999998</v>
      </c>
      <c r="CT25" s="518">
        <v>2.3875999999999999</v>
      </c>
      <c r="CU25" s="517">
        <v>2.4300000000000002</v>
      </c>
      <c r="CV25" s="518">
        <v>2.4300000000000002</v>
      </c>
      <c r="CW25" s="517">
        <v>2.4300000000000002</v>
      </c>
      <c r="CX25" s="518">
        <v>2.39</v>
      </c>
      <c r="CY25" s="517">
        <v>2.4129999999999998</v>
      </c>
      <c r="CZ25" s="518">
        <v>2.44</v>
      </c>
      <c r="DA25" s="517">
        <v>2.4</v>
      </c>
      <c r="DB25" s="518">
        <v>2.4300000000000002</v>
      </c>
      <c r="DC25" s="517">
        <v>2.4700000000000002</v>
      </c>
      <c r="DD25" s="518">
        <v>2.4129999999999998</v>
      </c>
      <c r="DE25" s="517">
        <v>2.6695000000000002</v>
      </c>
      <c r="DF25" s="518">
        <v>2.48</v>
      </c>
      <c r="DG25" s="517">
        <v>2.9209999999999998</v>
      </c>
      <c r="DH25" s="518">
        <v>2.8300999999999998</v>
      </c>
      <c r="DI25" s="517">
        <v>2.48</v>
      </c>
      <c r="DJ25" s="682">
        <v>2.9209999999999998</v>
      </c>
      <c r="DK25" s="685">
        <v>3.2004000000000001</v>
      </c>
      <c r="DL25" s="699">
        <v>2.2160000000000002</v>
      </c>
      <c r="DM25" s="690">
        <v>2.1539199999999998</v>
      </c>
      <c r="DN25" s="691">
        <v>2.1539199999999998</v>
      </c>
      <c r="DO25" s="690">
        <v>2.2759999999999998</v>
      </c>
      <c r="DP25" s="518">
        <v>2.44</v>
      </c>
      <c r="DQ25" s="517">
        <v>2.4</v>
      </c>
      <c r="DR25" s="518">
        <v>2.9209999999999998</v>
      </c>
      <c r="DS25" s="517">
        <v>2.8300999999999998</v>
      </c>
      <c r="DT25" s="518">
        <v>2.8300999999999998</v>
      </c>
      <c r="DU25" s="518">
        <v>2.8300999999999998</v>
      </c>
      <c r="DV25" s="517">
        <v>3.871</v>
      </c>
      <c r="DW25" s="690">
        <v>3.0226000000000002</v>
      </c>
      <c r="DX25" s="691">
        <v>3.0226000000000002</v>
      </c>
      <c r="DY25" s="517">
        <v>3.048</v>
      </c>
      <c r="DZ25" s="518">
        <v>3.048</v>
      </c>
      <c r="EA25" s="517">
        <v>3.871</v>
      </c>
      <c r="EB25" s="691">
        <v>3.0344364000000001</v>
      </c>
      <c r="EC25" s="517">
        <v>3.048</v>
      </c>
      <c r="ED25" s="691">
        <v>3.7690000000000001</v>
      </c>
      <c r="EE25" s="690">
        <v>3.7690000000000001</v>
      </c>
      <c r="EF25" s="517">
        <v>3.798</v>
      </c>
      <c r="EG25" s="518">
        <v>3.798</v>
      </c>
      <c r="EH25" s="517">
        <v>3.798</v>
      </c>
      <c r="EI25" s="518">
        <v>1.26</v>
      </c>
      <c r="EJ25" s="517">
        <v>1.26</v>
      </c>
      <c r="EK25" s="518">
        <v>1.82</v>
      </c>
      <c r="EL25" s="517"/>
      <c r="EM25" s="518">
        <v>1.5409999999999999</v>
      </c>
      <c r="EN25" s="518">
        <v>1.5409999999999999</v>
      </c>
      <c r="EO25" s="517"/>
      <c r="EP25" s="518"/>
      <c r="EQ25" s="517"/>
      <c r="ER25" s="518"/>
      <c r="ES25" s="517"/>
      <c r="ET25" s="691">
        <v>2.0059999999999998</v>
      </c>
      <c r="EU25" s="690">
        <v>2.0059999999999998</v>
      </c>
      <c r="EV25" s="847">
        <v>2.0059999999999998</v>
      </c>
      <c r="EW25" s="690">
        <v>2.0059999999999998</v>
      </c>
      <c r="EX25" s="518">
        <v>1.5920000000000001</v>
      </c>
      <c r="EY25" s="517">
        <v>2.1989999999999998</v>
      </c>
      <c r="EZ25" s="518">
        <v>2.1989999999999998</v>
      </c>
      <c r="FA25" s="517">
        <v>2.1989999999999998</v>
      </c>
      <c r="FB25" s="517">
        <v>1.17</v>
      </c>
      <c r="FC25" s="518">
        <v>1.17</v>
      </c>
      <c r="FD25" s="517">
        <v>1.17</v>
      </c>
      <c r="FE25" s="518">
        <v>1.17</v>
      </c>
      <c r="FF25" s="518">
        <v>0.84699999999999998</v>
      </c>
      <c r="FG25" s="517">
        <v>0.84699999999999998</v>
      </c>
      <c r="FH25" s="518">
        <v>0.45</v>
      </c>
      <c r="FI25" s="517">
        <v>0.45</v>
      </c>
      <c r="FJ25" s="518"/>
      <c r="FK25" s="517">
        <v>0.45</v>
      </c>
      <c r="FL25" s="518">
        <v>0.45</v>
      </c>
      <c r="FM25" s="517"/>
      <c r="FN25" s="518"/>
      <c r="FO25" s="517"/>
      <c r="FP25" s="518"/>
      <c r="FQ25" s="517">
        <v>0.45</v>
      </c>
      <c r="FR25" s="518"/>
      <c r="FS25" s="517">
        <v>0.84699999999999998</v>
      </c>
      <c r="FT25" s="518">
        <v>0.84699999999999998</v>
      </c>
      <c r="FU25" s="517">
        <v>0.84699999999999998</v>
      </c>
      <c r="FV25" s="518">
        <v>0.84699999999999998</v>
      </c>
      <c r="FW25" s="517">
        <v>1.49</v>
      </c>
      <c r="FX25" s="518">
        <v>1.0920000000000001</v>
      </c>
      <c r="FY25" s="517">
        <v>1.1000000000000001</v>
      </c>
      <c r="FZ25" s="518">
        <v>1.35</v>
      </c>
      <c r="GA25" s="517">
        <v>1.8288</v>
      </c>
      <c r="GB25" s="518">
        <v>1.08</v>
      </c>
      <c r="GC25" s="517">
        <v>1.5</v>
      </c>
      <c r="GD25" s="518">
        <v>1.43</v>
      </c>
      <c r="GE25" s="517">
        <v>2.39</v>
      </c>
      <c r="GF25" s="518">
        <v>2.6669999999999998</v>
      </c>
      <c r="GG25" s="517">
        <v>2.83</v>
      </c>
      <c r="GH25" s="518">
        <v>1.5</v>
      </c>
      <c r="GI25" s="379">
        <v>1.7150000000000001</v>
      </c>
      <c r="GJ25" s="518">
        <v>2.4380000000000002</v>
      </c>
      <c r="GK25" s="517">
        <v>2.4129999999999998</v>
      </c>
      <c r="GL25" s="518"/>
      <c r="GM25" s="517"/>
      <c r="GN25" s="518"/>
      <c r="GO25" s="517"/>
      <c r="GP25" s="518"/>
      <c r="GQ25" s="661"/>
      <c r="GR25" s="679">
        <v>2.6949999999999998</v>
      </c>
      <c r="GS25" s="676">
        <v>1.27</v>
      </c>
      <c r="GT25" s="679">
        <v>1.05918</v>
      </c>
      <c r="GU25" s="676"/>
      <c r="GV25" s="679"/>
      <c r="GW25" s="676"/>
      <c r="GX25" s="679">
        <v>4.0970000000000004</v>
      </c>
      <c r="GY25" s="754">
        <v>3.944</v>
      </c>
      <c r="GZ25" s="755">
        <v>3.944</v>
      </c>
      <c r="HA25" s="754">
        <v>3.1429999999999998</v>
      </c>
    </row>
    <row r="26" spans="1:211">
      <c r="A26" s="797" t="s">
        <v>1311</v>
      </c>
      <c r="B26" s="516" t="s">
        <v>1254</v>
      </c>
      <c r="C26" s="521" t="s">
        <v>1311</v>
      </c>
      <c r="D26" s="519"/>
      <c r="E26" s="379">
        <v>2.105</v>
      </c>
      <c r="F26" s="669">
        <v>2.105</v>
      </c>
      <c r="G26" s="379">
        <v>2.105</v>
      </c>
      <c r="H26" s="518">
        <v>3.3740000000000001</v>
      </c>
      <c r="I26" s="517">
        <v>3.3740000000000001</v>
      </c>
      <c r="J26" s="518">
        <v>3.3740000000000001</v>
      </c>
      <c r="K26" s="517">
        <v>3.3740000000000001</v>
      </c>
      <c r="L26" s="518">
        <v>4.0019999999999998</v>
      </c>
      <c r="M26" s="517">
        <v>4.0019999999999998</v>
      </c>
      <c r="N26" s="518">
        <v>4.0019999999999998</v>
      </c>
      <c r="O26" s="517">
        <v>2.6669999999999998</v>
      </c>
      <c r="P26" s="518">
        <v>2.6669999999999998</v>
      </c>
      <c r="Q26" s="517">
        <v>2.6669999999999998</v>
      </c>
      <c r="R26" s="518">
        <v>2.6669999999999998</v>
      </c>
      <c r="S26" s="517">
        <v>2.4700000000000002</v>
      </c>
      <c r="T26" s="518">
        <v>2.6916000000000002</v>
      </c>
      <c r="U26" s="517">
        <v>2.6916000000000002</v>
      </c>
      <c r="V26" s="518">
        <v>2.44</v>
      </c>
      <c r="W26" s="517">
        <v>2.48</v>
      </c>
      <c r="X26" s="518">
        <v>2.6916000000000002</v>
      </c>
      <c r="Y26" s="517">
        <v>2.6821999999999999</v>
      </c>
      <c r="Z26" s="518">
        <v>2.6916000000000002</v>
      </c>
      <c r="AA26" s="517">
        <v>2.44</v>
      </c>
      <c r="AB26" s="518">
        <v>2.44</v>
      </c>
      <c r="AC26" s="517">
        <v>2.6916000000000002</v>
      </c>
      <c r="AD26" s="518">
        <v>2.48</v>
      </c>
      <c r="AE26" s="517">
        <v>2.48</v>
      </c>
      <c r="AF26" s="518">
        <v>2.105</v>
      </c>
      <c r="AG26" s="517">
        <v>2.105</v>
      </c>
      <c r="AH26" s="691">
        <v>1.5849</v>
      </c>
      <c r="AI26" s="690">
        <v>1.5849</v>
      </c>
      <c r="AJ26" s="518">
        <v>2.105</v>
      </c>
      <c r="AK26" s="670">
        <v>2.105</v>
      </c>
      <c r="AL26" s="518">
        <v>2.101</v>
      </c>
      <c r="AM26" s="517">
        <v>2.101</v>
      </c>
      <c r="AN26" s="518">
        <v>2.105</v>
      </c>
      <c r="AO26" s="517">
        <v>1.7150000000000001</v>
      </c>
      <c r="AP26" s="518">
        <v>1.7150000000000001</v>
      </c>
      <c r="AQ26" s="517">
        <v>1.7150000000000001</v>
      </c>
      <c r="AR26" s="518">
        <v>2.3679999999999999</v>
      </c>
      <c r="AS26" s="517">
        <v>2.3679999999999999</v>
      </c>
      <c r="AT26" s="691">
        <v>2.2240000000000002</v>
      </c>
      <c r="AU26" s="517">
        <v>2.101</v>
      </c>
      <c r="AV26" s="518">
        <v>2.101</v>
      </c>
      <c r="AW26" s="670">
        <v>2.105</v>
      </c>
      <c r="AX26" s="518">
        <v>2.105</v>
      </c>
      <c r="AY26" s="517">
        <v>1.7150000000000001</v>
      </c>
      <c r="AZ26" s="518">
        <v>1.7150000000000001</v>
      </c>
      <c r="BA26" s="517">
        <v>1.7150000000000001</v>
      </c>
      <c r="BB26" s="691">
        <v>2.2240000000000002</v>
      </c>
      <c r="BC26" s="690">
        <v>2.2240000000000002</v>
      </c>
      <c r="BD26" s="518">
        <v>2.3679999999999999</v>
      </c>
      <c r="BE26" s="690">
        <v>2.2240000000000002</v>
      </c>
      <c r="BF26" s="518">
        <v>2.105</v>
      </c>
      <c r="BG26" s="670">
        <v>2.105</v>
      </c>
      <c r="BH26" s="518">
        <v>1.7150000000000001</v>
      </c>
      <c r="BI26" s="670">
        <v>2.105</v>
      </c>
      <c r="BJ26" s="518">
        <v>1.7150000000000001</v>
      </c>
      <c r="BK26" s="690">
        <v>2.2240000000000002</v>
      </c>
      <c r="BL26" s="518">
        <v>2.3679999999999999</v>
      </c>
      <c r="BM26" s="517">
        <v>2.3679999999999999</v>
      </c>
      <c r="BN26" s="691">
        <v>2.2240000000000002</v>
      </c>
      <c r="BO26" s="517">
        <v>2.3679999999999999</v>
      </c>
      <c r="BP26" s="518">
        <v>2.87</v>
      </c>
      <c r="BQ26" s="517">
        <v>2.87</v>
      </c>
      <c r="BR26" s="518">
        <v>2.87</v>
      </c>
      <c r="BS26" s="517">
        <v>3.13</v>
      </c>
      <c r="BT26" s="518">
        <v>2.742</v>
      </c>
      <c r="BU26" s="517">
        <v>3.13</v>
      </c>
      <c r="BV26" s="518">
        <v>3.13</v>
      </c>
      <c r="BW26" s="517">
        <v>3.13</v>
      </c>
      <c r="BX26" s="518">
        <v>2.742</v>
      </c>
      <c r="BY26" s="517">
        <v>2.742</v>
      </c>
      <c r="BZ26" s="517">
        <v>3.6739999999999999</v>
      </c>
      <c r="CA26" s="812"/>
      <c r="CB26" s="517">
        <v>1.4224000000000001</v>
      </c>
      <c r="CC26" s="518"/>
      <c r="CD26" s="517">
        <v>1.4224000000000001</v>
      </c>
      <c r="CE26" s="518">
        <v>1.4224000000000001</v>
      </c>
      <c r="CF26" s="517"/>
      <c r="CG26" s="518"/>
      <c r="CH26" s="517">
        <v>1.3580000000000001</v>
      </c>
      <c r="CI26" s="518">
        <v>1.3580000000000001</v>
      </c>
      <c r="CJ26" s="517">
        <v>1.3580000000000001</v>
      </c>
      <c r="CK26" s="518">
        <v>1.3580000000000001</v>
      </c>
      <c r="CL26" s="517">
        <v>1.8169999999999999</v>
      </c>
      <c r="CM26" s="518">
        <v>1.8169999999999999</v>
      </c>
      <c r="CN26" s="517">
        <v>1.829</v>
      </c>
      <c r="CO26" s="518">
        <v>1.829</v>
      </c>
      <c r="CP26" s="518">
        <v>1.829</v>
      </c>
      <c r="CQ26" s="517">
        <v>2.2559999999999998</v>
      </c>
      <c r="CR26" s="518">
        <v>2.4300000000000002</v>
      </c>
      <c r="CS26" s="517">
        <v>2.7330000000000001</v>
      </c>
      <c r="CT26" s="518">
        <v>2.6669999999999998</v>
      </c>
      <c r="CU26" s="517">
        <v>2.4300000000000002</v>
      </c>
      <c r="CV26" s="518">
        <v>2.4300000000000002</v>
      </c>
      <c r="CW26" s="517">
        <v>2.4300000000000002</v>
      </c>
      <c r="CX26" s="518">
        <v>2.67</v>
      </c>
      <c r="CY26" s="517">
        <v>2.7330000000000001</v>
      </c>
      <c r="CZ26" s="518">
        <v>2.44</v>
      </c>
      <c r="DA26" s="517">
        <v>2.4</v>
      </c>
      <c r="DB26" s="518">
        <v>2.4300000000000002</v>
      </c>
      <c r="DC26" s="517">
        <v>2.4700000000000002</v>
      </c>
      <c r="DD26" s="518">
        <v>2.7330000000000001</v>
      </c>
      <c r="DE26" s="517">
        <v>2.6916000000000002</v>
      </c>
      <c r="DF26" s="518">
        <v>2.48</v>
      </c>
      <c r="DG26" s="517">
        <v>2.9209999999999998</v>
      </c>
      <c r="DH26" s="518">
        <v>2.6916000000000002</v>
      </c>
      <c r="DI26" s="517">
        <v>2.48</v>
      </c>
      <c r="DJ26" s="682">
        <v>2.9209999999999998</v>
      </c>
      <c r="DK26" s="685">
        <v>3.2334000000000001</v>
      </c>
      <c r="DL26" s="699">
        <v>2.4129999999999998</v>
      </c>
      <c r="DM26" s="690">
        <v>2.1539199999999998</v>
      </c>
      <c r="DN26" s="691">
        <v>2.1539199999999998</v>
      </c>
      <c r="DO26" s="690">
        <v>2.4159999999999999</v>
      </c>
      <c r="DP26" s="518">
        <v>2.44</v>
      </c>
      <c r="DQ26" s="517">
        <v>2.6821999999999999</v>
      </c>
      <c r="DR26" s="518">
        <v>2.9209999999999998</v>
      </c>
      <c r="DS26" s="517">
        <v>2.6916000000000002</v>
      </c>
      <c r="DT26" s="518">
        <v>2.6916000000000002</v>
      </c>
      <c r="DU26" s="518">
        <v>2.6916000000000002</v>
      </c>
      <c r="DV26" s="517">
        <v>3.952</v>
      </c>
      <c r="DW26" s="690">
        <v>3.0226000000000002</v>
      </c>
      <c r="DX26" s="691">
        <v>3.0226000000000002</v>
      </c>
      <c r="DY26" s="517">
        <v>3.048</v>
      </c>
      <c r="DZ26" s="518">
        <v>3.048</v>
      </c>
      <c r="EA26" s="379">
        <v>3.952</v>
      </c>
      <c r="EB26" s="691">
        <v>3.0344364000000001</v>
      </c>
      <c r="EC26" s="517">
        <v>3.048</v>
      </c>
      <c r="ED26" s="691">
        <v>3.9260000000000002</v>
      </c>
      <c r="EE26" s="690">
        <v>3.9260000000000002</v>
      </c>
      <c r="EF26" s="517">
        <v>3.798</v>
      </c>
      <c r="EG26" s="518">
        <v>3.798</v>
      </c>
      <c r="EH26" s="517">
        <v>3.798</v>
      </c>
      <c r="EI26" s="518">
        <v>1.26</v>
      </c>
      <c r="EJ26" s="517">
        <v>1.26</v>
      </c>
      <c r="EK26" s="518">
        <v>1.82</v>
      </c>
      <c r="EL26" s="517"/>
      <c r="EM26" s="518">
        <v>1.5409999999999999</v>
      </c>
      <c r="EN26" s="518">
        <v>1.5409999999999999</v>
      </c>
      <c r="EO26" s="517"/>
      <c r="EP26" s="518"/>
      <c r="EQ26" s="517">
        <v>1.26</v>
      </c>
      <c r="ER26" s="518">
        <v>1.26</v>
      </c>
      <c r="ES26" s="517">
        <v>1.26</v>
      </c>
      <c r="ET26" s="691">
        <v>2.0059999999999998</v>
      </c>
      <c r="EU26" s="690">
        <v>2.0059999999999998</v>
      </c>
      <c r="EV26" s="847">
        <v>2.0059999999999998</v>
      </c>
      <c r="EW26" s="690">
        <v>2.0059999999999998</v>
      </c>
      <c r="EX26" s="518">
        <v>1.5920000000000001</v>
      </c>
      <c r="EY26" s="517">
        <v>1.8640000000000001</v>
      </c>
      <c r="EZ26" s="518">
        <v>1.8640000000000001</v>
      </c>
      <c r="FA26" s="517">
        <v>1.8640000000000001</v>
      </c>
      <c r="FB26" s="517">
        <v>1.41</v>
      </c>
      <c r="FC26" s="518">
        <v>1.41</v>
      </c>
      <c r="FD26" s="517">
        <v>1.41</v>
      </c>
      <c r="FE26" s="518">
        <v>1.41</v>
      </c>
      <c r="FF26" s="518">
        <v>1</v>
      </c>
      <c r="FG26" s="517">
        <v>1</v>
      </c>
      <c r="FH26" s="518"/>
      <c r="FI26" s="517"/>
      <c r="FJ26" s="518"/>
      <c r="FK26" s="517"/>
      <c r="FL26" s="518"/>
      <c r="FM26" s="517"/>
      <c r="FN26" s="518"/>
      <c r="FO26" s="517"/>
      <c r="FP26" s="518"/>
      <c r="FQ26" s="517"/>
      <c r="FR26" s="518"/>
      <c r="FS26" s="517">
        <v>1</v>
      </c>
      <c r="FT26" s="518">
        <v>1</v>
      </c>
      <c r="FU26" s="517">
        <v>1</v>
      </c>
      <c r="FV26" s="518">
        <v>1</v>
      </c>
      <c r="FW26" s="517">
        <v>1.4</v>
      </c>
      <c r="FX26" s="518">
        <v>1.0920000000000001</v>
      </c>
      <c r="FY26" s="517">
        <v>1.1000000000000001</v>
      </c>
      <c r="FZ26" s="518">
        <v>1.42</v>
      </c>
      <c r="GA26" s="517"/>
      <c r="GB26" s="518">
        <v>1.36</v>
      </c>
      <c r="GC26" s="517">
        <v>1.71</v>
      </c>
      <c r="GD26" s="518">
        <v>1.71</v>
      </c>
      <c r="GE26" s="517">
        <v>2.67</v>
      </c>
      <c r="GF26" s="518">
        <v>2.6669999999999998</v>
      </c>
      <c r="GG26" s="517">
        <v>2.69</v>
      </c>
      <c r="GH26" s="518">
        <v>1.71</v>
      </c>
      <c r="GI26" s="517">
        <v>1.7150000000000001</v>
      </c>
      <c r="GJ26" s="518">
        <v>2.6869999999999998</v>
      </c>
      <c r="GK26" s="517">
        <v>2.7330000000000001</v>
      </c>
      <c r="GL26" s="518"/>
      <c r="GM26" s="517"/>
      <c r="GN26" s="518"/>
      <c r="GO26" s="517"/>
      <c r="GP26" s="518"/>
      <c r="GQ26" s="661">
        <v>2.286</v>
      </c>
      <c r="GR26" s="679">
        <v>2.714</v>
      </c>
      <c r="GS26" s="676">
        <v>1.27</v>
      </c>
      <c r="GT26" s="679">
        <v>1.05918</v>
      </c>
      <c r="GU26" s="676"/>
      <c r="GV26" s="679"/>
      <c r="GW26" s="676"/>
      <c r="GX26" s="679">
        <v>4.1580000000000004</v>
      </c>
      <c r="GY26" s="754">
        <v>3.944</v>
      </c>
      <c r="GZ26" s="755">
        <v>3.944</v>
      </c>
      <c r="HA26" s="754">
        <v>3.1429999999999998</v>
      </c>
    </row>
    <row r="27" spans="1:211">
      <c r="A27" s="797" t="s">
        <v>1310</v>
      </c>
      <c r="B27" s="516" t="s">
        <v>1254</v>
      </c>
      <c r="C27" s="521" t="s">
        <v>1310</v>
      </c>
      <c r="D27" s="519"/>
      <c r="E27" s="517">
        <v>2.5996999999999999</v>
      </c>
      <c r="F27" s="518">
        <v>2.5996999999999999</v>
      </c>
      <c r="G27" s="517">
        <v>2.5996999999999999</v>
      </c>
      <c r="H27" s="518">
        <v>4.6890000000000001</v>
      </c>
      <c r="I27" s="517">
        <v>4.6890000000000001</v>
      </c>
      <c r="J27" s="518">
        <v>4.6890000000000001</v>
      </c>
      <c r="K27" s="517">
        <v>4.6890000000000001</v>
      </c>
      <c r="L27" s="518">
        <v>4.4829999999999997</v>
      </c>
      <c r="M27" s="517">
        <v>4.4829999999999997</v>
      </c>
      <c r="N27" s="518">
        <v>4.4829999999999997</v>
      </c>
      <c r="O27" s="517">
        <v>4.6482000000000001</v>
      </c>
      <c r="P27" s="518">
        <v>4.6482000000000001</v>
      </c>
      <c r="Q27" s="517">
        <v>4.6482000000000001</v>
      </c>
      <c r="R27" s="518">
        <v>4.6482000000000001</v>
      </c>
      <c r="S27" s="517">
        <v>3.92</v>
      </c>
      <c r="T27" s="518">
        <v>4.2737999999999996</v>
      </c>
      <c r="U27" s="517">
        <v>4.2393000000000001</v>
      </c>
      <c r="V27" s="518">
        <v>3.92</v>
      </c>
      <c r="W27" s="517">
        <v>3.9</v>
      </c>
      <c r="X27" s="518">
        <v>4.2737999999999996</v>
      </c>
      <c r="Y27" s="517">
        <v>4.2393000000000001</v>
      </c>
      <c r="Z27" s="518">
        <v>4.2737999999999996</v>
      </c>
      <c r="AA27" s="517">
        <v>3.92</v>
      </c>
      <c r="AB27" s="518">
        <v>3.92</v>
      </c>
      <c r="AC27" s="517">
        <v>4.2737999999999996</v>
      </c>
      <c r="AD27" s="518">
        <v>3.9</v>
      </c>
      <c r="AE27" s="517">
        <v>3.9</v>
      </c>
      <c r="AF27" s="518">
        <v>2.5996999999999999</v>
      </c>
      <c r="AG27" s="517">
        <v>2.5996999999999999</v>
      </c>
      <c r="AH27" s="691">
        <v>2.7494000000000001</v>
      </c>
      <c r="AI27" s="690">
        <v>2.7494000000000001</v>
      </c>
      <c r="AJ27" s="518">
        <v>2.5996999999999999</v>
      </c>
      <c r="AK27" s="670">
        <v>2.5996999999999999</v>
      </c>
      <c r="AL27" s="518">
        <v>2.4220000000000002</v>
      </c>
      <c r="AM27" s="517">
        <v>2.4220000000000002</v>
      </c>
      <c r="AN27" s="518">
        <v>2.5996999999999999</v>
      </c>
      <c r="AO27" s="517">
        <v>3.2010000000000001</v>
      </c>
      <c r="AP27" s="518">
        <v>3.2010000000000001</v>
      </c>
      <c r="AQ27" s="517">
        <v>3.2010000000000001</v>
      </c>
      <c r="AR27" s="518">
        <v>3.3279999999999998</v>
      </c>
      <c r="AS27" s="517">
        <v>3.3279999999999998</v>
      </c>
      <c r="AT27" s="691">
        <v>3.4009999999999998</v>
      </c>
      <c r="AU27" s="517">
        <v>2.4220000000000002</v>
      </c>
      <c r="AV27" s="518">
        <v>2.4220000000000002</v>
      </c>
      <c r="AW27" s="670">
        <v>2.5996999999999999</v>
      </c>
      <c r="AX27" s="518">
        <v>2.5996999999999999</v>
      </c>
      <c r="AY27" s="517">
        <v>3.2010000000000001</v>
      </c>
      <c r="AZ27" s="518">
        <v>3.2010000000000001</v>
      </c>
      <c r="BA27" s="517">
        <v>3.2010000000000001</v>
      </c>
      <c r="BB27" s="691">
        <v>3.4009999999999998</v>
      </c>
      <c r="BC27" s="690">
        <v>3.4009999999999998</v>
      </c>
      <c r="BD27" s="518">
        <v>3.3279999999999998</v>
      </c>
      <c r="BE27" s="690">
        <v>3.4009999999999998</v>
      </c>
      <c r="BF27" s="518">
        <v>2.5996999999999999</v>
      </c>
      <c r="BG27" s="670">
        <v>2.5996999999999999</v>
      </c>
      <c r="BH27" s="518">
        <v>3.2010000000000001</v>
      </c>
      <c r="BI27" s="670">
        <v>2.5996999999999999</v>
      </c>
      <c r="BJ27" s="518">
        <v>3.2010000000000001</v>
      </c>
      <c r="BK27" s="690">
        <v>3.4009999999999998</v>
      </c>
      <c r="BL27" s="518">
        <v>3.3279999999999998</v>
      </c>
      <c r="BM27" s="517">
        <v>3.3279999999999998</v>
      </c>
      <c r="BN27" s="691">
        <v>3.4009999999999998</v>
      </c>
      <c r="BO27" s="517">
        <v>3.3279999999999998</v>
      </c>
      <c r="BP27" s="518">
        <v>4.28</v>
      </c>
      <c r="BQ27" s="517">
        <v>4.28</v>
      </c>
      <c r="BR27" s="518">
        <v>4.28</v>
      </c>
      <c r="BS27" s="517">
        <v>4.25</v>
      </c>
      <c r="BT27" s="518">
        <v>5.6390000000000002</v>
      </c>
      <c r="BU27" s="517">
        <v>4.25</v>
      </c>
      <c r="BV27" s="518">
        <v>4.25</v>
      </c>
      <c r="BW27" s="517">
        <v>4.25</v>
      </c>
      <c r="BX27" s="518">
        <v>5.6390000000000002</v>
      </c>
      <c r="BY27" s="517">
        <v>5.6390000000000002</v>
      </c>
      <c r="BZ27" s="517">
        <v>4.7750000000000004</v>
      </c>
      <c r="CA27" s="812"/>
      <c r="CB27" s="517"/>
      <c r="CC27" s="518">
        <v>3.66</v>
      </c>
      <c r="CD27" s="517"/>
      <c r="CE27" s="518">
        <v>3.4649999999999999</v>
      </c>
      <c r="CF27" s="517">
        <v>3.738</v>
      </c>
      <c r="CG27" s="518">
        <v>3.738</v>
      </c>
      <c r="CH27" s="517">
        <v>3.1379999999999999</v>
      </c>
      <c r="CI27" s="518">
        <v>3.1379999999999999</v>
      </c>
      <c r="CJ27" s="517">
        <v>3.1379999999999999</v>
      </c>
      <c r="CK27" s="518">
        <v>3.1379999999999999</v>
      </c>
      <c r="CL27" s="517">
        <v>2.3639999999999999</v>
      </c>
      <c r="CM27" s="518">
        <v>2.3639999999999999</v>
      </c>
      <c r="CN27" s="517">
        <v>2.508</v>
      </c>
      <c r="CO27" s="518">
        <v>2.508</v>
      </c>
      <c r="CP27" s="518">
        <v>2.508</v>
      </c>
      <c r="CQ27" s="517">
        <v>3.1469999999999998</v>
      </c>
      <c r="CR27" s="518">
        <v>3.93</v>
      </c>
      <c r="CS27" s="517">
        <v>4.5819999999999999</v>
      </c>
      <c r="CT27" s="518">
        <v>4.6482000000000001</v>
      </c>
      <c r="CU27" s="517">
        <v>3.93</v>
      </c>
      <c r="CV27" s="518">
        <v>3.93</v>
      </c>
      <c r="CW27" s="517">
        <v>3.93</v>
      </c>
      <c r="CX27" s="518">
        <v>4.6500000000000004</v>
      </c>
      <c r="CY27" s="517">
        <v>4.8209999999999997</v>
      </c>
      <c r="CZ27" s="518">
        <v>3.92</v>
      </c>
      <c r="DA27" s="517">
        <v>3.93</v>
      </c>
      <c r="DB27" s="518">
        <v>3.93</v>
      </c>
      <c r="DC27" s="517">
        <v>3.92</v>
      </c>
      <c r="DD27" s="518">
        <v>4.5819999999999999</v>
      </c>
      <c r="DE27" s="517">
        <v>4.2737999999999996</v>
      </c>
      <c r="DF27" s="518">
        <v>3.9</v>
      </c>
      <c r="DG27" s="517">
        <v>4.7590000000000003</v>
      </c>
      <c r="DH27" s="518">
        <v>4.2737999999999996</v>
      </c>
      <c r="DI27" s="517">
        <v>3.9</v>
      </c>
      <c r="DJ27" s="682">
        <v>4.7590000000000003</v>
      </c>
      <c r="DK27" s="685">
        <v>4.6989999999999998</v>
      </c>
      <c r="DL27" s="699">
        <v>4.5735000000000001</v>
      </c>
      <c r="DM27" s="690">
        <v>3.72872</v>
      </c>
      <c r="DN27" s="691">
        <v>3.72872</v>
      </c>
      <c r="DO27" s="690">
        <v>5.0358999999999998</v>
      </c>
      <c r="DP27" s="518">
        <v>3.92</v>
      </c>
      <c r="DQ27" s="517">
        <v>4.2393000000000001</v>
      </c>
      <c r="DR27" s="518">
        <v>4.7590000000000003</v>
      </c>
      <c r="DS27" s="517">
        <v>4.2737999999999996</v>
      </c>
      <c r="DT27" s="518">
        <v>4.2737999999999996</v>
      </c>
      <c r="DU27" s="518">
        <v>4.2737999999999996</v>
      </c>
      <c r="DV27" s="517">
        <v>4.8970000000000002</v>
      </c>
      <c r="DW27" s="690">
        <v>4.8367442</v>
      </c>
      <c r="DX27" s="691">
        <v>4.8367442</v>
      </c>
      <c r="DY27" s="517">
        <v>4.5679999999999996</v>
      </c>
      <c r="DZ27" s="518">
        <v>4.5679999999999996</v>
      </c>
      <c r="EA27" s="517">
        <v>7.2830000000000004</v>
      </c>
      <c r="EB27" s="691">
        <v>4.8367442</v>
      </c>
      <c r="EC27" s="517">
        <v>4.5679999999999996</v>
      </c>
      <c r="ED27" s="691">
        <v>7.2809999999999997</v>
      </c>
      <c r="EE27" s="690">
        <v>7.2809999999999997</v>
      </c>
      <c r="EF27" s="517">
        <v>4.7709999999999999</v>
      </c>
      <c r="EG27" s="518">
        <v>4.7709999999999999</v>
      </c>
      <c r="EH27" s="517">
        <v>4.7709999999999999</v>
      </c>
      <c r="EI27" s="518"/>
      <c r="EJ27" s="517"/>
      <c r="EK27" s="518">
        <v>4.6689999999999996</v>
      </c>
      <c r="EL27" s="517"/>
      <c r="EM27" s="518">
        <v>3.87</v>
      </c>
      <c r="EN27" s="518">
        <v>3.85</v>
      </c>
      <c r="EO27" s="517"/>
      <c r="EP27" s="518"/>
      <c r="EQ27" s="517">
        <v>2.621</v>
      </c>
      <c r="ER27" s="656">
        <v>2.621</v>
      </c>
      <c r="ES27" s="517">
        <v>2.621</v>
      </c>
      <c r="ET27" s="691">
        <v>3.1840000000000002</v>
      </c>
      <c r="EU27" s="690">
        <v>3.1840000000000002</v>
      </c>
      <c r="EV27" s="847">
        <v>3.1840000000000002</v>
      </c>
      <c r="EW27" s="690">
        <v>3.1840000000000002</v>
      </c>
      <c r="EX27" s="518">
        <v>3.08</v>
      </c>
      <c r="EY27" s="517">
        <v>4.5190000000000001</v>
      </c>
      <c r="EZ27" s="518">
        <v>4.5190000000000001</v>
      </c>
      <c r="FA27" s="517">
        <v>4.5190000000000001</v>
      </c>
      <c r="FB27" s="517">
        <v>2.92</v>
      </c>
      <c r="FC27" s="518">
        <v>2.92</v>
      </c>
      <c r="FD27" s="517">
        <v>2.92</v>
      </c>
      <c r="FE27" s="518">
        <v>2.92</v>
      </c>
      <c r="FF27" s="518">
        <v>1.5469999999999999</v>
      </c>
      <c r="FG27" s="517">
        <v>1.5469999999999999</v>
      </c>
      <c r="FH27" s="518">
        <v>1.153</v>
      </c>
      <c r="FI27" s="517">
        <v>1.153</v>
      </c>
      <c r="FJ27" s="518"/>
      <c r="FK27" s="517">
        <v>1.153</v>
      </c>
      <c r="FL27" s="518">
        <v>1.298</v>
      </c>
      <c r="FM27" s="517"/>
      <c r="FN27" s="518"/>
      <c r="FO27" s="517"/>
      <c r="FP27" s="518"/>
      <c r="FQ27" s="517">
        <v>1.153</v>
      </c>
      <c r="FR27" s="518"/>
      <c r="FS27" s="517">
        <v>1.5469999999999999</v>
      </c>
      <c r="FT27" s="518">
        <v>1.5469999999999999</v>
      </c>
      <c r="FU27" s="517">
        <v>1.5469999999999999</v>
      </c>
      <c r="FV27" s="518">
        <v>1.5469999999999999</v>
      </c>
      <c r="FW27" s="517">
        <v>3.66</v>
      </c>
      <c r="FX27" s="518">
        <v>3.66</v>
      </c>
      <c r="FY27" s="517">
        <v>3.36</v>
      </c>
      <c r="FZ27" s="518">
        <v>3.47</v>
      </c>
      <c r="GA27" s="517">
        <v>2.4307799999999999</v>
      </c>
      <c r="GB27" s="518">
        <v>3.137</v>
      </c>
      <c r="GC27" s="517">
        <v>3.92</v>
      </c>
      <c r="GD27" s="518">
        <v>3.92</v>
      </c>
      <c r="GE27" s="517">
        <v>4.78</v>
      </c>
      <c r="GF27" s="518"/>
      <c r="GG27" s="517">
        <v>4.2699999999999996</v>
      </c>
      <c r="GH27" s="518">
        <v>3.9169999999999998</v>
      </c>
      <c r="GI27" s="517">
        <v>3.2010000000000001</v>
      </c>
      <c r="GJ27" s="518">
        <v>5.19</v>
      </c>
      <c r="GK27" s="517">
        <v>4.5469999999999997</v>
      </c>
      <c r="GL27" s="518"/>
      <c r="GM27" s="517"/>
      <c r="GN27" s="518"/>
      <c r="GO27" s="517"/>
      <c r="GP27" s="518"/>
      <c r="GQ27" s="661"/>
      <c r="GR27" s="679">
        <v>4.5049999999999999</v>
      </c>
      <c r="GS27" s="676">
        <v>1.621</v>
      </c>
      <c r="GT27" s="679">
        <v>1.48844</v>
      </c>
      <c r="GU27" s="676"/>
      <c r="GV27" s="679"/>
      <c r="GW27" s="676"/>
      <c r="GX27" s="679">
        <v>5.6896000000000004</v>
      </c>
      <c r="GY27" s="754">
        <v>5.4775</v>
      </c>
      <c r="GZ27" s="755">
        <v>5.4775</v>
      </c>
      <c r="HA27" s="754">
        <v>4.92</v>
      </c>
    </row>
    <row r="28" spans="1:211" ht="15.75">
      <c r="A28" s="798" t="s">
        <v>1820</v>
      </c>
      <c r="B28" s="535"/>
      <c r="C28" s="520"/>
      <c r="D28" s="519"/>
      <c r="E28" s="533"/>
      <c r="F28" s="533"/>
      <c r="G28" s="533"/>
      <c r="H28" s="533"/>
      <c r="I28" s="533"/>
      <c r="J28" s="533"/>
      <c r="K28" s="533"/>
      <c r="L28" s="533"/>
      <c r="M28" s="533"/>
      <c r="N28" s="533"/>
      <c r="O28" s="533"/>
      <c r="P28" s="533"/>
      <c r="Q28" s="533"/>
      <c r="R28" s="533"/>
      <c r="S28" s="533"/>
      <c r="T28" s="533"/>
      <c r="U28" s="533"/>
      <c r="V28" s="533"/>
      <c r="W28" s="533"/>
      <c r="X28" s="533"/>
      <c r="Y28" s="533"/>
      <c r="Z28" s="533"/>
      <c r="AA28" s="533"/>
      <c r="AB28" s="533"/>
      <c r="AC28" s="533"/>
      <c r="AD28" s="533"/>
      <c r="AE28" s="533"/>
      <c r="AF28" s="533"/>
      <c r="AG28" s="533"/>
      <c r="AH28" s="695"/>
      <c r="AI28" s="695"/>
      <c r="AJ28" s="533"/>
      <c r="AK28" s="533"/>
      <c r="AL28" s="533"/>
      <c r="AM28" s="533"/>
      <c r="AN28" s="533"/>
      <c r="AO28" s="533"/>
      <c r="AP28" s="533"/>
      <c r="AQ28" s="533"/>
      <c r="AR28" s="533"/>
      <c r="AS28" s="533"/>
      <c r="AT28" s="695"/>
      <c r="AU28" s="533"/>
      <c r="AV28" s="533"/>
      <c r="AW28" s="523"/>
      <c r="AX28" s="533"/>
      <c r="AY28" s="533"/>
      <c r="AZ28" s="533"/>
      <c r="BA28" s="533"/>
      <c r="BB28" s="695"/>
      <c r="BC28" s="695"/>
      <c r="BD28" s="533"/>
      <c r="BE28" s="695"/>
      <c r="BF28" s="533"/>
      <c r="BG28" s="523"/>
      <c r="BH28" s="533"/>
      <c r="BI28" s="523"/>
      <c r="BJ28" s="533"/>
      <c r="BK28" s="695"/>
      <c r="BL28" s="533"/>
      <c r="BM28" s="533"/>
      <c r="BN28" s="695"/>
      <c r="BO28" s="533"/>
      <c r="BP28" s="533"/>
      <c r="BQ28" s="533"/>
      <c r="BR28" s="533"/>
      <c r="BS28" s="533"/>
      <c r="BT28" s="533"/>
      <c r="BU28" s="533"/>
      <c r="BV28" s="533"/>
      <c r="BW28" s="533"/>
      <c r="BX28" s="533"/>
      <c r="BY28" s="533"/>
      <c r="BZ28" s="533"/>
      <c r="CA28" s="533"/>
      <c r="CB28" s="533"/>
      <c r="CC28" s="533"/>
      <c r="CD28" s="533"/>
      <c r="CE28" s="533"/>
      <c r="CF28" s="533"/>
      <c r="CG28" s="533"/>
      <c r="CH28" s="533"/>
      <c r="CI28" s="533"/>
      <c r="CJ28" s="533"/>
      <c r="CK28" s="533"/>
      <c r="CL28" s="533"/>
      <c r="CM28" s="533"/>
      <c r="CN28" s="533"/>
      <c r="CO28" s="533"/>
      <c r="CP28" s="533"/>
      <c r="CQ28" s="533"/>
      <c r="CR28" s="533"/>
      <c r="CS28" s="533"/>
      <c r="CT28" s="533"/>
      <c r="CU28" s="533"/>
      <c r="CV28" s="533"/>
      <c r="CW28" s="533"/>
      <c r="CX28" s="533"/>
      <c r="CY28" s="533"/>
      <c r="CZ28" s="533"/>
      <c r="DA28" s="533"/>
      <c r="DB28" s="533"/>
      <c r="DC28" s="533"/>
      <c r="DD28" s="533"/>
      <c r="DE28" s="533"/>
      <c r="DF28" s="533"/>
      <c r="DG28" s="533"/>
      <c r="DH28" s="533"/>
      <c r="DI28" s="533"/>
      <c r="DJ28" s="664"/>
      <c r="DK28" s="668"/>
      <c r="DL28" s="700"/>
      <c r="DM28" s="695"/>
      <c r="DN28" s="695"/>
      <c r="DO28" s="695"/>
      <c r="DP28" s="533"/>
      <c r="DQ28" s="533"/>
      <c r="DR28" s="533"/>
      <c r="DS28" s="533"/>
      <c r="DT28" s="533"/>
      <c r="DU28" s="533"/>
      <c r="DV28" s="533"/>
      <c r="DW28" s="695"/>
      <c r="DX28" s="695"/>
      <c r="DY28" s="533"/>
      <c r="DZ28" s="533"/>
      <c r="EA28" s="533"/>
      <c r="EB28" s="695"/>
      <c r="EC28" s="533"/>
      <c r="ED28" s="695"/>
      <c r="EE28" s="695"/>
      <c r="EF28" s="533"/>
      <c r="EG28" s="533"/>
      <c r="EH28" s="533"/>
      <c r="EI28" s="533"/>
      <c r="EJ28" s="533"/>
      <c r="EK28" s="533"/>
      <c r="EL28" s="533"/>
      <c r="EM28" s="533"/>
      <c r="EN28" s="533"/>
      <c r="EO28" s="533"/>
      <c r="EP28" s="533"/>
      <c r="EQ28" s="533"/>
      <c r="ER28" s="533"/>
      <c r="ES28" s="533"/>
      <c r="ET28" s="695"/>
      <c r="EU28" s="695"/>
      <c r="EV28" s="850"/>
      <c r="EW28" s="695"/>
      <c r="EX28" s="533"/>
      <c r="EY28" s="533"/>
      <c r="EZ28" s="533"/>
      <c r="FA28" s="533"/>
      <c r="FB28" s="533"/>
      <c r="FC28" s="533"/>
      <c r="FD28" s="533"/>
      <c r="FE28" s="533"/>
      <c r="FF28" s="533"/>
      <c r="FG28" s="533"/>
      <c r="FH28" s="533"/>
      <c r="FI28" s="533"/>
      <c r="FJ28" s="533"/>
      <c r="FK28" s="533"/>
      <c r="FL28" s="533"/>
      <c r="FM28" s="533"/>
      <c r="FN28" s="533"/>
      <c r="FO28" s="533"/>
      <c r="FP28" s="533"/>
      <c r="FQ28" s="533"/>
      <c r="FR28" s="533"/>
      <c r="FS28" s="533"/>
      <c r="FT28" s="533"/>
      <c r="FU28" s="533"/>
      <c r="FV28" s="533"/>
      <c r="FW28" s="533"/>
      <c r="FX28" s="533"/>
      <c r="FY28" s="533"/>
      <c r="FZ28" s="533"/>
      <c r="GA28" s="533"/>
      <c r="GB28" s="533"/>
      <c r="GC28" s="533"/>
      <c r="GD28" s="533"/>
      <c r="GE28" s="533"/>
      <c r="GF28" s="533"/>
      <c r="GG28" s="533"/>
      <c r="GH28" s="533"/>
      <c r="GI28" s="533"/>
      <c r="GJ28" s="533"/>
      <c r="GK28" s="533"/>
      <c r="GL28" s="533"/>
      <c r="GM28" s="533"/>
      <c r="GN28" s="533"/>
      <c r="GO28" s="533"/>
      <c r="GP28" s="533"/>
      <c r="GQ28" s="664"/>
      <c r="GR28" s="668"/>
      <c r="GS28" s="668"/>
      <c r="GT28" s="668"/>
      <c r="GU28" s="668"/>
      <c r="GV28" s="668"/>
      <c r="GW28" s="668"/>
      <c r="GX28" s="668"/>
      <c r="GY28" s="543"/>
      <c r="GZ28" s="668"/>
      <c r="HA28" s="668"/>
      <c r="HB28" s="747"/>
      <c r="HC28" s="687"/>
    </row>
    <row r="29" spans="1:211">
      <c r="A29" s="797" t="s">
        <v>1261</v>
      </c>
      <c r="B29" s="380" t="s">
        <v>1821</v>
      </c>
      <c r="C29" s="521" t="s">
        <v>1822</v>
      </c>
      <c r="D29" s="519"/>
      <c r="E29" s="517">
        <v>0.38</v>
      </c>
      <c r="F29" s="518">
        <v>0.32</v>
      </c>
      <c r="G29" s="517">
        <v>0.33</v>
      </c>
      <c r="H29" s="518"/>
      <c r="I29" s="517"/>
      <c r="J29" s="518"/>
      <c r="K29" s="517"/>
      <c r="L29" s="518"/>
      <c r="M29" s="517"/>
      <c r="N29" s="518"/>
      <c r="O29" s="517">
        <v>0.39</v>
      </c>
      <c r="P29" s="518">
        <v>0.39</v>
      </c>
      <c r="Q29" s="517">
        <v>0.37</v>
      </c>
      <c r="R29" s="518">
        <v>0.37</v>
      </c>
      <c r="S29" s="517">
        <v>0.37</v>
      </c>
      <c r="T29" s="518">
        <v>0.33</v>
      </c>
      <c r="U29" s="517">
        <v>0.33</v>
      </c>
      <c r="V29" s="518">
        <v>0.36</v>
      </c>
      <c r="W29" s="517">
        <v>0.32</v>
      </c>
      <c r="X29" s="518">
        <v>0.34</v>
      </c>
      <c r="Y29" s="517">
        <v>0.36</v>
      </c>
      <c r="Z29" s="518">
        <v>0.32</v>
      </c>
      <c r="AA29" s="517">
        <v>0.34</v>
      </c>
      <c r="AB29" s="518">
        <v>0.34</v>
      </c>
      <c r="AC29" s="517">
        <v>0.34</v>
      </c>
      <c r="AD29" s="518">
        <v>0.31</v>
      </c>
      <c r="AE29" s="517">
        <v>0.32</v>
      </c>
      <c r="AF29" s="518"/>
      <c r="AG29" s="517"/>
      <c r="AH29" s="691">
        <v>0.36</v>
      </c>
      <c r="AI29" s="690">
        <v>0.37</v>
      </c>
      <c r="AJ29" s="518">
        <v>0.32</v>
      </c>
      <c r="AK29" s="517">
        <v>0.33</v>
      </c>
      <c r="AL29" s="518">
        <v>0.32</v>
      </c>
      <c r="AM29" s="517">
        <v>0.32</v>
      </c>
      <c r="AN29" s="518"/>
      <c r="AO29" s="517">
        <v>0.34</v>
      </c>
      <c r="AP29" s="518">
        <v>0.36</v>
      </c>
      <c r="AQ29" s="517"/>
      <c r="AR29" s="518"/>
      <c r="AS29" s="517"/>
      <c r="AT29" s="691"/>
      <c r="AU29" s="517">
        <v>0.33</v>
      </c>
      <c r="AV29" s="518">
        <v>0.33</v>
      </c>
      <c r="AW29" s="670">
        <v>0.34</v>
      </c>
      <c r="AX29" s="518">
        <v>0.33</v>
      </c>
      <c r="AY29" s="517">
        <v>0.35</v>
      </c>
      <c r="AZ29" s="518">
        <v>0.36</v>
      </c>
      <c r="BA29" s="517"/>
      <c r="BB29" s="691"/>
      <c r="BC29" s="690"/>
      <c r="BD29" s="518"/>
      <c r="BE29" s="690"/>
      <c r="BF29" s="518">
        <v>0.35</v>
      </c>
      <c r="BG29" s="670">
        <v>0.35</v>
      </c>
      <c r="BH29" s="518">
        <v>0.36</v>
      </c>
      <c r="BI29" s="670">
        <v>0.36</v>
      </c>
      <c r="BJ29" s="518">
        <v>0.37</v>
      </c>
      <c r="BK29" s="690"/>
      <c r="BL29" s="518"/>
      <c r="BM29" s="517"/>
      <c r="BN29" s="691"/>
      <c r="BO29" s="517"/>
      <c r="BP29" s="518">
        <v>0.33</v>
      </c>
      <c r="BQ29" s="517">
        <v>0.34</v>
      </c>
      <c r="BR29" s="518"/>
      <c r="BS29" s="517"/>
      <c r="BT29" s="518"/>
      <c r="BU29" s="517"/>
      <c r="BV29" s="518"/>
      <c r="BW29" s="517"/>
      <c r="BX29" s="518"/>
      <c r="BY29" s="517"/>
      <c r="CA29" s="812"/>
      <c r="CB29" s="517">
        <v>0.52</v>
      </c>
      <c r="CC29" s="518">
        <v>0.84</v>
      </c>
      <c r="CD29" s="517">
        <v>0.77</v>
      </c>
      <c r="CE29" s="518">
        <v>0.53</v>
      </c>
      <c r="CF29" s="517">
        <v>0.37</v>
      </c>
      <c r="CG29" s="518"/>
      <c r="CH29" s="517">
        <v>0.57999999999999996</v>
      </c>
      <c r="CI29" s="518">
        <v>0.56000000000000005</v>
      </c>
      <c r="CJ29" s="517">
        <v>0.63</v>
      </c>
      <c r="CK29" s="518">
        <v>0.6</v>
      </c>
      <c r="CL29" s="517">
        <v>0.38</v>
      </c>
      <c r="CM29" s="518">
        <v>0.39</v>
      </c>
      <c r="CN29" s="517">
        <v>0.36</v>
      </c>
      <c r="CO29" s="518">
        <v>0.37</v>
      </c>
      <c r="CP29" s="518">
        <v>0.38</v>
      </c>
      <c r="CQ29" s="517">
        <f>0.36*0.85</f>
        <v>0.30599999999999999</v>
      </c>
      <c r="CR29" s="518">
        <v>0.35</v>
      </c>
      <c r="CS29" s="517">
        <v>0.378</v>
      </c>
      <c r="CT29" s="518"/>
      <c r="CU29" s="517">
        <v>0.36</v>
      </c>
      <c r="CV29" s="518">
        <v>0.36</v>
      </c>
      <c r="CW29" s="517"/>
      <c r="CX29" s="518">
        <v>0.37</v>
      </c>
      <c r="CY29" s="517">
        <v>0.39700000000000002</v>
      </c>
      <c r="CZ29" s="518">
        <v>0.36</v>
      </c>
      <c r="DA29" s="517">
        <v>0.37</v>
      </c>
      <c r="DB29" s="518"/>
      <c r="DC29" s="517"/>
      <c r="DD29" s="518">
        <v>0.39200000000000002</v>
      </c>
      <c r="DE29" s="517">
        <v>0.33</v>
      </c>
      <c r="DF29" s="518">
        <v>0.32</v>
      </c>
      <c r="DG29" s="517">
        <v>0.36509999999999998</v>
      </c>
      <c r="DH29" s="518">
        <v>0.32</v>
      </c>
      <c r="DI29" s="517"/>
      <c r="DJ29" s="682">
        <v>0.36509999999999998</v>
      </c>
      <c r="DK29" s="676"/>
      <c r="DL29" s="699">
        <v>0.38100000000000001</v>
      </c>
      <c r="DM29" s="690">
        <v>0.33</v>
      </c>
      <c r="DN29" s="691">
        <v>0.35</v>
      </c>
      <c r="DO29" s="690">
        <v>0.38100000000000001</v>
      </c>
      <c r="DP29" s="518">
        <v>0.34</v>
      </c>
      <c r="DQ29" s="517">
        <v>0.35</v>
      </c>
      <c r="DR29" s="518">
        <v>0.36509999999999998</v>
      </c>
      <c r="DS29" s="517">
        <v>0.32</v>
      </c>
      <c r="DT29" s="518">
        <v>0.32</v>
      </c>
      <c r="DU29" s="518"/>
      <c r="DV29" s="517">
        <v>0.32</v>
      </c>
      <c r="DW29" s="690"/>
      <c r="DX29" s="691">
        <v>0.33400000000000002</v>
      </c>
      <c r="DY29" s="517"/>
      <c r="DZ29" s="518"/>
      <c r="EA29" s="517"/>
      <c r="EB29" s="691"/>
      <c r="EC29" s="517"/>
      <c r="ED29" s="691"/>
      <c r="EE29" s="690"/>
      <c r="EF29" s="517"/>
      <c r="EG29" s="672"/>
      <c r="EH29" s="517"/>
      <c r="EI29" s="518"/>
      <c r="EJ29" s="517"/>
      <c r="EK29" s="518">
        <v>0.39</v>
      </c>
      <c r="EL29" s="517"/>
      <c r="EM29" s="518">
        <v>0.37</v>
      </c>
      <c r="EN29" s="518">
        <v>0.39</v>
      </c>
      <c r="EO29" s="517"/>
      <c r="EP29" s="518"/>
      <c r="EQ29" s="517"/>
      <c r="ER29" s="518"/>
      <c r="ES29" s="517"/>
      <c r="ET29" s="691"/>
      <c r="EU29" s="690"/>
      <c r="EV29" s="847"/>
      <c r="EW29" s="690"/>
      <c r="EX29" s="518"/>
      <c r="EY29" s="517"/>
      <c r="EZ29" s="518">
        <v>0.38</v>
      </c>
      <c r="FA29" s="517">
        <v>0.38</v>
      </c>
      <c r="FB29" s="517"/>
      <c r="FC29" s="518"/>
      <c r="FD29" s="517">
        <v>0.36</v>
      </c>
      <c r="FE29" s="518">
        <v>0.36</v>
      </c>
      <c r="FF29" s="518"/>
      <c r="FG29" s="517"/>
      <c r="FH29" s="518">
        <v>0.99</v>
      </c>
      <c r="FI29" s="517">
        <v>0.98</v>
      </c>
      <c r="FJ29" s="518"/>
      <c r="FK29" s="517"/>
      <c r="FL29" s="518">
        <v>1</v>
      </c>
      <c r="FM29" s="517"/>
      <c r="FN29" s="518"/>
      <c r="FO29" s="517"/>
      <c r="FP29" s="518"/>
      <c r="FQ29" s="517"/>
      <c r="FR29" s="518"/>
      <c r="FS29" s="517">
        <v>0.5</v>
      </c>
      <c r="FT29" s="518">
        <v>0.441</v>
      </c>
      <c r="FU29" s="517"/>
      <c r="FV29" s="518"/>
      <c r="FW29" s="517">
        <v>0.77</v>
      </c>
      <c r="FX29" s="518">
        <v>0.81</v>
      </c>
      <c r="FY29" s="517">
        <v>0.72499999999999998</v>
      </c>
      <c r="FZ29" s="518">
        <v>0.52</v>
      </c>
      <c r="GA29" s="517">
        <v>0.35</v>
      </c>
      <c r="GB29" s="518">
        <v>0.57999999999999996</v>
      </c>
      <c r="GC29" s="517">
        <v>0.51</v>
      </c>
      <c r="GD29" s="518">
        <v>0.52</v>
      </c>
      <c r="GE29" s="517">
        <v>0.35</v>
      </c>
      <c r="GF29" s="518"/>
      <c r="GG29" s="517">
        <v>0.32</v>
      </c>
      <c r="GH29" s="518">
        <v>0.53</v>
      </c>
      <c r="GI29" s="517">
        <v>0.36</v>
      </c>
      <c r="GJ29" s="518">
        <v>0.38400000000000001</v>
      </c>
      <c r="GK29" s="517">
        <v>0.38200000000000001</v>
      </c>
      <c r="GL29" s="518"/>
      <c r="GM29" s="517">
        <v>0.53</v>
      </c>
      <c r="GN29" s="518"/>
      <c r="GO29" s="517"/>
      <c r="GP29" s="518"/>
      <c r="GQ29" s="661"/>
      <c r="GR29" s="679"/>
      <c r="GS29" s="676">
        <v>0.41</v>
      </c>
      <c r="GT29" s="679">
        <v>0.40600000000000003</v>
      </c>
      <c r="GU29" s="676"/>
      <c r="GV29" s="679"/>
      <c r="GW29" s="676"/>
      <c r="GX29" s="679"/>
      <c r="GY29" s="754"/>
      <c r="GZ29" s="755"/>
      <c r="HA29" s="754"/>
    </row>
    <row r="30" spans="1:211">
      <c r="A30" s="797" t="s">
        <v>1823</v>
      </c>
      <c r="B30" s="380" t="s">
        <v>1821</v>
      </c>
      <c r="C30" s="521" t="s">
        <v>1824</v>
      </c>
      <c r="D30" s="519"/>
      <c r="E30" s="517">
        <v>0.67</v>
      </c>
      <c r="F30" s="518">
        <v>0.55000000000000004</v>
      </c>
      <c r="G30" s="517">
        <v>0.55000000000000004</v>
      </c>
      <c r="H30" s="518">
        <v>0.54200000000000004</v>
      </c>
      <c r="I30" s="517">
        <v>0.54200000000000004</v>
      </c>
      <c r="J30" s="518">
        <v>0.54200000000000004</v>
      </c>
      <c r="K30" s="517">
        <v>0.54200000000000004</v>
      </c>
      <c r="L30" s="518">
        <f>0.85*0.562</f>
        <v>0.47770000000000001</v>
      </c>
      <c r="M30" s="518">
        <f>0.85*0.562</f>
        <v>0.47770000000000001</v>
      </c>
      <c r="N30" s="518">
        <f>0.85*0.562</f>
        <v>0.47770000000000001</v>
      </c>
      <c r="O30" s="517">
        <v>0.65</v>
      </c>
      <c r="P30" s="518">
        <v>0.66</v>
      </c>
      <c r="Q30" s="517">
        <v>0.66</v>
      </c>
      <c r="R30" s="518">
        <v>0.63</v>
      </c>
      <c r="S30" s="517">
        <v>0.63</v>
      </c>
      <c r="T30" s="518">
        <v>0.57999999999999996</v>
      </c>
      <c r="U30" s="517">
        <v>0.57999999999999996</v>
      </c>
      <c r="V30" s="518">
        <v>0.63</v>
      </c>
      <c r="W30" s="517"/>
      <c r="X30" s="518">
        <v>0.57999999999999996</v>
      </c>
      <c r="Y30" s="517">
        <v>0.62</v>
      </c>
      <c r="Z30" s="518">
        <v>0.57999999999999996</v>
      </c>
      <c r="AA30" s="517">
        <v>0.61</v>
      </c>
      <c r="AB30" s="518">
        <v>0.62</v>
      </c>
      <c r="AC30" s="517"/>
      <c r="AD30" s="518"/>
      <c r="AE30" s="517"/>
      <c r="AF30" s="518"/>
      <c r="AG30" s="517"/>
      <c r="AH30" s="691"/>
      <c r="AI30" s="690"/>
      <c r="AJ30" s="518"/>
      <c r="AK30" s="517"/>
      <c r="AL30" s="518"/>
      <c r="AM30" s="517"/>
      <c r="AN30" s="518"/>
      <c r="AO30" s="517">
        <v>0.56999999999999995</v>
      </c>
      <c r="AP30" s="518"/>
      <c r="AQ30" s="517"/>
      <c r="AR30" s="518"/>
      <c r="AS30" s="517"/>
      <c r="AT30" s="691"/>
      <c r="AU30" s="517">
        <v>0.6</v>
      </c>
      <c r="AV30" s="518">
        <v>0.6</v>
      </c>
      <c r="AW30" s="670">
        <v>0.55000000000000004</v>
      </c>
      <c r="AX30" s="518"/>
      <c r="AY30" s="517">
        <v>0.57999999999999996</v>
      </c>
      <c r="AZ30" s="518"/>
      <c r="BA30" s="517"/>
      <c r="BB30" s="691"/>
      <c r="BC30" s="690"/>
      <c r="BD30" s="518"/>
      <c r="BE30" s="690"/>
      <c r="BF30" s="518">
        <v>0.6</v>
      </c>
      <c r="BG30" s="670">
        <v>0.55000000000000004</v>
      </c>
      <c r="BH30" s="518"/>
      <c r="BI30" s="670"/>
      <c r="BJ30" s="518">
        <v>0.56999999999999995</v>
      </c>
      <c r="BK30" s="690"/>
      <c r="BL30" s="518"/>
      <c r="BM30" s="517"/>
      <c r="BN30" s="691"/>
      <c r="BO30" s="517"/>
      <c r="BP30" s="518">
        <v>0.56000000000000005</v>
      </c>
      <c r="BQ30" s="517"/>
      <c r="BR30" s="518"/>
      <c r="BS30" s="517"/>
      <c r="BT30" s="518">
        <v>0.58399999999999996</v>
      </c>
      <c r="BU30" s="517"/>
      <c r="BV30" s="518"/>
      <c r="BW30" s="517"/>
      <c r="BX30" s="518">
        <v>0.58399999999999996</v>
      </c>
      <c r="BY30" s="517">
        <v>0.58399999999999996</v>
      </c>
      <c r="BZ30" s="517">
        <f>0.565*0.9</f>
        <v>0.50849999999999995</v>
      </c>
      <c r="CA30" s="812"/>
      <c r="CB30" s="517"/>
      <c r="CC30" s="518">
        <v>0.92</v>
      </c>
      <c r="CD30" s="517">
        <v>0.76</v>
      </c>
      <c r="CE30" s="518"/>
      <c r="CF30" s="517"/>
      <c r="CG30" s="518"/>
      <c r="CH30" s="517">
        <v>0.8</v>
      </c>
      <c r="CI30" s="518">
        <v>0.8</v>
      </c>
      <c r="CJ30" s="517">
        <v>0.81</v>
      </c>
      <c r="CK30" s="518">
        <v>0.81</v>
      </c>
      <c r="CL30" s="517">
        <v>0.67</v>
      </c>
      <c r="CM30" s="518">
        <v>0.67</v>
      </c>
      <c r="CN30" s="517">
        <v>0.63</v>
      </c>
      <c r="CO30" s="518">
        <v>0.63</v>
      </c>
      <c r="CP30" s="518"/>
      <c r="CQ30" s="517">
        <f>0.63*0.85</f>
        <v>0.53549999999999998</v>
      </c>
      <c r="CR30" s="518">
        <v>0.62</v>
      </c>
      <c r="CS30" s="517"/>
      <c r="CT30" s="518">
        <v>0.63</v>
      </c>
      <c r="CU30" s="517">
        <v>0.62</v>
      </c>
      <c r="CV30" s="518">
        <v>0.63</v>
      </c>
      <c r="CW30" s="517">
        <v>0.63</v>
      </c>
      <c r="CX30" s="518">
        <v>0.63</v>
      </c>
      <c r="CY30" s="517">
        <v>0.62</v>
      </c>
      <c r="CZ30" s="518">
        <v>0.79900000000000004</v>
      </c>
      <c r="DA30" s="517">
        <v>0.63</v>
      </c>
      <c r="DB30" s="518"/>
      <c r="DC30" s="517">
        <v>0.63</v>
      </c>
      <c r="DD30" s="518">
        <v>0.64</v>
      </c>
      <c r="DE30" s="517">
        <v>0.57999999999999996</v>
      </c>
      <c r="DF30" s="518"/>
      <c r="DG30" s="517">
        <v>0.56999999999999995</v>
      </c>
      <c r="DH30" s="518"/>
      <c r="DI30" s="517"/>
      <c r="DJ30" s="682"/>
      <c r="DK30" s="676"/>
      <c r="DL30" s="699"/>
      <c r="DM30" s="690">
        <v>0.57999999999999996</v>
      </c>
      <c r="DN30" s="691"/>
      <c r="DO30" s="690"/>
      <c r="DP30" s="518">
        <v>0.61</v>
      </c>
      <c r="DQ30" s="517">
        <v>0.62</v>
      </c>
      <c r="DR30" s="518">
        <v>0.56999999999999995</v>
      </c>
      <c r="DS30" s="517"/>
      <c r="DT30" s="518"/>
      <c r="DU30" s="518"/>
      <c r="DV30" s="517">
        <v>0.52</v>
      </c>
      <c r="DW30" s="690"/>
      <c r="DX30" s="691"/>
      <c r="DY30" s="517">
        <v>0.57499999999999996</v>
      </c>
      <c r="DZ30" s="518">
        <v>0.57499999999999996</v>
      </c>
      <c r="EA30" s="517"/>
      <c r="EB30" s="691">
        <v>0.57999999999999996</v>
      </c>
      <c r="EC30" s="517">
        <v>0.57499999999999996</v>
      </c>
      <c r="ED30" s="691"/>
      <c r="EE30" s="690"/>
      <c r="EF30">
        <v>0.50619999999999998</v>
      </c>
      <c r="EG30" s="674">
        <v>0.50619999999999998</v>
      </c>
      <c r="EH30">
        <v>0.50619999999999998</v>
      </c>
      <c r="EI30" s="518"/>
      <c r="EJ30" s="517"/>
      <c r="EK30" s="518"/>
      <c r="EL30" s="517"/>
      <c r="EM30" s="518"/>
      <c r="EN30" s="518"/>
      <c r="EO30" s="517"/>
      <c r="EP30" s="518"/>
      <c r="EQ30" s="517"/>
      <c r="ER30" s="518"/>
      <c r="ES30" s="517"/>
      <c r="ET30" s="691"/>
      <c r="EU30" s="690"/>
      <c r="EV30" s="847"/>
      <c r="EW30" s="690"/>
      <c r="EX30" s="518">
        <v>0.68</v>
      </c>
      <c r="EY30" s="517"/>
      <c r="EZ30" s="518"/>
      <c r="FA30" s="517"/>
      <c r="FB30" s="517"/>
      <c r="FC30" s="518"/>
      <c r="FD30" s="517"/>
      <c r="FE30" s="518"/>
      <c r="FF30" s="518"/>
      <c r="FG30" s="517"/>
      <c r="FH30" s="518"/>
      <c r="FI30" s="517"/>
      <c r="FJ30" s="518"/>
      <c r="FK30" s="517"/>
      <c r="FL30" s="518"/>
      <c r="FM30" s="517"/>
      <c r="FN30" s="518"/>
      <c r="FO30" s="517"/>
      <c r="FP30" s="518"/>
      <c r="FQ30" s="517"/>
      <c r="FR30" s="518"/>
      <c r="FS30" s="517"/>
      <c r="FT30" s="518">
        <v>0.72799999999999998</v>
      </c>
      <c r="FU30" s="517"/>
      <c r="FV30" s="518"/>
      <c r="FW30" s="517"/>
      <c r="FX30" s="518"/>
      <c r="FY30" s="517">
        <v>0.874</v>
      </c>
      <c r="FZ30" s="518"/>
      <c r="GA30" s="517">
        <v>0.67</v>
      </c>
      <c r="GB30" s="518"/>
      <c r="GC30" s="517">
        <v>0.72</v>
      </c>
      <c r="GD30" s="518">
        <v>0.74</v>
      </c>
      <c r="GE30" s="517">
        <v>0.65</v>
      </c>
      <c r="GF30" s="518">
        <v>0.63</v>
      </c>
      <c r="GG30" s="517"/>
      <c r="GH30" s="518">
        <v>0.75</v>
      </c>
      <c r="GI30" s="517">
        <v>0.56999999999999995</v>
      </c>
      <c r="GJ30" s="518">
        <v>0.63</v>
      </c>
      <c r="GK30" s="517"/>
      <c r="GL30" s="518"/>
      <c r="GM30" s="517"/>
      <c r="GN30" s="518"/>
      <c r="GO30" s="517"/>
      <c r="GP30" s="518"/>
      <c r="GQ30" s="661">
        <v>0.65</v>
      </c>
      <c r="GR30" s="681"/>
      <c r="GS30" s="678"/>
      <c r="GT30" s="681"/>
      <c r="GU30" s="678"/>
      <c r="GV30" s="681"/>
      <c r="GW30" s="678"/>
      <c r="GX30" s="679"/>
      <c r="GY30" s="754">
        <v>0.56000000000000005</v>
      </c>
      <c r="GZ30" s="755">
        <v>0.56000000000000005</v>
      </c>
      <c r="HA30" s="754"/>
    </row>
    <row r="31" spans="1:211" ht="15.75">
      <c r="A31" s="798" t="s">
        <v>1825</v>
      </c>
      <c r="B31" s="535"/>
      <c r="C31" s="520"/>
      <c r="D31" s="519"/>
      <c r="E31" s="533"/>
      <c r="F31" s="533"/>
      <c r="G31" s="533"/>
      <c r="H31" s="533"/>
      <c r="I31" s="533"/>
      <c r="J31" s="533"/>
      <c r="K31" s="533"/>
      <c r="L31" s="533"/>
      <c r="M31" s="533"/>
      <c r="N31" s="533"/>
      <c r="O31" s="533"/>
      <c r="P31" s="533"/>
      <c r="Q31" s="533"/>
      <c r="R31" s="533"/>
      <c r="S31" s="533"/>
      <c r="T31" s="533"/>
      <c r="U31" s="533"/>
      <c r="V31" s="533"/>
      <c r="W31" s="533"/>
      <c r="X31" s="533"/>
      <c r="Y31" s="533"/>
      <c r="Z31" s="533"/>
      <c r="AA31" s="533"/>
      <c r="AB31" s="533"/>
      <c r="AC31" s="533"/>
      <c r="AD31" s="533"/>
      <c r="AE31" s="533"/>
      <c r="AF31" s="533"/>
      <c r="AG31" s="533"/>
      <c r="AH31" s="695"/>
      <c r="AI31" s="695"/>
      <c r="AJ31" s="533"/>
      <c r="AK31" s="533"/>
      <c r="AL31" s="533"/>
      <c r="AM31" s="533"/>
      <c r="AN31" s="533"/>
      <c r="AO31" s="533"/>
      <c r="AP31" s="533"/>
      <c r="AQ31" s="533"/>
      <c r="AR31" s="533"/>
      <c r="AS31" s="533"/>
      <c r="AT31" s="695"/>
      <c r="AU31" s="533"/>
      <c r="AV31" s="533"/>
      <c r="AW31" s="523"/>
      <c r="AX31" s="533"/>
      <c r="AY31" s="533"/>
      <c r="AZ31" s="533"/>
      <c r="BA31" s="533"/>
      <c r="BB31" s="695"/>
      <c r="BC31" s="695"/>
      <c r="BD31" s="533"/>
      <c r="BE31" s="695"/>
      <c r="BF31" s="533"/>
      <c r="BG31" s="523"/>
      <c r="BH31" s="533"/>
      <c r="BI31" s="523"/>
      <c r="BJ31" s="533"/>
      <c r="BK31" s="695"/>
      <c r="BL31" s="533"/>
      <c r="BM31" s="533"/>
      <c r="BN31" s="695"/>
      <c r="BO31" s="533"/>
      <c r="BP31" s="533"/>
      <c r="BQ31" s="533"/>
      <c r="BR31" s="533"/>
      <c r="BS31" s="533"/>
      <c r="BT31" s="533"/>
      <c r="BU31" s="533"/>
      <c r="BV31" s="533"/>
      <c r="BW31" s="533"/>
      <c r="BX31" s="533"/>
      <c r="BY31" s="533"/>
      <c r="BZ31" s="533"/>
      <c r="CA31" s="533"/>
      <c r="CB31" s="533"/>
      <c r="CC31" s="533"/>
      <c r="CD31" s="533"/>
      <c r="CE31" s="533"/>
      <c r="CF31" s="533"/>
      <c r="CG31" s="533"/>
      <c r="CH31" s="533"/>
      <c r="CI31" s="533"/>
      <c r="CJ31" s="533"/>
      <c r="CK31" s="533"/>
      <c r="CL31" s="533"/>
      <c r="CM31" s="533"/>
      <c r="CN31" s="533"/>
      <c r="CO31" s="533"/>
      <c r="CP31" s="533"/>
      <c r="CQ31" s="533"/>
      <c r="CR31" s="533"/>
      <c r="CS31" s="533"/>
      <c r="CT31" s="533"/>
      <c r="CU31" s="533"/>
      <c r="CV31" s="533"/>
      <c r="CW31" s="533"/>
      <c r="CX31" s="533"/>
      <c r="CY31" s="533"/>
      <c r="CZ31" s="533"/>
      <c r="DA31" s="533"/>
      <c r="DB31" s="533"/>
      <c r="DC31" s="533"/>
      <c r="DD31" s="533"/>
      <c r="DE31" s="533"/>
      <c r="DF31" s="533"/>
      <c r="DG31" s="533"/>
      <c r="DH31" s="533"/>
      <c r="DI31" s="533"/>
      <c r="DJ31" s="838"/>
      <c r="DK31" s="687"/>
      <c r="DL31" s="839"/>
      <c r="DM31" s="695"/>
      <c r="DN31" s="695"/>
      <c r="DO31" s="695"/>
      <c r="DP31" s="533"/>
      <c r="DQ31" s="533"/>
      <c r="DR31" s="533"/>
      <c r="DS31" s="533"/>
      <c r="DT31" s="533"/>
      <c r="DU31" s="533"/>
      <c r="DV31" s="533"/>
      <c r="DW31" s="695"/>
      <c r="DX31" s="695"/>
      <c r="DY31" s="533"/>
      <c r="DZ31" s="533"/>
      <c r="EA31" s="533"/>
      <c r="EB31" s="695"/>
      <c r="EC31" s="533"/>
      <c r="ED31" s="695"/>
      <c r="EE31" s="695"/>
      <c r="EF31" s="533"/>
      <c r="EG31" s="673"/>
      <c r="EH31" s="533"/>
      <c r="EI31" s="533"/>
      <c r="EJ31" s="533"/>
      <c r="EK31" s="533"/>
      <c r="EL31" s="533"/>
      <c r="EM31" s="533"/>
      <c r="EN31" s="533"/>
      <c r="EO31" s="533"/>
      <c r="EP31" s="533"/>
      <c r="EQ31" s="533"/>
      <c r="ER31" s="533"/>
      <c r="ES31" s="533"/>
      <c r="ET31" s="695"/>
      <c r="EU31" s="695"/>
      <c r="EV31" s="850"/>
      <c r="EW31" s="695"/>
      <c r="EX31" s="533"/>
      <c r="EY31" s="533"/>
      <c r="EZ31" s="533"/>
      <c r="FA31" s="533"/>
      <c r="FB31" s="533"/>
      <c r="FC31" s="533"/>
      <c r="FD31" s="533"/>
      <c r="FE31" s="533"/>
      <c r="FF31" s="533"/>
      <c r="FG31" s="533"/>
      <c r="FH31" s="533"/>
      <c r="FI31" s="533"/>
      <c r="FJ31" s="533"/>
      <c r="FK31" s="533"/>
      <c r="FL31" s="533"/>
      <c r="FM31" s="533"/>
      <c r="FN31" s="533"/>
      <c r="FO31" s="533"/>
      <c r="FP31" s="533"/>
      <c r="FQ31" s="533"/>
      <c r="FR31" s="533"/>
      <c r="FS31" s="533"/>
      <c r="FT31" s="533"/>
      <c r="FU31" s="533"/>
      <c r="FV31" s="533"/>
      <c r="FW31" s="533"/>
      <c r="FX31" s="533"/>
      <c r="FY31" s="533"/>
      <c r="FZ31" s="533"/>
      <c r="GA31" s="533"/>
      <c r="GB31" s="533"/>
      <c r="GC31" s="533"/>
      <c r="GD31" s="533"/>
      <c r="GE31" s="533"/>
      <c r="GF31" s="533"/>
      <c r="GG31" s="533"/>
      <c r="GH31" s="533"/>
      <c r="GI31" s="533"/>
      <c r="GJ31" s="533"/>
      <c r="GK31" s="533"/>
      <c r="GL31" s="533"/>
      <c r="GM31" s="533"/>
      <c r="GN31" s="533"/>
      <c r="GO31" s="533"/>
      <c r="GP31" s="533"/>
      <c r="GQ31" s="664"/>
      <c r="GR31" s="668"/>
      <c r="GS31" s="668"/>
      <c r="GT31" s="668"/>
      <c r="GU31" s="668"/>
      <c r="GV31" s="668"/>
      <c r="GW31" s="668"/>
      <c r="GX31" s="668"/>
      <c r="GY31" s="543"/>
      <c r="GZ31" s="668"/>
      <c r="HA31" s="668"/>
      <c r="HB31" s="747"/>
      <c r="HC31" s="687"/>
    </row>
    <row r="32" spans="1:211">
      <c r="A32" s="797" t="s">
        <v>1826</v>
      </c>
      <c r="B32" s="380" t="s">
        <v>898</v>
      </c>
      <c r="C32" s="521" t="s">
        <v>1827</v>
      </c>
      <c r="D32" s="519"/>
      <c r="E32" s="517">
        <v>1</v>
      </c>
      <c r="F32" s="518">
        <v>1</v>
      </c>
      <c r="G32" s="517">
        <v>1</v>
      </c>
      <c r="H32" s="518">
        <v>1</v>
      </c>
      <c r="I32" s="517">
        <v>1</v>
      </c>
      <c r="J32" s="518">
        <v>1</v>
      </c>
      <c r="K32" s="517">
        <v>1</v>
      </c>
      <c r="L32" s="518">
        <v>1</v>
      </c>
      <c r="M32" s="517">
        <v>1</v>
      </c>
      <c r="N32" s="518">
        <v>1</v>
      </c>
      <c r="O32" s="517">
        <v>1</v>
      </c>
      <c r="P32" s="518">
        <v>1</v>
      </c>
      <c r="Q32" s="517">
        <v>1</v>
      </c>
      <c r="R32" s="518">
        <v>1</v>
      </c>
      <c r="S32" s="517">
        <v>1</v>
      </c>
      <c r="T32" s="518">
        <v>1</v>
      </c>
      <c r="U32" s="517">
        <v>1</v>
      </c>
      <c r="V32" s="518">
        <v>1</v>
      </c>
      <c r="W32" s="517">
        <v>1</v>
      </c>
      <c r="X32" s="518">
        <v>1</v>
      </c>
      <c r="Y32" s="517">
        <v>1</v>
      </c>
      <c r="Z32" s="518">
        <v>1</v>
      </c>
      <c r="AA32" s="517">
        <v>1</v>
      </c>
      <c r="AB32" s="518">
        <v>1</v>
      </c>
      <c r="AC32" s="517">
        <v>1</v>
      </c>
      <c r="AD32" s="518">
        <v>1</v>
      </c>
      <c r="AE32" s="517">
        <v>1</v>
      </c>
      <c r="AF32" s="518">
        <v>1</v>
      </c>
      <c r="AG32" s="670">
        <v>1</v>
      </c>
      <c r="AH32" s="691">
        <v>1</v>
      </c>
      <c r="AI32" s="690">
        <v>1</v>
      </c>
      <c r="AJ32" s="518">
        <v>1</v>
      </c>
      <c r="AK32" s="670">
        <v>1</v>
      </c>
      <c r="AL32" s="518">
        <v>1</v>
      </c>
      <c r="AM32" s="517">
        <v>1</v>
      </c>
      <c r="AN32" s="518">
        <v>1</v>
      </c>
      <c r="AO32" s="517">
        <v>1</v>
      </c>
      <c r="AP32" s="518">
        <v>1</v>
      </c>
      <c r="AQ32" s="517">
        <v>1</v>
      </c>
      <c r="AR32" s="518">
        <v>1</v>
      </c>
      <c r="AS32" s="517">
        <v>1</v>
      </c>
      <c r="AT32" s="691">
        <v>1</v>
      </c>
      <c r="AU32" s="517">
        <v>1</v>
      </c>
      <c r="AV32" s="518">
        <v>1</v>
      </c>
      <c r="AW32" s="670">
        <v>1</v>
      </c>
      <c r="AX32" s="518">
        <v>1</v>
      </c>
      <c r="AY32" s="517">
        <v>1</v>
      </c>
      <c r="AZ32" s="518">
        <v>1</v>
      </c>
      <c r="BA32" s="517">
        <v>1</v>
      </c>
      <c r="BB32" s="691">
        <v>1</v>
      </c>
      <c r="BC32" s="690">
        <v>1</v>
      </c>
      <c r="BD32" s="518">
        <v>1</v>
      </c>
      <c r="BE32" s="690">
        <v>1</v>
      </c>
      <c r="BF32" s="518">
        <v>1</v>
      </c>
      <c r="BG32" s="670">
        <v>1</v>
      </c>
      <c r="BH32" s="518">
        <v>1</v>
      </c>
      <c r="BI32" s="670">
        <v>1</v>
      </c>
      <c r="BJ32" s="518">
        <v>1</v>
      </c>
      <c r="BK32" s="690">
        <v>1</v>
      </c>
      <c r="BL32" s="518">
        <v>1</v>
      </c>
      <c r="BM32" s="517">
        <v>1</v>
      </c>
      <c r="BN32" s="691">
        <v>1</v>
      </c>
      <c r="BO32" s="517">
        <v>1</v>
      </c>
      <c r="BP32" s="518">
        <v>1</v>
      </c>
      <c r="BQ32" s="517">
        <v>1</v>
      </c>
      <c r="BR32" s="518">
        <v>1</v>
      </c>
      <c r="BS32" s="517">
        <v>1</v>
      </c>
      <c r="BT32" s="518">
        <v>1</v>
      </c>
      <c r="BU32" s="517">
        <v>1</v>
      </c>
      <c r="BV32" s="518">
        <v>1</v>
      </c>
      <c r="BW32" s="517">
        <v>1</v>
      </c>
      <c r="BX32" s="518">
        <v>1</v>
      </c>
      <c r="BY32" s="517">
        <v>1</v>
      </c>
      <c r="BZ32" s="517">
        <v>1</v>
      </c>
      <c r="CA32" s="812"/>
      <c r="CB32" s="517">
        <v>2</v>
      </c>
      <c r="CC32" s="518">
        <v>0</v>
      </c>
      <c r="CD32" s="517">
        <v>2</v>
      </c>
      <c r="CE32" s="518">
        <v>3</v>
      </c>
      <c r="CF32" s="517">
        <v>1</v>
      </c>
      <c r="CG32" s="518">
        <v>1</v>
      </c>
      <c r="CH32" s="517">
        <v>2</v>
      </c>
      <c r="CI32" s="518">
        <v>2</v>
      </c>
      <c r="CJ32" s="517">
        <v>2</v>
      </c>
      <c r="CK32" s="518">
        <v>2</v>
      </c>
      <c r="CL32" s="517">
        <v>1</v>
      </c>
      <c r="CM32" s="518">
        <v>1</v>
      </c>
      <c r="CN32" s="517">
        <v>1</v>
      </c>
      <c r="CO32" s="518">
        <v>1</v>
      </c>
      <c r="CP32" s="518">
        <v>1</v>
      </c>
      <c r="CQ32" s="517">
        <v>1</v>
      </c>
      <c r="CR32" s="518">
        <v>1</v>
      </c>
      <c r="CS32" s="517">
        <v>1</v>
      </c>
      <c r="CT32" s="518">
        <v>1</v>
      </c>
      <c r="CU32" s="517">
        <v>1</v>
      </c>
      <c r="CV32" s="518">
        <v>1</v>
      </c>
      <c r="CW32" s="517">
        <v>1</v>
      </c>
      <c r="CX32" s="518">
        <v>1</v>
      </c>
      <c r="CY32" s="517">
        <v>1</v>
      </c>
      <c r="CZ32" s="518">
        <v>1</v>
      </c>
      <c r="DA32" s="517">
        <v>1</v>
      </c>
      <c r="DB32" s="518">
        <v>1</v>
      </c>
      <c r="DC32" s="517">
        <v>1</v>
      </c>
      <c r="DD32" s="518">
        <v>1</v>
      </c>
      <c r="DE32" s="517">
        <v>1</v>
      </c>
      <c r="DF32" s="518">
        <v>1</v>
      </c>
      <c r="DG32" s="517">
        <v>1</v>
      </c>
      <c r="DH32" s="518">
        <v>1</v>
      </c>
      <c r="DI32" s="661">
        <v>1</v>
      </c>
      <c r="DJ32" s="679">
        <v>1</v>
      </c>
      <c r="DK32" s="676">
        <v>1</v>
      </c>
      <c r="DL32" s="842">
        <v>1</v>
      </c>
      <c r="DM32" s="837">
        <v>1</v>
      </c>
      <c r="DN32" s="691">
        <v>1</v>
      </c>
      <c r="DO32" s="690">
        <v>1</v>
      </c>
      <c r="DP32" s="518">
        <v>1</v>
      </c>
      <c r="DQ32" s="517">
        <v>1</v>
      </c>
      <c r="DR32" s="518">
        <v>1</v>
      </c>
      <c r="DS32" s="517">
        <v>1</v>
      </c>
      <c r="DT32" s="518">
        <v>1</v>
      </c>
      <c r="DU32" s="518">
        <v>1</v>
      </c>
      <c r="DV32" s="517">
        <v>1</v>
      </c>
      <c r="DW32" s="690">
        <v>1</v>
      </c>
      <c r="DX32" s="691">
        <v>1</v>
      </c>
      <c r="DY32" s="517">
        <v>1</v>
      </c>
      <c r="DZ32" s="518">
        <v>1</v>
      </c>
      <c r="EA32" s="517">
        <v>1</v>
      </c>
      <c r="EB32" s="691">
        <v>1</v>
      </c>
      <c r="EC32" s="517">
        <v>1</v>
      </c>
      <c r="ED32" s="691">
        <v>1</v>
      </c>
      <c r="EE32" s="690">
        <v>1</v>
      </c>
      <c r="EF32" s="517">
        <v>1</v>
      </c>
      <c r="EG32" s="518">
        <v>1</v>
      </c>
      <c r="EH32" s="517">
        <v>1</v>
      </c>
      <c r="EI32" s="518">
        <v>1</v>
      </c>
      <c r="EJ32" s="517">
        <v>1</v>
      </c>
      <c r="EK32" s="518">
        <v>1</v>
      </c>
      <c r="EL32" s="517"/>
      <c r="EM32" s="518">
        <v>1</v>
      </c>
      <c r="EN32" s="518">
        <v>1</v>
      </c>
      <c r="EO32" s="517"/>
      <c r="EP32" s="518"/>
      <c r="EQ32" s="517">
        <v>1</v>
      </c>
      <c r="ER32" s="518">
        <v>1</v>
      </c>
      <c r="ES32" s="517">
        <v>1</v>
      </c>
      <c r="ET32" s="691">
        <v>1</v>
      </c>
      <c r="EU32" s="690">
        <v>1</v>
      </c>
      <c r="EV32" s="847">
        <v>1</v>
      </c>
      <c r="EW32" s="690">
        <v>1</v>
      </c>
      <c r="EX32" s="518">
        <v>1</v>
      </c>
      <c r="EY32" s="517">
        <v>1</v>
      </c>
      <c r="EZ32" s="518">
        <v>1</v>
      </c>
      <c r="FA32" s="517">
        <v>1</v>
      </c>
      <c r="FB32" s="517">
        <v>1</v>
      </c>
      <c r="FC32" s="518">
        <v>1</v>
      </c>
      <c r="FD32" s="517">
        <v>1</v>
      </c>
      <c r="FE32" s="518">
        <v>1</v>
      </c>
      <c r="FF32" s="518">
        <v>1</v>
      </c>
      <c r="FG32" s="517">
        <v>1</v>
      </c>
      <c r="FH32" s="518">
        <v>0</v>
      </c>
      <c r="FI32" s="517">
        <v>0</v>
      </c>
      <c r="FJ32" s="518"/>
      <c r="FK32" s="517">
        <v>0</v>
      </c>
      <c r="FL32" s="518">
        <v>0</v>
      </c>
      <c r="FM32" s="517"/>
      <c r="FN32" s="518"/>
      <c r="FO32" s="517"/>
      <c r="FP32" s="518"/>
      <c r="FQ32" s="517">
        <v>0</v>
      </c>
      <c r="FR32" s="518"/>
      <c r="FS32" s="517">
        <v>1</v>
      </c>
      <c r="FT32" s="518">
        <v>1</v>
      </c>
      <c r="FU32" s="517">
        <v>1</v>
      </c>
      <c r="FV32" s="518">
        <v>1</v>
      </c>
      <c r="FW32" s="517">
        <v>0</v>
      </c>
      <c r="FX32" s="518">
        <v>0</v>
      </c>
      <c r="FY32" s="517">
        <v>0</v>
      </c>
      <c r="FZ32" s="518">
        <v>2</v>
      </c>
      <c r="GA32" s="517">
        <v>1</v>
      </c>
      <c r="GB32" s="518">
        <v>2</v>
      </c>
      <c r="GC32" s="517">
        <v>1</v>
      </c>
      <c r="GD32" s="518">
        <v>1</v>
      </c>
      <c r="GE32" s="517">
        <v>1</v>
      </c>
      <c r="GF32" s="518">
        <v>1</v>
      </c>
      <c r="GG32" s="517">
        <v>1</v>
      </c>
      <c r="GH32" s="518">
        <v>1</v>
      </c>
      <c r="GI32" s="517">
        <v>1</v>
      </c>
      <c r="GJ32" s="518">
        <v>1</v>
      </c>
      <c r="GK32" s="517">
        <v>1</v>
      </c>
      <c r="GL32" s="518">
        <v>1</v>
      </c>
      <c r="GM32" s="517">
        <v>1</v>
      </c>
      <c r="GN32" s="518"/>
      <c r="GO32" s="517"/>
      <c r="GP32" s="518"/>
      <c r="GQ32" s="661">
        <v>1</v>
      </c>
      <c r="GR32" s="679">
        <v>1</v>
      </c>
      <c r="GS32" s="676">
        <v>1</v>
      </c>
      <c r="GT32" s="679">
        <v>1</v>
      </c>
      <c r="GU32" s="676"/>
      <c r="GV32" s="679"/>
      <c r="GW32" s="676"/>
      <c r="GX32" s="679">
        <v>1</v>
      </c>
      <c r="GY32" s="754">
        <v>1</v>
      </c>
      <c r="GZ32" s="755">
        <v>1</v>
      </c>
      <c r="HA32" s="754">
        <v>1</v>
      </c>
    </row>
    <row r="33" spans="1:211">
      <c r="A33" s="797" t="s">
        <v>1828</v>
      </c>
      <c r="B33" s="380" t="s">
        <v>898</v>
      </c>
      <c r="C33" s="521" t="s">
        <v>1829</v>
      </c>
      <c r="D33" s="519"/>
      <c r="E33" s="517">
        <v>0</v>
      </c>
      <c r="F33" s="518">
        <v>0</v>
      </c>
      <c r="G33" s="517">
        <v>0</v>
      </c>
      <c r="H33" s="518">
        <v>0</v>
      </c>
      <c r="I33" s="517">
        <v>0</v>
      </c>
      <c r="J33" s="518">
        <v>0</v>
      </c>
      <c r="K33" s="517">
        <v>0</v>
      </c>
      <c r="L33" s="518">
        <v>0</v>
      </c>
      <c r="M33" s="517">
        <v>0</v>
      </c>
      <c r="N33" s="518">
        <v>0</v>
      </c>
      <c r="O33" s="517">
        <v>0</v>
      </c>
      <c r="P33" s="518">
        <v>0</v>
      </c>
      <c r="Q33" s="517">
        <v>0</v>
      </c>
      <c r="R33" s="518">
        <v>0</v>
      </c>
      <c r="S33" s="517">
        <v>0</v>
      </c>
      <c r="T33" s="518">
        <v>0</v>
      </c>
      <c r="U33" s="517">
        <v>0</v>
      </c>
      <c r="V33" s="518">
        <v>0</v>
      </c>
      <c r="W33" s="517">
        <v>0</v>
      </c>
      <c r="X33" s="518">
        <v>0</v>
      </c>
      <c r="Y33" s="517">
        <v>0</v>
      </c>
      <c r="Z33" s="518">
        <v>0</v>
      </c>
      <c r="AA33" s="517">
        <v>0</v>
      </c>
      <c r="AB33" s="518">
        <v>0</v>
      </c>
      <c r="AC33" s="517">
        <v>0</v>
      </c>
      <c r="AD33" s="518">
        <v>0</v>
      </c>
      <c r="AE33" s="517">
        <v>0</v>
      </c>
      <c r="AF33" s="518">
        <v>0</v>
      </c>
      <c r="AG33" s="670">
        <v>0</v>
      </c>
      <c r="AH33" s="691">
        <v>0</v>
      </c>
      <c r="AI33" s="690">
        <v>0</v>
      </c>
      <c r="AJ33" s="518">
        <v>0</v>
      </c>
      <c r="AK33" s="670">
        <v>0</v>
      </c>
      <c r="AL33" s="518">
        <v>0</v>
      </c>
      <c r="AM33" s="517">
        <v>0</v>
      </c>
      <c r="AN33" s="518">
        <v>0</v>
      </c>
      <c r="AO33" s="517">
        <v>0</v>
      </c>
      <c r="AP33" s="518">
        <v>0</v>
      </c>
      <c r="AQ33" s="517">
        <v>0</v>
      </c>
      <c r="AR33" s="518">
        <v>0</v>
      </c>
      <c r="AS33" s="517">
        <v>0</v>
      </c>
      <c r="AT33" s="691">
        <v>1</v>
      </c>
      <c r="AU33" s="517">
        <v>0</v>
      </c>
      <c r="AV33" s="518">
        <v>0</v>
      </c>
      <c r="AW33" s="670">
        <v>0</v>
      </c>
      <c r="AX33" s="518">
        <v>0</v>
      </c>
      <c r="AY33" s="517">
        <v>0</v>
      </c>
      <c r="AZ33" s="518">
        <v>0</v>
      </c>
      <c r="BA33" s="517">
        <v>0</v>
      </c>
      <c r="BB33" s="691">
        <v>1</v>
      </c>
      <c r="BC33" s="690">
        <v>1</v>
      </c>
      <c r="BD33" s="518">
        <v>0</v>
      </c>
      <c r="BE33" s="690">
        <v>1</v>
      </c>
      <c r="BF33" s="518">
        <v>0</v>
      </c>
      <c r="BG33" s="670">
        <v>0</v>
      </c>
      <c r="BH33" s="518">
        <v>0</v>
      </c>
      <c r="BI33" s="670">
        <v>0</v>
      </c>
      <c r="BJ33" s="518">
        <v>0</v>
      </c>
      <c r="BK33" s="690">
        <v>1</v>
      </c>
      <c r="BL33" s="518">
        <v>0</v>
      </c>
      <c r="BM33" s="517">
        <v>0</v>
      </c>
      <c r="BN33" s="691">
        <v>1</v>
      </c>
      <c r="BO33" s="517">
        <v>0</v>
      </c>
      <c r="BP33" s="518">
        <v>0</v>
      </c>
      <c r="BQ33" s="517">
        <v>0</v>
      </c>
      <c r="BR33" s="518">
        <v>0</v>
      </c>
      <c r="BS33" s="517">
        <v>0</v>
      </c>
      <c r="BT33" s="518">
        <v>0</v>
      </c>
      <c r="BU33" s="517">
        <v>0</v>
      </c>
      <c r="BV33" s="518">
        <v>0</v>
      </c>
      <c r="BW33" s="517">
        <v>0</v>
      </c>
      <c r="BX33" s="518">
        <v>0</v>
      </c>
      <c r="BY33" s="517">
        <v>0</v>
      </c>
      <c r="BZ33" s="517">
        <v>0</v>
      </c>
      <c r="CA33" s="812"/>
      <c r="CB33" s="517">
        <v>0</v>
      </c>
      <c r="CC33" s="518">
        <v>0</v>
      </c>
      <c r="CD33" s="517">
        <v>0</v>
      </c>
      <c r="CE33" s="518">
        <v>0</v>
      </c>
      <c r="CF33" s="517">
        <v>0</v>
      </c>
      <c r="CG33" s="518">
        <v>0</v>
      </c>
      <c r="CH33" s="517">
        <v>0</v>
      </c>
      <c r="CI33" s="518">
        <v>0</v>
      </c>
      <c r="CJ33" s="517">
        <v>0</v>
      </c>
      <c r="CK33" s="518">
        <v>0</v>
      </c>
      <c r="CL33" s="517">
        <v>0</v>
      </c>
      <c r="CM33" s="518">
        <v>0</v>
      </c>
      <c r="CN33" s="517">
        <v>0</v>
      </c>
      <c r="CO33" s="518">
        <v>0</v>
      </c>
      <c r="CP33" s="518">
        <v>0</v>
      </c>
      <c r="CQ33" s="517">
        <v>0</v>
      </c>
      <c r="CR33" s="518">
        <v>0</v>
      </c>
      <c r="CS33" s="517">
        <v>0</v>
      </c>
      <c r="CT33" s="518">
        <v>0</v>
      </c>
      <c r="CU33" s="517">
        <v>0</v>
      </c>
      <c r="CV33" s="518">
        <v>0</v>
      </c>
      <c r="CW33" s="517">
        <v>0</v>
      </c>
      <c r="CX33" s="518">
        <v>0</v>
      </c>
      <c r="CY33" s="517">
        <v>0</v>
      </c>
      <c r="CZ33" s="518">
        <v>0</v>
      </c>
      <c r="DA33" s="517">
        <v>0</v>
      </c>
      <c r="DB33" s="518">
        <v>0</v>
      </c>
      <c r="DC33" s="517">
        <v>0</v>
      </c>
      <c r="DD33" s="518">
        <v>0</v>
      </c>
      <c r="DE33" s="517">
        <v>0</v>
      </c>
      <c r="DF33" s="518">
        <v>0</v>
      </c>
      <c r="DG33" s="517">
        <v>0</v>
      </c>
      <c r="DH33" s="518">
        <v>0</v>
      </c>
      <c r="DI33" s="661">
        <v>0</v>
      </c>
      <c r="DJ33" s="679">
        <v>0</v>
      </c>
      <c r="DK33" s="676">
        <v>0</v>
      </c>
      <c r="DL33" s="842">
        <v>0</v>
      </c>
      <c r="DM33" s="837">
        <v>0</v>
      </c>
      <c r="DN33" s="691">
        <v>0</v>
      </c>
      <c r="DO33" s="690">
        <v>0</v>
      </c>
      <c r="DP33" s="518">
        <v>0</v>
      </c>
      <c r="DQ33" s="517">
        <v>0</v>
      </c>
      <c r="DR33" s="518">
        <v>0</v>
      </c>
      <c r="DS33" s="517">
        <v>0</v>
      </c>
      <c r="DT33" s="518">
        <v>0</v>
      </c>
      <c r="DU33" s="518">
        <v>0</v>
      </c>
      <c r="DV33" s="517">
        <v>0</v>
      </c>
      <c r="DW33" s="690">
        <v>0</v>
      </c>
      <c r="DX33" s="691">
        <v>0</v>
      </c>
      <c r="DY33" s="517">
        <v>0</v>
      </c>
      <c r="DZ33" s="518">
        <v>0</v>
      </c>
      <c r="EA33" s="517">
        <v>0</v>
      </c>
      <c r="EB33" s="691">
        <v>0</v>
      </c>
      <c r="EC33" s="517">
        <v>0</v>
      </c>
      <c r="ED33" s="691">
        <v>0</v>
      </c>
      <c r="EE33" s="690">
        <v>0</v>
      </c>
      <c r="EF33" s="517">
        <v>0</v>
      </c>
      <c r="EG33" s="518">
        <v>0</v>
      </c>
      <c r="EH33" s="517">
        <v>0</v>
      </c>
      <c r="EI33" s="518"/>
      <c r="EJ33" s="517"/>
      <c r="EK33" s="518">
        <v>0</v>
      </c>
      <c r="EL33" s="517"/>
      <c r="EM33" s="518">
        <v>0</v>
      </c>
      <c r="EN33" s="518">
        <v>0</v>
      </c>
      <c r="EO33" s="517"/>
      <c r="EP33" s="518"/>
      <c r="EQ33" s="517">
        <v>0</v>
      </c>
      <c r="ER33" s="518">
        <v>0</v>
      </c>
      <c r="ES33" s="517">
        <v>0</v>
      </c>
      <c r="ET33" s="691">
        <v>1</v>
      </c>
      <c r="EU33" s="690">
        <v>1</v>
      </c>
      <c r="EV33" s="847">
        <v>1</v>
      </c>
      <c r="EW33" s="690">
        <v>1</v>
      </c>
      <c r="EX33" s="518">
        <v>0</v>
      </c>
      <c r="EY33" s="517">
        <v>0</v>
      </c>
      <c r="EZ33" s="518">
        <v>0</v>
      </c>
      <c r="FA33" s="517">
        <v>0</v>
      </c>
      <c r="FB33" s="517">
        <v>0</v>
      </c>
      <c r="FC33" s="518">
        <v>0</v>
      </c>
      <c r="FD33" s="517">
        <v>0</v>
      </c>
      <c r="FE33" s="518">
        <v>0</v>
      </c>
      <c r="FF33" s="518">
        <v>1</v>
      </c>
      <c r="FG33" s="517">
        <v>1</v>
      </c>
      <c r="FH33" s="518">
        <v>0</v>
      </c>
      <c r="FI33" s="517">
        <v>0</v>
      </c>
      <c r="FJ33" s="518"/>
      <c r="FK33" s="517">
        <v>0</v>
      </c>
      <c r="FL33" s="518">
        <v>0</v>
      </c>
      <c r="FM33" s="517"/>
      <c r="FN33" s="518"/>
      <c r="FO33" s="517"/>
      <c r="FP33" s="518"/>
      <c r="FQ33" s="517">
        <v>0</v>
      </c>
      <c r="FR33" s="518"/>
      <c r="FS33" s="517">
        <v>1</v>
      </c>
      <c r="FT33" s="518">
        <v>1</v>
      </c>
      <c r="FU33" s="517">
        <v>1</v>
      </c>
      <c r="FV33" s="518">
        <v>1</v>
      </c>
      <c r="FW33" s="517">
        <v>0</v>
      </c>
      <c r="FX33" s="518">
        <v>0</v>
      </c>
      <c r="FY33" s="517">
        <v>0</v>
      </c>
      <c r="FZ33" s="518">
        <v>0</v>
      </c>
      <c r="GA33" s="517">
        <v>0</v>
      </c>
      <c r="GB33" s="518">
        <v>0</v>
      </c>
      <c r="GC33" s="517">
        <v>0</v>
      </c>
      <c r="GD33" s="518">
        <v>0</v>
      </c>
      <c r="GE33" s="517">
        <v>0</v>
      </c>
      <c r="GF33" s="518">
        <v>0</v>
      </c>
      <c r="GG33" s="517">
        <v>0</v>
      </c>
      <c r="GH33" s="518">
        <v>0</v>
      </c>
      <c r="GI33" s="517"/>
      <c r="GJ33" s="518">
        <v>0</v>
      </c>
      <c r="GK33" s="517">
        <v>0</v>
      </c>
      <c r="GL33" s="518">
        <v>0</v>
      </c>
      <c r="GM33" s="517">
        <v>0</v>
      </c>
      <c r="GN33" s="518"/>
      <c r="GO33" s="517"/>
      <c r="GP33" s="518"/>
      <c r="GQ33" s="661">
        <v>0</v>
      </c>
      <c r="GR33" s="679">
        <v>0</v>
      </c>
      <c r="GS33" s="676">
        <v>0</v>
      </c>
      <c r="GT33" s="679">
        <v>1</v>
      </c>
      <c r="GU33" s="676"/>
      <c r="GV33" s="679"/>
      <c r="GW33" s="676"/>
      <c r="GX33" s="679">
        <v>0</v>
      </c>
      <c r="GY33" s="754">
        <v>0</v>
      </c>
      <c r="GZ33" s="755">
        <v>0</v>
      </c>
      <c r="HA33" s="754">
        <v>0</v>
      </c>
    </row>
    <row r="34" spans="1:211">
      <c r="A34" s="797" t="s">
        <v>1830</v>
      </c>
      <c r="B34" s="380" t="s">
        <v>1803</v>
      </c>
      <c r="C34" s="521" t="s">
        <v>1831</v>
      </c>
      <c r="D34" s="519"/>
      <c r="E34" s="517"/>
      <c r="F34" s="518"/>
      <c r="G34" s="517"/>
      <c r="H34" s="518"/>
      <c r="I34" s="517"/>
      <c r="J34" s="518"/>
      <c r="K34" s="517"/>
      <c r="L34" s="518"/>
      <c r="M34" s="517"/>
      <c r="N34" s="518"/>
      <c r="O34" s="517"/>
      <c r="P34" s="518"/>
      <c r="Q34" s="517"/>
      <c r="R34" s="518"/>
      <c r="S34" s="517"/>
      <c r="T34" s="518"/>
      <c r="U34" s="517"/>
      <c r="V34" s="518"/>
      <c r="W34" s="517"/>
      <c r="X34" s="518"/>
      <c r="Y34" s="517"/>
      <c r="Z34" s="518"/>
      <c r="AA34" s="517"/>
      <c r="AB34" s="518"/>
      <c r="AC34" s="517"/>
      <c r="AD34" s="518"/>
      <c r="AE34" s="517"/>
      <c r="AF34" s="518"/>
      <c r="AG34" s="670"/>
      <c r="AH34" s="691"/>
      <c r="AI34" s="690"/>
      <c r="AJ34" s="518"/>
      <c r="AK34" s="670"/>
      <c r="AL34" s="518"/>
      <c r="AM34" s="517"/>
      <c r="AN34" s="518"/>
      <c r="AO34" s="517"/>
      <c r="AP34" s="518"/>
      <c r="AQ34" s="517"/>
      <c r="AR34" s="518"/>
      <c r="AS34" s="517"/>
      <c r="AT34" s="691">
        <v>3.0625</v>
      </c>
      <c r="AU34" s="517"/>
      <c r="AV34" s="518"/>
      <c r="AW34" s="670"/>
      <c r="AX34" s="518"/>
      <c r="AY34" s="517"/>
      <c r="AZ34" s="518"/>
      <c r="BA34" s="517"/>
      <c r="BB34" s="691">
        <v>3.0625</v>
      </c>
      <c r="BC34" s="690">
        <v>3.0625</v>
      </c>
      <c r="BD34" s="518"/>
      <c r="BE34" s="690">
        <v>3.0625</v>
      </c>
      <c r="BF34" s="518"/>
      <c r="BG34" s="670"/>
      <c r="BH34" s="518"/>
      <c r="BI34" s="670"/>
      <c r="BJ34" s="518"/>
      <c r="BK34" s="690">
        <v>3.0625</v>
      </c>
      <c r="BL34" s="518"/>
      <c r="BM34" s="517"/>
      <c r="BN34" s="691">
        <v>3.0625</v>
      </c>
      <c r="BO34" s="517"/>
      <c r="BP34" s="518"/>
      <c r="BQ34" s="517"/>
      <c r="BR34" s="518"/>
      <c r="BS34" s="517"/>
      <c r="BT34" s="518"/>
      <c r="BU34" s="517"/>
      <c r="BV34" s="518"/>
      <c r="BW34" s="517"/>
      <c r="BX34" s="518"/>
      <c r="BY34" s="517"/>
      <c r="BZ34" s="517"/>
      <c r="CA34" s="812"/>
      <c r="CB34" s="517"/>
      <c r="CC34" s="518"/>
      <c r="CD34" s="517"/>
      <c r="CE34" s="518"/>
      <c r="CF34" s="517"/>
      <c r="CG34" s="518"/>
      <c r="CH34" s="517"/>
      <c r="CI34" s="518"/>
      <c r="CJ34" s="517"/>
      <c r="CK34" s="518"/>
      <c r="CL34" s="517"/>
      <c r="CM34" s="518"/>
      <c r="CN34" s="517"/>
      <c r="CO34" s="518"/>
      <c r="CP34" s="518"/>
      <c r="CQ34" s="517"/>
      <c r="CR34" s="518"/>
      <c r="CS34" s="517"/>
      <c r="CT34" s="518"/>
      <c r="CU34" s="517"/>
      <c r="CV34" s="518"/>
      <c r="CW34" s="517"/>
      <c r="CX34" s="518"/>
      <c r="CY34" s="517"/>
      <c r="CZ34" s="518"/>
      <c r="DA34" s="517"/>
      <c r="DB34" s="518"/>
      <c r="DC34" s="517"/>
      <c r="DD34" s="518"/>
      <c r="DE34" s="517"/>
      <c r="DF34" s="518"/>
      <c r="DG34" s="517"/>
      <c r="DH34" s="518"/>
      <c r="DI34" s="661"/>
      <c r="DJ34" s="679"/>
      <c r="DK34" s="676"/>
      <c r="DL34" s="842"/>
      <c r="DM34" s="837"/>
      <c r="DN34" s="691"/>
      <c r="DO34" s="690"/>
      <c r="DP34" s="518"/>
      <c r="DQ34" s="517"/>
      <c r="DR34" s="518"/>
      <c r="DS34" s="517"/>
      <c r="DT34" s="518"/>
      <c r="DU34" s="518"/>
      <c r="DV34" s="517"/>
      <c r="DW34" s="690"/>
      <c r="DX34" s="691"/>
      <c r="DY34" s="517"/>
      <c r="DZ34" s="518"/>
      <c r="EA34" s="517"/>
      <c r="EB34" s="691"/>
      <c r="EC34" s="517"/>
      <c r="ED34" s="691"/>
      <c r="EE34" s="690"/>
      <c r="EF34" s="517"/>
      <c r="EG34" s="518"/>
      <c r="EH34" s="517"/>
      <c r="EI34" s="518"/>
      <c r="EJ34" s="517"/>
      <c r="EK34" s="518"/>
      <c r="EL34" s="517"/>
      <c r="EM34" s="518"/>
      <c r="EN34" s="518"/>
      <c r="EO34" s="517"/>
      <c r="EP34" s="518"/>
      <c r="EQ34" s="517"/>
      <c r="ER34" s="518"/>
      <c r="ES34" s="517"/>
      <c r="ET34" s="691">
        <v>3.0625</v>
      </c>
      <c r="EU34" s="690">
        <v>3.0625</v>
      </c>
      <c r="EV34" s="847">
        <v>3.0625</v>
      </c>
      <c r="EW34" s="690">
        <v>3.0625</v>
      </c>
      <c r="EX34" s="518"/>
      <c r="EY34" s="517"/>
      <c r="EZ34" s="518"/>
      <c r="FA34" s="517"/>
      <c r="FB34" s="517"/>
      <c r="FC34" s="518"/>
      <c r="FD34" s="517"/>
      <c r="FE34" s="518"/>
      <c r="FF34" s="518"/>
      <c r="FG34" s="517"/>
      <c r="FH34" s="518"/>
      <c r="FI34" s="517"/>
      <c r="FJ34" s="518"/>
      <c r="FK34" s="517"/>
      <c r="FL34" s="518"/>
      <c r="FM34" s="517"/>
      <c r="FN34" s="518"/>
      <c r="FO34" s="517"/>
      <c r="FP34" s="518"/>
      <c r="FQ34" s="517"/>
      <c r="FR34" s="518"/>
      <c r="FS34" s="517"/>
      <c r="FT34" s="518"/>
      <c r="FU34" s="517"/>
      <c r="FV34" s="518"/>
      <c r="FW34" s="517"/>
      <c r="FX34" s="518"/>
      <c r="FY34" s="517"/>
      <c r="FZ34" s="518"/>
      <c r="GA34" s="517"/>
      <c r="GB34" s="518"/>
      <c r="GC34" s="517"/>
      <c r="GD34" s="518"/>
      <c r="GE34" s="517"/>
      <c r="GF34" s="518"/>
      <c r="GG34" s="517"/>
      <c r="GH34" s="518"/>
      <c r="GI34" s="517"/>
      <c r="GJ34" s="518"/>
      <c r="GK34" s="517"/>
      <c r="GL34" s="518"/>
      <c r="GM34" s="517"/>
      <c r="GN34" s="518"/>
      <c r="GO34" s="517"/>
      <c r="GP34" s="518"/>
      <c r="GQ34" s="661"/>
      <c r="GR34" s="679"/>
      <c r="GS34" s="676"/>
      <c r="GT34" s="679"/>
      <c r="GU34" s="676"/>
      <c r="GV34" s="679"/>
      <c r="GW34" s="676"/>
      <c r="GX34" s="679"/>
      <c r="GY34" s="754"/>
      <c r="GZ34" s="755"/>
      <c r="HA34" s="754"/>
    </row>
    <row r="35" spans="1:211" ht="30">
      <c r="A35" s="797" t="s">
        <v>1832</v>
      </c>
      <c r="B35" s="380" t="s">
        <v>898</v>
      </c>
      <c r="C35" s="521" t="s">
        <v>1833</v>
      </c>
      <c r="D35" s="519"/>
      <c r="E35" s="517">
        <v>3</v>
      </c>
      <c r="F35" s="518">
        <v>4</v>
      </c>
      <c r="G35" s="517">
        <v>4</v>
      </c>
      <c r="H35" s="518">
        <v>0</v>
      </c>
      <c r="I35" s="517">
        <v>0</v>
      </c>
      <c r="J35" s="518">
        <v>0</v>
      </c>
      <c r="K35" s="517">
        <v>0</v>
      </c>
      <c r="L35" s="518">
        <v>0</v>
      </c>
      <c r="M35" s="517">
        <v>0</v>
      </c>
      <c r="N35" s="518">
        <v>0</v>
      </c>
      <c r="O35" s="517">
        <v>3</v>
      </c>
      <c r="P35" s="518">
        <v>3</v>
      </c>
      <c r="Q35" s="517">
        <v>3</v>
      </c>
      <c r="R35" s="518">
        <v>3</v>
      </c>
      <c r="S35" s="517">
        <v>4</v>
      </c>
      <c r="T35" s="518">
        <v>4</v>
      </c>
      <c r="U35" s="517">
        <v>4</v>
      </c>
      <c r="V35" s="518">
        <v>4</v>
      </c>
      <c r="W35" s="517">
        <v>4</v>
      </c>
      <c r="X35" s="518">
        <v>4</v>
      </c>
      <c r="Y35" s="517">
        <v>3</v>
      </c>
      <c r="Z35" s="518">
        <v>4</v>
      </c>
      <c r="AA35" s="517">
        <v>4</v>
      </c>
      <c r="AB35" s="518">
        <v>4</v>
      </c>
      <c r="AC35" s="517">
        <v>4</v>
      </c>
      <c r="AD35" s="518">
        <v>4</v>
      </c>
      <c r="AE35" s="517">
        <v>4</v>
      </c>
      <c r="AF35" s="518">
        <v>4</v>
      </c>
      <c r="AG35" s="670">
        <v>4</v>
      </c>
      <c r="AH35" s="691">
        <v>4</v>
      </c>
      <c r="AI35" s="690">
        <v>4</v>
      </c>
      <c r="AJ35" s="518">
        <v>4</v>
      </c>
      <c r="AK35" s="670">
        <v>4</v>
      </c>
      <c r="AL35" s="518">
        <v>3</v>
      </c>
      <c r="AM35" s="517">
        <v>3</v>
      </c>
      <c r="AN35" s="518">
        <v>4</v>
      </c>
      <c r="AO35" s="517">
        <v>4</v>
      </c>
      <c r="AP35" s="518">
        <v>4</v>
      </c>
      <c r="AQ35" s="517">
        <v>4</v>
      </c>
      <c r="AR35" s="518">
        <v>3</v>
      </c>
      <c r="AS35" s="517">
        <v>3</v>
      </c>
      <c r="AT35" s="691">
        <v>3</v>
      </c>
      <c r="AU35" s="517">
        <v>3</v>
      </c>
      <c r="AV35" s="518">
        <v>3</v>
      </c>
      <c r="AW35" s="670">
        <v>4</v>
      </c>
      <c r="AX35" s="518">
        <v>4</v>
      </c>
      <c r="AY35" s="517">
        <v>3</v>
      </c>
      <c r="AZ35" s="518">
        <v>4</v>
      </c>
      <c r="BA35" s="517">
        <v>4</v>
      </c>
      <c r="BB35" s="691">
        <v>3</v>
      </c>
      <c r="BC35" s="690">
        <v>3</v>
      </c>
      <c r="BD35" s="518">
        <v>3</v>
      </c>
      <c r="BE35" s="690">
        <v>3</v>
      </c>
      <c r="BF35" s="518">
        <v>4</v>
      </c>
      <c r="BG35" s="670">
        <v>4</v>
      </c>
      <c r="BH35" s="518">
        <v>4</v>
      </c>
      <c r="BI35" s="670">
        <v>4</v>
      </c>
      <c r="BJ35" s="518">
        <v>4</v>
      </c>
      <c r="BK35" s="690">
        <v>3</v>
      </c>
      <c r="BL35" s="518">
        <v>3</v>
      </c>
      <c r="BM35" s="517">
        <v>3</v>
      </c>
      <c r="BN35" s="691">
        <v>3</v>
      </c>
      <c r="BO35" s="517">
        <v>3</v>
      </c>
      <c r="BP35" s="518">
        <v>4</v>
      </c>
      <c r="BQ35" s="517">
        <v>4</v>
      </c>
      <c r="BR35" s="518">
        <v>4</v>
      </c>
      <c r="BS35" s="517">
        <v>5</v>
      </c>
      <c r="BT35" s="518">
        <v>0</v>
      </c>
      <c r="BU35" s="517">
        <v>5</v>
      </c>
      <c r="BV35" s="518">
        <v>5</v>
      </c>
      <c r="BW35" s="517">
        <v>5</v>
      </c>
      <c r="BX35" s="518">
        <v>0</v>
      </c>
      <c r="BY35" s="517">
        <v>0</v>
      </c>
      <c r="BZ35" s="517">
        <v>0</v>
      </c>
      <c r="CA35" s="812"/>
      <c r="CB35" s="517">
        <v>6</v>
      </c>
      <c r="CC35" s="518">
        <v>8</v>
      </c>
      <c r="CD35" s="517">
        <v>6</v>
      </c>
      <c r="CE35" s="518">
        <v>6</v>
      </c>
      <c r="CF35" s="517">
        <v>2</v>
      </c>
      <c r="CG35" s="518">
        <v>2</v>
      </c>
      <c r="CH35" s="517">
        <v>4</v>
      </c>
      <c r="CI35" s="518">
        <v>4</v>
      </c>
      <c r="CJ35" s="517">
        <v>6</v>
      </c>
      <c r="CK35" s="518">
        <v>6</v>
      </c>
      <c r="CL35" s="517">
        <v>3</v>
      </c>
      <c r="CM35" s="518">
        <v>3</v>
      </c>
      <c r="CN35" s="517">
        <v>3</v>
      </c>
      <c r="CO35" s="518">
        <v>3</v>
      </c>
      <c r="CP35" s="518">
        <v>3</v>
      </c>
      <c r="CQ35" s="517">
        <v>3</v>
      </c>
      <c r="CR35" s="518">
        <v>3</v>
      </c>
      <c r="CS35" s="517">
        <v>0</v>
      </c>
      <c r="CT35" s="518">
        <v>3</v>
      </c>
      <c r="CU35" s="517">
        <v>3</v>
      </c>
      <c r="CV35" s="518">
        <v>3</v>
      </c>
      <c r="CW35" s="517">
        <v>3</v>
      </c>
      <c r="CX35" s="518">
        <v>3</v>
      </c>
      <c r="CY35" s="517">
        <v>0</v>
      </c>
      <c r="CZ35" s="518">
        <v>4</v>
      </c>
      <c r="DA35" s="517">
        <v>3</v>
      </c>
      <c r="DB35" s="518">
        <v>3</v>
      </c>
      <c r="DC35" s="517">
        <v>3</v>
      </c>
      <c r="DD35" s="518">
        <v>0</v>
      </c>
      <c r="DE35" s="517">
        <v>4</v>
      </c>
      <c r="DF35" s="518">
        <v>4</v>
      </c>
      <c r="DG35" s="517">
        <v>0</v>
      </c>
      <c r="DH35" s="518">
        <v>4</v>
      </c>
      <c r="DI35" s="661">
        <v>4</v>
      </c>
      <c r="DJ35" s="679">
        <v>0</v>
      </c>
      <c r="DK35" s="676">
        <v>4</v>
      </c>
      <c r="DL35" s="842">
        <v>0</v>
      </c>
      <c r="DM35" s="837">
        <v>4</v>
      </c>
      <c r="DN35" s="691">
        <v>4</v>
      </c>
      <c r="DO35" s="690">
        <v>0</v>
      </c>
      <c r="DP35" s="518">
        <v>4</v>
      </c>
      <c r="DQ35" s="517">
        <v>3</v>
      </c>
      <c r="DR35" s="518">
        <v>0</v>
      </c>
      <c r="DS35" s="517">
        <v>4</v>
      </c>
      <c r="DT35" s="518">
        <v>4</v>
      </c>
      <c r="DU35" s="518">
        <v>4</v>
      </c>
      <c r="DV35" s="517">
        <v>3</v>
      </c>
      <c r="DW35" s="690">
        <v>6</v>
      </c>
      <c r="DX35" s="691">
        <v>6</v>
      </c>
      <c r="DY35" s="517">
        <v>0</v>
      </c>
      <c r="DZ35" s="518">
        <v>0</v>
      </c>
      <c r="EA35" s="517">
        <v>3</v>
      </c>
      <c r="EB35" s="691">
        <v>7</v>
      </c>
      <c r="EC35" s="517">
        <v>0</v>
      </c>
      <c r="ED35" s="691">
        <v>4</v>
      </c>
      <c r="EE35" s="690">
        <v>4</v>
      </c>
      <c r="EF35" s="517">
        <v>0</v>
      </c>
      <c r="EG35" s="518">
        <v>0</v>
      </c>
      <c r="EH35" s="517">
        <v>0</v>
      </c>
      <c r="EI35" s="518"/>
      <c r="EJ35" s="517"/>
      <c r="EK35" s="518">
        <v>0</v>
      </c>
      <c r="EL35" s="517"/>
      <c r="EM35" s="518">
        <v>0</v>
      </c>
      <c r="EN35" s="518">
        <v>0</v>
      </c>
      <c r="EO35" s="517"/>
      <c r="EP35" s="518"/>
      <c r="EQ35" s="517">
        <v>0</v>
      </c>
      <c r="ER35" s="518">
        <v>0</v>
      </c>
      <c r="ES35" s="517">
        <v>0</v>
      </c>
      <c r="ET35" s="691">
        <v>3</v>
      </c>
      <c r="EU35" s="690">
        <v>3</v>
      </c>
      <c r="EV35" s="847">
        <v>3</v>
      </c>
      <c r="EW35" s="690">
        <v>3</v>
      </c>
      <c r="EX35" s="518">
        <v>0</v>
      </c>
      <c r="EY35" s="517">
        <v>3</v>
      </c>
      <c r="EZ35" s="518">
        <v>3</v>
      </c>
      <c r="FA35" s="517">
        <v>3</v>
      </c>
      <c r="FB35" s="517">
        <v>0</v>
      </c>
      <c r="FC35" s="518">
        <v>0</v>
      </c>
      <c r="FD35" s="517">
        <v>0</v>
      </c>
      <c r="FE35" s="518">
        <v>0</v>
      </c>
      <c r="FF35" s="518">
        <v>4</v>
      </c>
      <c r="FG35" s="517">
        <v>4</v>
      </c>
      <c r="FH35" s="518">
        <v>0</v>
      </c>
      <c r="FI35" s="517">
        <v>0</v>
      </c>
      <c r="FJ35" s="518"/>
      <c r="FK35" s="517">
        <v>0</v>
      </c>
      <c r="FL35" s="518">
        <v>0</v>
      </c>
      <c r="FM35" s="517"/>
      <c r="FN35" s="518"/>
      <c r="FO35" s="517"/>
      <c r="FP35" s="518"/>
      <c r="FQ35" s="517">
        <v>0</v>
      </c>
      <c r="FR35" s="518"/>
      <c r="FS35" s="517">
        <v>4</v>
      </c>
      <c r="FT35" s="518">
        <v>4</v>
      </c>
      <c r="FU35" s="517">
        <v>4</v>
      </c>
      <c r="FV35" s="518">
        <v>4</v>
      </c>
      <c r="FW35" s="517">
        <v>8</v>
      </c>
      <c r="FX35" s="518">
        <v>8</v>
      </c>
      <c r="FY35" s="517">
        <v>7</v>
      </c>
      <c r="FZ35" s="518">
        <v>7</v>
      </c>
      <c r="GA35" s="517">
        <v>3</v>
      </c>
      <c r="GB35" s="518">
        <v>4</v>
      </c>
      <c r="GC35" s="517">
        <v>6</v>
      </c>
      <c r="GD35" s="518">
        <v>6</v>
      </c>
      <c r="GE35" s="517">
        <v>1</v>
      </c>
      <c r="GF35" s="518">
        <v>3</v>
      </c>
      <c r="GG35" s="517">
        <v>4</v>
      </c>
      <c r="GH35" s="518">
        <v>6</v>
      </c>
      <c r="GI35" s="517">
        <v>4</v>
      </c>
      <c r="GJ35" s="518">
        <v>0</v>
      </c>
      <c r="GK35" s="517">
        <v>0</v>
      </c>
      <c r="GL35" s="518">
        <v>0</v>
      </c>
      <c r="GM35" s="517">
        <v>0</v>
      </c>
      <c r="GN35" s="518"/>
      <c r="GO35" s="517"/>
      <c r="GP35" s="518"/>
      <c r="GQ35" s="661">
        <v>3</v>
      </c>
      <c r="GR35" s="679">
        <v>3</v>
      </c>
      <c r="GS35" s="676">
        <v>2</v>
      </c>
      <c r="GT35" s="679">
        <v>7</v>
      </c>
      <c r="GU35" s="676"/>
      <c r="GV35" s="679"/>
      <c r="GW35" s="676"/>
      <c r="GX35" s="679">
        <v>3</v>
      </c>
      <c r="GY35" s="754">
        <v>0</v>
      </c>
      <c r="GZ35" s="755">
        <v>0</v>
      </c>
      <c r="HA35" s="754">
        <v>5</v>
      </c>
    </row>
    <row r="36" spans="1:211">
      <c r="A36" s="797" t="s">
        <v>1834</v>
      </c>
      <c r="B36" s="380" t="s">
        <v>898</v>
      </c>
      <c r="C36" s="521" t="s">
        <v>1835</v>
      </c>
      <c r="D36" s="519"/>
      <c r="E36" s="517">
        <v>0</v>
      </c>
      <c r="F36" s="518">
        <v>0</v>
      </c>
      <c r="G36" s="517">
        <v>0</v>
      </c>
      <c r="H36" s="518">
        <v>8</v>
      </c>
      <c r="I36" s="517">
        <v>8</v>
      </c>
      <c r="J36" s="518">
        <v>8</v>
      </c>
      <c r="K36" s="517">
        <v>8</v>
      </c>
      <c r="L36" s="518">
        <v>8</v>
      </c>
      <c r="M36" s="517">
        <v>8</v>
      </c>
      <c r="N36" s="518">
        <v>8</v>
      </c>
      <c r="O36" s="517">
        <v>0</v>
      </c>
      <c r="P36" s="518">
        <v>0</v>
      </c>
      <c r="Q36" s="517">
        <v>0</v>
      </c>
      <c r="R36" s="518">
        <v>0</v>
      </c>
      <c r="S36" s="517">
        <v>0</v>
      </c>
      <c r="T36" s="518">
        <v>0</v>
      </c>
      <c r="U36" s="517">
        <v>0</v>
      </c>
      <c r="V36" s="518">
        <v>0</v>
      </c>
      <c r="W36" s="517">
        <v>0</v>
      </c>
      <c r="X36" s="518">
        <v>0</v>
      </c>
      <c r="Y36" s="517">
        <v>0</v>
      </c>
      <c r="Z36" s="518">
        <v>0</v>
      </c>
      <c r="AA36" s="517">
        <v>0</v>
      </c>
      <c r="AB36" s="518">
        <v>0</v>
      </c>
      <c r="AC36" s="517">
        <v>0</v>
      </c>
      <c r="AD36" s="518">
        <v>0</v>
      </c>
      <c r="AE36" s="517">
        <v>0</v>
      </c>
      <c r="AF36" s="518">
        <v>0</v>
      </c>
      <c r="AG36" s="670">
        <v>0</v>
      </c>
      <c r="AH36" s="691">
        <v>0</v>
      </c>
      <c r="AI36" s="690">
        <v>0</v>
      </c>
      <c r="AJ36" s="518">
        <v>0</v>
      </c>
      <c r="AK36" s="670">
        <v>0</v>
      </c>
      <c r="AL36" s="518">
        <v>0</v>
      </c>
      <c r="AM36" s="517">
        <v>0</v>
      </c>
      <c r="AN36" s="518">
        <v>0</v>
      </c>
      <c r="AO36" s="517">
        <v>0</v>
      </c>
      <c r="AP36" s="518">
        <v>0</v>
      </c>
      <c r="AQ36" s="517">
        <v>0</v>
      </c>
      <c r="AR36" s="518">
        <v>0</v>
      </c>
      <c r="AS36" s="517">
        <v>0</v>
      </c>
      <c r="AT36" s="691">
        <v>0</v>
      </c>
      <c r="AU36" s="517">
        <v>0</v>
      </c>
      <c r="AV36" s="518">
        <v>0</v>
      </c>
      <c r="AW36" s="670">
        <v>0</v>
      </c>
      <c r="AX36" s="518">
        <v>0</v>
      </c>
      <c r="AY36" s="517">
        <v>0</v>
      </c>
      <c r="AZ36" s="518">
        <v>0</v>
      </c>
      <c r="BA36" s="517">
        <v>0</v>
      </c>
      <c r="BB36" s="691">
        <v>0</v>
      </c>
      <c r="BC36" s="690">
        <v>0</v>
      </c>
      <c r="BD36" s="518">
        <v>0</v>
      </c>
      <c r="BE36" s="690">
        <v>0</v>
      </c>
      <c r="BF36" s="518">
        <v>0</v>
      </c>
      <c r="BG36" s="670">
        <v>0</v>
      </c>
      <c r="BH36" s="518">
        <v>0</v>
      </c>
      <c r="BI36" s="670">
        <v>0</v>
      </c>
      <c r="BJ36" s="518">
        <v>0</v>
      </c>
      <c r="BK36" s="690">
        <v>0</v>
      </c>
      <c r="BL36" s="518">
        <v>0</v>
      </c>
      <c r="BM36" s="517">
        <v>0</v>
      </c>
      <c r="BN36" s="691">
        <v>0</v>
      </c>
      <c r="BO36" s="517">
        <v>0</v>
      </c>
      <c r="BP36" s="518">
        <v>0</v>
      </c>
      <c r="BQ36" s="517">
        <v>0</v>
      </c>
      <c r="BR36" s="518">
        <v>0</v>
      </c>
      <c r="BS36" s="517">
        <v>0</v>
      </c>
      <c r="BT36" s="518">
        <v>8</v>
      </c>
      <c r="BU36" s="517">
        <v>0</v>
      </c>
      <c r="BV36" s="518">
        <v>0</v>
      </c>
      <c r="BW36" s="517">
        <v>0</v>
      </c>
      <c r="BX36" s="518">
        <v>8</v>
      </c>
      <c r="BY36" s="517">
        <v>8</v>
      </c>
      <c r="BZ36" s="517">
        <v>8</v>
      </c>
      <c r="CA36" s="812"/>
      <c r="CB36" s="517">
        <v>0</v>
      </c>
      <c r="CC36" s="518">
        <v>0</v>
      </c>
      <c r="CD36" s="517">
        <v>0</v>
      </c>
      <c r="CE36" s="518">
        <v>0</v>
      </c>
      <c r="CF36" s="517">
        <v>0</v>
      </c>
      <c r="CG36" s="518">
        <v>0</v>
      </c>
      <c r="CH36" s="517">
        <v>0</v>
      </c>
      <c r="CI36" s="518">
        <v>0</v>
      </c>
      <c r="CJ36" s="517">
        <v>0</v>
      </c>
      <c r="CK36" s="518">
        <v>0</v>
      </c>
      <c r="CL36" s="517">
        <v>0</v>
      </c>
      <c r="CM36" s="518">
        <v>0</v>
      </c>
      <c r="CN36" s="517">
        <v>0</v>
      </c>
      <c r="CO36" s="518">
        <v>0</v>
      </c>
      <c r="CP36" s="518">
        <v>0</v>
      </c>
      <c r="CQ36" s="517">
        <v>0</v>
      </c>
      <c r="CR36" s="518">
        <v>0</v>
      </c>
      <c r="CS36" s="517">
        <v>7</v>
      </c>
      <c r="CT36" s="518">
        <v>0</v>
      </c>
      <c r="CU36" s="517">
        <v>0</v>
      </c>
      <c r="CV36" s="518">
        <v>0</v>
      </c>
      <c r="CW36" s="517">
        <v>0</v>
      </c>
      <c r="CX36" s="518">
        <v>0</v>
      </c>
      <c r="CY36" s="517">
        <v>7</v>
      </c>
      <c r="CZ36" s="518">
        <v>0</v>
      </c>
      <c r="DA36" s="517">
        <v>0</v>
      </c>
      <c r="DB36" s="518">
        <v>0</v>
      </c>
      <c r="DC36" s="517">
        <v>0</v>
      </c>
      <c r="DD36" s="518">
        <v>7</v>
      </c>
      <c r="DE36" s="517">
        <v>0</v>
      </c>
      <c r="DF36" s="518">
        <v>0</v>
      </c>
      <c r="DG36" s="517">
        <v>7</v>
      </c>
      <c r="DH36" s="518">
        <v>0</v>
      </c>
      <c r="DI36" s="661">
        <v>0</v>
      </c>
      <c r="DJ36" s="679">
        <v>7</v>
      </c>
      <c r="DK36" s="676">
        <v>0</v>
      </c>
      <c r="DL36" s="842">
        <v>6</v>
      </c>
      <c r="DM36" s="837">
        <v>0</v>
      </c>
      <c r="DN36" s="691">
        <v>0</v>
      </c>
      <c r="DO36" s="690">
        <v>6</v>
      </c>
      <c r="DP36" s="518">
        <v>0</v>
      </c>
      <c r="DQ36" s="517">
        <v>0</v>
      </c>
      <c r="DR36" s="518">
        <v>7</v>
      </c>
      <c r="DS36" s="517">
        <v>0</v>
      </c>
      <c r="DT36" s="518">
        <v>0</v>
      </c>
      <c r="DU36" s="518">
        <v>0</v>
      </c>
      <c r="DV36" s="517">
        <v>0</v>
      </c>
      <c r="DW36" s="690">
        <v>0</v>
      </c>
      <c r="DX36" s="691">
        <v>0</v>
      </c>
      <c r="DY36" s="517">
        <v>8</v>
      </c>
      <c r="DZ36" s="518">
        <v>8</v>
      </c>
      <c r="EA36" s="517">
        <v>0</v>
      </c>
      <c r="EB36" s="691">
        <v>0</v>
      </c>
      <c r="EC36" s="517">
        <v>8</v>
      </c>
      <c r="ED36" s="691">
        <v>0</v>
      </c>
      <c r="EE36" s="690">
        <v>0</v>
      </c>
      <c r="EF36" s="517">
        <v>8</v>
      </c>
      <c r="EG36" s="518">
        <v>8</v>
      </c>
      <c r="EH36" s="517">
        <v>8</v>
      </c>
      <c r="EI36" s="518"/>
      <c r="EJ36" s="517"/>
      <c r="EK36" s="518">
        <v>0</v>
      </c>
      <c r="EL36" s="517"/>
      <c r="EM36" s="518">
        <v>0</v>
      </c>
      <c r="EN36" s="518">
        <v>0</v>
      </c>
      <c r="EO36" s="517"/>
      <c r="EP36" s="518"/>
      <c r="EQ36" s="517">
        <v>0</v>
      </c>
      <c r="ER36" s="518">
        <v>0</v>
      </c>
      <c r="ES36" s="517">
        <v>0</v>
      </c>
      <c r="ET36" s="691">
        <v>0</v>
      </c>
      <c r="EU36" s="690">
        <v>0</v>
      </c>
      <c r="EV36" s="847">
        <v>0</v>
      </c>
      <c r="EW36" s="690">
        <v>0</v>
      </c>
      <c r="EX36" s="518">
        <v>0</v>
      </c>
      <c r="EY36" s="517">
        <v>0</v>
      </c>
      <c r="EZ36" s="518">
        <v>0</v>
      </c>
      <c r="FA36" s="517">
        <v>0</v>
      </c>
      <c r="FB36" s="517">
        <v>0</v>
      </c>
      <c r="FC36" s="518">
        <v>0</v>
      </c>
      <c r="FD36" s="517">
        <v>0</v>
      </c>
      <c r="FE36" s="518">
        <v>0</v>
      </c>
      <c r="FF36" s="518">
        <v>0</v>
      </c>
      <c r="FG36" s="517">
        <v>0</v>
      </c>
      <c r="FH36" s="518">
        <v>0</v>
      </c>
      <c r="FI36" s="517">
        <v>0</v>
      </c>
      <c r="FJ36" s="518"/>
      <c r="FK36" s="517">
        <v>0</v>
      </c>
      <c r="FL36" s="518">
        <v>0</v>
      </c>
      <c r="FM36" s="517"/>
      <c r="FN36" s="518"/>
      <c r="FO36" s="517"/>
      <c r="FP36" s="518"/>
      <c r="FQ36" s="517">
        <v>0</v>
      </c>
      <c r="FR36" s="518"/>
      <c r="FS36" s="517">
        <v>0</v>
      </c>
      <c r="FT36" s="518">
        <v>0</v>
      </c>
      <c r="FU36" s="517">
        <v>0</v>
      </c>
      <c r="FV36" s="518">
        <v>0</v>
      </c>
      <c r="FW36" s="517">
        <v>0</v>
      </c>
      <c r="FX36" s="518">
        <v>0</v>
      </c>
      <c r="FY36" s="517">
        <v>0</v>
      </c>
      <c r="FZ36" s="518">
        <v>0</v>
      </c>
      <c r="GA36" s="517">
        <v>0</v>
      </c>
      <c r="GB36" s="518">
        <v>0</v>
      </c>
      <c r="GC36" s="517">
        <v>0</v>
      </c>
      <c r="GD36" s="518">
        <v>0</v>
      </c>
      <c r="GE36" s="517">
        <v>0</v>
      </c>
      <c r="GF36" s="518">
        <v>0</v>
      </c>
      <c r="GG36" s="517">
        <v>0</v>
      </c>
      <c r="GH36" s="518">
        <v>0</v>
      </c>
      <c r="GI36" s="517"/>
      <c r="GJ36" s="518">
        <v>7</v>
      </c>
      <c r="GK36" s="517">
        <v>7</v>
      </c>
      <c r="GL36" s="518">
        <v>0</v>
      </c>
      <c r="GM36" s="517">
        <v>0</v>
      </c>
      <c r="GN36" s="518"/>
      <c r="GO36" s="517"/>
      <c r="GP36" s="518"/>
      <c r="GQ36" s="661">
        <v>0</v>
      </c>
      <c r="GR36" s="679">
        <v>0</v>
      </c>
      <c r="GS36" s="676">
        <v>0</v>
      </c>
      <c r="GT36" s="679">
        <v>0</v>
      </c>
      <c r="GU36" s="676"/>
      <c r="GV36" s="679"/>
      <c r="GW36" s="676"/>
      <c r="GX36" s="679">
        <v>0</v>
      </c>
      <c r="GY36" s="754">
        <v>8</v>
      </c>
      <c r="GZ36" s="755">
        <v>8</v>
      </c>
      <c r="HA36" s="754">
        <v>0</v>
      </c>
    </row>
    <row r="37" spans="1:211">
      <c r="A37" s="797" t="s">
        <v>1836</v>
      </c>
      <c r="B37" s="380" t="s">
        <v>898</v>
      </c>
      <c r="C37" s="521" t="s">
        <v>1837</v>
      </c>
      <c r="D37" s="519"/>
      <c r="E37" s="517">
        <v>9</v>
      </c>
      <c r="F37" s="518">
        <v>9</v>
      </c>
      <c r="G37" s="517">
        <v>9</v>
      </c>
      <c r="H37" s="518">
        <v>6</v>
      </c>
      <c r="I37" s="517">
        <v>6</v>
      </c>
      <c r="J37" s="518">
        <v>6</v>
      </c>
      <c r="K37" s="517">
        <v>6</v>
      </c>
      <c r="L37" s="518">
        <v>6</v>
      </c>
      <c r="M37" s="517">
        <v>6</v>
      </c>
      <c r="N37" s="518">
        <v>6</v>
      </c>
      <c r="O37" s="517">
        <v>14</v>
      </c>
      <c r="P37" s="518">
        <v>14</v>
      </c>
      <c r="Q37" s="517">
        <v>14</v>
      </c>
      <c r="R37" s="518">
        <v>14</v>
      </c>
      <c r="S37" s="517">
        <v>11</v>
      </c>
      <c r="T37" s="518">
        <v>14</v>
      </c>
      <c r="U37" s="517">
        <v>14</v>
      </c>
      <c r="V37" s="518">
        <v>11</v>
      </c>
      <c r="W37" s="517">
        <v>11</v>
      </c>
      <c r="X37" s="518">
        <v>14</v>
      </c>
      <c r="Y37" s="517">
        <v>14</v>
      </c>
      <c r="Z37" s="518">
        <v>14</v>
      </c>
      <c r="AA37" s="517">
        <v>11</v>
      </c>
      <c r="AB37" s="518">
        <v>11</v>
      </c>
      <c r="AC37" s="517">
        <v>14</v>
      </c>
      <c r="AD37" s="518">
        <v>11</v>
      </c>
      <c r="AE37" s="517">
        <v>11</v>
      </c>
      <c r="AF37" s="518">
        <v>9</v>
      </c>
      <c r="AG37" s="670">
        <v>9</v>
      </c>
      <c r="AH37" s="691">
        <v>6</v>
      </c>
      <c r="AI37" s="690">
        <v>6</v>
      </c>
      <c r="AJ37" s="518">
        <v>9</v>
      </c>
      <c r="AK37" s="670">
        <v>9</v>
      </c>
      <c r="AL37" s="518">
        <v>9</v>
      </c>
      <c r="AM37" s="517">
        <v>9</v>
      </c>
      <c r="AN37" s="518">
        <v>9</v>
      </c>
      <c r="AO37" s="517">
        <v>10</v>
      </c>
      <c r="AP37" s="518">
        <v>10</v>
      </c>
      <c r="AQ37" s="517">
        <v>10</v>
      </c>
      <c r="AR37" s="518">
        <v>10</v>
      </c>
      <c r="AS37" s="517">
        <v>10</v>
      </c>
      <c r="AT37" s="691">
        <v>8</v>
      </c>
      <c r="AU37" s="517">
        <v>9</v>
      </c>
      <c r="AV37" s="518">
        <v>9</v>
      </c>
      <c r="AW37" s="670">
        <v>9</v>
      </c>
      <c r="AX37" s="518">
        <v>9</v>
      </c>
      <c r="AY37" s="517">
        <v>10</v>
      </c>
      <c r="AZ37" s="518">
        <v>10</v>
      </c>
      <c r="BA37" s="517">
        <v>10</v>
      </c>
      <c r="BB37" s="691">
        <v>8</v>
      </c>
      <c r="BC37" s="690">
        <v>8</v>
      </c>
      <c r="BD37" s="518">
        <v>10</v>
      </c>
      <c r="BE37" s="690">
        <v>8</v>
      </c>
      <c r="BF37" s="518">
        <v>9</v>
      </c>
      <c r="BG37" s="670">
        <v>9</v>
      </c>
      <c r="BH37" s="518">
        <v>10</v>
      </c>
      <c r="BI37" s="670">
        <v>9</v>
      </c>
      <c r="BJ37" s="518">
        <v>10</v>
      </c>
      <c r="BK37" s="690">
        <v>8</v>
      </c>
      <c r="BL37" s="518">
        <v>10</v>
      </c>
      <c r="BM37" s="517">
        <v>10</v>
      </c>
      <c r="BN37" s="691">
        <v>8</v>
      </c>
      <c r="BO37" s="517">
        <v>10</v>
      </c>
      <c r="BP37" s="518">
        <v>14</v>
      </c>
      <c r="BQ37" s="517">
        <v>13</v>
      </c>
      <c r="BR37" s="518">
        <v>14</v>
      </c>
      <c r="BS37" s="517">
        <v>11</v>
      </c>
      <c r="BT37" s="518">
        <v>6</v>
      </c>
      <c r="BU37" s="517">
        <v>11</v>
      </c>
      <c r="BV37" s="518">
        <v>11</v>
      </c>
      <c r="BW37" s="517">
        <v>11</v>
      </c>
      <c r="BX37" s="518">
        <v>6</v>
      </c>
      <c r="BY37" s="517">
        <v>6</v>
      </c>
      <c r="BZ37" s="517">
        <v>6</v>
      </c>
      <c r="CA37" s="812"/>
      <c r="CB37" s="517">
        <v>7</v>
      </c>
      <c r="CC37" s="518">
        <v>7</v>
      </c>
      <c r="CD37" s="517">
        <v>7</v>
      </c>
      <c r="CE37" s="518">
        <v>7</v>
      </c>
      <c r="CF37" s="517">
        <v>10</v>
      </c>
      <c r="CG37" s="518">
        <v>10</v>
      </c>
      <c r="CH37" s="517">
        <v>7</v>
      </c>
      <c r="CI37" s="518">
        <v>7</v>
      </c>
      <c r="CJ37" s="517">
        <v>7</v>
      </c>
      <c r="CK37" s="518">
        <v>7</v>
      </c>
      <c r="CL37" s="517">
        <v>9</v>
      </c>
      <c r="CM37" s="518">
        <v>9</v>
      </c>
      <c r="CN37" s="517">
        <v>9</v>
      </c>
      <c r="CO37" s="518">
        <v>9</v>
      </c>
      <c r="CP37" s="518">
        <v>9</v>
      </c>
      <c r="CQ37" s="517">
        <v>10</v>
      </c>
      <c r="CR37" s="518">
        <v>11</v>
      </c>
      <c r="CS37" s="517">
        <v>6</v>
      </c>
      <c r="CT37" s="518">
        <v>14</v>
      </c>
      <c r="CU37" s="517">
        <v>11</v>
      </c>
      <c r="CV37" s="518">
        <v>11</v>
      </c>
      <c r="CW37" s="517">
        <v>11</v>
      </c>
      <c r="CX37" s="518">
        <v>14</v>
      </c>
      <c r="CY37" s="517">
        <v>6</v>
      </c>
      <c r="CZ37" s="518">
        <v>11</v>
      </c>
      <c r="DA37" s="517">
        <v>11</v>
      </c>
      <c r="DB37" s="518">
        <v>11</v>
      </c>
      <c r="DC37" s="517">
        <v>11</v>
      </c>
      <c r="DD37" s="518">
        <v>6</v>
      </c>
      <c r="DE37" s="517">
        <v>14</v>
      </c>
      <c r="DF37" s="518">
        <v>11</v>
      </c>
      <c r="DG37" s="517">
        <v>6</v>
      </c>
      <c r="DH37" s="518">
        <v>14</v>
      </c>
      <c r="DI37" s="661">
        <v>11</v>
      </c>
      <c r="DJ37" s="679">
        <v>6</v>
      </c>
      <c r="DK37" s="676">
        <v>10</v>
      </c>
      <c r="DL37" s="842">
        <v>6</v>
      </c>
      <c r="DM37" s="837">
        <v>12</v>
      </c>
      <c r="DN37" s="691">
        <v>12</v>
      </c>
      <c r="DO37" s="690">
        <v>6</v>
      </c>
      <c r="DP37" s="518">
        <v>11</v>
      </c>
      <c r="DQ37" s="517">
        <v>14</v>
      </c>
      <c r="DR37" s="518">
        <v>6</v>
      </c>
      <c r="DS37" s="517">
        <v>14</v>
      </c>
      <c r="DT37" s="518">
        <v>14</v>
      </c>
      <c r="DU37" s="518">
        <v>14</v>
      </c>
      <c r="DV37" s="517">
        <v>10</v>
      </c>
      <c r="DW37" s="690">
        <v>11</v>
      </c>
      <c r="DX37" s="691">
        <v>11</v>
      </c>
      <c r="DY37" s="517">
        <v>6</v>
      </c>
      <c r="DZ37" s="518">
        <v>6</v>
      </c>
      <c r="EA37" s="517">
        <v>10</v>
      </c>
      <c r="EB37" s="691">
        <v>11</v>
      </c>
      <c r="EC37" s="517">
        <v>6</v>
      </c>
      <c r="ED37" s="691">
        <v>9</v>
      </c>
      <c r="EE37" s="690">
        <v>9</v>
      </c>
      <c r="EF37" s="517">
        <v>6</v>
      </c>
      <c r="EG37" s="518">
        <v>6</v>
      </c>
      <c r="EH37" s="517">
        <v>6</v>
      </c>
      <c r="EI37" s="518"/>
      <c r="EJ37" s="517"/>
      <c r="EK37" s="518">
        <v>10</v>
      </c>
      <c r="EL37" s="517"/>
      <c r="EM37" s="518">
        <v>10</v>
      </c>
      <c r="EN37" s="518">
        <v>10</v>
      </c>
      <c r="EO37" s="517"/>
      <c r="EP37" s="518"/>
      <c r="EQ37" s="517">
        <v>14</v>
      </c>
      <c r="ER37" s="518">
        <v>14</v>
      </c>
      <c r="ES37" s="517">
        <v>14</v>
      </c>
      <c r="ET37" s="691">
        <v>8</v>
      </c>
      <c r="EU37" s="690">
        <v>8</v>
      </c>
      <c r="EV37" s="847">
        <v>8</v>
      </c>
      <c r="EW37" s="690">
        <v>8</v>
      </c>
      <c r="EX37" s="518">
        <v>10</v>
      </c>
      <c r="EY37" s="517">
        <v>9</v>
      </c>
      <c r="EZ37" s="518">
        <v>9</v>
      </c>
      <c r="FA37" s="517">
        <v>9</v>
      </c>
      <c r="FB37" s="517">
        <v>14</v>
      </c>
      <c r="FC37" s="518">
        <v>14</v>
      </c>
      <c r="FD37" s="517">
        <v>14</v>
      </c>
      <c r="FE37" s="518">
        <v>14</v>
      </c>
      <c r="FF37" s="518">
        <v>0</v>
      </c>
      <c r="FG37" s="517">
        <v>0</v>
      </c>
      <c r="FH37" s="518">
        <v>8</v>
      </c>
      <c r="FI37" s="517">
        <v>8</v>
      </c>
      <c r="FJ37" s="518"/>
      <c r="FK37" s="517">
        <v>8</v>
      </c>
      <c r="FL37" s="518">
        <v>8</v>
      </c>
      <c r="FM37" s="517"/>
      <c r="FN37" s="518"/>
      <c r="FO37" s="517"/>
      <c r="FP37" s="518"/>
      <c r="FQ37" s="517">
        <v>8</v>
      </c>
      <c r="FR37" s="518"/>
      <c r="FS37" s="517">
        <v>0</v>
      </c>
      <c r="FT37" s="518">
        <v>0</v>
      </c>
      <c r="FU37" s="517">
        <v>0</v>
      </c>
      <c r="FV37" s="518">
        <v>0</v>
      </c>
      <c r="FW37" s="517">
        <v>7</v>
      </c>
      <c r="FX37" s="518">
        <v>7</v>
      </c>
      <c r="FY37" s="517">
        <v>9</v>
      </c>
      <c r="FZ37" s="518">
        <v>1</v>
      </c>
      <c r="GA37" s="517">
        <v>9</v>
      </c>
      <c r="GB37" s="518">
        <v>7</v>
      </c>
      <c r="GC37" s="517">
        <v>7</v>
      </c>
      <c r="GD37" s="518">
        <v>7</v>
      </c>
      <c r="GE37" s="517">
        <v>16</v>
      </c>
      <c r="GF37" s="518">
        <v>14</v>
      </c>
      <c r="GG37" s="517">
        <v>14</v>
      </c>
      <c r="GH37" s="518">
        <v>7</v>
      </c>
      <c r="GI37" s="517">
        <v>10</v>
      </c>
      <c r="GJ37" s="518">
        <v>6</v>
      </c>
      <c r="GK37" s="517">
        <v>6</v>
      </c>
      <c r="GL37" s="518">
        <v>17</v>
      </c>
      <c r="GM37" s="517">
        <v>17</v>
      </c>
      <c r="GN37" s="518"/>
      <c r="GO37" s="517"/>
      <c r="GP37" s="518"/>
      <c r="GQ37" s="661">
        <v>9</v>
      </c>
      <c r="GR37" s="679">
        <v>10</v>
      </c>
      <c r="GS37" s="676">
        <v>7</v>
      </c>
      <c r="GT37" s="679">
        <v>0</v>
      </c>
      <c r="GU37" s="676"/>
      <c r="GV37" s="679"/>
      <c r="GW37" s="676"/>
      <c r="GX37" s="679">
        <v>11</v>
      </c>
      <c r="GY37" s="754">
        <v>6</v>
      </c>
      <c r="GZ37" s="755">
        <v>6</v>
      </c>
      <c r="HA37" s="754">
        <v>9</v>
      </c>
    </row>
    <row r="38" spans="1:211">
      <c r="A38" s="797" t="s">
        <v>1838</v>
      </c>
      <c r="B38" s="380" t="s">
        <v>898</v>
      </c>
      <c r="C38" s="521" t="s">
        <v>1839</v>
      </c>
      <c r="D38" s="519"/>
      <c r="E38" s="517">
        <v>0</v>
      </c>
      <c r="F38" s="518">
        <v>0</v>
      </c>
      <c r="G38" s="517">
        <v>0</v>
      </c>
      <c r="H38" s="518">
        <v>0</v>
      </c>
      <c r="I38" s="517">
        <v>0</v>
      </c>
      <c r="J38" s="518">
        <v>0</v>
      </c>
      <c r="K38" s="517">
        <v>0</v>
      </c>
      <c r="L38" s="518">
        <v>0</v>
      </c>
      <c r="M38" s="517">
        <v>0</v>
      </c>
      <c r="N38" s="518">
        <v>0</v>
      </c>
      <c r="O38" s="517">
        <v>0</v>
      </c>
      <c r="P38" s="518">
        <v>0</v>
      </c>
      <c r="Q38" s="517">
        <v>0</v>
      </c>
      <c r="R38" s="518">
        <v>0</v>
      </c>
      <c r="S38" s="517">
        <v>0</v>
      </c>
      <c r="T38" s="518">
        <v>0</v>
      </c>
      <c r="U38" s="517">
        <v>0</v>
      </c>
      <c r="V38" s="518">
        <v>0</v>
      </c>
      <c r="W38" s="517">
        <v>0</v>
      </c>
      <c r="X38" s="518">
        <v>0</v>
      </c>
      <c r="Y38" s="517">
        <v>0</v>
      </c>
      <c r="Z38" s="518">
        <v>0</v>
      </c>
      <c r="AA38" s="517">
        <v>0</v>
      </c>
      <c r="AB38" s="518">
        <v>0</v>
      </c>
      <c r="AC38" s="517">
        <v>0</v>
      </c>
      <c r="AD38" s="518">
        <v>0</v>
      </c>
      <c r="AE38" s="517">
        <v>0</v>
      </c>
      <c r="AF38" s="518">
        <v>0</v>
      </c>
      <c r="AG38" s="670">
        <v>0</v>
      </c>
      <c r="AH38" s="691">
        <v>0</v>
      </c>
      <c r="AI38" s="690">
        <v>0</v>
      </c>
      <c r="AJ38" s="518">
        <v>0</v>
      </c>
      <c r="AK38" s="670">
        <v>0</v>
      </c>
      <c r="AL38" s="518">
        <v>0</v>
      </c>
      <c r="AM38" s="517">
        <v>0</v>
      </c>
      <c r="AN38" s="518">
        <v>0</v>
      </c>
      <c r="AO38" s="517">
        <v>0</v>
      </c>
      <c r="AP38" s="518">
        <v>0</v>
      </c>
      <c r="AQ38" s="517">
        <v>0</v>
      </c>
      <c r="AR38" s="518">
        <v>0</v>
      </c>
      <c r="AS38" s="517">
        <v>0</v>
      </c>
      <c r="AT38" s="691">
        <v>0</v>
      </c>
      <c r="AU38" s="517">
        <v>0</v>
      </c>
      <c r="AV38" s="518">
        <v>0</v>
      </c>
      <c r="AW38" s="670">
        <v>0</v>
      </c>
      <c r="AX38" s="518">
        <v>0</v>
      </c>
      <c r="AY38" s="517">
        <v>0</v>
      </c>
      <c r="AZ38" s="518">
        <v>0</v>
      </c>
      <c r="BA38" s="517">
        <v>0</v>
      </c>
      <c r="BB38" s="691">
        <v>0</v>
      </c>
      <c r="BC38" s="690">
        <v>0</v>
      </c>
      <c r="BD38" s="518">
        <v>0</v>
      </c>
      <c r="BE38" s="690">
        <v>0</v>
      </c>
      <c r="BF38" s="518">
        <v>0</v>
      </c>
      <c r="BG38" s="670">
        <v>0</v>
      </c>
      <c r="BH38" s="518">
        <v>0</v>
      </c>
      <c r="BI38" s="670">
        <v>0</v>
      </c>
      <c r="BJ38" s="518">
        <v>0</v>
      </c>
      <c r="BK38" s="690">
        <v>0</v>
      </c>
      <c r="BL38" s="518">
        <v>0</v>
      </c>
      <c r="BM38" s="517">
        <v>0</v>
      </c>
      <c r="BN38" s="691">
        <v>0</v>
      </c>
      <c r="BO38" s="517">
        <v>0</v>
      </c>
      <c r="BP38" s="518">
        <v>0</v>
      </c>
      <c r="BQ38" s="517">
        <v>0</v>
      </c>
      <c r="BR38" s="518">
        <v>0</v>
      </c>
      <c r="BS38" s="517">
        <v>0</v>
      </c>
      <c r="BT38" s="518">
        <v>0</v>
      </c>
      <c r="BU38" s="517">
        <v>0</v>
      </c>
      <c r="BV38" s="518">
        <v>0</v>
      </c>
      <c r="BW38" s="517">
        <v>0</v>
      </c>
      <c r="BX38" s="518">
        <v>0</v>
      </c>
      <c r="BY38" s="517">
        <v>0</v>
      </c>
      <c r="BZ38" s="517">
        <v>0</v>
      </c>
      <c r="CA38" s="812"/>
      <c r="CB38" s="517">
        <v>0</v>
      </c>
      <c r="CC38" s="518">
        <v>0</v>
      </c>
      <c r="CD38" s="517">
        <v>0</v>
      </c>
      <c r="CE38" s="518">
        <v>0</v>
      </c>
      <c r="CF38" s="517">
        <v>0</v>
      </c>
      <c r="CG38" s="518">
        <v>0</v>
      </c>
      <c r="CH38" s="517">
        <v>0</v>
      </c>
      <c r="CI38" s="518">
        <v>0</v>
      </c>
      <c r="CJ38" s="517">
        <v>0</v>
      </c>
      <c r="CK38" s="518">
        <v>0</v>
      </c>
      <c r="CL38" s="517">
        <v>0</v>
      </c>
      <c r="CM38" s="518">
        <v>0</v>
      </c>
      <c r="CN38" s="517">
        <v>0</v>
      </c>
      <c r="CO38" s="518">
        <v>0</v>
      </c>
      <c r="CP38" s="518">
        <v>0</v>
      </c>
      <c r="CQ38" s="517">
        <v>0</v>
      </c>
      <c r="CR38" s="518">
        <v>0</v>
      </c>
      <c r="CS38" s="517">
        <v>0</v>
      </c>
      <c r="CT38" s="518">
        <v>0</v>
      </c>
      <c r="CU38" s="517">
        <v>0</v>
      </c>
      <c r="CV38" s="518">
        <v>0</v>
      </c>
      <c r="CW38" s="517">
        <v>0</v>
      </c>
      <c r="CX38" s="518">
        <v>0</v>
      </c>
      <c r="CY38" s="517">
        <v>0</v>
      </c>
      <c r="CZ38" s="518">
        <v>0</v>
      </c>
      <c r="DA38" s="517">
        <v>0</v>
      </c>
      <c r="DB38" s="518">
        <v>0</v>
      </c>
      <c r="DC38" s="517">
        <v>0</v>
      </c>
      <c r="DD38" s="518">
        <v>0</v>
      </c>
      <c r="DE38" s="517">
        <v>0</v>
      </c>
      <c r="DF38" s="518">
        <v>0</v>
      </c>
      <c r="DG38" s="517">
        <v>0</v>
      </c>
      <c r="DH38" s="518">
        <v>0</v>
      </c>
      <c r="DI38" s="661">
        <v>0</v>
      </c>
      <c r="DJ38" s="679">
        <v>0</v>
      </c>
      <c r="DK38" s="676">
        <v>0</v>
      </c>
      <c r="DL38" s="842">
        <v>0</v>
      </c>
      <c r="DM38" s="837">
        <v>0</v>
      </c>
      <c r="DN38" s="691">
        <v>0</v>
      </c>
      <c r="DO38" s="690">
        <v>0</v>
      </c>
      <c r="DP38" s="518">
        <v>0</v>
      </c>
      <c r="DQ38" s="517">
        <v>0</v>
      </c>
      <c r="DR38" s="518">
        <v>0</v>
      </c>
      <c r="DS38" s="517">
        <v>0</v>
      </c>
      <c r="DT38" s="518">
        <v>0</v>
      </c>
      <c r="DU38" s="518">
        <v>0</v>
      </c>
      <c r="DV38" s="517">
        <v>0</v>
      </c>
      <c r="DW38" s="690">
        <v>0</v>
      </c>
      <c r="DX38" s="691">
        <v>0</v>
      </c>
      <c r="DY38" s="517">
        <v>0</v>
      </c>
      <c r="DZ38" s="518">
        <v>0</v>
      </c>
      <c r="EA38" s="517">
        <v>0</v>
      </c>
      <c r="EB38" s="691">
        <v>0</v>
      </c>
      <c r="EC38" s="517">
        <v>0</v>
      </c>
      <c r="ED38" s="691">
        <v>0</v>
      </c>
      <c r="EE38" s="690">
        <v>0</v>
      </c>
      <c r="EF38" s="517">
        <v>0</v>
      </c>
      <c r="EG38" s="518">
        <v>0</v>
      </c>
      <c r="EH38" s="517">
        <v>0</v>
      </c>
      <c r="EI38" s="518"/>
      <c r="EJ38" s="517"/>
      <c r="EK38" s="518">
        <v>0</v>
      </c>
      <c r="EL38" s="517"/>
      <c r="EM38" s="518">
        <v>0</v>
      </c>
      <c r="EN38" s="518">
        <v>0</v>
      </c>
      <c r="EO38" s="517"/>
      <c r="EP38" s="518"/>
      <c r="EQ38" s="517">
        <v>0</v>
      </c>
      <c r="ER38" s="518">
        <v>0</v>
      </c>
      <c r="ES38" s="517">
        <v>0</v>
      </c>
      <c r="ET38" s="691">
        <v>0</v>
      </c>
      <c r="EU38" s="690">
        <v>0</v>
      </c>
      <c r="EV38" s="847">
        <v>0</v>
      </c>
      <c r="EW38" s="690">
        <v>0</v>
      </c>
      <c r="EX38" s="518">
        <v>0</v>
      </c>
      <c r="EY38" s="517">
        <v>0</v>
      </c>
      <c r="EZ38" s="518">
        <v>0</v>
      </c>
      <c r="FA38" s="517">
        <v>0</v>
      </c>
      <c r="FB38" s="517">
        <v>0</v>
      </c>
      <c r="FC38" s="518">
        <v>0</v>
      </c>
      <c r="FD38" s="517">
        <v>0</v>
      </c>
      <c r="FE38" s="518">
        <v>0</v>
      </c>
      <c r="FF38" s="518">
        <v>1</v>
      </c>
      <c r="FG38" s="517">
        <v>1</v>
      </c>
      <c r="FH38" s="518">
        <v>0</v>
      </c>
      <c r="FI38" s="517">
        <v>0</v>
      </c>
      <c r="FJ38" s="518"/>
      <c r="FK38" s="517">
        <v>0</v>
      </c>
      <c r="FL38" s="518">
        <v>0</v>
      </c>
      <c r="FM38" s="517"/>
      <c r="FN38" s="518"/>
      <c r="FO38" s="517"/>
      <c r="FP38" s="518"/>
      <c r="FQ38" s="517">
        <v>0</v>
      </c>
      <c r="FR38" s="518"/>
      <c r="FS38" s="517">
        <v>1</v>
      </c>
      <c r="FT38" s="518">
        <v>1</v>
      </c>
      <c r="FU38" s="517">
        <v>1</v>
      </c>
      <c r="FV38" s="518">
        <v>1</v>
      </c>
      <c r="FW38" s="517">
        <v>0</v>
      </c>
      <c r="FX38" s="518">
        <v>0</v>
      </c>
      <c r="FY38" s="517">
        <v>0</v>
      </c>
      <c r="FZ38" s="518">
        <v>0</v>
      </c>
      <c r="GA38" s="517">
        <v>0</v>
      </c>
      <c r="GB38" s="518">
        <v>0</v>
      </c>
      <c r="GC38" s="517">
        <v>0</v>
      </c>
      <c r="GD38" s="518">
        <v>0</v>
      </c>
      <c r="GE38" s="517">
        <v>0</v>
      </c>
      <c r="GF38" s="518">
        <v>0</v>
      </c>
      <c r="GG38" s="517">
        <v>0</v>
      </c>
      <c r="GH38" s="518">
        <v>0</v>
      </c>
      <c r="GI38" s="517"/>
      <c r="GJ38" s="518">
        <v>0</v>
      </c>
      <c r="GK38" s="517">
        <v>0</v>
      </c>
      <c r="GL38" s="518">
        <v>0</v>
      </c>
      <c r="GM38" s="517">
        <v>0</v>
      </c>
      <c r="GN38" s="518"/>
      <c r="GO38" s="517"/>
      <c r="GP38" s="518"/>
      <c r="GQ38" s="661">
        <v>0</v>
      </c>
      <c r="GR38" s="679">
        <v>0</v>
      </c>
      <c r="GS38" s="676">
        <v>1</v>
      </c>
      <c r="GT38" s="679">
        <v>1</v>
      </c>
      <c r="GU38" s="676"/>
      <c r="GV38" s="679"/>
      <c r="GW38" s="676"/>
      <c r="GX38" s="679">
        <v>0</v>
      </c>
      <c r="GY38" s="754">
        <v>0</v>
      </c>
      <c r="GZ38" s="755">
        <v>0</v>
      </c>
      <c r="HA38" s="754">
        <v>0</v>
      </c>
    </row>
    <row r="39" spans="1:211">
      <c r="A39" s="797" t="s">
        <v>1840</v>
      </c>
      <c r="B39" s="380" t="s">
        <v>898</v>
      </c>
      <c r="C39" s="521" t="s">
        <v>1841</v>
      </c>
      <c r="D39" s="519"/>
      <c r="E39" s="517">
        <v>1</v>
      </c>
      <c r="F39" s="518">
        <v>1</v>
      </c>
      <c r="G39" s="517">
        <v>1</v>
      </c>
      <c r="H39" s="518">
        <v>1</v>
      </c>
      <c r="I39" s="517">
        <v>1</v>
      </c>
      <c r="J39" s="518">
        <v>1</v>
      </c>
      <c r="K39" s="517">
        <v>1</v>
      </c>
      <c r="L39" s="518">
        <v>1</v>
      </c>
      <c r="M39" s="517">
        <v>1</v>
      </c>
      <c r="N39" s="518">
        <v>1</v>
      </c>
      <c r="O39" s="517">
        <v>2</v>
      </c>
      <c r="P39" s="518">
        <v>2</v>
      </c>
      <c r="Q39" s="517">
        <v>2</v>
      </c>
      <c r="R39" s="518">
        <v>2</v>
      </c>
      <c r="S39" s="517">
        <v>2</v>
      </c>
      <c r="T39" s="518">
        <v>2</v>
      </c>
      <c r="U39" s="517">
        <v>2</v>
      </c>
      <c r="V39" s="518">
        <v>2</v>
      </c>
      <c r="W39" s="517">
        <v>2</v>
      </c>
      <c r="X39" s="518">
        <v>2</v>
      </c>
      <c r="Y39" s="517">
        <v>2</v>
      </c>
      <c r="Z39" s="518">
        <v>2</v>
      </c>
      <c r="AA39" s="517">
        <v>2</v>
      </c>
      <c r="AB39" s="518">
        <v>2</v>
      </c>
      <c r="AC39" s="517">
        <v>2</v>
      </c>
      <c r="AD39" s="518">
        <v>2</v>
      </c>
      <c r="AE39" s="517">
        <v>2</v>
      </c>
      <c r="AF39" s="518">
        <v>1</v>
      </c>
      <c r="AG39" s="670">
        <v>1</v>
      </c>
      <c r="AH39" s="691">
        <v>1</v>
      </c>
      <c r="AI39" s="690">
        <v>1</v>
      </c>
      <c r="AJ39" s="518">
        <v>1</v>
      </c>
      <c r="AK39" s="670">
        <v>1</v>
      </c>
      <c r="AL39" s="518">
        <v>1</v>
      </c>
      <c r="AM39" s="517">
        <v>1</v>
      </c>
      <c r="AN39" s="518">
        <v>1</v>
      </c>
      <c r="AO39" s="517">
        <v>2</v>
      </c>
      <c r="AP39" s="518">
        <v>2</v>
      </c>
      <c r="AQ39" s="517">
        <v>2</v>
      </c>
      <c r="AR39" s="518">
        <v>2</v>
      </c>
      <c r="AS39" s="517">
        <v>2</v>
      </c>
      <c r="AT39" s="691">
        <v>2</v>
      </c>
      <c r="AU39" s="517">
        <v>1</v>
      </c>
      <c r="AV39" s="518">
        <v>1</v>
      </c>
      <c r="AW39" s="670">
        <v>1</v>
      </c>
      <c r="AX39" s="518">
        <v>1</v>
      </c>
      <c r="AY39" s="517">
        <v>2</v>
      </c>
      <c r="AZ39" s="518">
        <v>2</v>
      </c>
      <c r="BA39" s="517">
        <v>2</v>
      </c>
      <c r="BB39" s="691">
        <v>2</v>
      </c>
      <c r="BC39" s="690">
        <v>2</v>
      </c>
      <c r="BD39" s="518">
        <v>2</v>
      </c>
      <c r="BE39" s="690">
        <v>2</v>
      </c>
      <c r="BF39" s="518">
        <v>1</v>
      </c>
      <c r="BG39" s="670">
        <v>1</v>
      </c>
      <c r="BH39" s="518">
        <v>2</v>
      </c>
      <c r="BI39" s="670">
        <v>1</v>
      </c>
      <c r="BJ39" s="518">
        <v>2</v>
      </c>
      <c r="BK39" s="690">
        <v>2</v>
      </c>
      <c r="BL39" s="518">
        <v>2</v>
      </c>
      <c r="BM39" s="517">
        <v>2</v>
      </c>
      <c r="BN39" s="691">
        <v>2</v>
      </c>
      <c r="BO39" s="517">
        <v>2</v>
      </c>
      <c r="BP39" s="518">
        <v>2</v>
      </c>
      <c r="BQ39" s="517">
        <v>2</v>
      </c>
      <c r="BR39" s="518">
        <v>2</v>
      </c>
      <c r="BS39" s="517">
        <v>2</v>
      </c>
      <c r="BT39" s="518">
        <v>1</v>
      </c>
      <c r="BU39" s="517">
        <v>2</v>
      </c>
      <c r="BV39" s="518">
        <v>2</v>
      </c>
      <c r="BW39" s="517">
        <v>2</v>
      </c>
      <c r="BX39" s="518">
        <v>1</v>
      </c>
      <c r="BY39" s="517">
        <v>1</v>
      </c>
      <c r="BZ39" s="517">
        <v>1</v>
      </c>
      <c r="CA39" s="812"/>
      <c r="CB39" s="517">
        <v>1</v>
      </c>
      <c r="CC39" s="518">
        <v>1</v>
      </c>
      <c r="CD39" s="517">
        <v>1</v>
      </c>
      <c r="CE39" s="518">
        <v>1</v>
      </c>
      <c r="CF39" s="517">
        <v>2</v>
      </c>
      <c r="CG39" s="518">
        <v>2</v>
      </c>
      <c r="CH39" s="517">
        <v>1</v>
      </c>
      <c r="CI39" s="518">
        <v>1</v>
      </c>
      <c r="CJ39" s="517">
        <v>1</v>
      </c>
      <c r="CK39" s="518">
        <v>1</v>
      </c>
      <c r="CL39" s="517">
        <v>1</v>
      </c>
      <c r="CM39" s="518">
        <v>1</v>
      </c>
      <c r="CN39" s="517">
        <v>1</v>
      </c>
      <c r="CO39" s="518">
        <v>1</v>
      </c>
      <c r="CP39" s="518">
        <v>1</v>
      </c>
      <c r="CQ39" s="517">
        <v>2</v>
      </c>
      <c r="CR39" s="518">
        <v>3</v>
      </c>
      <c r="CS39" s="517">
        <v>1</v>
      </c>
      <c r="CT39" s="518">
        <v>2</v>
      </c>
      <c r="CU39" s="517">
        <v>2</v>
      </c>
      <c r="CV39" s="518">
        <v>2</v>
      </c>
      <c r="CW39" s="517">
        <v>2</v>
      </c>
      <c r="CX39" s="518">
        <v>2</v>
      </c>
      <c r="CY39" s="517">
        <v>1</v>
      </c>
      <c r="CZ39" s="518">
        <v>2</v>
      </c>
      <c r="DA39" s="517">
        <v>2</v>
      </c>
      <c r="DB39" s="518">
        <v>2</v>
      </c>
      <c r="DC39" s="517">
        <v>2</v>
      </c>
      <c r="DD39" s="518">
        <v>1</v>
      </c>
      <c r="DE39" s="517">
        <v>2</v>
      </c>
      <c r="DF39" s="518">
        <v>2</v>
      </c>
      <c r="DG39" s="517">
        <v>1</v>
      </c>
      <c r="DH39" s="518">
        <v>2</v>
      </c>
      <c r="DI39" s="661">
        <v>2</v>
      </c>
      <c r="DJ39" s="679">
        <v>1</v>
      </c>
      <c r="DK39" s="676">
        <v>2</v>
      </c>
      <c r="DL39" s="842">
        <v>1</v>
      </c>
      <c r="DM39" s="837">
        <v>2</v>
      </c>
      <c r="DN39" s="691">
        <v>2</v>
      </c>
      <c r="DO39" s="690">
        <v>1</v>
      </c>
      <c r="DP39" s="518">
        <v>2</v>
      </c>
      <c r="DQ39" s="517">
        <v>2</v>
      </c>
      <c r="DR39" s="518">
        <v>1</v>
      </c>
      <c r="DS39" s="517">
        <v>2</v>
      </c>
      <c r="DT39" s="518">
        <v>2</v>
      </c>
      <c r="DU39" s="518">
        <v>2</v>
      </c>
      <c r="DV39" s="517">
        <v>2</v>
      </c>
      <c r="DW39" s="690">
        <v>2</v>
      </c>
      <c r="DX39" s="691">
        <v>2</v>
      </c>
      <c r="DY39" s="517">
        <v>1</v>
      </c>
      <c r="DZ39" s="518">
        <v>1</v>
      </c>
      <c r="EA39" s="517">
        <v>2</v>
      </c>
      <c r="EB39" s="691">
        <v>2</v>
      </c>
      <c r="EC39" s="517">
        <v>1</v>
      </c>
      <c r="ED39" s="691">
        <v>2</v>
      </c>
      <c r="EE39" s="690">
        <v>2</v>
      </c>
      <c r="EF39" s="517">
        <v>1</v>
      </c>
      <c r="EG39" s="518">
        <v>1</v>
      </c>
      <c r="EH39" s="517">
        <v>1</v>
      </c>
      <c r="EI39" s="518">
        <v>2</v>
      </c>
      <c r="EJ39" s="517">
        <v>2</v>
      </c>
      <c r="EK39" s="518">
        <v>2</v>
      </c>
      <c r="EL39" s="517"/>
      <c r="EM39" s="518">
        <v>2</v>
      </c>
      <c r="EN39" s="518">
        <v>2</v>
      </c>
      <c r="EO39" s="517"/>
      <c r="EP39" s="518"/>
      <c r="EQ39" s="517">
        <v>2</v>
      </c>
      <c r="ER39" s="518">
        <v>2</v>
      </c>
      <c r="ES39" s="517">
        <v>2</v>
      </c>
      <c r="ET39" s="691">
        <v>2</v>
      </c>
      <c r="EU39" s="690">
        <v>2</v>
      </c>
      <c r="EV39" s="847">
        <v>2</v>
      </c>
      <c r="EW39" s="690">
        <v>2</v>
      </c>
      <c r="EX39" s="518">
        <v>2</v>
      </c>
      <c r="EY39" s="517">
        <v>1</v>
      </c>
      <c r="EZ39" s="518">
        <v>1</v>
      </c>
      <c r="FA39" s="517">
        <v>1</v>
      </c>
      <c r="FB39" s="517">
        <v>3</v>
      </c>
      <c r="FC39" s="518">
        <v>3</v>
      </c>
      <c r="FD39" s="517">
        <v>3</v>
      </c>
      <c r="FE39" s="518">
        <v>3</v>
      </c>
      <c r="FF39" s="518">
        <v>1</v>
      </c>
      <c r="FG39" s="517">
        <v>1</v>
      </c>
      <c r="FH39" s="518">
        <v>2</v>
      </c>
      <c r="FI39" s="517">
        <v>2</v>
      </c>
      <c r="FJ39" s="518"/>
      <c r="FK39" s="517">
        <v>2</v>
      </c>
      <c r="FL39" s="518">
        <v>2</v>
      </c>
      <c r="FM39" s="517"/>
      <c r="FN39" s="518"/>
      <c r="FO39" s="517"/>
      <c r="FP39" s="518"/>
      <c r="FQ39" s="517">
        <v>2</v>
      </c>
      <c r="FR39" s="518"/>
      <c r="FS39" s="517">
        <v>1</v>
      </c>
      <c r="FT39" s="518">
        <v>1</v>
      </c>
      <c r="FU39" s="517">
        <v>1</v>
      </c>
      <c r="FV39" s="518">
        <v>1</v>
      </c>
      <c r="FW39" s="517">
        <v>1</v>
      </c>
      <c r="FX39" s="518">
        <v>1</v>
      </c>
      <c r="FY39" s="517">
        <v>1</v>
      </c>
      <c r="FZ39" s="518">
        <v>1</v>
      </c>
      <c r="GA39" s="517">
        <v>1</v>
      </c>
      <c r="GB39" s="518">
        <v>1</v>
      </c>
      <c r="GC39" s="517">
        <v>1</v>
      </c>
      <c r="GD39" s="518">
        <v>1</v>
      </c>
      <c r="GE39" s="517">
        <v>2</v>
      </c>
      <c r="GF39" s="518">
        <v>2</v>
      </c>
      <c r="GG39" s="517">
        <v>2</v>
      </c>
      <c r="GH39" s="518">
        <v>1</v>
      </c>
      <c r="GI39" s="517">
        <v>2</v>
      </c>
      <c r="GJ39" s="518">
        <v>1</v>
      </c>
      <c r="GK39" s="517">
        <v>1</v>
      </c>
      <c r="GL39" s="518">
        <v>3</v>
      </c>
      <c r="GM39" s="517">
        <v>3</v>
      </c>
      <c r="GN39" s="518"/>
      <c r="GO39" s="517"/>
      <c r="GP39" s="518"/>
      <c r="GQ39" s="661">
        <v>1</v>
      </c>
      <c r="GR39" s="679">
        <v>2</v>
      </c>
      <c r="GS39" s="676">
        <v>2</v>
      </c>
      <c r="GT39" s="679">
        <v>2</v>
      </c>
      <c r="GU39" s="676"/>
      <c r="GV39" s="679"/>
      <c r="GW39" s="676"/>
      <c r="GX39" s="679">
        <v>2</v>
      </c>
      <c r="GY39" s="754">
        <v>1</v>
      </c>
      <c r="GZ39" s="755">
        <v>1</v>
      </c>
      <c r="HA39" s="754">
        <v>2</v>
      </c>
    </row>
    <row r="40" spans="1:211">
      <c r="A40" s="797" t="s">
        <v>1842</v>
      </c>
      <c r="B40" s="380" t="s">
        <v>898</v>
      </c>
      <c r="C40" s="521" t="s">
        <v>1843</v>
      </c>
      <c r="D40" s="519"/>
      <c r="E40" s="517">
        <v>0</v>
      </c>
      <c r="F40" s="518">
        <v>0</v>
      </c>
      <c r="G40" s="517">
        <v>0</v>
      </c>
      <c r="H40" s="518">
        <v>1</v>
      </c>
      <c r="I40" s="517">
        <v>1</v>
      </c>
      <c r="J40" s="518">
        <v>1</v>
      </c>
      <c r="K40" s="517">
        <v>1</v>
      </c>
      <c r="L40" s="518">
        <v>2</v>
      </c>
      <c r="M40" s="517">
        <v>2</v>
      </c>
      <c r="N40" s="518">
        <v>2</v>
      </c>
      <c r="O40" s="517">
        <v>0</v>
      </c>
      <c r="P40" s="518">
        <v>0</v>
      </c>
      <c r="Q40" s="517">
        <v>0</v>
      </c>
      <c r="R40" s="518">
        <v>0</v>
      </c>
      <c r="S40" s="517">
        <v>0</v>
      </c>
      <c r="T40" s="518">
        <v>0</v>
      </c>
      <c r="U40" s="517">
        <v>0</v>
      </c>
      <c r="V40" s="518">
        <v>0</v>
      </c>
      <c r="W40" s="517">
        <v>0</v>
      </c>
      <c r="X40" s="518">
        <v>0</v>
      </c>
      <c r="Y40" s="517">
        <v>0</v>
      </c>
      <c r="Z40" s="518">
        <v>0</v>
      </c>
      <c r="AA40" s="517">
        <v>0</v>
      </c>
      <c r="AB40" s="518">
        <v>0</v>
      </c>
      <c r="AC40" s="517">
        <v>0</v>
      </c>
      <c r="AD40" s="518">
        <v>0</v>
      </c>
      <c r="AE40" s="517">
        <v>0</v>
      </c>
      <c r="AF40" s="518">
        <v>0</v>
      </c>
      <c r="AG40" s="670">
        <v>0</v>
      </c>
      <c r="AH40" s="691">
        <v>0</v>
      </c>
      <c r="AI40" s="690">
        <v>0</v>
      </c>
      <c r="AJ40" s="518">
        <v>0</v>
      </c>
      <c r="AK40" s="670">
        <v>0</v>
      </c>
      <c r="AL40" s="518">
        <v>0</v>
      </c>
      <c r="AM40" s="517">
        <v>0</v>
      </c>
      <c r="AN40" s="518">
        <v>0</v>
      </c>
      <c r="AO40" s="517">
        <v>0</v>
      </c>
      <c r="AP40" s="518">
        <v>0</v>
      </c>
      <c r="AQ40" s="517">
        <v>0</v>
      </c>
      <c r="AR40" s="518">
        <v>0</v>
      </c>
      <c r="AS40" s="517">
        <v>0</v>
      </c>
      <c r="AT40" s="691">
        <v>0</v>
      </c>
      <c r="AU40" s="517">
        <v>0</v>
      </c>
      <c r="AV40" s="518">
        <v>0</v>
      </c>
      <c r="AW40" s="670">
        <v>0</v>
      </c>
      <c r="AX40" s="518">
        <v>0</v>
      </c>
      <c r="AY40" s="517">
        <v>0</v>
      </c>
      <c r="AZ40" s="518">
        <v>0</v>
      </c>
      <c r="BA40" s="517">
        <v>0</v>
      </c>
      <c r="BB40" s="691">
        <v>0</v>
      </c>
      <c r="BC40" s="690">
        <v>0</v>
      </c>
      <c r="BD40" s="518">
        <v>0</v>
      </c>
      <c r="BE40" s="690">
        <v>0</v>
      </c>
      <c r="BF40" s="518">
        <v>0</v>
      </c>
      <c r="BG40" s="670">
        <v>0</v>
      </c>
      <c r="BH40" s="518">
        <v>0</v>
      </c>
      <c r="BI40" s="670">
        <v>0</v>
      </c>
      <c r="BJ40" s="518">
        <v>0</v>
      </c>
      <c r="BK40" s="690">
        <v>0</v>
      </c>
      <c r="BL40" s="518">
        <v>0</v>
      </c>
      <c r="BM40" s="517">
        <v>0</v>
      </c>
      <c r="BN40" s="691">
        <v>0</v>
      </c>
      <c r="BO40" s="517">
        <v>0</v>
      </c>
      <c r="BP40" s="518">
        <v>0</v>
      </c>
      <c r="BQ40" s="517">
        <v>0</v>
      </c>
      <c r="BR40" s="518">
        <v>0</v>
      </c>
      <c r="BS40" s="517">
        <v>0</v>
      </c>
      <c r="BT40" s="518">
        <v>1</v>
      </c>
      <c r="BU40" s="517">
        <v>0</v>
      </c>
      <c r="BV40" s="518">
        <v>0</v>
      </c>
      <c r="BW40" s="517">
        <v>0</v>
      </c>
      <c r="BX40" s="518">
        <v>1</v>
      </c>
      <c r="BY40" s="517">
        <v>1</v>
      </c>
      <c r="BZ40" s="517">
        <v>1</v>
      </c>
      <c r="CA40" s="812"/>
      <c r="CB40" s="517">
        <v>0</v>
      </c>
      <c r="CC40" s="518">
        <v>0</v>
      </c>
      <c r="CD40" s="517">
        <v>0</v>
      </c>
      <c r="CE40" s="518">
        <v>0</v>
      </c>
      <c r="CF40" s="517">
        <v>0</v>
      </c>
      <c r="CG40" s="518">
        <v>0</v>
      </c>
      <c r="CH40" s="517">
        <v>0</v>
      </c>
      <c r="CI40" s="518">
        <v>0</v>
      </c>
      <c r="CJ40" s="517">
        <v>0</v>
      </c>
      <c r="CK40" s="518">
        <v>0</v>
      </c>
      <c r="CL40" s="517">
        <v>0</v>
      </c>
      <c r="CM40" s="518">
        <v>0</v>
      </c>
      <c r="CN40" s="517">
        <v>0</v>
      </c>
      <c r="CO40" s="518">
        <v>0</v>
      </c>
      <c r="CP40" s="518">
        <v>0</v>
      </c>
      <c r="CQ40" s="517">
        <v>0</v>
      </c>
      <c r="CR40" s="518">
        <v>0</v>
      </c>
      <c r="CS40" s="517">
        <v>1</v>
      </c>
      <c r="CT40" s="518">
        <v>0</v>
      </c>
      <c r="CU40" s="517">
        <v>0</v>
      </c>
      <c r="CV40" s="518">
        <v>0</v>
      </c>
      <c r="CW40" s="517">
        <v>0</v>
      </c>
      <c r="CX40" s="518">
        <v>0</v>
      </c>
      <c r="CY40" s="517">
        <v>1</v>
      </c>
      <c r="CZ40" s="518">
        <v>0</v>
      </c>
      <c r="DA40" s="517">
        <v>0</v>
      </c>
      <c r="DB40" s="518">
        <v>0</v>
      </c>
      <c r="DC40" s="517">
        <v>0</v>
      </c>
      <c r="DD40" s="518">
        <v>1</v>
      </c>
      <c r="DE40" s="517">
        <v>0</v>
      </c>
      <c r="DF40" s="518">
        <v>0</v>
      </c>
      <c r="DG40" s="517">
        <v>1</v>
      </c>
      <c r="DH40" s="518">
        <v>0</v>
      </c>
      <c r="DI40" s="661">
        <v>0</v>
      </c>
      <c r="DJ40" s="679">
        <v>1</v>
      </c>
      <c r="DK40" s="676">
        <v>0</v>
      </c>
      <c r="DL40" s="842">
        <v>1</v>
      </c>
      <c r="DM40" s="837">
        <v>0</v>
      </c>
      <c r="DN40" s="691">
        <v>0</v>
      </c>
      <c r="DO40" s="690">
        <v>1</v>
      </c>
      <c r="DP40" s="518">
        <v>0</v>
      </c>
      <c r="DQ40" s="517">
        <v>0</v>
      </c>
      <c r="DR40" s="518">
        <v>1</v>
      </c>
      <c r="DS40" s="517">
        <v>0</v>
      </c>
      <c r="DT40" s="518">
        <v>0</v>
      </c>
      <c r="DU40" s="518">
        <v>0</v>
      </c>
      <c r="DV40" s="517">
        <v>0</v>
      </c>
      <c r="DW40" s="690">
        <v>0</v>
      </c>
      <c r="DX40" s="691">
        <v>0</v>
      </c>
      <c r="DY40" s="517">
        <v>1</v>
      </c>
      <c r="DZ40" s="518">
        <v>1</v>
      </c>
      <c r="EA40" s="517">
        <v>0</v>
      </c>
      <c r="EB40" s="691">
        <v>0</v>
      </c>
      <c r="EC40" s="517">
        <v>1</v>
      </c>
      <c r="ED40" s="691">
        <v>0</v>
      </c>
      <c r="EE40" s="690">
        <v>0</v>
      </c>
      <c r="EF40" s="517">
        <v>1</v>
      </c>
      <c r="EG40" s="518">
        <v>1</v>
      </c>
      <c r="EH40" s="517">
        <v>1</v>
      </c>
      <c r="EI40" s="518"/>
      <c r="EJ40" s="517"/>
      <c r="EK40" s="518">
        <v>0</v>
      </c>
      <c r="EL40" s="517"/>
      <c r="EM40" s="518">
        <v>0</v>
      </c>
      <c r="EN40" s="518">
        <v>0</v>
      </c>
      <c r="EO40" s="517"/>
      <c r="EP40" s="518"/>
      <c r="EQ40" s="517">
        <v>0</v>
      </c>
      <c r="ER40" s="518">
        <v>0</v>
      </c>
      <c r="ES40" s="517">
        <v>0</v>
      </c>
      <c r="ET40" s="691">
        <v>0</v>
      </c>
      <c r="EU40" s="690">
        <v>0</v>
      </c>
      <c r="EV40" s="847">
        <v>0</v>
      </c>
      <c r="EW40" s="690">
        <v>0</v>
      </c>
      <c r="EX40" s="518">
        <v>0</v>
      </c>
      <c r="EY40" s="517">
        <v>0</v>
      </c>
      <c r="EZ40" s="518">
        <v>0</v>
      </c>
      <c r="FA40" s="517">
        <v>0</v>
      </c>
      <c r="FB40" s="517">
        <v>0</v>
      </c>
      <c r="FC40" s="518">
        <v>0</v>
      </c>
      <c r="FD40" s="517">
        <v>0</v>
      </c>
      <c r="FE40" s="518">
        <v>0</v>
      </c>
      <c r="FF40" s="518">
        <v>0</v>
      </c>
      <c r="FG40" s="517">
        <v>0</v>
      </c>
      <c r="FH40" s="518">
        <v>0</v>
      </c>
      <c r="FI40" s="517">
        <v>0</v>
      </c>
      <c r="FJ40" s="518"/>
      <c r="FK40" s="517">
        <v>0</v>
      </c>
      <c r="FL40" s="518">
        <v>0</v>
      </c>
      <c r="FM40" s="517"/>
      <c r="FN40" s="518"/>
      <c r="FO40" s="517"/>
      <c r="FP40" s="518"/>
      <c r="FQ40" s="517">
        <v>0</v>
      </c>
      <c r="FR40" s="518"/>
      <c r="FS40" s="517">
        <v>0</v>
      </c>
      <c r="FT40" s="518">
        <v>0</v>
      </c>
      <c r="FU40" s="517">
        <v>0</v>
      </c>
      <c r="FV40" s="518">
        <v>0</v>
      </c>
      <c r="FW40" s="517">
        <v>0</v>
      </c>
      <c r="FX40" s="518">
        <v>0</v>
      </c>
      <c r="FY40" s="517">
        <v>0</v>
      </c>
      <c r="FZ40" s="518">
        <v>0</v>
      </c>
      <c r="GA40" s="517">
        <v>0</v>
      </c>
      <c r="GB40" s="518">
        <v>0</v>
      </c>
      <c r="GC40" s="517">
        <v>0</v>
      </c>
      <c r="GD40" s="518">
        <v>0</v>
      </c>
      <c r="GE40" s="517">
        <v>0</v>
      </c>
      <c r="GF40" s="518">
        <v>0</v>
      </c>
      <c r="GG40" s="517">
        <v>0</v>
      </c>
      <c r="GH40" s="518">
        <v>0</v>
      </c>
      <c r="GI40" s="517">
        <v>0</v>
      </c>
      <c r="GJ40" s="518">
        <v>1</v>
      </c>
      <c r="GK40" s="517">
        <v>1</v>
      </c>
      <c r="GL40" s="518">
        <v>0</v>
      </c>
      <c r="GM40" s="517">
        <v>0</v>
      </c>
      <c r="GN40" s="518"/>
      <c r="GO40" s="517"/>
      <c r="GP40" s="518"/>
      <c r="GQ40" s="661">
        <v>0</v>
      </c>
      <c r="GR40" s="679">
        <v>0</v>
      </c>
      <c r="GS40" s="676">
        <v>0</v>
      </c>
      <c r="GT40" s="679">
        <v>0</v>
      </c>
      <c r="GU40" s="676"/>
      <c r="GV40" s="679"/>
      <c r="GW40" s="676"/>
      <c r="GX40" s="679">
        <v>0</v>
      </c>
      <c r="GY40" s="754">
        <v>1</v>
      </c>
      <c r="GZ40" s="755">
        <v>1</v>
      </c>
      <c r="HA40" s="754">
        <v>0</v>
      </c>
    </row>
    <row r="41" spans="1:211">
      <c r="A41" s="797" t="s">
        <v>1844</v>
      </c>
      <c r="B41" s="380" t="s">
        <v>898</v>
      </c>
      <c r="C41" s="521" t="s">
        <v>1845</v>
      </c>
      <c r="D41" s="519"/>
      <c r="E41" s="517">
        <v>4</v>
      </c>
      <c r="F41" s="518">
        <v>5</v>
      </c>
      <c r="G41" s="517">
        <v>5</v>
      </c>
      <c r="H41" s="518">
        <v>5</v>
      </c>
      <c r="I41" s="517">
        <v>5</v>
      </c>
      <c r="J41" s="518">
        <v>5</v>
      </c>
      <c r="K41" s="517">
        <v>5</v>
      </c>
      <c r="L41" s="518">
        <v>6</v>
      </c>
      <c r="M41" s="517">
        <v>6</v>
      </c>
      <c r="N41" s="518">
        <v>6</v>
      </c>
      <c r="O41" s="517">
        <v>4</v>
      </c>
      <c r="P41" s="518">
        <v>4</v>
      </c>
      <c r="Q41" s="517">
        <v>4</v>
      </c>
      <c r="R41" s="518">
        <v>4</v>
      </c>
      <c r="S41" s="517">
        <v>4</v>
      </c>
      <c r="T41" s="518">
        <v>5</v>
      </c>
      <c r="U41" s="517">
        <v>5</v>
      </c>
      <c r="V41" s="518">
        <v>4</v>
      </c>
      <c r="W41" s="517">
        <v>4</v>
      </c>
      <c r="X41" s="518">
        <v>5</v>
      </c>
      <c r="Y41" s="517">
        <v>4</v>
      </c>
      <c r="Z41" s="518">
        <v>5</v>
      </c>
      <c r="AA41" s="517">
        <v>4</v>
      </c>
      <c r="AB41" s="518">
        <v>4</v>
      </c>
      <c r="AC41" s="517">
        <v>5</v>
      </c>
      <c r="AD41" s="518">
        <v>4</v>
      </c>
      <c r="AE41" s="517">
        <v>4</v>
      </c>
      <c r="AF41" s="518">
        <v>4</v>
      </c>
      <c r="AG41" s="670">
        <v>4</v>
      </c>
      <c r="AH41" s="691">
        <v>3</v>
      </c>
      <c r="AI41" s="690">
        <v>3</v>
      </c>
      <c r="AJ41" s="518">
        <v>4</v>
      </c>
      <c r="AK41" s="670">
        <v>4</v>
      </c>
      <c r="AL41" s="518">
        <v>4</v>
      </c>
      <c r="AM41" s="517">
        <v>4</v>
      </c>
      <c r="AN41" s="518">
        <v>4</v>
      </c>
      <c r="AO41" s="517">
        <v>5</v>
      </c>
      <c r="AP41" s="518">
        <v>5</v>
      </c>
      <c r="AQ41" s="517">
        <v>5</v>
      </c>
      <c r="AR41" s="518">
        <v>7</v>
      </c>
      <c r="AS41" s="517">
        <v>7</v>
      </c>
      <c r="AT41" s="691">
        <v>3</v>
      </c>
      <c r="AU41" s="517">
        <v>4</v>
      </c>
      <c r="AV41" s="518">
        <v>4</v>
      </c>
      <c r="AW41" s="670">
        <v>4</v>
      </c>
      <c r="AX41" s="518">
        <v>4</v>
      </c>
      <c r="AY41" s="517">
        <v>5</v>
      </c>
      <c r="AZ41" s="518">
        <v>5</v>
      </c>
      <c r="BA41" s="517">
        <v>5</v>
      </c>
      <c r="BB41" s="691">
        <v>3</v>
      </c>
      <c r="BC41" s="690">
        <v>3</v>
      </c>
      <c r="BD41" s="518">
        <v>7</v>
      </c>
      <c r="BE41" s="690">
        <v>3</v>
      </c>
      <c r="BF41" s="518">
        <v>4</v>
      </c>
      <c r="BG41" s="670">
        <v>4</v>
      </c>
      <c r="BH41" s="518">
        <v>5</v>
      </c>
      <c r="BI41" s="670">
        <v>4</v>
      </c>
      <c r="BJ41" s="518">
        <v>5</v>
      </c>
      <c r="BK41" s="690">
        <v>3</v>
      </c>
      <c r="BL41" s="518">
        <v>7</v>
      </c>
      <c r="BM41" s="517">
        <v>7</v>
      </c>
      <c r="BN41" s="691">
        <v>3</v>
      </c>
      <c r="BO41" s="517">
        <v>7</v>
      </c>
      <c r="BP41" s="518">
        <v>5</v>
      </c>
      <c r="BQ41" s="517">
        <v>5</v>
      </c>
      <c r="BR41" s="518">
        <v>5</v>
      </c>
      <c r="BS41" s="517">
        <v>5</v>
      </c>
      <c r="BT41" s="518">
        <v>4</v>
      </c>
      <c r="BU41" s="517">
        <v>5</v>
      </c>
      <c r="BV41" s="518">
        <v>5</v>
      </c>
      <c r="BW41" s="517">
        <v>5</v>
      </c>
      <c r="BX41" s="518">
        <v>4</v>
      </c>
      <c r="BY41" s="517">
        <v>4</v>
      </c>
      <c r="BZ41" s="517">
        <v>6</v>
      </c>
      <c r="CA41" s="812"/>
      <c r="CB41" s="517">
        <v>3</v>
      </c>
      <c r="CC41" s="518">
        <v>2</v>
      </c>
      <c r="CD41" s="517">
        <v>3</v>
      </c>
      <c r="CE41" s="518">
        <v>3</v>
      </c>
      <c r="CF41" s="517">
        <v>3</v>
      </c>
      <c r="CG41" s="518">
        <v>3</v>
      </c>
      <c r="CH41" s="517">
        <v>3</v>
      </c>
      <c r="CI41" s="518">
        <v>3</v>
      </c>
      <c r="CJ41" s="517">
        <v>3</v>
      </c>
      <c r="CK41" s="518">
        <v>3</v>
      </c>
      <c r="CL41" s="517">
        <v>4</v>
      </c>
      <c r="CM41" s="518">
        <v>4</v>
      </c>
      <c r="CN41" s="517">
        <v>4</v>
      </c>
      <c r="CO41" s="518">
        <v>4</v>
      </c>
      <c r="CP41" s="518">
        <v>4</v>
      </c>
      <c r="CQ41" s="517">
        <v>5</v>
      </c>
      <c r="CR41" s="518">
        <v>4</v>
      </c>
      <c r="CS41" s="517">
        <v>3</v>
      </c>
      <c r="CT41" s="518">
        <v>4</v>
      </c>
      <c r="CU41" s="517">
        <v>4</v>
      </c>
      <c r="CV41" s="518">
        <v>4</v>
      </c>
      <c r="CW41" s="517">
        <v>4</v>
      </c>
      <c r="CX41" s="518">
        <v>4</v>
      </c>
      <c r="CY41" s="517">
        <v>3</v>
      </c>
      <c r="CZ41" s="518">
        <v>4</v>
      </c>
      <c r="DA41" s="517">
        <v>4</v>
      </c>
      <c r="DB41" s="518">
        <v>4</v>
      </c>
      <c r="DC41" s="517">
        <v>4</v>
      </c>
      <c r="DD41" s="518">
        <v>3</v>
      </c>
      <c r="DE41" s="517">
        <v>5</v>
      </c>
      <c r="DF41" s="518">
        <v>4</v>
      </c>
      <c r="DG41" s="517">
        <v>3</v>
      </c>
      <c r="DH41" s="518">
        <v>5</v>
      </c>
      <c r="DI41" s="661">
        <v>4</v>
      </c>
      <c r="DJ41" s="679">
        <v>3</v>
      </c>
      <c r="DK41" s="676">
        <v>7</v>
      </c>
      <c r="DL41" s="842">
        <v>3</v>
      </c>
      <c r="DM41" s="837">
        <v>5</v>
      </c>
      <c r="DN41" s="691">
        <v>5</v>
      </c>
      <c r="DO41" s="690">
        <v>3</v>
      </c>
      <c r="DP41" s="518">
        <v>4</v>
      </c>
      <c r="DQ41" s="517">
        <v>4</v>
      </c>
      <c r="DR41" s="518">
        <v>3</v>
      </c>
      <c r="DS41" s="517">
        <v>5</v>
      </c>
      <c r="DT41" s="518">
        <v>5</v>
      </c>
      <c r="DU41" s="518">
        <v>5</v>
      </c>
      <c r="DV41" s="517">
        <v>6</v>
      </c>
      <c r="DW41" s="690">
        <v>7</v>
      </c>
      <c r="DX41" s="691">
        <v>7</v>
      </c>
      <c r="DY41" s="517">
        <v>5</v>
      </c>
      <c r="DZ41" s="518">
        <v>5</v>
      </c>
      <c r="EA41" s="517">
        <v>6</v>
      </c>
      <c r="EB41" s="691">
        <v>7</v>
      </c>
      <c r="EC41" s="517">
        <v>5</v>
      </c>
      <c r="ED41" s="691">
        <v>6</v>
      </c>
      <c r="EE41" s="690">
        <v>6</v>
      </c>
      <c r="EF41" s="517">
        <v>6</v>
      </c>
      <c r="EG41" s="518">
        <v>6</v>
      </c>
      <c r="EH41" s="517">
        <v>6</v>
      </c>
      <c r="EI41" s="518">
        <v>4</v>
      </c>
      <c r="EJ41" s="517">
        <v>4</v>
      </c>
      <c r="EK41" s="518">
        <v>2</v>
      </c>
      <c r="EL41" s="517"/>
      <c r="EM41" s="518">
        <v>4</v>
      </c>
      <c r="EN41" s="518">
        <v>4</v>
      </c>
      <c r="EO41" s="517"/>
      <c r="EP41" s="518"/>
      <c r="EQ41" s="517">
        <v>4</v>
      </c>
      <c r="ER41" s="518">
        <v>4</v>
      </c>
      <c r="ES41" s="517">
        <v>4</v>
      </c>
      <c r="ET41" s="691">
        <v>3</v>
      </c>
      <c r="EU41" s="690">
        <v>3</v>
      </c>
      <c r="EV41" s="847">
        <v>3</v>
      </c>
      <c r="EW41" s="690">
        <v>3</v>
      </c>
      <c r="EX41" s="518">
        <v>4</v>
      </c>
      <c r="EY41" s="517">
        <v>4</v>
      </c>
      <c r="EZ41" s="518">
        <v>4</v>
      </c>
      <c r="FA41" s="517">
        <v>4</v>
      </c>
      <c r="FB41" s="517">
        <v>2</v>
      </c>
      <c r="FC41" s="518">
        <v>2</v>
      </c>
      <c r="FD41" s="517">
        <v>2</v>
      </c>
      <c r="FE41" s="518">
        <v>2</v>
      </c>
      <c r="FF41" s="518">
        <v>3</v>
      </c>
      <c r="FG41" s="517">
        <v>3</v>
      </c>
      <c r="FH41" s="518">
        <v>0</v>
      </c>
      <c r="FI41" s="517">
        <v>0</v>
      </c>
      <c r="FJ41" s="518"/>
      <c r="FK41" s="517">
        <v>0</v>
      </c>
      <c r="FL41" s="518">
        <v>0</v>
      </c>
      <c r="FM41" s="517"/>
      <c r="FN41" s="518"/>
      <c r="FO41" s="517"/>
      <c r="FP41" s="518"/>
      <c r="FQ41" s="517">
        <v>0</v>
      </c>
      <c r="FR41" s="518"/>
      <c r="FS41" s="517">
        <v>3</v>
      </c>
      <c r="FT41" s="518">
        <v>3</v>
      </c>
      <c r="FU41" s="517">
        <v>3</v>
      </c>
      <c r="FV41" s="518">
        <v>3</v>
      </c>
      <c r="FW41" s="517">
        <v>2</v>
      </c>
      <c r="FX41" s="518">
        <v>2</v>
      </c>
      <c r="FY41" s="517">
        <v>2</v>
      </c>
      <c r="FZ41" s="518">
        <v>3</v>
      </c>
      <c r="GA41" s="517">
        <v>4</v>
      </c>
      <c r="GB41" s="518">
        <v>3</v>
      </c>
      <c r="GC41" s="517">
        <v>3</v>
      </c>
      <c r="GD41" s="518">
        <v>3</v>
      </c>
      <c r="GE41" s="517">
        <v>5</v>
      </c>
      <c r="GF41" s="518">
        <v>4</v>
      </c>
      <c r="GG41" s="517">
        <v>5</v>
      </c>
      <c r="GH41" s="518">
        <v>3</v>
      </c>
      <c r="GI41" s="517">
        <v>5</v>
      </c>
      <c r="GJ41" s="518">
        <v>3</v>
      </c>
      <c r="GK41" s="517">
        <v>3</v>
      </c>
      <c r="GL41" s="518">
        <v>1</v>
      </c>
      <c r="GM41" s="517">
        <v>1</v>
      </c>
      <c r="GN41" s="518"/>
      <c r="GO41" s="517"/>
      <c r="GP41" s="518"/>
      <c r="GQ41" s="661">
        <v>4</v>
      </c>
      <c r="GR41" s="679">
        <v>7</v>
      </c>
      <c r="GS41" s="676">
        <v>2</v>
      </c>
      <c r="GT41" s="679">
        <v>2</v>
      </c>
      <c r="GU41" s="676"/>
      <c r="GV41" s="679"/>
      <c r="GW41" s="676"/>
      <c r="GX41" s="679">
        <v>6</v>
      </c>
      <c r="GY41" s="754">
        <v>5</v>
      </c>
      <c r="GZ41" s="755">
        <v>5</v>
      </c>
      <c r="HA41" s="754">
        <v>6</v>
      </c>
    </row>
    <row r="42" spans="1:211" ht="15.75">
      <c r="A42" s="798" t="s">
        <v>1846</v>
      </c>
      <c r="B42" s="535"/>
      <c r="C42" s="520"/>
      <c r="D42" s="519"/>
      <c r="E42" s="533"/>
      <c r="F42" s="533"/>
      <c r="G42" s="533"/>
      <c r="H42" s="533"/>
      <c r="I42" s="533"/>
      <c r="J42" s="533"/>
      <c r="K42" s="533"/>
      <c r="L42" s="533"/>
      <c r="M42" s="533"/>
      <c r="N42" s="533"/>
      <c r="O42" s="533"/>
      <c r="P42" s="533"/>
      <c r="Q42" s="533"/>
      <c r="R42" s="533"/>
      <c r="S42" s="533"/>
      <c r="T42" s="533"/>
      <c r="U42" s="533"/>
      <c r="V42" s="533"/>
      <c r="W42" s="533"/>
      <c r="X42" s="533"/>
      <c r="Y42" s="533"/>
      <c r="Z42" s="533"/>
      <c r="AA42" s="533"/>
      <c r="AB42" s="533"/>
      <c r="AC42" s="533"/>
      <c r="AD42" s="533"/>
      <c r="AE42" s="533"/>
      <c r="AF42" s="533"/>
      <c r="AG42" s="533"/>
      <c r="AH42" s="695"/>
      <c r="AI42" s="695"/>
      <c r="AJ42" s="533"/>
      <c r="AK42" s="533"/>
      <c r="AL42" s="533"/>
      <c r="AM42" s="533"/>
      <c r="AN42" s="533"/>
      <c r="AO42" s="533"/>
      <c r="AP42" s="533"/>
      <c r="AQ42" s="533"/>
      <c r="AR42" s="533"/>
      <c r="AS42" s="533"/>
      <c r="AT42" s="695"/>
      <c r="AU42" s="533"/>
      <c r="AV42" s="533"/>
      <c r="AW42" s="523"/>
      <c r="AX42" s="533"/>
      <c r="AY42" s="533"/>
      <c r="AZ42" s="533"/>
      <c r="BA42" s="533"/>
      <c r="BB42" s="695"/>
      <c r="BC42" s="695"/>
      <c r="BD42" s="533"/>
      <c r="BE42" s="695"/>
      <c r="BF42" s="533"/>
      <c r="BG42" s="523"/>
      <c r="BH42" s="533"/>
      <c r="BI42" s="523"/>
      <c r="BJ42" s="533"/>
      <c r="BK42" s="695"/>
      <c r="BL42" s="533"/>
      <c r="BM42" s="533"/>
      <c r="BN42" s="695"/>
      <c r="BO42" s="533"/>
      <c r="BP42" s="533"/>
      <c r="BQ42" s="533"/>
      <c r="BR42" s="533"/>
      <c r="BS42" s="533"/>
      <c r="BT42" s="533"/>
      <c r="BU42" s="533"/>
      <c r="BV42" s="533"/>
      <c r="BW42" s="533"/>
      <c r="BX42" s="533"/>
      <c r="BY42" s="533"/>
      <c r="BZ42" s="533"/>
      <c r="CA42" s="533"/>
      <c r="CB42" s="533"/>
      <c r="CC42" s="533"/>
      <c r="CD42" s="533"/>
      <c r="CE42" s="533"/>
      <c r="CF42" s="533"/>
      <c r="CG42" s="533"/>
      <c r="CH42" s="533"/>
      <c r="CI42" s="533"/>
      <c r="CJ42" s="533"/>
      <c r="CK42" s="533"/>
      <c r="CL42" s="533"/>
      <c r="CM42" s="533"/>
      <c r="CN42" s="533"/>
      <c r="CO42" s="533"/>
      <c r="CP42" s="533"/>
      <c r="CQ42" s="533"/>
      <c r="CR42" s="533"/>
      <c r="CS42" s="533"/>
      <c r="CT42" s="533"/>
      <c r="CU42" s="533"/>
      <c r="CV42" s="533"/>
      <c r="CW42" s="533"/>
      <c r="CX42" s="533"/>
      <c r="CY42" s="533"/>
      <c r="CZ42" s="533"/>
      <c r="DA42" s="533"/>
      <c r="DB42" s="533"/>
      <c r="DC42" s="533"/>
      <c r="DD42" s="533"/>
      <c r="DE42" s="533"/>
      <c r="DF42" s="533"/>
      <c r="DG42" s="533"/>
      <c r="DH42" s="533"/>
      <c r="DI42" s="664"/>
      <c r="DJ42" s="668"/>
      <c r="DK42" s="668"/>
      <c r="DL42" s="843"/>
      <c r="DM42" s="700"/>
      <c r="DN42" s="695"/>
      <c r="DO42" s="695"/>
      <c r="DP42" s="533"/>
      <c r="DQ42" s="533"/>
      <c r="DR42" s="533"/>
      <c r="DS42" s="533"/>
      <c r="DT42" s="533"/>
      <c r="DU42" s="533"/>
      <c r="DV42" s="533"/>
      <c r="DW42" s="695"/>
      <c r="DX42" s="695"/>
      <c r="DY42" s="533"/>
      <c r="DZ42" s="533"/>
      <c r="EA42" s="533"/>
      <c r="EB42" s="695"/>
      <c r="EC42" s="533"/>
      <c r="ED42" s="695"/>
      <c r="EE42" s="695"/>
      <c r="EF42" s="533"/>
      <c r="EG42" s="533"/>
      <c r="EH42" s="533"/>
      <c r="EI42" s="533"/>
      <c r="EJ42" s="533"/>
      <c r="EK42" s="533"/>
      <c r="EL42" s="533"/>
      <c r="EM42" s="533"/>
      <c r="EN42" s="533"/>
      <c r="EO42" s="533"/>
      <c r="EP42" s="533"/>
      <c r="EQ42" s="533"/>
      <c r="ER42" s="533"/>
      <c r="ES42" s="533"/>
      <c r="ET42" s="695"/>
      <c r="EU42" s="695"/>
      <c r="EV42" s="850"/>
      <c r="EW42" s="695"/>
      <c r="EX42" s="533"/>
      <c r="EY42" s="533"/>
      <c r="EZ42" s="533"/>
      <c r="FA42" s="533"/>
      <c r="FB42" s="533"/>
      <c r="FC42" s="533"/>
      <c r="FD42" s="533"/>
      <c r="FE42" s="533"/>
      <c r="FF42" s="533"/>
      <c r="FG42" s="533"/>
      <c r="FH42" s="533"/>
      <c r="FI42" s="533"/>
      <c r="FJ42" s="533"/>
      <c r="FK42" s="533"/>
      <c r="FL42" s="533"/>
      <c r="FM42" s="533"/>
      <c r="FN42" s="533"/>
      <c r="FO42" s="533"/>
      <c r="FP42" s="533"/>
      <c r="FQ42" s="533"/>
      <c r="FR42" s="533"/>
      <c r="FS42" s="533"/>
      <c r="FT42" s="533"/>
      <c r="FU42" s="533"/>
      <c r="FV42" s="533"/>
      <c r="FW42" s="533"/>
      <c r="FX42" s="533"/>
      <c r="FY42" s="533"/>
      <c r="FZ42" s="533"/>
      <c r="GA42" s="533"/>
      <c r="GB42" s="533"/>
      <c r="GC42" s="533"/>
      <c r="GD42" s="533"/>
      <c r="GE42" s="533"/>
      <c r="GF42" s="533"/>
      <c r="GG42" s="533"/>
      <c r="GH42" s="533"/>
      <c r="GI42" s="533"/>
      <c r="GJ42" s="533"/>
      <c r="GK42" s="533"/>
      <c r="GL42" s="533"/>
      <c r="GM42" s="533"/>
      <c r="GN42" s="533"/>
      <c r="GO42" s="533"/>
      <c r="GP42" s="533"/>
      <c r="GQ42" s="664"/>
      <c r="GR42" s="668"/>
      <c r="GS42" s="668"/>
      <c r="GT42" s="668"/>
      <c r="GU42" s="668"/>
      <c r="GV42" s="668"/>
      <c r="GW42" s="668"/>
      <c r="GX42" s="668"/>
      <c r="GY42" s="543"/>
      <c r="GZ42" s="668"/>
      <c r="HA42" s="668"/>
      <c r="HB42" s="747"/>
      <c r="HC42" s="687"/>
    </row>
    <row r="43" spans="1:211">
      <c r="A43" s="797" t="s">
        <v>1847</v>
      </c>
      <c r="B43" s="516" t="s">
        <v>1848</v>
      </c>
      <c r="C43" s="521" t="s">
        <v>1849</v>
      </c>
      <c r="D43" s="519"/>
      <c r="E43" s="517">
        <v>15183</v>
      </c>
      <c r="F43" s="518">
        <v>15183</v>
      </c>
      <c r="G43" s="517">
        <v>15183</v>
      </c>
      <c r="H43" s="518">
        <v>13300</v>
      </c>
      <c r="I43" s="517">
        <v>13300</v>
      </c>
      <c r="J43" s="518">
        <v>13300</v>
      </c>
      <c r="K43" s="517">
        <v>13300</v>
      </c>
      <c r="L43" s="518">
        <v>12600</v>
      </c>
      <c r="M43" s="517">
        <v>12600</v>
      </c>
      <c r="N43" s="518">
        <v>12600</v>
      </c>
      <c r="O43" s="517">
        <v>10761</v>
      </c>
      <c r="P43" s="518">
        <v>10761</v>
      </c>
      <c r="Q43" s="517">
        <v>10761</v>
      </c>
      <c r="R43" s="518">
        <v>10761</v>
      </c>
      <c r="S43" s="517">
        <v>8011</v>
      </c>
      <c r="T43" s="518">
        <v>11055</v>
      </c>
      <c r="U43" s="517">
        <v>11055</v>
      </c>
      <c r="V43" s="518">
        <v>8080</v>
      </c>
      <c r="W43" s="517">
        <v>10450</v>
      </c>
      <c r="X43" s="518">
        <v>11055</v>
      </c>
      <c r="Y43" s="517">
        <v>10859</v>
      </c>
      <c r="Z43" s="518">
        <v>11055</v>
      </c>
      <c r="AA43" s="517">
        <v>8000</v>
      </c>
      <c r="AB43" s="518">
        <v>8000</v>
      </c>
      <c r="AC43" s="517">
        <v>11055</v>
      </c>
      <c r="AD43" s="518">
        <v>10300</v>
      </c>
      <c r="AE43" s="517">
        <v>10450</v>
      </c>
      <c r="AF43" s="518">
        <v>15183</v>
      </c>
      <c r="AG43" s="517">
        <v>15183</v>
      </c>
      <c r="AH43" s="691">
        <v>18850</v>
      </c>
      <c r="AI43" s="690">
        <v>18850</v>
      </c>
      <c r="AJ43" s="518">
        <v>15183</v>
      </c>
      <c r="AK43" s="670">
        <v>15183</v>
      </c>
      <c r="AL43" s="518">
        <v>15183</v>
      </c>
      <c r="AM43" s="517">
        <v>15183</v>
      </c>
      <c r="AN43" s="518">
        <v>15183</v>
      </c>
      <c r="AO43" s="517"/>
      <c r="AP43" s="518"/>
      <c r="AQ43" s="517"/>
      <c r="AR43" s="518">
        <v>19391</v>
      </c>
      <c r="AS43" s="670">
        <v>19391</v>
      </c>
      <c r="AT43" s="691">
        <v>22300</v>
      </c>
      <c r="AU43" s="517">
        <v>15183</v>
      </c>
      <c r="AV43" s="518">
        <v>15183</v>
      </c>
      <c r="AW43" s="670">
        <v>15183</v>
      </c>
      <c r="AX43" s="518">
        <v>15183</v>
      </c>
      <c r="AY43" s="517"/>
      <c r="AZ43" s="518"/>
      <c r="BA43" s="517"/>
      <c r="BB43" s="691">
        <v>22300</v>
      </c>
      <c r="BC43" s="690">
        <v>22300</v>
      </c>
      <c r="BD43" s="518">
        <v>19391</v>
      </c>
      <c r="BE43" s="690">
        <v>22300</v>
      </c>
      <c r="BF43" s="518">
        <v>15183</v>
      </c>
      <c r="BG43" s="670">
        <v>15183</v>
      </c>
      <c r="BH43" s="518"/>
      <c r="BI43" s="670">
        <v>15183</v>
      </c>
      <c r="BJ43" s="518"/>
      <c r="BK43" s="690">
        <v>22300</v>
      </c>
      <c r="BL43" s="518">
        <v>19391</v>
      </c>
      <c r="BM43" s="517">
        <v>19391</v>
      </c>
      <c r="BN43" s="691">
        <v>22300</v>
      </c>
      <c r="BO43" s="517">
        <v>19391</v>
      </c>
      <c r="BP43" s="518">
        <v>11105</v>
      </c>
      <c r="BQ43" s="517">
        <v>11105</v>
      </c>
      <c r="BR43" s="518">
        <v>11105</v>
      </c>
      <c r="BS43" s="517">
        <v>10450</v>
      </c>
      <c r="BT43" s="518">
        <v>10611</v>
      </c>
      <c r="BU43" s="517">
        <v>10450</v>
      </c>
      <c r="BV43" s="518">
        <v>10450</v>
      </c>
      <c r="BW43" s="517">
        <v>10450</v>
      </c>
      <c r="BX43" s="518">
        <v>10611</v>
      </c>
      <c r="BY43" s="517">
        <v>10611</v>
      </c>
      <c r="BZ43" s="517">
        <v>13391</v>
      </c>
      <c r="CA43" s="812"/>
      <c r="CB43" s="517">
        <v>10200</v>
      </c>
      <c r="CC43" s="518">
        <v>9355</v>
      </c>
      <c r="CD43" s="517">
        <v>10250</v>
      </c>
      <c r="CE43" s="518">
        <v>10300</v>
      </c>
      <c r="CF43" s="517"/>
      <c r="CG43" s="518"/>
      <c r="CH43" s="517">
        <v>12250</v>
      </c>
      <c r="CI43" s="518">
        <v>12250</v>
      </c>
      <c r="CJ43" s="517">
        <v>12250</v>
      </c>
      <c r="CK43" s="518">
        <v>12250</v>
      </c>
      <c r="CL43" s="517">
        <v>15183</v>
      </c>
      <c r="CM43" s="518">
        <v>15183</v>
      </c>
      <c r="CN43" s="517">
        <v>15183</v>
      </c>
      <c r="CO43" s="518">
        <v>15183</v>
      </c>
      <c r="CP43" s="518">
        <v>15183</v>
      </c>
      <c r="CQ43" s="517">
        <v>20171</v>
      </c>
      <c r="CR43" s="518">
        <v>7850</v>
      </c>
      <c r="CS43" s="517">
        <v>10611</v>
      </c>
      <c r="CT43" s="518">
        <v>10761</v>
      </c>
      <c r="CU43" s="517">
        <v>8000</v>
      </c>
      <c r="CV43" s="518">
        <v>8000</v>
      </c>
      <c r="CW43" s="517">
        <v>8000</v>
      </c>
      <c r="CX43" s="518">
        <v>10761</v>
      </c>
      <c r="CY43" s="517">
        <v>10611</v>
      </c>
      <c r="CZ43" s="518">
        <v>8080</v>
      </c>
      <c r="DA43" s="517">
        <v>8000</v>
      </c>
      <c r="DB43" s="518">
        <v>8000</v>
      </c>
      <c r="DC43" s="517">
        <v>8080</v>
      </c>
      <c r="DD43" s="518">
        <v>10611</v>
      </c>
      <c r="DE43" s="517">
        <v>11055</v>
      </c>
      <c r="DF43" s="518">
        <v>10450</v>
      </c>
      <c r="DG43" s="517">
        <v>10611</v>
      </c>
      <c r="DH43" s="518">
        <v>11055</v>
      </c>
      <c r="DI43" s="517">
        <v>10450</v>
      </c>
      <c r="DJ43" s="840">
        <v>10611</v>
      </c>
      <c r="DK43" s="379">
        <v>11377</v>
      </c>
      <c r="DL43" s="841">
        <v>10611</v>
      </c>
      <c r="DM43" s="701">
        <v>12250</v>
      </c>
      <c r="DN43" s="702">
        <v>12360</v>
      </c>
      <c r="DO43" s="690">
        <v>10611</v>
      </c>
      <c r="DP43" s="518">
        <v>8000</v>
      </c>
      <c r="DQ43" s="517">
        <v>10859</v>
      </c>
      <c r="DR43" s="518">
        <v>10611</v>
      </c>
      <c r="DS43" s="517">
        <v>11055</v>
      </c>
      <c r="DT43" s="518">
        <v>11055</v>
      </c>
      <c r="DU43" s="518">
        <v>11055</v>
      </c>
      <c r="DV43" s="517">
        <v>9332</v>
      </c>
      <c r="DW43" s="690">
        <v>10850</v>
      </c>
      <c r="DX43" s="691">
        <v>10850</v>
      </c>
      <c r="DY43" s="517">
        <v>10611</v>
      </c>
      <c r="DZ43" s="518">
        <v>10611</v>
      </c>
      <c r="EA43" s="517">
        <v>9332</v>
      </c>
      <c r="EB43" s="691">
        <v>10850</v>
      </c>
      <c r="EC43" s="517">
        <v>10611</v>
      </c>
      <c r="ED43" s="691">
        <v>9332</v>
      </c>
      <c r="EE43" s="690">
        <v>9332</v>
      </c>
      <c r="EF43" s="517">
        <v>13391</v>
      </c>
      <c r="EG43" s="518">
        <v>13391</v>
      </c>
      <c r="EH43" s="517">
        <v>13391</v>
      </c>
      <c r="EI43" s="518"/>
      <c r="EJ43" s="517"/>
      <c r="EK43" s="518"/>
      <c r="EL43" s="517"/>
      <c r="EM43" s="518">
        <v>17820</v>
      </c>
      <c r="EN43" s="518">
        <v>17820</v>
      </c>
      <c r="EO43" s="517"/>
      <c r="EP43" s="518"/>
      <c r="EQ43" s="517"/>
      <c r="ER43" s="518"/>
      <c r="ES43" s="517"/>
      <c r="ET43" s="691">
        <v>24470</v>
      </c>
      <c r="EU43" s="690">
        <v>24470</v>
      </c>
      <c r="EV43" s="847">
        <v>24470</v>
      </c>
      <c r="EW43" s="690">
        <v>24470</v>
      </c>
      <c r="EX43" s="518">
        <v>17820</v>
      </c>
      <c r="EY43" s="517">
        <v>17160</v>
      </c>
      <c r="EZ43" s="518">
        <v>17160</v>
      </c>
      <c r="FA43" s="517">
        <v>17160</v>
      </c>
      <c r="FB43" s="517"/>
      <c r="FC43" s="518"/>
      <c r="FD43" s="517"/>
      <c r="FE43" s="518"/>
      <c r="FF43" s="518"/>
      <c r="FG43" s="517"/>
      <c r="FH43" s="518"/>
      <c r="FI43" s="517"/>
      <c r="FJ43" s="518"/>
      <c r="FK43" s="517"/>
      <c r="FL43" s="518"/>
      <c r="FM43" s="517"/>
      <c r="FN43" s="518"/>
      <c r="FO43" s="517"/>
      <c r="FP43" s="518"/>
      <c r="FQ43" s="517"/>
      <c r="FR43" s="518"/>
      <c r="FS43" s="517"/>
      <c r="FT43" s="518"/>
      <c r="FU43" s="517"/>
      <c r="FV43" s="518"/>
      <c r="FW43" s="517">
        <v>9050</v>
      </c>
      <c r="FX43" s="518">
        <v>9135</v>
      </c>
      <c r="FY43" s="517">
        <v>9980</v>
      </c>
      <c r="FZ43" s="518">
        <v>10300</v>
      </c>
      <c r="GA43" s="517">
        <v>15183</v>
      </c>
      <c r="GB43" s="518">
        <v>12250</v>
      </c>
      <c r="GC43" s="517">
        <v>12370</v>
      </c>
      <c r="GD43" s="518">
        <v>12350</v>
      </c>
      <c r="GE43" s="517">
        <v>9925</v>
      </c>
      <c r="GF43" s="518">
        <v>10761</v>
      </c>
      <c r="GG43" s="517">
        <v>11055</v>
      </c>
      <c r="GH43" s="518">
        <v>12550</v>
      </c>
      <c r="GI43" s="517"/>
      <c r="GJ43" s="518">
        <v>10611</v>
      </c>
      <c r="GK43" s="517">
        <v>10611</v>
      </c>
      <c r="GL43" s="518"/>
      <c r="GM43" s="517"/>
      <c r="GN43" s="518"/>
      <c r="GO43" s="517"/>
      <c r="GP43" s="518"/>
      <c r="GQ43" s="661"/>
      <c r="GR43" s="518">
        <v>11105</v>
      </c>
      <c r="GS43" s="676"/>
      <c r="GT43" s="679"/>
      <c r="GU43" s="676"/>
      <c r="GV43" s="679"/>
      <c r="GW43" s="676"/>
      <c r="GX43" s="679">
        <v>11119</v>
      </c>
      <c r="GY43" s="754">
        <v>12200</v>
      </c>
      <c r="GZ43" s="755">
        <v>12200</v>
      </c>
      <c r="HA43" s="754">
        <v>10998</v>
      </c>
    </row>
    <row r="44" spans="1:211">
      <c r="A44" s="797" t="s">
        <v>1850</v>
      </c>
      <c r="B44" s="516" t="s">
        <v>1848</v>
      </c>
      <c r="C44" s="521" t="s">
        <v>1851</v>
      </c>
      <c r="D44" s="519"/>
      <c r="E44" s="517"/>
      <c r="F44" s="518"/>
      <c r="G44" s="517"/>
      <c r="H44" s="518">
        <v>9100</v>
      </c>
      <c r="I44" s="517">
        <v>9100</v>
      </c>
      <c r="J44" s="518">
        <v>9100</v>
      </c>
      <c r="K44" s="517">
        <v>9100</v>
      </c>
      <c r="L44" s="518">
        <v>8200</v>
      </c>
      <c r="M44" s="517">
        <v>8200</v>
      </c>
      <c r="N44" s="518">
        <v>8200</v>
      </c>
      <c r="O44" s="517"/>
      <c r="P44" s="518"/>
      <c r="Q44" s="517"/>
      <c r="R44" s="518"/>
      <c r="S44" s="517"/>
      <c r="T44" s="518"/>
      <c r="U44" s="517"/>
      <c r="V44" s="518"/>
      <c r="W44" s="517"/>
      <c r="X44" s="518"/>
      <c r="Y44" s="517"/>
      <c r="Z44" s="518"/>
      <c r="AA44" s="517"/>
      <c r="AB44" s="518"/>
      <c r="AC44" s="517"/>
      <c r="AD44" s="518"/>
      <c r="AE44" s="517"/>
      <c r="AF44" s="518"/>
      <c r="AG44" s="517"/>
      <c r="AH44" s="691"/>
      <c r="AI44" s="690"/>
      <c r="AJ44" s="518"/>
      <c r="AK44" s="670"/>
      <c r="AL44" s="518"/>
      <c r="AM44" s="517"/>
      <c r="AN44" s="518"/>
      <c r="AO44" s="517"/>
      <c r="AP44" s="518"/>
      <c r="AQ44" s="517"/>
      <c r="AR44" s="518"/>
      <c r="AS44" s="670"/>
      <c r="AT44" s="691"/>
      <c r="AU44" s="517"/>
      <c r="AV44" s="518"/>
      <c r="AW44" s="670"/>
      <c r="AX44" s="518"/>
      <c r="AY44" s="517"/>
      <c r="AZ44" s="518"/>
      <c r="BA44" s="517"/>
      <c r="BB44" s="691"/>
      <c r="BC44" s="690"/>
      <c r="BD44" s="518"/>
      <c r="BE44" s="690"/>
      <c r="BF44" s="518"/>
      <c r="BG44" s="670"/>
      <c r="BH44" s="518"/>
      <c r="BI44" s="670"/>
      <c r="BJ44" s="518"/>
      <c r="BK44" s="690"/>
      <c r="BL44" s="518"/>
      <c r="BM44" s="517"/>
      <c r="BN44" s="691"/>
      <c r="BO44" s="517"/>
      <c r="BP44" s="518"/>
      <c r="BQ44" s="517"/>
      <c r="BR44" s="518"/>
      <c r="BS44" s="517"/>
      <c r="BT44" s="518">
        <v>7000</v>
      </c>
      <c r="BU44" s="517"/>
      <c r="BV44" s="518"/>
      <c r="BW44" s="517"/>
      <c r="BX44" s="518">
        <v>7000</v>
      </c>
      <c r="BY44" s="517">
        <v>7000</v>
      </c>
      <c r="BZ44" s="517">
        <v>8937</v>
      </c>
      <c r="CA44" s="812"/>
      <c r="CB44" s="517"/>
      <c r="CC44" s="518"/>
      <c r="CD44" s="517"/>
      <c r="CE44" s="518"/>
      <c r="CF44" s="517"/>
      <c r="CG44" s="518"/>
      <c r="CH44" s="517"/>
      <c r="CI44" s="518"/>
      <c r="CJ44" s="517"/>
      <c r="CK44" s="518"/>
      <c r="CL44" s="517"/>
      <c r="CM44" s="518"/>
      <c r="CN44" s="517"/>
      <c r="CO44" s="518"/>
      <c r="CP44" s="518"/>
      <c r="CQ44" s="517"/>
      <c r="CR44" s="518"/>
      <c r="CS44" s="517">
        <v>7000</v>
      </c>
      <c r="CT44" s="518"/>
      <c r="CU44" s="517"/>
      <c r="CV44" s="518"/>
      <c r="CW44" s="517"/>
      <c r="CX44" s="518"/>
      <c r="CY44" s="517">
        <v>7000</v>
      </c>
      <c r="CZ44" s="518"/>
      <c r="DA44" s="517"/>
      <c r="DB44" s="518"/>
      <c r="DC44" s="517"/>
      <c r="DD44" s="518">
        <v>7000</v>
      </c>
      <c r="DE44" s="517"/>
      <c r="DF44" s="518"/>
      <c r="DG44" s="517">
        <v>7000</v>
      </c>
      <c r="DH44" s="518"/>
      <c r="DI44" s="517"/>
      <c r="DJ44" s="518">
        <v>7000</v>
      </c>
      <c r="DK44" s="379" t="s">
        <v>1852</v>
      </c>
      <c r="DL44" s="691">
        <v>7000</v>
      </c>
      <c r="DM44" s="690"/>
      <c r="DN44" s="691"/>
      <c r="DO44" s="690">
        <v>7000</v>
      </c>
      <c r="DP44" s="518"/>
      <c r="DQ44" s="517"/>
      <c r="DR44" s="518">
        <v>7000</v>
      </c>
      <c r="DS44" s="517"/>
      <c r="DT44" s="518"/>
      <c r="DU44" s="518"/>
      <c r="DV44" s="517"/>
      <c r="DW44" s="690"/>
      <c r="DX44" s="691"/>
      <c r="DY44" s="517">
        <v>7000</v>
      </c>
      <c r="DZ44" s="518">
        <v>7000</v>
      </c>
      <c r="EA44" s="517"/>
      <c r="EB44" s="691"/>
      <c r="EC44" s="517">
        <v>7000</v>
      </c>
      <c r="ED44" s="691"/>
      <c r="EE44" s="690"/>
      <c r="EF44" s="517">
        <v>8937</v>
      </c>
      <c r="EG44" s="518">
        <v>8937</v>
      </c>
      <c r="EH44" s="517">
        <v>8937</v>
      </c>
      <c r="EI44" s="518"/>
      <c r="EJ44" s="517"/>
      <c r="EK44" s="518"/>
      <c r="EL44" s="517"/>
      <c r="EM44" s="518"/>
      <c r="EN44" s="518"/>
      <c r="EO44" s="517"/>
      <c r="EP44" s="518"/>
      <c r="EQ44" s="517"/>
      <c r="ER44" s="518"/>
      <c r="ES44" s="517"/>
      <c r="ET44" s="691"/>
      <c r="EU44" s="690"/>
      <c r="EV44" s="847"/>
      <c r="EW44" s="690"/>
      <c r="EX44" s="518"/>
      <c r="EY44" s="517"/>
      <c r="EZ44" s="518"/>
      <c r="FA44" s="517"/>
      <c r="FB44" s="517"/>
      <c r="FC44" s="518"/>
      <c r="FD44" s="517"/>
      <c r="FE44" s="518"/>
      <c r="FF44" s="518"/>
      <c r="FG44" s="517"/>
      <c r="FH44" s="518"/>
      <c r="FI44" s="517"/>
      <c r="FJ44" s="518"/>
      <c r="FK44" s="517"/>
      <c r="FL44" s="518"/>
      <c r="FM44" s="517"/>
      <c r="FN44" s="518"/>
      <c r="FO44" s="517"/>
      <c r="FP44" s="518"/>
      <c r="FQ44" s="517"/>
      <c r="FR44" s="518"/>
      <c r="FS44" s="517"/>
      <c r="FT44" s="518"/>
      <c r="FU44" s="517"/>
      <c r="FV44" s="518"/>
      <c r="FW44" s="517"/>
      <c r="FX44" s="518"/>
      <c r="FY44" s="517"/>
      <c r="FZ44" s="518"/>
      <c r="GA44" s="517"/>
      <c r="GB44" s="518"/>
      <c r="GC44" s="517"/>
      <c r="GD44" s="518"/>
      <c r="GE44" s="517"/>
      <c r="GF44" s="518"/>
      <c r="GG44" s="517"/>
      <c r="GH44" s="518"/>
      <c r="GI44" s="517"/>
      <c r="GJ44" s="518">
        <v>7000</v>
      </c>
      <c r="GK44" s="517">
        <v>7000</v>
      </c>
      <c r="GL44" s="518"/>
      <c r="GM44" s="517"/>
      <c r="GN44" s="518"/>
      <c r="GO44" s="517"/>
      <c r="GP44" s="518"/>
      <c r="GQ44" s="661"/>
      <c r="GR44" s="518"/>
      <c r="GS44" s="676"/>
      <c r="GT44" s="679"/>
      <c r="GU44" s="676"/>
      <c r="GV44" s="679"/>
      <c r="GW44" s="676"/>
      <c r="GX44" s="679"/>
      <c r="GY44" s="754">
        <v>8300</v>
      </c>
      <c r="GZ44" s="755">
        <v>8300</v>
      </c>
      <c r="HA44" s="754"/>
    </row>
    <row r="45" spans="1:211">
      <c r="A45" s="797" t="s">
        <v>1853</v>
      </c>
      <c r="B45" s="516" t="s">
        <v>1848</v>
      </c>
      <c r="C45" s="521" t="s">
        <v>1854</v>
      </c>
      <c r="D45" s="519"/>
      <c r="E45" s="517">
        <v>4800</v>
      </c>
      <c r="F45" s="518">
        <v>4800</v>
      </c>
      <c r="G45" s="517">
        <v>4985</v>
      </c>
      <c r="H45" s="518">
        <v>3900</v>
      </c>
      <c r="I45" s="517">
        <v>3900</v>
      </c>
      <c r="J45" s="518">
        <v>3900</v>
      </c>
      <c r="K45" s="517">
        <v>3900</v>
      </c>
      <c r="L45" s="518">
        <v>2700</v>
      </c>
      <c r="M45" s="517">
        <v>2700</v>
      </c>
      <c r="N45" s="518">
        <v>2700</v>
      </c>
      <c r="O45" s="517">
        <v>4102</v>
      </c>
      <c r="P45" s="518">
        <v>4102</v>
      </c>
      <c r="Q45" s="517">
        <v>4102</v>
      </c>
      <c r="R45" s="518">
        <v>4102</v>
      </c>
      <c r="S45" s="517">
        <v>3780</v>
      </c>
      <c r="T45" s="518">
        <v>3854</v>
      </c>
      <c r="U45" s="517">
        <v>3854</v>
      </c>
      <c r="V45" s="518">
        <v>3810</v>
      </c>
      <c r="W45" s="517">
        <v>4012</v>
      </c>
      <c r="X45" s="518">
        <v>3854</v>
      </c>
      <c r="Y45" s="517">
        <v>4016</v>
      </c>
      <c r="Z45" s="518">
        <v>3854</v>
      </c>
      <c r="AA45" s="517">
        <v>3810</v>
      </c>
      <c r="AB45" s="518">
        <v>3810</v>
      </c>
      <c r="AC45" s="517">
        <v>3854</v>
      </c>
      <c r="AD45" s="518">
        <v>4044</v>
      </c>
      <c r="AE45" s="517">
        <v>4012</v>
      </c>
      <c r="AF45" s="518">
        <v>5200</v>
      </c>
      <c r="AG45" s="517">
        <v>5200</v>
      </c>
      <c r="AH45" s="691">
        <v>6350</v>
      </c>
      <c r="AI45" s="690">
        <v>6350</v>
      </c>
      <c r="AJ45" s="518">
        <v>5200</v>
      </c>
      <c r="AK45" s="670">
        <v>5200</v>
      </c>
      <c r="AL45" s="518">
        <v>5100</v>
      </c>
      <c r="AM45" s="517">
        <v>5100</v>
      </c>
      <c r="AN45" s="518">
        <v>5200</v>
      </c>
      <c r="AO45" s="517"/>
      <c r="AP45" s="518"/>
      <c r="AQ45" s="517"/>
      <c r="AR45" s="518">
        <v>3894</v>
      </c>
      <c r="AS45" s="670">
        <v>3894</v>
      </c>
      <c r="AT45" s="691">
        <v>10047</v>
      </c>
      <c r="AU45" s="517">
        <v>5100</v>
      </c>
      <c r="AV45" s="518">
        <v>5100</v>
      </c>
      <c r="AW45" s="670">
        <v>5200</v>
      </c>
      <c r="AX45" s="518">
        <v>5200</v>
      </c>
      <c r="AY45" s="517"/>
      <c r="AZ45" s="518"/>
      <c r="BA45" s="517"/>
      <c r="BB45" s="691">
        <v>10047</v>
      </c>
      <c r="BC45" s="690">
        <v>10047</v>
      </c>
      <c r="BD45" s="518">
        <v>3894</v>
      </c>
      <c r="BE45" s="690">
        <v>10047</v>
      </c>
      <c r="BF45" s="518">
        <v>5200</v>
      </c>
      <c r="BG45" s="670">
        <v>5200</v>
      </c>
      <c r="BH45" s="518"/>
      <c r="BI45" s="670">
        <v>5200</v>
      </c>
      <c r="BJ45" s="518"/>
      <c r="BK45" s="690">
        <v>10047</v>
      </c>
      <c r="BL45" s="518">
        <v>3894</v>
      </c>
      <c r="BM45" s="517">
        <v>3894</v>
      </c>
      <c r="BN45" s="691">
        <v>10047</v>
      </c>
      <c r="BO45" s="517">
        <v>3894</v>
      </c>
      <c r="BP45" s="518">
        <v>3835</v>
      </c>
      <c r="BQ45" s="517">
        <v>3835</v>
      </c>
      <c r="BR45" s="518">
        <v>3835</v>
      </c>
      <c r="BS45" s="517">
        <v>3600</v>
      </c>
      <c r="BT45" s="518">
        <v>3900</v>
      </c>
      <c r="BU45" s="517">
        <v>3680</v>
      </c>
      <c r="BV45" s="518">
        <v>3600</v>
      </c>
      <c r="BW45" s="517">
        <v>3600</v>
      </c>
      <c r="BX45" s="518">
        <v>3900</v>
      </c>
      <c r="BY45" s="517">
        <v>3900</v>
      </c>
      <c r="BZ45" s="517">
        <v>2683</v>
      </c>
      <c r="CA45" s="812"/>
      <c r="CB45" s="665">
        <v>6800</v>
      </c>
      <c r="CC45" s="518">
        <v>7160</v>
      </c>
      <c r="CD45" s="665">
        <v>6800</v>
      </c>
      <c r="CE45" s="518">
        <v>6850</v>
      </c>
      <c r="CF45" s="517"/>
      <c r="CG45" s="518"/>
      <c r="CH45" s="517">
        <v>8600</v>
      </c>
      <c r="CI45" s="518">
        <v>8600</v>
      </c>
      <c r="CJ45" s="517">
        <v>8800</v>
      </c>
      <c r="CK45" s="518">
        <v>8800</v>
      </c>
      <c r="CL45" s="517">
        <v>5490</v>
      </c>
      <c r="CM45" s="518">
        <v>5490</v>
      </c>
      <c r="CN45" s="517">
        <v>5382</v>
      </c>
      <c r="CO45" s="518">
        <v>5382</v>
      </c>
      <c r="CP45" s="518">
        <v>5382</v>
      </c>
      <c r="CQ45" s="517">
        <v>4586</v>
      </c>
      <c r="CR45" s="518">
        <v>3650</v>
      </c>
      <c r="CS45" s="517">
        <v>39000</v>
      </c>
      <c r="CT45" s="518">
        <v>4102</v>
      </c>
      <c r="CU45" s="517">
        <v>3750</v>
      </c>
      <c r="CV45" s="518">
        <v>3750</v>
      </c>
      <c r="CW45" s="517">
        <v>3750</v>
      </c>
      <c r="CX45" s="518">
        <v>4102</v>
      </c>
      <c r="CY45" s="517">
        <v>3900</v>
      </c>
      <c r="CZ45" s="518">
        <v>3825</v>
      </c>
      <c r="DA45" s="517">
        <v>3750</v>
      </c>
      <c r="DB45" s="518">
        <v>3750</v>
      </c>
      <c r="DC45" s="517">
        <v>3810</v>
      </c>
      <c r="DD45" s="518">
        <v>3900</v>
      </c>
      <c r="DE45" s="517">
        <v>3854</v>
      </c>
      <c r="DF45" s="518">
        <v>4012</v>
      </c>
      <c r="DG45" s="517">
        <v>3900</v>
      </c>
      <c r="DH45" s="518">
        <v>3854</v>
      </c>
      <c r="DI45" s="517">
        <v>4044</v>
      </c>
      <c r="DJ45" s="518">
        <v>3900</v>
      </c>
      <c r="DK45" s="517">
        <v>2835</v>
      </c>
      <c r="DL45" s="691">
        <v>4500</v>
      </c>
      <c r="DM45" s="701">
        <v>4575</v>
      </c>
      <c r="DN45" s="702">
        <v>4575</v>
      </c>
      <c r="DO45" s="690">
        <v>4500</v>
      </c>
      <c r="DP45" s="518">
        <v>3770</v>
      </c>
      <c r="DQ45" s="517">
        <v>4016</v>
      </c>
      <c r="DR45" s="518">
        <v>3900</v>
      </c>
      <c r="DS45" s="517">
        <v>3854</v>
      </c>
      <c r="DT45" s="518">
        <v>3854</v>
      </c>
      <c r="DU45" s="518">
        <v>3854</v>
      </c>
      <c r="DV45" s="517">
        <v>2261.5</v>
      </c>
      <c r="DW45" s="690">
        <v>2990</v>
      </c>
      <c r="DX45" s="691">
        <v>2990</v>
      </c>
      <c r="DY45" s="517">
        <v>3300</v>
      </c>
      <c r="DZ45" s="518">
        <v>3300</v>
      </c>
      <c r="EA45" s="517">
        <v>2261</v>
      </c>
      <c r="EB45" s="691">
        <v>3155</v>
      </c>
      <c r="EC45" s="517">
        <v>3300</v>
      </c>
      <c r="ED45" s="691">
        <v>2355</v>
      </c>
      <c r="EE45" s="690">
        <v>2355</v>
      </c>
      <c r="EF45" s="517">
        <v>2683</v>
      </c>
      <c r="EG45" s="518">
        <v>2683</v>
      </c>
      <c r="EH45" s="517">
        <v>2683</v>
      </c>
      <c r="EI45" s="518"/>
      <c r="EJ45" s="517"/>
      <c r="EK45" s="518"/>
      <c r="EL45" s="517"/>
      <c r="EM45" s="518">
        <v>7400</v>
      </c>
      <c r="EN45" s="518">
        <v>7400</v>
      </c>
      <c r="EO45" s="517"/>
      <c r="EP45" s="518"/>
      <c r="EQ45" s="517"/>
      <c r="ER45" s="518"/>
      <c r="ES45" s="517"/>
      <c r="ET45" s="691">
        <v>10600</v>
      </c>
      <c r="EU45" s="690">
        <v>10600</v>
      </c>
      <c r="EV45" s="847">
        <v>10600</v>
      </c>
      <c r="EW45" s="690">
        <v>10600</v>
      </c>
      <c r="EX45" s="518">
        <v>7400</v>
      </c>
      <c r="EY45" s="517">
        <v>5954.4</v>
      </c>
      <c r="EZ45" s="518">
        <v>5954.4</v>
      </c>
      <c r="FA45" s="517">
        <v>5954.4</v>
      </c>
      <c r="FB45" s="517"/>
      <c r="FC45" s="518"/>
      <c r="FD45" s="517"/>
      <c r="FE45" s="518"/>
      <c r="FF45" s="518"/>
      <c r="FG45" s="517"/>
      <c r="FH45" s="518"/>
      <c r="FI45" s="517"/>
      <c r="FJ45" s="518"/>
      <c r="FK45" s="517"/>
      <c r="FL45" s="518"/>
      <c r="FM45" s="517"/>
      <c r="FN45" s="518"/>
      <c r="FO45" s="517"/>
      <c r="FP45" s="518"/>
      <c r="FQ45" s="517"/>
      <c r="FR45" s="518"/>
      <c r="FS45" s="517"/>
      <c r="FT45" s="518"/>
      <c r="FU45" s="517"/>
      <c r="FV45" s="518"/>
      <c r="FW45" s="517">
        <v>6950</v>
      </c>
      <c r="FX45" s="518">
        <v>7060</v>
      </c>
      <c r="FY45" s="517"/>
      <c r="FZ45" s="518">
        <v>6850</v>
      </c>
      <c r="GA45" s="517">
        <v>5280</v>
      </c>
      <c r="GB45" s="518">
        <v>8600</v>
      </c>
      <c r="GC45" s="517">
        <v>8150</v>
      </c>
      <c r="GD45" s="518">
        <v>8150</v>
      </c>
      <c r="GE45" s="517">
        <v>3810</v>
      </c>
      <c r="GF45" s="518">
        <v>4067.5</v>
      </c>
      <c r="GG45" s="517">
        <v>3854</v>
      </c>
      <c r="GH45" s="518">
        <v>8350</v>
      </c>
      <c r="GI45" s="517"/>
      <c r="GJ45" s="518">
        <v>3900</v>
      </c>
      <c r="GK45" s="517">
        <v>3900</v>
      </c>
      <c r="GL45" s="518"/>
      <c r="GM45" s="517"/>
      <c r="GN45" s="518"/>
      <c r="GO45" s="517"/>
      <c r="GP45" s="518"/>
      <c r="GQ45" s="661"/>
      <c r="GR45" s="518">
        <v>3835</v>
      </c>
      <c r="GS45" s="676"/>
      <c r="GT45" s="679"/>
      <c r="GU45" s="676"/>
      <c r="GV45" s="679"/>
      <c r="GW45" s="676"/>
      <c r="GX45" s="679">
        <v>2510</v>
      </c>
      <c r="GY45" s="754">
        <v>2900</v>
      </c>
      <c r="GZ45" s="755">
        <v>2900</v>
      </c>
      <c r="HA45" s="754">
        <v>2467</v>
      </c>
    </row>
    <row r="46" spans="1:211">
      <c r="A46" s="797" t="s">
        <v>1855</v>
      </c>
      <c r="B46" s="516" t="s">
        <v>1856</v>
      </c>
      <c r="C46" s="521" t="s">
        <v>1857</v>
      </c>
      <c r="D46" s="519"/>
      <c r="E46" s="517">
        <f>100/105</f>
        <v>0.95238095238095233</v>
      </c>
      <c r="F46" s="518">
        <f>100/105</f>
        <v>0.95238095238095233</v>
      </c>
      <c r="G46" s="517">
        <f>100/105</f>
        <v>0.95238095238095233</v>
      </c>
      <c r="H46" s="518">
        <v>94.5</v>
      </c>
      <c r="I46" s="517">
        <v>94.5</v>
      </c>
      <c r="J46" s="518">
        <v>94.5</v>
      </c>
      <c r="K46" s="517">
        <v>94.5</v>
      </c>
      <c r="L46" s="518">
        <v>96.4</v>
      </c>
      <c r="M46" s="517">
        <v>96.4</v>
      </c>
      <c r="N46" s="518">
        <v>98.5</v>
      </c>
      <c r="O46" s="517">
        <f>1/1.095</f>
        <v>0.91324200913242015</v>
      </c>
      <c r="P46" s="518">
        <f>1/1.095</f>
        <v>0.91324200913242015</v>
      </c>
      <c r="Q46" s="517">
        <f>1/1.095</f>
        <v>0.91324200913242015</v>
      </c>
      <c r="R46" s="518">
        <f>1/1.095</f>
        <v>0.91324200913242015</v>
      </c>
      <c r="S46" s="517"/>
      <c r="T46" s="518">
        <f>1/1.125</f>
        <v>0.88888888888888884</v>
      </c>
      <c r="U46" s="517">
        <f>1/1.125</f>
        <v>0.88888888888888884</v>
      </c>
      <c r="V46" s="518"/>
      <c r="W46" s="517">
        <v>100</v>
      </c>
      <c r="X46" s="518">
        <f>1/1.125</f>
        <v>0.88888888888888884</v>
      </c>
      <c r="Y46" s="517">
        <f>1/1.105</f>
        <v>0.90497737556561086</v>
      </c>
      <c r="Z46" s="518">
        <f>1/1.125</f>
        <v>0.88888888888888884</v>
      </c>
      <c r="AA46" s="517"/>
      <c r="AB46" s="518"/>
      <c r="AC46" s="517">
        <f>1/1.125</f>
        <v>0.88888888888888884</v>
      </c>
      <c r="AD46" s="518">
        <v>100</v>
      </c>
      <c r="AE46" s="517">
        <v>100</v>
      </c>
      <c r="AF46" s="518">
        <f>100/105</f>
        <v>0.95238095238095233</v>
      </c>
      <c r="AG46" s="517">
        <f>100/105</f>
        <v>0.95238095238095233</v>
      </c>
      <c r="AH46" s="691">
        <f>18150/18850</f>
        <v>0.96286472148541113</v>
      </c>
      <c r="AI46" s="690">
        <f>18150/18850</f>
        <v>0.96286472148541113</v>
      </c>
      <c r="AJ46" s="518">
        <f>100/105</f>
        <v>0.95238095238095233</v>
      </c>
      <c r="AK46" s="670">
        <f>100/105</f>
        <v>0.95238095238095233</v>
      </c>
      <c r="AL46" s="518">
        <f>100/105</f>
        <v>0.95238095238095233</v>
      </c>
      <c r="AM46" s="517">
        <f>100/105</f>
        <v>0.95238095238095233</v>
      </c>
      <c r="AN46" s="518">
        <f>100/105</f>
        <v>0.95238095238095233</v>
      </c>
      <c r="AO46" s="517"/>
      <c r="AP46" s="518"/>
      <c r="AQ46" s="517"/>
      <c r="AR46" s="518">
        <f>100/116.5</f>
        <v>0.85836909871244638</v>
      </c>
      <c r="AS46" s="518">
        <f>100/116.5</f>
        <v>0.85836909871244638</v>
      </c>
      <c r="AT46" s="691">
        <v>100</v>
      </c>
      <c r="AU46" s="517">
        <f>100/105</f>
        <v>0.95238095238095233</v>
      </c>
      <c r="AV46" s="518">
        <f>100/105</f>
        <v>0.95238095238095233</v>
      </c>
      <c r="AW46" s="670">
        <f>100/105</f>
        <v>0.95238095238095233</v>
      </c>
      <c r="AX46" s="518">
        <f>100/105</f>
        <v>0.95238095238095233</v>
      </c>
      <c r="AY46" s="517"/>
      <c r="AZ46" s="518"/>
      <c r="BA46" s="517"/>
      <c r="BB46" s="691">
        <v>100</v>
      </c>
      <c r="BC46" s="690">
        <v>100</v>
      </c>
      <c r="BD46" s="518">
        <f>100/116.5</f>
        <v>0.85836909871244638</v>
      </c>
      <c r="BE46" s="690">
        <v>100</v>
      </c>
      <c r="BF46" s="518">
        <f>100/105</f>
        <v>0.95238095238095233</v>
      </c>
      <c r="BG46" s="670">
        <f>100/105</f>
        <v>0.95238095238095233</v>
      </c>
      <c r="BH46" s="518"/>
      <c r="BI46" s="670">
        <f>100/105</f>
        <v>0.95238095238095233</v>
      </c>
      <c r="BJ46" s="518"/>
      <c r="BK46" s="690">
        <v>100</v>
      </c>
      <c r="BL46" s="518">
        <f>100/116.5</f>
        <v>0.85836909871244638</v>
      </c>
      <c r="BM46" s="518">
        <f>100/116.5</f>
        <v>0.85836909871244638</v>
      </c>
      <c r="BN46" s="691">
        <v>100</v>
      </c>
      <c r="BO46" s="518">
        <f>100/116.5</f>
        <v>0.85836909871244638</v>
      </c>
      <c r="BP46" s="518">
        <f>100/113</f>
        <v>0.88495575221238942</v>
      </c>
      <c r="BQ46" s="517">
        <f>100/113</f>
        <v>0.88495575221238942</v>
      </c>
      <c r="BR46" s="518">
        <f>100/113</f>
        <v>0.88495575221238942</v>
      </c>
      <c r="BS46" s="517">
        <v>100</v>
      </c>
      <c r="BT46" s="518">
        <v>99.1</v>
      </c>
      <c r="BU46" s="517">
        <v>100</v>
      </c>
      <c r="BV46" s="518">
        <v>100</v>
      </c>
      <c r="BW46" s="517">
        <v>100</v>
      </c>
      <c r="BX46" s="518">
        <v>99.1</v>
      </c>
      <c r="BY46" s="517">
        <v>99.1</v>
      </c>
      <c r="BZ46" s="517">
        <v>99.5</v>
      </c>
      <c r="CA46" s="812"/>
      <c r="CB46" s="517"/>
      <c r="CC46" s="518"/>
      <c r="CD46" s="517"/>
      <c r="CE46" s="518"/>
      <c r="CF46" s="517"/>
      <c r="CG46" s="518"/>
      <c r="CH46" s="517"/>
      <c r="CI46" s="518"/>
      <c r="CJ46" s="517"/>
      <c r="CK46" s="518"/>
      <c r="CL46" s="517">
        <f>100/105</f>
        <v>0.95238095238095233</v>
      </c>
      <c r="CM46" s="518">
        <f>100/105</f>
        <v>0.95238095238095233</v>
      </c>
      <c r="CN46" s="517">
        <f>100/105</f>
        <v>0.95238095238095233</v>
      </c>
      <c r="CO46" s="518">
        <f>100/105</f>
        <v>0.95238095238095233</v>
      </c>
      <c r="CP46" s="518">
        <f>100/105</f>
        <v>0.95238095238095233</v>
      </c>
      <c r="CQ46" s="517">
        <f>100/117.5</f>
        <v>0.85106382978723405</v>
      </c>
      <c r="CR46" s="518"/>
      <c r="CS46" s="517">
        <v>102</v>
      </c>
      <c r="CT46" s="518">
        <f>1/1.095</f>
        <v>0.91324200913242015</v>
      </c>
      <c r="CU46" s="517"/>
      <c r="CV46" s="518"/>
      <c r="CW46" s="517"/>
      <c r="CX46" s="518">
        <f>100/119.5</f>
        <v>0.83682008368200833</v>
      </c>
      <c r="CY46" s="517">
        <v>95.2</v>
      </c>
      <c r="CZ46" s="518"/>
      <c r="DA46" s="517"/>
      <c r="DB46" s="518"/>
      <c r="DC46" s="517"/>
      <c r="DD46" s="518">
        <v>94.4</v>
      </c>
      <c r="DE46" s="517">
        <f>1/1.135</f>
        <v>0.88105726872246692</v>
      </c>
      <c r="DF46" s="518">
        <v>100</v>
      </c>
      <c r="DG46" s="517">
        <v>105</v>
      </c>
      <c r="DH46" s="518">
        <f>1/1.125</f>
        <v>0.88888888888888884</v>
      </c>
      <c r="DI46" s="517">
        <v>100</v>
      </c>
      <c r="DJ46" s="518">
        <v>105</v>
      </c>
      <c r="DK46" s="517">
        <v>118</v>
      </c>
      <c r="DL46" s="691">
        <v>93</v>
      </c>
      <c r="DM46" s="690"/>
      <c r="DN46" s="691"/>
      <c r="DO46" s="690">
        <v>95.8</v>
      </c>
      <c r="DP46" s="518"/>
      <c r="DQ46" s="517">
        <f>1/1.105</f>
        <v>0.90497737556561086</v>
      </c>
      <c r="DR46" s="518">
        <v>97.1</v>
      </c>
      <c r="DS46" s="517">
        <f>1/1.125</f>
        <v>0.88888888888888884</v>
      </c>
      <c r="DT46" s="518">
        <f>1/1.125</f>
        <v>0.88888888888888884</v>
      </c>
      <c r="DU46" s="518">
        <f>1/1.125</f>
        <v>0.88888888888888884</v>
      </c>
      <c r="DV46" s="517">
        <f>10590/DV43</f>
        <v>1.1348049721388769</v>
      </c>
      <c r="DW46" s="690">
        <v>100</v>
      </c>
      <c r="DX46" s="691">
        <v>100</v>
      </c>
      <c r="DY46" s="517">
        <v>98.8</v>
      </c>
      <c r="DZ46" s="518">
        <v>98.8</v>
      </c>
      <c r="EA46" s="517">
        <v>117</v>
      </c>
      <c r="EB46" s="691">
        <f>10785/10850</f>
        <v>0.99400921658986174</v>
      </c>
      <c r="EC46" s="517">
        <v>98.8</v>
      </c>
      <c r="ED46" s="691">
        <v>121</v>
      </c>
      <c r="EE46" s="690">
        <v>121</v>
      </c>
      <c r="EF46" s="517">
        <v>97.8</v>
      </c>
      <c r="EG46" s="518">
        <v>99.5</v>
      </c>
      <c r="EH46" s="517">
        <v>99.5</v>
      </c>
      <c r="EI46" s="518"/>
      <c r="EJ46" s="517"/>
      <c r="EK46" s="518"/>
      <c r="EL46" s="517"/>
      <c r="EM46" s="518">
        <f>17437/EM43</f>
        <v>0.97850729517396184</v>
      </c>
      <c r="EN46" s="518">
        <f>17470/EN43</f>
        <v>0.98035914702581373</v>
      </c>
      <c r="EO46" s="517"/>
      <c r="EP46" s="518"/>
      <c r="EQ46" s="517"/>
      <c r="ER46" s="518"/>
      <c r="ES46" s="517"/>
      <c r="ET46" s="691">
        <v>100</v>
      </c>
      <c r="EU46" s="690">
        <v>100</v>
      </c>
      <c r="EV46" s="847">
        <v>100</v>
      </c>
      <c r="EW46" s="690">
        <v>100</v>
      </c>
      <c r="EX46" s="518">
        <f>17470/EX43</f>
        <v>0.98035914702581373</v>
      </c>
      <c r="EY46" s="517">
        <f>18018/EY43</f>
        <v>1.05</v>
      </c>
      <c r="EZ46" s="518">
        <f>18018/EZ43</f>
        <v>1.05</v>
      </c>
      <c r="FA46" s="517">
        <f>18018/FA43</f>
        <v>1.05</v>
      </c>
      <c r="FB46" s="517"/>
      <c r="FC46" s="518"/>
      <c r="FD46" s="517"/>
      <c r="FE46" s="518"/>
      <c r="FF46" s="518"/>
      <c r="FG46" s="517"/>
      <c r="FH46" s="518"/>
      <c r="FI46" s="517"/>
      <c r="FJ46" s="518"/>
      <c r="FK46" s="517"/>
      <c r="FL46" s="518"/>
      <c r="FM46" s="517"/>
      <c r="FN46" s="518"/>
      <c r="FO46" s="517"/>
      <c r="FP46" s="518"/>
      <c r="FQ46" s="517"/>
      <c r="FR46" s="518"/>
      <c r="FS46" s="517"/>
      <c r="FT46" s="518"/>
      <c r="FU46" s="517"/>
      <c r="FV46" s="518"/>
      <c r="FW46" s="517"/>
      <c r="FX46" s="518"/>
      <c r="FY46" s="517"/>
      <c r="FZ46" s="518"/>
      <c r="GA46" s="517">
        <f>100/105</f>
        <v>0.95238095238095233</v>
      </c>
      <c r="GB46" s="518"/>
      <c r="GC46" s="517"/>
      <c r="GD46" s="518"/>
      <c r="GE46" s="517">
        <f>100/101</f>
        <v>0.99009900990099009</v>
      </c>
      <c r="GF46" s="518">
        <f>100/109.5</f>
        <v>0.91324200913242004</v>
      </c>
      <c r="GG46" s="517">
        <f>100/117.5</f>
        <v>0.85106382978723405</v>
      </c>
      <c r="GH46" s="518"/>
      <c r="GI46" s="517"/>
      <c r="GJ46" s="518">
        <v>93.7</v>
      </c>
      <c r="GK46" s="517">
        <v>94.5</v>
      </c>
      <c r="GL46" s="518"/>
      <c r="GM46" s="517"/>
      <c r="GN46" s="518"/>
      <c r="GO46" s="517"/>
      <c r="GP46" s="518"/>
      <c r="GQ46" s="661"/>
      <c r="GR46" s="518">
        <f>100/113</f>
        <v>0.88495575221238942</v>
      </c>
      <c r="GS46" s="676"/>
      <c r="GT46" s="679"/>
      <c r="GU46" s="676"/>
      <c r="GV46" s="679"/>
      <c r="GW46" s="676"/>
      <c r="GX46" s="679">
        <f>1/1.163</f>
        <v>0.85984522785898532</v>
      </c>
      <c r="GY46" s="754">
        <v>97.7</v>
      </c>
      <c r="GZ46" s="755">
        <v>97.7</v>
      </c>
      <c r="HA46" s="754">
        <v>100</v>
      </c>
    </row>
    <row r="47" spans="1:211">
      <c r="A47" s="797" t="s">
        <v>1858</v>
      </c>
      <c r="B47" s="516" t="s">
        <v>1856</v>
      </c>
      <c r="C47" s="521" t="s">
        <v>1859</v>
      </c>
      <c r="D47" s="519"/>
      <c r="E47" s="517"/>
      <c r="F47" s="518"/>
      <c r="G47" s="517"/>
      <c r="H47" s="518">
        <v>95.1</v>
      </c>
      <c r="I47" s="517">
        <v>95.1</v>
      </c>
      <c r="J47" s="518">
        <v>95.1</v>
      </c>
      <c r="K47" s="517">
        <v>95.1</v>
      </c>
      <c r="L47" s="518">
        <v>98.5</v>
      </c>
      <c r="M47" s="517">
        <v>98.5</v>
      </c>
      <c r="N47" s="518">
        <v>100</v>
      </c>
      <c r="O47" s="517"/>
      <c r="P47" s="518"/>
      <c r="Q47" s="517"/>
      <c r="R47" s="518"/>
      <c r="S47" s="517"/>
      <c r="T47" s="518"/>
      <c r="U47" s="517"/>
      <c r="V47" s="518"/>
      <c r="W47" s="517"/>
      <c r="X47" s="518"/>
      <c r="Y47" s="517"/>
      <c r="Z47" s="518"/>
      <c r="AA47" s="517"/>
      <c r="AB47" s="518"/>
      <c r="AC47" s="517"/>
      <c r="AD47" s="518"/>
      <c r="AE47" s="517"/>
      <c r="AF47" s="518"/>
      <c r="AG47" s="517"/>
      <c r="AH47" s="691"/>
      <c r="AI47" s="690"/>
      <c r="AJ47" s="518"/>
      <c r="AK47" s="670"/>
      <c r="AL47" s="518"/>
      <c r="AM47" s="517"/>
      <c r="AN47" s="518"/>
      <c r="AO47" s="517"/>
      <c r="AP47" s="518"/>
      <c r="AQ47" s="517"/>
      <c r="AR47" s="518"/>
      <c r="AS47" s="670"/>
      <c r="AT47" s="691"/>
      <c r="AU47" s="517"/>
      <c r="AV47" s="518"/>
      <c r="AW47" s="670"/>
      <c r="AX47" s="518"/>
      <c r="AY47" s="517"/>
      <c r="AZ47" s="518"/>
      <c r="BA47" s="517"/>
      <c r="BB47" s="691"/>
      <c r="BC47" s="690"/>
      <c r="BD47" s="518"/>
      <c r="BE47" s="690"/>
      <c r="BF47" s="518"/>
      <c r="BG47" s="670"/>
      <c r="BH47" s="518"/>
      <c r="BI47" s="670"/>
      <c r="BJ47" s="518"/>
      <c r="BK47" s="690"/>
      <c r="BL47" s="518"/>
      <c r="BM47" s="517"/>
      <c r="BN47" s="691"/>
      <c r="BO47" s="517"/>
      <c r="BP47" s="518"/>
      <c r="BQ47" s="517"/>
      <c r="BR47" s="518"/>
      <c r="BS47" s="517"/>
      <c r="BT47" s="518">
        <v>100.8</v>
      </c>
      <c r="BU47" s="517"/>
      <c r="BV47" s="518"/>
      <c r="BW47" s="517"/>
      <c r="BX47" s="518">
        <v>100.8</v>
      </c>
      <c r="BY47" s="517">
        <v>100.8</v>
      </c>
      <c r="BZ47" s="517">
        <v>100.8</v>
      </c>
      <c r="CA47" s="812"/>
      <c r="CB47" s="517"/>
      <c r="CC47" s="518"/>
      <c r="CD47" s="517"/>
      <c r="CE47" s="518"/>
      <c r="CF47" s="517"/>
      <c r="CG47" s="518"/>
      <c r="CH47" s="517"/>
      <c r="CI47" s="518"/>
      <c r="CJ47" s="517"/>
      <c r="CK47" s="518"/>
      <c r="CL47" s="517"/>
      <c r="CM47" s="518"/>
      <c r="CN47" s="517"/>
      <c r="CO47" s="518"/>
      <c r="CP47" s="518"/>
      <c r="CQ47" s="517"/>
      <c r="CR47" s="518"/>
      <c r="CS47" s="517">
        <v>103</v>
      </c>
      <c r="CT47" s="518"/>
      <c r="CU47" s="517"/>
      <c r="CV47" s="518"/>
      <c r="CW47" s="517"/>
      <c r="CX47" s="518"/>
      <c r="CY47" s="517">
        <v>103</v>
      </c>
      <c r="CZ47" s="518"/>
      <c r="DA47" s="517"/>
      <c r="DB47" s="518"/>
      <c r="DC47" s="517"/>
      <c r="DD47" s="518">
        <v>102.5</v>
      </c>
      <c r="DE47" s="517"/>
      <c r="DF47" s="518"/>
      <c r="DG47" s="517">
        <v>109.8</v>
      </c>
      <c r="DH47" s="518"/>
      <c r="DI47" s="517"/>
      <c r="DJ47" s="518">
        <v>109.8</v>
      </c>
      <c r="DK47" s="517" t="s">
        <v>1852</v>
      </c>
      <c r="DL47" s="691">
        <v>99.3</v>
      </c>
      <c r="DM47" s="690"/>
      <c r="DN47" s="691"/>
      <c r="DO47" s="690">
        <v>98</v>
      </c>
      <c r="DP47" s="518"/>
      <c r="DQ47" s="517"/>
      <c r="DR47" s="518">
        <v>105</v>
      </c>
      <c r="DS47" s="517"/>
      <c r="DT47" s="518"/>
      <c r="DU47" s="518"/>
      <c r="DV47" s="517"/>
      <c r="DW47" s="690"/>
      <c r="DX47" s="691"/>
      <c r="DY47" s="517">
        <v>102.8</v>
      </c>
      <c r="DZ47" s="518">
        <v>102.8</v>
      </c>
      <c r="EA47" s="517"/>
      <c r="EB47" s="691"/>
      <c r="EC47" s="517">
        <v>102.8</v>
      </c>
      <c r="ED47" s="691"/>
      <c r="EE47" s="690"/>
      <c r="EF47" s="517">
        <v>99.5</v>
      </c>
      <c r="EG47" s="518">
        <v>100.8</v>
      </c>
      <c r="EH47" s="517">
        <v>100.8</v>
      </c>
      <c r="EI47" s="518"/>
      <c r="EJ47" s="517"/>
      <c r="EK47" s="518"/>
      <c r="EL47" s="517"/>
      <c r="EM47" s="518"/>
      <c r="EN47" s="518"/>
      <c r="EO47" s="517"/>
      <c r="EP47" s="518"/>
      <c r="EQ47" s="517"/>
      <c r="ER47" s="518"/>
      <c r="ES47" s="517"/>
      <c r="ET47" s="691"/>
      <c r="EU47" s="690"/>
      <c r="EV47" s="847"/>
      <c r="EW47" s="690"/>
      <c r="EX47" s="518"/>
      <c r="EY47" s="517"/>
      <c r="EZ47" s="518"/>
      <c r="FA47" s="517"/>
      <c r="FB47" s="517"/>
      <c r="FC47" s="518"/>
      <c r="FD47" s="517"/>
      <c r="FE47" s="518"/>
      <c r="FF47" s="518"/>
      <c r="FG47" s="517"/>
      <c r="FH47" s="518"/>
      <c r="FI47" s="517"/>
      <c r="FJ47" s="518"/>
      <c r="FK47" s="517"/>
      <c r="FL47" s="518"/>
      <c r="FM47" s="517"/>
      <c r="FN47" s="518"/>
      <c r="FO47" s="517"/>
      <c r="FP47" s="518"/>
      <c r="FQ47" s="517"/>
      <c r="FR47" s="518"/>
      <c r="FS47" s="517"/>
      <c r="FT47" s="518"/>
      <c r="FU47" s="517"/>
      <c r="FV47" s="518"/>
      <c r="FW47" s="517"/>
      <c r="FX47" s="518"/>
      <c r="FY47" s="517"/>
      <c r="FZ47" s="518"/>
      <c r="GA47" s="517"/>
      <c r="GB47" s="518"/>
      <c r="GC47" s="517"/>
      <c r="GD47" s="518"/>
      <c r="GE47" s="517"/>
      <c r="GF47" s="518"/>
      <c r="GG47" s="517"/>
      <c r="GH47" s="518"/>
      <c r="GI47" s="517"/>
      <c r="GJ47" s="518">
        <v>101.5</v>
      </c>
      <c r="GK47" s="517">
        <v>102</v>
      </c>
      <c r="GL47" s="518"/>
      <c r="GM47" s="517"/>
      <c r="GN47" s="518"/>
      <c r="GO47" s="517"/>
      <c r="GP47" s="518"/>
      <c r="GQ47" s="661"/>
      <c r="GR47" s="518"/>
      <c r="GS47" s="676"/>
      <c r="GT47" s="679"/>
      <c r="GU47" s="676"/>
      <c r="GV47" s="679"/>
      <c r="GW47" s="676"/>
      <c r="GX47" s="679"/>
      <c r="GY47" s="754">
        <v>97.8</v>
      </c>
      <c r="GZ47" s="755">
        <v>97.8</v>
      </c>
      <c r="HA47" s="754"/>
    </row>
    <row r="48" spans="1:211">
      <c r="A48" s="797" t="s">
        <v>1860</v>
      </c>
      <c r="B48" s="516" t="s">
        <v>1856</v>
      </c>
      <c r="C48" s="521" t="s">
        <v>1861</v>
      </c>
      <c r="D48" s="519"/>
      <c r="E48" s="517">
        <f>100/100.3</f>
        <v>0.99700897308075775</v>
      </c>
      <c r="F48" s="518">
        <f>100/100.3</f>
        <v>0.99700897308075775</v>
      </c>
      <c r="G48" s="517">
        <f>100/104.2</f>
        <v>0.95969289827255277</v>
      </c>
      <c r="H48" s="518">
        <v>98.2</v>
      </c>
      <c r="I48" s="517">
        <v>98.2</v>
      </c>
      <c r="J48" s="518">
        <v>98.2</v>
      </c>
      <c r="K48" s="517">
        <v>98.2</v>
      </c>
      <c r="L48" s="518">
        <v>96.8</v>
      </c>
      <c r="M48" s="517">
        <v>96.8</v>
      </c>
      <c r="N48" s="518">
        <v>102.4</v>
      </c>
      <c r="O48" s="517">
        <f>1/1.195</f>
        <v>0.83682008368200833</v>
      </c>
      <c r="P48" s="518">
        <f>1/1.195</f>
        <v>0.83682008368200833</v>
      </c>
      <c r="Q48" s="517">
        <f>1/1.195</f>
        <v>0.83682008368200833</v>
      </c>
      <c r="R48" s="518">
        <f>1/1.195</f>
        <v>0.83682008368200833</v>
      </c>
      <c r="S48" s="517"/>
      <c r="T48" s="518">
        <f>1/1.175</f>
        <v>0.85106382978723405</v>
      </c>
      <c r="U48" s="517">
        <f>1/1.175</f>
        <v>0.85106382978723405</v>
      </c>
      <c r="V48" s="518"/>
      <c r="W48" s="517">
        <v>100</v>
      </c>
      <c r="X48" s="518">
        <f>1/1.175</f>
        <v>0.85106382978723405</v>
      </c>
      <c r="Y48" s="517">
        <f>1/1.17</f>
        <v>0.85470085470085477</v>
      </c>
      <c r="Z48" s="518">
        <f>1/1.175</f>
        <v>0.85106382978723405</v>
      </c>
      <c r="AA48" s="517"/>
      <c r="AB48" s="518"/>
      <c r="AC48" s="517">
        <f>1/1.175</f>
        <v>0.85106382978723405</v>
      </c>
      <c r="AD48" s="518">
        <v>100</v>
      </c>
      <c r="AE48" s="517">
        <v>100</v>
      </c>
      <c r="AF48" s="518">
        <f>100/104</f>
        <v>0.96153846153846156</v>
      </c>
      <c r="AG48" s="517">
        <f>100/104</f>
        <v>0.96153846153846156</v>
      </c>
      <c r="AH48" s="691">
        <f>6125/6350</f>
        <v>0.96456692913385822</v>
      </c>
      <c r="AI48" s="690">
        <f>6125/6350</f>
        <v>0.96456692913385822</v>
      </c>
      <c r="AJ48" s="518">
        <f>100/104</f>
        <v>0.96153846153846156</v>
      </c>
      <c r="AK48" s="670">
        <f>100/104</f>
        <v>0.96153846153846156</v>
      </c>
      <c r="AL48" s="518">
        <f>100/102</f>
        <v>0.98039215686274506</v>
      </c>
      <c r="AM48" s="517">
        <f>100/102</f>
        <v>0.98039215686274506</v>
      </c>
      <c r="AN48" s="518">
        <f>100/104</f>
        <v>0.96153846153846156</v>
      </c>
      <c r="AO48" s="517"/>
      <c r="AP48" s="518"/>
      <c r="AQ48" s="517"/>
      <c r="AR48" s="518">
        <f>100/101</f>
        <v>0.99009900990099009</v>
      </c>
      <c r="AS48" s="518">
        <f>100/101</f>
        <v>0.99009900990099009</v>
      </c>
      <c r="AT48" s="691">
        <v>100</v>
      </c>
      <c r="AU48" s="517">
        <f>100/102</f>
        <v>0.98039215686274506</v>
      </c>
      <c r="AV48" s="518">
        <f>100/102</f>
        <v>0.98039215686274506</v>
      </c>
      <c r="AW48" s="670">
        <f>100/104</f>
        <v>0.96153846153846156</v>
      </c>
      <c r="AX48" s="518">
        <f>100/104</f>
        <v>0.96153846153846156</v>
      </c>
      <c r="AY48" s="517"/>
      <c r="AZ48" s="518"/>
      <c r="BA48" s="517"/>
      <c r="BB48" s="691">
        <v>100</v>
      </c>
      <c r="BC48" s="690">
        <v>100</v>
      </c>
      <c r="BD48" s="518">
        <f>100/101</f>
        <v>0.99009900990099009</v>
      </c>
      <c r="BE48" s="690">
        <v>100</v>
      </c>
      <c r="BF48" s="518">
        <f>100/104</f>
        <v>0.96153846153846156</v>
      </c>
      <c r="BG48" s="670">
        <f>100/104</f>
        <v>0.96153846153846156</v>
      </c>
      <c r="BH48" s="518"/>
      <c r="BI48" s="670">
        <f>100/104</f>
        <v>0.96153846153846156</v>
      </c>
      <c r="BJ48" s="518"/>
      <c r="BK48" s="690">
        <v>100</v>
      </c>
      <c r="BL48" s="518">
        <f>100/101</f>
        <v>0.99009900990099009</v>
      </c>
      <c r="BM48" s="518">
        <f>100/101</f>
        <v>0.99009900990099009</v>
      </c>
      <c r="BN48" s="691">
        <v>100</v>
      </c>
      <c r="BO48" s="518">
        <f>100/101</f>
        <v>0.99009900990099009</v>
      </c>
      <c r="BP48" s="518">
        <f>100/115.5</f>
        <v>0.86580086580086579</v>
      </c>
      <c r="BQ48" s="517">
        <f>100/115.5</f>
        <v>0.86580086580086579</v>
      </c>
      <c r="BR48" s="518">
        <f>100/115.5</f>
        <v>0.86580086580086579</v>
      </c>
      <c r="BS48" s="517">
        <v>100</v>
      </c>
      <c r="BT48" s="518">
        <v>98.2</v>
      </c>
      <c r="BU48" s="517">
        <v>100</v>
      </c>
      <c r="BV48" s="518">
        <v>100</v>
      </c>
      <c r="BW48" s="517">
        <v>100</v>
      </c>
      <c r="BX48" s="518">
        <v>98.2</v>
      </c>
      <c r="BY48" s="517">
        <v>98.2</v>
      </c>
      <c r="BZ48" s="517">
        <v>101.5</v>
      </c>
      <c r="CA48" s="812"/>
      <c r="CB48" s="517"/>
      <c r="CC48" s="518"/>
      <c r="CD48" s="517"/>
      <c r="CE48" s="518"/>
      <c r="CF48" s="517"/>
      <c r="CG48" s="518"/>
      <c r="CH48" s="517"/>
      <c r="CI48" s="518"/>
      <c r="CJ48" s="517"/>
      <c r="CK48" s="518"/>
      <c r="CL48" s="517">
        <f>100/106</f>
        <v>0.94339622641509435</v>
      </c>
      <c r="CM48" s="518">
        <f>100/106</f>
        <v>0.94339622641509435</v>
      </c>
      <c r="CN48" s="517">
        <f>100/104</f>
        <v>0.96153846153846156</v>
      </c>
      <c r="CO48" s="518">
        <f>100/104</f>
        <v>0.96153846153846156</v>
      </c>
      <c r="CP48" s="518">
        <f>100/104</f>
        <v>0.96153846153846156</v>
      </c>
      <c r="CQ48" s="517">
        <f>100/104.3</f>
        <v>0.95877277085330781</v>
      </c>
      <c r="CR48" s="518"/>
      <c r="CS48" s="517">
        <v>98.3</v>
      </c>
      <c r="CT48" s="518">
        <f>1/1.195</f>
        <v>0.83682008368200833</v>
      </c>
      <c r="CU48" s="517"/>
      <c r="CV48" s="518"/>
      <c r="CW48" s="517"/>
      <c r="CX48" s="518">
        <f>100/109.5</f>
        <v>0.91324200913242004</v>
      </c>
      <c r="CY48" s="517">
        <v>103.7</v>
      </c>
      <c r="CZ48" s="518"/>
      <c r="DA48" s="517"/>
      <c r="DB48" s="518"/>
      <c r="DC48" s="517"/>
      <c r="DD48" s="518">
        <v>103</v>
      </c>
      <c r="DE48" s="517">
        <f>1/1.175</f>
        <v>0.85106382978723405</v>
      </c>
      <c r="DF48" s="518">
        <v>100</v>
      </c>
      <c r="DG48" s="517">
        <v>101.5</v>
      </c>
      <c r="DH48" s="518">
        <f>1/1.175</f>
        <v>0.85106382978723405</v>
      </c>
      <c r="DI48" s="517">
        <v>100</v>
      </c>
      <c r="DJ48" s="518">
        <v>101.5</v>
      </c>
      <c r="DK48" s="517">
        <v>106</v>
      </c>
      <c r="DL48" s="691">
        <v>108.5</v>
      </c>
      <c r="DM48" s="690"/>
      <c r="DN48" s="691"/>
      <c r="DO48" s="690">
        <v>108.4</v>
      </c>
      <c r="DP48" s="518"/>
      <c r="DQ48" s="517">
        <f>1/1.17</f>
        <v>0.85470085470085477</v>
      </c>
      <c r="DR48" s="518">
        <v>109.8</v>
      </c>
      <c r="DS48" s="517">
        <f>1/1.175</f>
        <v>0.85106382978723405</v>
      </c>
      <c r="DT48" s="518">
        <f>1/1.175</f>
        <v>0.85106382978723405</v>
      </c>
      <c r="DU48" s="518">
        <f>1/1.175</f>
        <v>0.85106382978723405</v>
      </c>
      <c r="DV48" s="517">
        <f>2390/DV45</f>
        <v>1.0568206942294938</v>
      </c>
      <c r="DW48" s="690">
        <v>100</v>
      </c>
      <c r="DX48" s="691">
        <v>100</v>
      </c>
      <c r="DY48" s="517">
        <v>98.5</v>
      </c>
      <c r="DZ48" s="518">
        <v>98.5</v>
      </c>
      <c r="EA48" s="517">
        <v>109</v>
      </c>
      <c r="EB48" s="691">
        <v>100</v>
      </c>
      <c r="EC48" s="517">
        <v>98.5</v>
      </c>
      <c r="ED48" s="691">
        <v>110.5</v>
      </c>
      <c r="EE48" s="690">
        <v>110.5</v>
      </c>
      <c r="EF48" s="517">
        <v>101.4</v>
      </c>
      <c r="EG48" s="518">
        <v>101.5</v>
      </c>
      <c r="EH48" s="517">
        <v>101.5</v>
      </c>
      <c r="EI48" s="518"/>
      <c r="EJ48" s="517"/>
      <c r="EK48" s="518"/>
      <c r="EL48" s="517"/>
      <c r="EM48" s="518">
        <f>7360/EM45</f>
        <v>0.99459459459459465</v>
      </c>
      <c r="EN48" s="518">
        <f>7360/EN45</f>
        <v>0.99459459459459465</v>
      </c>
      <c r="EO48" s="517"/>
      <c r="EP48" s="518"/>
      <c r="EQ48" s="517"/>
      <c r="ER48" s="518"/>
      <c r="ES48" s="517"/>
      <c r="ET48" s="691">
        <v>100</v>
      </c>
      <c r="EU48" s="690">
        <v>100</v>
      </c>
      <c r="EV48" s="847">
        <v>100</v>
      </c>
      <c r="EW48" s="690">
        <v>100</v>
      </c>
      <c r="EX48" s="518">
        <f>7360/EX45</f>
        <v>0.99459459459459465</v>
      </c>
      <c r="EY48" s="517">
        <f>6325/EY45</f>
        <v>1.0622396882977294</v>
      </c>
      <c r="EZ48" s="518">
        <f>6325/EZ45</f>
        <v>1.0622396882977294</v>
      </c>
      <c r="FA48" s="517">
        <f>6325/FA45</f>
        <v>1.0622396882977294</v>
      </c>
      <c r="FB48" s="517"/>
      <c r="FC48" s="518"/>
      <c r="FD48" s="517"/>
      <c r="FE48" s="518"/>
      <c r="FF48" s="518"/>
      <c r="FG48" s="517"/>
      <c r="FH48" s="518"/>
      <c r="FI48" s="517"/>
      <c r="FJ48" s="518"/>
      <c r="FK48" s="517"/>
      <c r="FL48" s="518"/>
      <c r="FM48" s="517"/>
      <c r="FN48" s="518"/>
      <c r="FO48" s="517"/>
      <c r="FP48" s="518"/>
      <c r="FQ48" s="517"/>
      <c r="FR48" s="518"/>
      <c r="FS48" s="517"/>
      <c r="FT48" s="518"/>
      <c r="FU48" s="517"/>
      <c r="FV48" s="518"/>
      <c r="FW48" s="517"/>
      <c r="FX48" s="518"/>
      <c r="FY48" s="517"/>
      <c r="FZ48" s="518"/>
      <c r="GA48" s="517">
        <f>100/102</f>
        <v>0.98039215686274506</v>
      </c>
      <c r="GB48" s="518"/>
      <c r="GC48" s="517"/>
      <c r="GD48" s="518"/>
      <c r="GE48" s="517">
        <f>100/111</f>
        <v>0.90090090090090091</v>
      </c>
      <c r="GF48" s="518">
        <f>100/111.3</f>
        <v>0.89847259658580414</v>
      </c>
      <c r="GG48" s="517">
        <f>100/112.5</f>
        <v>0.88888888888888884</v>
      </c>
      <c r="GH48" s="518"/>
      <c r="GI48" s="517"/>
      <c r="GJ48" s="518">
        <v>101</v>
      </c>
      <c r="GK48" s="517">
        <v>103</v>
      </c>
      <c r="GL48" s="518"/>
      <c r="GM48" s="517"/>
      <c r="GN48" s="518"/>
      <c r="GO48" s="517"/>
      <c r="GP48" s="518"/>
      <c r="GQ48" s="661"/>
      <c r="GR48" s="518">
        <f>100/115.5</f>
        <v>0.86580086580086579</v>
      </c>
      <c r="GS48" s="676"/>
      <c r="GT48" s="679"/>
      <c r="GU48" s="676"/>
      <c r="GV48" s="679"/>
      <c r="GW48" s="676"/>
      <c r="GX48" s="679">
        <f>1/1.066</f>
        <v>0.9380863039399624</v>
      </c>
      <c r="GY48" s="754">
        <v>97.2</v>
      </c>
      <c r="GZ48" s="755">
        <v>97.2</v>
      </c>
      <c r="HA48" s="754">
        <v>100</v>
      </c>
    </row>
    <row r="49" spans="1:211" ht="15.75">
      <c r="A49" s="798" t="s">
        <v>1862</v>
      </c>
      <c r="B49" s="535"/>
      <c r="C49" s="520"/>
      <c r="D49" s="519"/>
      <c r="E49" s="533"/>
      <c r="F49" s="533"/>
      <c r="G49" s="533"/>
      <c r="H49" s="533"/>
      <c r="I49" s="533"/>
      <c r="J49" s="533"/>
      <c r="K49" s="533"/>
      <c r="L49" s="533"/>
      <c r="M49" s="533"/>
      <c r="N49" s="533"/>
      <c r="O49" s="533"/>
      <c r="P49" s="533"/>
      <c r="Q49" s="533"/>
      <c r="R49" s="533"/>
      <c r="S49" s="533"/>
      <c r="T49" s="533"/>
      <c r="U49" s="533"/>
      <c r="V49" s="533"/>
      <c r="W49" s="533"/>
      <c r="X49" s="533"/>
      <c r="Y49" s="533"/>
      <c r="Z49" s="533"/>
      <c r="AA49" s="533"/>
      <c r="AB49" s="533"/>
      <c r="AC49" s="533"/>
      <c r="AD49" s="533"/>
      <c r="AE49" s="533"/>
      <c r="AF49" s="533"/>
      <c r="AG49" s="533"/>
      <c r="AH49" s="695"/>
      <c r="AI49" s="695"/>
      <c r="AJ49" s="533"/>
      <c r="AK49" s="533"/>
      <c r="AL49" s="533"/>
      <c r="AM49" s="533"/>
      <c r="AN49" s="533"/>
      <c r="AO49" s="533"/>
      <c r="AP49" s="533"/>
      <c r="AQ49" s="533"/>
      <c r="AR49" s="533"/>
      <c r="AS49" s="533"/>
      <c r="AT49" s="695"/>
      <c r="AU49" s="533"/>
      <c r="AV49" s="533"/>
      <c r="AW49" s="523"/>
      <c r="AX49" s="533"/>
      <c r="AY49" s="533"/>
      <c r="AZ49" s="533"/>
      <c r="BA49" s="533"/>
      <c r="BB49" s="695"/>
      <c r="BC49" s="695"/>
      <c r="BD49" s="533"/>
      <c r="BE49" s="695"/>
      <c r="BF49" s="533"/>
      <c r="BG49" s="523"/>
      <c r="BH49" s="533"/>
      <c r="BI49" s="523"/>
      <c r="BJ49" s="533"/>
      <c r="BK49" s="695"/>
      <c r="BL49" s="533"/>
      <c r="BM49" s="533"/>
      <c r="BN49" s="695"/>
      <c r="BO49" s="533"/>
      <c r="BP49" s="533"/>
      <c r="BQ49" s="533"/>
      <c r="BR49" s="533"/>
      <c r="BS49" s="533"/>
      <c r="BT49" s="533"/>
      <c r="BU49" s="533"/>
      <c r="BV49" s="533"/>
      <c r="BW49" s="533"/>
      <c r="BX49" s="533"/>
      <c r="BY49" s="533"/>
      <c r="BZ49" s="533"/>
      <c r="CA49" s="533"/>
      <c r="CB49" s="533"/>
      <c r="CC49" s="533"/>
      <c r="CD49" s="533"/>
      <c r="CE49" s="533"/>
      <c r="CF49" s="533"/>
      <c r="CG49" s="533"/>
      <c r="CH49" s="533"/>
      <c r="CI49" s="533"/>
      <c r="CJ49" s="533"/>
      <c r="CK49" s="533"/>
      <c r="CL49" s="533"/>
      <c r="CM49" s="533"/>
      <c r="CN49" s="533"/>
      <c r="CO49" s="533"/>
      <c r="CP49" s="533"/>
      <c r="CQ49" s="533"/>
      <c r="CR49" s="533"/>
      <c r="CS49" s="533"/>
      <c r="CT49" s="533"/>
      <c r="CU49" s="533"/>
      <c r="CV49" s="533"/>
      <c r="CW49" s="533"/>
      <c r="CX49" s="533"/>
      <c r="CY49" s="533"/>
      <c r="CZ49" s="533"/>
      <c r="DA49" s="533"/>
      <c r="DB49" s="533"/>
      <c r="DC49" s="533"/>
      <c r="DD49" s="533"/>
      <c r="DE49" s="533"/>
      <c r="DF49" s="533"/>
      <c r="DG49" s="533"/>
      <c r="DH49" s="533"/>
      <c r="DI49" s="533"/>
      <c r="DJ49" s="533"/>
      <c r="DK49" s="533"/>
      <c r="DL49" s="695"/>
      <c r="DM49" s="695"/>
      <c r="DN49" s="695"/>
      <c r="DO49" s="695"/>
      <c r="DP49" s="533"/>
      <c r="DQ49" s="533"/>
      <c r="DR49" s="533"/>
      <c r="DS49" s="533"/>
      <c r="DT49" s="533"/>
      <c r="DU49" s="533"/>
      <c r="DV49" s="533"/>
      <c r="DW49" s="695"/>
      <c r="DX49" s="695"/>
      <c r="DY49" s="533"/>
      <c r="DZ49" s="533"/>
      <c r="EA49" s="533"/>
      <c r="EB49" s="695"/>
      <c r="EC49" s="533"/>
      <c r="ED49" s="695"/>
      <c r="EE49" s="695"/>
      <c r="EF49" s="533"/>
      <c r="EG49" s="533"/>
      <c r="EH49" s="533"/>
      <c r="EI49" s="533"/>
      <c r="EJ49" s="533"/>
      <c r="EK49" s="533"/>
      <c r="EL49" s="533"/>
      <c r="EM49" s="533"/>
      <c r="EN49" s="533"/>
      <c r="EO49" s="533"/>
      <c r="EP49" s="533"/>
      <c r="EQ49" s="533"/>
      <c r="ER49" s="533"/>
      <c r="ES49" s="533"/>
      <c r="ET49" s="695"/>
      <c r="EU49" s="695"/>
      <c r="EV49" s="850"/>
      <c r="EW49" s="695"/>
      <c r="EX49" s="533"/>
      <c r="EY49" s="533"/>
      <c r="EZ49" s="533"/>
      <c r="FA49" s="533"/>
      <c r="FB49" s="533"/>
      <c r="FC49" s="533"/>
      <c r="FD49" s="533"/>
      <c r="FE49" s="533"/>
      <c r="FF49" s="533"/>
      <c r="FG49" s="533"/>
      <c r="FH49" s="533"/>
      <c r="FI49" s="533"/>
      <c r="FJ49" s="533"/>
      <c r="FK49" s="533"/>
      <c r="FL49" s="533"/>
      <c r="FM49" s="533"/>
      <c r="FN49" s="533"/>
      <c r="FO49" s="533"/>
      <c r="FP49" s="533"/>
      <c r="FQ49" s="533"/>
      <c r="FR49" s="533"/>
      <c r="FS49" s="533"/>
      <c r="FT49" s="533"/>
      <c r="FU49" s="533"/>
      <c r="FV49" s="533"/>
      <c r="FW49" s="533"/>
      <c r="FX49" s="533"/>
      <c r="FY49" s="533"/>
      <c r="FZ49" s="533"/>
      <c r="GA49" s="533"/>
      <c r="GB49" s="533"/>
      <c r="GC49" s="533"/>
      <c r="GD49" s="533"/>
      <c r="GE49" s="533"/>
      <c r="GF49" s="533"/>
      <c r="GG49" s="533"/>
      <c r="GH49" s="533"/>
      <c r="GI49" s="533"/>
      <c r="GJ49" s="533"/>
      <c r="GK49" s="533"/>
      <c r="GL49" s="533"/>
      <c r="GM49" s="533"/>
      <c r="GN49" s="533"/>
      <c r="GO49" s="533"/>
      <c r="GP49" s="533"/>
      <c r="GQ49" s="664"/>
      <c r="GR49" s="668"/>
      <c r="GS49" s="668"/>
      <c r="GT49" s="668"/>
      <c r="GU49" s="668"/>
      <c r="GV49" s="668"/>
      <c r="GW49" s="668"/>
      <c r="GX49" s="668"/>
      <c r="GY49" s="543"/>
      <c r="GZ49" s="668"/>
      <c r="HA49" s="668"/>
      <c r="HB49" s="747"/>
      <c r="HC49" s="687"/>
    </row>
    <row r="50" spans="1:211">
      <c r="A50" s="797" t="s">
        <v>1863</v>
      </c>
      <c r="B50" s="516" t="s">
        <v>1864</v>
      </c>
      <c r="C50" s="521" t="s">
        <v>1863</v>
      </c>
      <c r="D50" s="519"/>
      <c r="E50" s="517"/>
      <c r="F50" s="518"/>
      <c r="G50" s="517"/>
      <c r="H50" s="518">
        <v>837.8</v>
      </c>
      <c r="I50" s="517">
        <v>858.2</v>
      </c>
      <c r="J50" s="518">
        <v>858.2</v>
      </c>
      <c r="K50" s="517">
        <v>860.46469999999999</v>
      </c>
      <c r="L50" s="518"/>
      <c r="M50" s="517"/>
      <c r="N50" s="518"/>
      <c r="O50" s="517">
        <v>655</v>
      </c>
      <c r="P50" s="518">
        <v>658.2</v>
      </c>
      <c r="Q50" s="517">
        <v>666.8</v>
      </c>
      <c r="R50" s="518">
        <v>669.5</v>
      </c>
      <c r="S50" s="517">
        <v>743.4</v>
      </c>
      <c r="T50" s="518">
        <v>795.6</v>
      </c>
      <c r="U50" s="517">
        <v>802.4</v>
      </c>
      <c r="V50" s="518">
        <v>768.8</v>
      </c>
      <c r="W50" s="517">
        <v>773.4</v>
      </c>
      <c r="X50" s="518">
        <v>802.4</v>
      </c>
      <c r="Y50" s="517">
        <v>662.2</v>
      </c>
      <c r="Z50" s="518">
        <v>802.4</v>
      </c>
      <c r="AA50" s="517">
        <v>718.9</v>
      </c>
      <c r="AB50" s="518">
        <v>732.5</v>
      </c>
      <c r="AC50" s="517">
        <v>802.4</v>
      </c>
      <c r="AD50" s="518">
        <v>773.4</v>
      </c>
      <c r="AE50" s="517">
        <v>773.4</v>
      </c>
      <c r="AF50" s="518"/>
      <c r="AG50" s="517"/>
      <c r="AH50" s="691"/>
      <c r="AI50" s="690"/>
      <c r="AJ50" s="518"/>
      <c r="AK50" s="517"/>
      <c r="AL50" s="518"/>
      <c r="AM50" s="517"/>
      <c r="AN50" s="518"/>
      <c r="AO50" s="517"/>
      <c r="AP50" s="518"/>
      <c r="AQ50" s="517"/>
      <c r="AR50" s="518"/>
      <c r="AS50" s="670"/>
      <c r="AT50" s="691"/>
      <c r="AU50" s="517"/>
      <c r="AV50" s="518"/>
      <c r="AW50" s="670"/>
      <c r="AX50" s="518"/>
      <c r="AY50" s="517"/>
      <c r="AZ50" s="518"/>
      <c r="BA50" s="517"/>
      <c r="BB50" s="691"/>
      <c r="BC50" s="690"/>
      <c r="BD50" s="518"/>
      <c r="BE50" s="690"/>
      <c r="BF50" s="518"/>
      <c r="BG50" s="670"/>
      <c r="BH50" s="518"/>
      <c r="BI50" s="670"/>
      <c r="BJ50" s="518"/>
      <c r="BK50" s="690"/>
      <c r="BL50" s="518"/>
      <c r="BM50" s="517"/>
      <c r="BN50" s="691"/>
      <c r="BO50" s="517"/>
      <c r="BP50" s="518">
        <v>873.6</v>
      </c>
      <c r="BQ50" s="517"/>
      <c r="BR50" s="518"/>
      <c r="BS50" s="517">
        <v>877.2</v>
      </c>
      <c r="BT50" s="518"/>
      <c r="BU50" s="517"/>
      <c r="BV50" s="518">
        <v>877.2</v>
      </c>
      <c r="BW50" s="517">
        <v>877.2</v>
      </c>
      <c r="BX50" s="518">
        <v>876.3</v>
      </c>
      <c r="BY50" s="517"/>
      <c r="BZ50" s="517">
        <v>1300</v>
      </c>
      <c r="CA50" s="812"/>
      <c r="CB50" s="517"/>
      <c r="CC50" s="518">
        <v>116.1</v>
      </c>
      <c r="CD50" s="517"/>
      <c r="CE50" s="518">
        <v>207.7</v>
      </c>
      <c r="CF50" s="517"/>
      <c r="CG50" s="518"/>
      <c r="CH50" s="517">
        <v>142.9</v>
      </c>
      <c r="CI50" s="518">
        <v>144.69999999999999</v>
      </c>
      <c r="CJ50" s="517">
        <v>146.1</v>
      </c>
      <c r="CK50" s="518">
        <v>147</v>
      </c>
      <c r="CL50" s="517">
        <v>297.10300000000001</v>
      </c>
      <c r="CM50" s="518">
        <v>309.80399999999997</v>
      </c>
      <c r="CN50" s="517"/>
      <c r="CO50" s="518"/>
      <c r="CP50" s="518"/>
      <c r="CQ50" s="517"/>
      <c r="CR50" s="518">
        <v>684.5</v>
      </c>
      <c r="CS50" s="517">
        <v>686.3</v>
      </c>
      <c r="CT50" s="518">
        <v>631.9</v>
      </c>
      <c r="CU50" s="517">
        <v>695.8</v>
      </c>
      <c r="CV50" s="518">
        <v>695.8</v>
      </c>
      <c r="CW50" s="517">
        <v>721.2</v>
      </c>
      <c r="CX50" s="518">
        <v>699.5</v>
      </c>
      <c r="CY50" s="517">
        <v>702.2</v>
      </c>
      <c r="CZ50" s="518">
        <v>768.8</v>
      </c>
      <c r="DA50" s="517">
        <v>709.9</v>
      </c>
      <c r="DB50" s="518"/>
      <c r="DC50" s="517">
        <v>743.9</v>
      </c>
      <c r="DD50" s="518">
        <v>694.9</v>
      </c>
      <c r="DE50" s="517">
        <v>802.4</v>
      </c>
      <c r="DF50" s="518"/>
      <c r="DG50" s="517">
        <v>727.6</v>
      </c>
      <c r="DH50" s="518"/>
      <c r="DI50" s="517"/>
      <c r="DJ50" s="518"/>
      <c r="DK50" s="517">
        <v>1041.902</v>
      </c>
      <c r="DL50" s="691">
        <v>518</v>
      </c>
      <c r="DM50" s="690">
        <v>548.79999999999995</v>
      </c>
      <c r="DN50" s="691"/>
      <c r="DO50" s="690">
        <v>522.1</v>
      </c>
      <c r="DP50" s="518">
        <v>718.9</v>
      </c>
      <c r="DQ50" s="517">
        <v>662.2</v>
      </c>
      <c r="DR50" s="518">
        <v>727.6</v>
      </c>
      <c r="DS50" s="517"/>
      <c r="DT50" s="518"/>
      <c r="DU50" s="518"/>
      <c r="DV50" s="517"/>
      <c r="DW50" s="690">
        <v>1156.7</v>
      </c>
      <c r="DX50" s="691">
        <v>1156.7</v>
      </c>
      <c r="DY50" s="517">
        <v>1169.4000000000001</v>
      </c>
      <c r="DZ50" s="518">
        <v>1207</v>
      </c>
      <c r="EA50" s="517"/>
      <c r="EB50" s="691">
        <v>1270.0999999999999</v>
      </c>
      <c r="EC50" s="517">
        <v>1199.7</v>
      </c>
      <c r="ED50" s="691"/>
      <c r="EE50" s="690"/>
      <c r="EF50" s="517"/>
      <c r="EG50" s="518"/>
      <c r="EH50" s="517"/>
      <c r="EI50" s="518"/>
      <c r="EJ50" s="517"/>
      <c r="EK50" s="518"/>
      <c r="EL50" s="517"/>
      <c r="EM50" s="518"/>
      <c r="EN50" s="518"/>
      <c r="EO50" s="517"/>
      <c r="EP50" s="518"/>
      <c r="EQ50" s="517"/>
      <c r="ER50" s="518"/>
      <c r="ES50" s="517"/>
      <c r="ET50" s="691"/>
      <c r="EU50" s="690"/>
      <c r="EV50" s="847"/>
      <c r="EW50" s="690"/>
      <c r="EX50" s="518"/>
      <c r="EY50" s="517"/>
      <c r="EZ50" s="518"/>
      <c r="FA50" s="517"/>
      <c r="FB50" s="517"/>
      <c r="FC50" s="518"/>
      <c r="FD50" s="517">
        <v>133.4</v>
      </c>
      <c r="FE50" s="518"/>
      <c r="FF50" s="518"/>
      <c r="FG50" s="517"/>
      <c r="FH50" s="518"/>
      <c r="FI50" s="517"/>
      <c r="FJ50" s="518"/>
      <c r="FK50" s="517"/>
      <c r="FL50" s="518"/>
      <c r="FM50" s="517"/>
      <c r="FN50" s="518"/>
      <c r="FO50" s="517"/>
      <c r="FP50" s="518"/>
      <c r="FQ50" s="517"/>
      <c r="FR50" s="518"/>
      <c r="FS50" s="517"/>
      <c r="FT50" s="518"/>
      <c r="FU50" s="517"/>
      <c r="FV50" s="518"/>
      <c r="FW50" s="517"/>
      <c r="FX50" s="518"/>
      <c r="FY50" s="517">
        <v>127</v>
      </c>
      <c r="FZ50" s="518">
        <v>214.1</v>
      </c>
      <c r="GA50" s="517">
        <v>357.43099999999998</v>
      </c>
      <c r="GB50" s="518"/>
      <c r="GC50" s="517">
        <v>213.6</v>
      </c>
      <c r="GD50" s="518">
        <v>221.4</v>
      </c>
      <c r="GE50" s="517">
        <v>591</v>
      </c>
      <c r="GF50" s="518">
        <v>631.9</v>
      </c>
      <c r="GG50" s="517"/>
      <c r="GH50" s="518">
        <v>220.4</v>
      </c>
      <c r="GI50" s="517"/>
      <c r="GJ50" s="518"/>
      <c r="GK50" s="517">
        <v>686.3</v>
      </c>
      <c r="GL50" s="518"/>
      <c r="GM50" s="517"/>
      <c r="GN50" s="518"/>
      <c r="GO50" s="517"/>
      <c r="GP50" s="518"/>
      <c r="GQ50" s="661"/>
      <c r="GR50" s="679"/>
      <c r="GS50" s="676"/>
      <c r="GT50" s="679"/>
      <c r="GU50" s="676"/>
      <c r="GV50" s="679"/>
      <c r="GW50" s="676"/>
      <c r="GX50" s="679"/>
      <c r="GY50" s="754">
        <v>1204.288</v>
      </c>
      <c r="GZ50" s="755">
        <v>1204.288</v>
      </c>
      <c r="HA50" s="754"/>
    </row>
    <row r="51" spans="1:211">
      <c r="A51" s="797" t="s">
        <v>1865</v>
      </c>
      <c r="B51" s="516" t="s">
        <v>1864</v>
      </c>
      <c r="C51" s="521" t="s">
        <v>1866</v>
      </c>
      <c r="D51" s="519"/>
      <c r="E51" s="517"/>
      <c r="F51" s="518"/>
      <c r="G51" s="517"/>
      <c r="H51" s="518"/>
      <c r="I51" s="517"/>
      <c r="J51" s="518"/>
      <c r="K51" s="517"/>
      <c r="L51" s="518"/>
      <c r="M51" s="517"/>
      <c r="N51" s="518"/>
      <c r="O51" s="517"/>
      <c r="P51" s="518"/>
      <c r="Q51" s="517"/>
      <c r="R51" s="518"/>
      <c r="S51" s="517"/>
      <c r="T51" s="518"/>
      <c r="U51" s="517"/>
      <c r="V51" s="518"/>
      <c r="W51" s="517"/>
      <c r="X51" s="518"/>
      <c r="Y51" s="517"/>
      <c r="Z51" s="518"/>
      <c r="AA51" s="517"/>
      <c r="AB51" s="518"/>
      <c r="AC51" s="517"/>
      <c r="AD51" s="518"/>
      <c r="AE51" s="517"/>
      <c r="AF51" s="518"/>
      <c r="AG51" s="517"/>
      <c r="AH51" s="691"/>
      <c r="AI51" s="690"/>
      <c r="AJ51" s="518"/>
      <c r="AK51" s="517"/>
      <c r="AL51" s="518"/>
      <c r="AM51" s="517"/>
      <c r="AN51" s="518"/>
      <c r="AO51" s="517"/>
      <c r="AP51" s="518"/>
      <c r="AQ51" s="517"/>
      <c r="AR51" s="518"/>
      <c r="AS51" s="670"/>
      <c r="AT51" s="691"/>
      <c r="AU51" s="517"/>
      <c r="AV51" s="518"/>
      <c r="AW51" s="670"/>
      <c r="AX51" s="518"/>
      <c r="AY51" s="517"/>
      <c r="AZ51" s="518"/>
      <c r="BA51" s="517"/>
      <c r="BB51" s="691"/>
      <c r="BC51" s="690"/>
      <c r="BD51" s="518"/>
      <c r="BE51" s="690"/>
      <c r="BF51" s="518"/>
      <c r="BG51" s="670"/>
      <c r="BH51" s="518"/>
      <c r="BI51" s="670"/>
      <c r="BJ51" s="518"/>
      <c r="BK51" s="690"/>
      <c r="BL51" s="518"/>
      <c r="BM51" s="517"/>
      <c r="BN51" s="691"/>
      <c r="BO51" s="517"/>
      <c r="BP51" s="518"/>
      <c r="BQ51" s="517"/>
      <c r="BR51" s="518"/>
      <c r="BS51" s="517"/>
      <c r="BT51" s="518"/>
      <c r="BU51" s="517"/>
      <c r="BV51" s="518"/>
      <c r="BW51" s="517"/>
      <c r="BX51" s="518"/>
      <c r="BY51" s="517"/>
      <c r="BZ51" s="517"/>
      <c r="CA51" s="812"/>
      <c r="CB51" s="517"/>
      <c r="CC51" s="518"/>
      <c r="CD51" s="517"/>
      <c r="CE51" s="518"/>
      <c r="CF51" s="517"/>
      <c r="CG51" s="518"/>
      <c r="CH51" s="517"/>
      <c r="CI51" s="518"/>
      <c r="CJ51" s="517"/>
      <c r="CK51" s="518"/>
      <c r="CL51" s="517"/>
      <c r="CM51" s="518"/>
      <c r="CN51" s="517"/>
      <c r="CO51" s="518"/>
      <c r="CP51" s="518"/>
      <c r="CQ51" s="517"/>
      <c r="CR51" s="518"/>
      <c r="CS51" s="517"/>
      <c r="CT51" s="518"/>
      <c r="CU51" s="517"/>
      <c r="CV51" s="518"/>
      <c r="CW51" s="517"/>
      <c r="CX51" s="518"/>
      <c r="CY51" s="517"/>
      <c r="CZ51" s="518"/>
      <c r="DA51" s="517"/>
      <c r="DB51" s="518"/>
      <c r="DC51" s="517"/>
      <c r="DD51" s="518"/>
      <c r="DE51" s="517"/>
      <c r="DF51" s="518"/>
      <c r="DG51" s="517"/>
      <c r="DH51" s="518"/>
      <c r="DI51" s="517"/>
      <c r="DJ51" s="518"/>
      <c r="DK51" s="517"/>
      <c r="DL51" s="691"/>
      <c r="DM51" s="690">
        <v>151.9</v>
      </c>
      <c r="DN51" s="691"/>
      <c r="DO51" s="690"/>
      <c r="DP51" s="518"/>
      <c r="DQ51" s="517"/>
      <c r="DR51" s="518"/>
      <c r="DS51" s="517"/>
      <c r="DT51" s="518"/>
      <c r="DU51" s="518"/>
      <c r="DV51" s="517"/>
      <c r="DW51" s="690"/>
      <c r="DX51" s="691"/>
      <c r="DY51" s="517"/>
      <c r="DZ51" s="518"/>
      <c r="EA51" s="517"/>
      <c r="EB51" s="691"/>
      <c r="EC51" s="517"/>
      <c r="ED51" s="691"/>
      <c r="EE51" s="690"/>
      <c r="EF51" s="517"/>
      <c r="EG51" s="518"/>
      <c r="EH51" s="517"/>
      <c r="EI51" s="518"/>
      <c r="EJ51" s="517"/>
      <c r="EK51" s="518"/>
      <c r="EL51" s="517"/>
      <c r="EM51" s="518"/>
      <c r="EN51" s="518"/>
      <c r="EO51" s="517"/>
      <c r="EP51" s="518"/>
      <c r="EQ51" s="517"/>
      <c r="ER51" s="518"/>
      <c r="ES51" s="517"/>
      <c r="ET51" s="691"/>
      <c r="EU51" s="690"/>
      <c r="EV51" s="847"/>
      <c r="EW51" s="690"/>
      <c r="EX51" s="518"/>
      <c r="EY51" s="517"/>
      <c r="EZ51" s="518"/>
      <c r="FA51" s="517"/>
      <c r="FB51" s="517"/>
      <c r="FC51" s="518"/>
      <c r="FD51" s="517"/>
      <c r="FE51" s="518"/>
      <c r="FF51" s="518"/>
      <c r="FG51" s="517"/>
      <c r="FH51" s="518"/>
      <c r="FI51" s="517"/>
      <c r="FJ51" s="518"/>
      <c r="FK51" s="517"/>
      <c r="FL51" s="518"/>
      <c r="FM51" s="517"/>
      <c r="FN51" s="518"/>
      <c r="FO51" s="517"/>
      <c r="FP51" s="518"/>
      <c r="FQ51" s="517"/>
      <c r="FR51" s="518"/>
      <c r="FS51" s="517"/>
      <c r="FT51" s="518"/>
      <c r="FU51" s="517"/>
      <c r="FV51" s="518"/>
      <c r="FW51" s="517"/>
      <c r="FX51" s="518"/>
      <c r="FY51" s="517"/>
      <c r="FZ51" s="518"/>
      <c r="GA51" s="517"/>
      <c r="GB51" s="518"/>
      <c r="GC51" s="517"/>
      <c r="GD51" s="518"/>
      <c r="GE51" s="517"/>
      <c r="GF51" s="518"/>
      <c r="GG51" s="517"/>
      <c r="GH51" s="518"/>
      <c r="GI51" s="517"/>
      <c r="GJ51" s="518"/>
      <c r="GK51" s="517"/>
      <c r="GL51" s="518"/>
      <c r="GM51" s="517"/>
      <c r="GN51" s="518"/>
      <c r="GO51" s="517"/>
      <c r="GP51" s="518"/>
      <c r="GQ51" s="661"/>
      <c r="GR51" s="679"/>
      <c r="GS51" s="676"/>
      <c r="GT51" s="679"/>
      <c r="GU51" s="676"/>
      <c r="GV51" s="679"/>
      <c r="GW51" s="676"/>
      <c r="GX51" s="679"/>
      <c r="GY51" s="754"/>
      <c r="GZ51" s="755"/>
      <c r="HA51" s="754"/>
    </row>
    <row r="52" spans="1:211" ht="15.75">
      <c r="A52" s="798" t="s">
        <v>1867</v>
      </c>
      <c r="B52" s="534"/>
      <c r="C52" s="520"/>
      <c r="D52" s="519"/>
      <c r="E52" s="533"/>
      <c r="F52" s="533"/>
      <c r="G52" s="533"/>
      <c r="H52" s="533"/>
      <c r="I52" s="533"/>
      <c r="J52" s="533"/>
      <c r="K52" s="533"/>
      <c r="L52" s="533"/>
      <c r="M52" s="533"/>
      <c r="N52" s="533"/>
      <c r="O52" s="533"/>
      <c r="P52" s="533"/>
      <c r="Q52" s="533"/>
      <c r="R52" s="533"/>
      <c r="S52" s="533"/>
      <c r="T52" s="533"/>
      <c r="U52" s="533"/>
      <c r="V52" s="533"/>
      <c r="W52" s="533"/>
      <c r="X52" s="533"/>
      <c r="Y52" s="533"/>
      <c r="Z52" s="533"/>
      <c r="AA52" s="533"/>
      <c r="AB52" s="533"/>
      <c r="AC52" s="533"/>
      <c r="AD52" s="533"/>
      <c r="AE52" s="533"/>
      <c r="AF52" s="533"/>
      <c r="AG52" s="533"/>
      <c r="AH52" s="695"/>
      <c r="AI52" s="695"/>
      <c r="AJ52" s="533"/>
      <c r="AK52" s="533"/>
      <c r="AL52" s="533"/>
      <c r="AM52" s="533"/>
      <c r="AN52" s="533"/>
      <c r="AO52" s="533"/>
      <c r="AP52" s="533"/>
      <c r="AQ52" s="533"/>
      <c r="AR52" s="533"/>
      <c r="AS52" s="533"/>
      <c r="AT52" s="695"/>
      <c r="AU52" s="533"/>
      <c r="AV52" s="533"/>
      <c r="AW52" s="523"/>
      <c r="AX52" s="533"/>
      <c r="AY52" s="533"/>
      <c r="AZ52" s="533"/>
      <c r="BA52" s="533"/>
      <c r="BB52" s="695"/>
      <c r="BC52" s="695"/>
      <c r="BD52" s="533"/>
      <c r="BE52" s="695"/>
      <c r="BF52" s="533"/>
      <c r="BG52" s="523"/>
      <c r="BH52" s="533"/>
      <c r="BI52" s="523"/>
      <c r="BJ52" s="533"/>
      <c r="BK52" s="695"/>
      <c r="BL52" s="533"/>
      <c r="BM52" s="533"/>
      <c r="BN52" s="695"/>
      <c r="BO52" s="533"/>
      <c r="BP52" s="533"/>
      <c r="BQ52" s="533"/>
      <c r="BR52" s="533"/>
      <c r="BS52" s="533"/>
      <c r="BT52" s="533"/>
      <c r="BU52" s="533"/>
      <c r="BV52" s="533"/>
      <c r="BW52" s="533"/>
      <c r="BX52" s="533"/>
      <c r="BY52" s="533"/>
      <c r="BZ52" s="533"/>
      <c r="CA52" s="533"/>
      <c r="CB52" s="533"/>
      <c r="CC52" s="533"/>
      <c r="CD52" s="533"/>
      <c r="CE52" s="533"/>
      <c r="CF52" s="533"/>
      <c r="CG52" s="533"/>
      <c r="CH52" s="533">
        <v>535</v>
      </c>
      <c r="CI52" s="533"/>
      <c r="CJ52" s="533"/>
      <c r="CK52" s="533"/>
      <c r="CL52" s="533"/>
      <c r="CM52" s="533"/>
      <c r="CN52" s="533"/>
      <c r="CO52" s="533"/>
      <c r="CP52" s="533"/>
      <c r="CQ52" s="533"/>
      <c r="CR52" s="533"/>
      <c r="CS52" s="533"/>
      <c r="CT52" s="533"/>
      <c r="CU52" s="533"/>
      <c r="CV52" s="533"/>
      <c r="CW52" s="533"/>
      <c r="CX52" s="533"/>
      <c r="CY52" s="533"/>
      <c r="CZ52" s="533"/>
      <c r="DA52" s="533"/>
      <c r="DB52" s="533"/>
      <c r="DC52" s="533"/>
      <c r="DD52" s="533"/>
      <c r="DE52" s="533"/>
      <c r="DF52" s="533"/>
      <c r="DG52" s="533"/>
      <c r="DH52" s="533"/>
      <c r="DI52" s="533"/>
      <c r="DJ52" s="533"/>
      <c r="DK52" s="533"/>
      <c r="DL52" s="695"/>
      <c r="DM52" s="695"/>
      <c r="DN52" s="695"/>
      <c r="DO52" s="695"/>
      <c r="DP52" s="533"/>
      <c r="DQ52" s="533"/>
      <c r="DR52" s="533"/>
      <c r="DS52" s="533"/>
      <c r="DT52" s="533"/>
      <c r="DU52" s="533"/>
      <c r="DV52" s="533"/>
      <c r="DW52" s="695"/>
      <c r="DX52" s="695"/>
      <c r="DY52" s="533"/>
      <c r="DZ52" s="533"/>
      <c r="EA52" s="533"/>
      <c r="EB52" s="695"/>
      <c r="EC52" s="533"/>
      <c r="ED52" s="695"/>
      <c r="EE52" s="695"/>
      <c r="EF52" s="533"/>
      <c r="EG52" s="533"/>
      <c r="EH52" s="533"/>
      <c r="EI52" s="533"/>
      <c r="EJ52" s="533"/>
      <c r="EK52" s="533"/>
      <c r="EL52" s="533"/>
      <c r="EM52" s="533"/>
      <c r="EN52" s="533"/>
      <c r="EO52" s="533"/>
      <c r="EP52" s="533"/>
      <c r="EQ52" s="533"/>
      <c r="ER52" s="533"/>
      <c r="ES52" s="533"/>
      <c r="ET52" s="695"/>
      <c r="EU52" s="695"/>
      <c r="EV52" s="850"/>
      <c r="EW52" s="695"/>
      <c r="EX52" s="533"/>
      <c r="EY52" s="533"/>
      <c r="EZ52" s="533"/>
      <c r="FA52" s="533"/>
      <c r="FB52" s="533"/>
      <c r="FC52" s="533"/>
      <c r="FD52" s="533"/>
      <c r="FE52" s="533"/>
      <c r="FF52" s="533"/>
      <c r="FG52" s="533"/>
      <c r="FH52" s="533"/>
      <c r="FI52" s="533"/>
      <c r="FJ52" s="533"/>
      <c r="FK52" s="533"/>
      <c r="FL52" s="533"/>
      <c r="FM52" s="533"/>
      <c r="FN52" s="533"/>
      <c r="FO52" s="533"/>
      <c r="FP52" s="533"/>
      <c r="FQ52" s="533"/>
      <c r="FR52" s="533"/>
      <c r="FS52" s="533"/>
      <c r="FT52" s="533"/>
      <c r="FU52" s="533"/>
      <c r="FV52" s="533"/>
      <c r="FW52" s="533"/>
      <c r="FX52" s="533"/>
      <c r="FY52" s="533"/>
      <c r="FZ52" s="533"/>
      <c r="GA52" s="533"/>
      <c r="GB52" s="533"/>
      <c r="GC52" s="533"/>
      <c r="GD52" s="533"/>
      <c r="GE52" s="533"/>
      <c r="GF52" s="533"/>
      <c r="GG52" s="533"/>
      <c r="GH52" s="533"/>
      <c r="GI52" s="533"/>
      <c r="GJ52" s="533"/>
      <c r="GK52" s="533"/>
      <c r="GL52" s="533"/>
      <c r="GM52" s="533"/>
      <c r="GN52" s="533"/>
      <c r="GO52" s="533"/>
      <c r="GP52" s="533"/>
      <c r="GQ52" s="664"/>
      <c r="GR52" s="668"/>
      <c r="GS52" s="668"/>
      <c r="GT52" s="668"/>
      <c r="GU52" s="668"/>
      <c r="GV52" s="668"/>
      <c r="GW52" s="668"/>
      <c r="GX52" s="668"/>
      <c r="GY52" s="543"/>
      <c r="GZ52" s="668"/>
      <c r="HA52" s="668"/>
      <c r="HB52" s="747"/>
      <c r="HC52" s="687"/>
    </row>
    <row r="53" spans="1:211">
      <c r="A53" s="797" t="s">
        <v>1868</v>
      </c>
      <c r="B53" s="516" t="s">
        <v>1869</v>
      </c>
      <c r="C53" s="521" t="s">
        <v>1870</v>
      </c>
      <c r="D53" s="519"/>
      <c r="E53" s="517">
        <v>915</v>
      </c>
      <c r="F53" s="518">
        <v>930</v>
      </c>
      <c r="G53" s="517">
        <v>940</v>
      </c>
      <c r="H53" s="518">
        <v>850</v>
      </c>
      <c r="I53" s="517">
        <v>850</v>
      </c>
      <c r="J53" s="518">
        <v>850</v>
      </c>
      <c r="K53" s="517">
        <v>850</v>
      </c>
      <c r="L53" s="518">
        <v>850</v>
      </c>
      <c r="M53" s="517">
        <v>850</v>
      </c>
      <c r="N53" s="518">
        <v>850</v>
      </c>
      <c r="O53" s="517">
        <v>875</v>
      </c>
      <c r="P53" s="518">
        <v>910</v>
      </c>
      <c r="Q53" s="517">
        <v>910</v>
      </c>
      <c r="R53" s="518">
        <v>910</v>
      </c>
      <c r="S53" s="517">
        <v>650</v>
      </c>
      <c r="T53" s="518">
        <v>925</v>
      </c>
      <c r="U53" s="517">
        <v>925</v>
      </c>
      <c r="V53" s="518">
        <v>635</v>
      </c>
      <c r="W53" s="517">
        <v>629</v>
      </c>
      <c r="X53" s="518">
        <v>925</v>
      </c>
      <c r="Y53" s="517">
        <v>895</v>
      </c>
      <c r="Z53" s="518">
        <v>925</v>
      </c>
      <c r="AA53" s="517">
        <v>600</v>
      </c>
      <c r="AB53" s="518">
        <v>610</v>
      </c>
      <c r="AC53" s="517">
        <v>925</v>
      </c>
      <c r="AD53" s="518">
        <v>619</v>
      </c>
      <c r="AE53" s="517">
        <v>629</v>
      </c>
      <c r="AF53" s="518">
        <v>905</v>
      </c>
      <c r="AG53" s="517">
        <v>905</v>
      </c>
      <c r="AH53" s="691">
        <v>727</v>
      </c>
      <c r="AI53" s="690">
        <v>727</v>
      </c>
      <c r="AJ53" s="518">
        <v>915</v>
      </c>
      <c r="AK53" s="517">
        <v>915</v>
      </c>
      <c r="AL53" s="518">
        <v>885</v>
      </c>
      <c r="AM53" s="517">
        <v>885</v>
      </c>
      <c r="AN53" s="518">
        <v>915</v>
      </c>
      <c r="AO53" s="517">
        <v>610</v>
      </c>
      <c r="AP53" s="518">
        <v>610</v>
      </c>
      <c r="AQ53" s="517">
        <v>610</v>
      </c>
      <c r="AR53" s="518">
        <v>1025</v>
      </c>
      <c r="AS53" s="670">
        <v>1026</v>
      </c>
      <c r="AT53" s="691">
        <v>1043</v>
      </c>
      <c r="AU53" s="517">
        <v>885</v>
      </c>
      <c r="AV53" s="518">
        <v>880</v>
      </c>
      <c r="AW53" s="670">
        <v>915</v>
      </c>
      <c r="AX53" s="518">
        <v>905</v>
      </c>
      <c r="AY53" s="517"/>
      <c r="AZ53" s="518">
        <v>610</v>
      </c>
      <c r="BA53" s="517">
        <v>610</v>
      </c>
      <c r="BB53" s="691">
        <v>1043</v>
      </c>
      <c r="BC53" s="690">
        <v>1043</v>
      </c>
      <c r="BD53" s="518">
        <v>1025</v>
      </c>
      <c r="BE53" s="690">
        <v>1043</v>
      </c>
      <c r="BF53" s="518">
        <v>915</v>
      </c>
      <c r="BG53" s="670">
        <v>915</v>
      </c>
      <c r="BH53" s="518">
        <v>610</v>
      </c>
      <c r="BI53" s="670">
        <v>905</v>
      </c>
      <c r="BJ53" s="518">
        <v>610</v>
      </c>
      <c r="BK53" s="690">
        <v>1043</v>
      </c>
      <c r="BL53" s="518">
        <v>1025</v>
      </c>
      <c r="BM53" s="517">
        <v>1025</v>
      </c>
      <c r="BN53" s="691">
        <v>1043</v>
      </c>
      <c r="BO53" s="517">
        <v>1025</v>
      </c>
      <c r="BP53" s="518">
        <v>998</v>
      </c>
      <c r="BQ53" s="517">
        <v>998</v>
      </c>
      <c r="BR53" s="518">
        <v>1013</v>
      </c>
      <c r="BS53" s="517">
        <v>615</v>
      </c>
      <c r="BT53" s="518">
        <v>850</v>
      </c>
      <c r="BU53" s="517">
        <v>615</v>
      </c>
      <c r="BV53" s="518">
        <v>615</v>
      </c>
      <c r="BW53" s="517">
        <v>615</v>
      </c>
      <c r="BX53" s="518">
        <v>850</v>
      </c>
      <c r="BY53" s="517">
        <v>850</v>
      </c>
      <c r="BZ53" s="517">
        <f>850-84</f>
        <v>766</v>
      </c>
      <c r="CA53" s="812"/>
      <c r="CB53" s="517">
        <v>460</v>
      </c>
      <c r="CC53" s="518">
        <v>560</v>
      </c>
      <c r="CD53" s="517">
        <v>490</v>
      </c>
      <c r="CE53" s="518">
        <v>490</v>
      </c>
      <c r="CF53" s="517"/>
      <c r="CG53" s="518"/>
      <c r="CH53" s="517">
        <v>535</v>
      </c>
      <c r="CI53" s="518">
        <v>540</v>
      </c>
      <c r="CJ53" s="517">
        <v>580</v>
      </c>
      <c r="CK53" s="518">
        <v>610</v>
      </c>
      <c r="CL53" s="517">
        <v>895</v>
      </c>
      <c r="CM53" s="518">
        <v>895</v>
      </c>
      <c r="CN53" s="517">
        <v>925</v>
      </c>
      <c r="CO53" s="518">
        <v>925</v>
      </c>
      <c r="CP53" s="518">
        <v>925</v>
      </c>
      <c r="CQ53" s="517">
        <v>1013</v>
      </c>
      <c r="CR53" s="518">
        <v>816</v>
      </c>
      <c r="CS53" s="517">
        <v>732</v>
      </c>
      <c r="CT53" s="518">
        <v>910</v>
      </c>
      <c r="CU53" s="517">
        <v>880</v>
      </c>
      <c r="CV53" s="518">
        <v>880</v>
      </c>
      <c r="CW53" s="517">
        <v>925</v>
      </c>
      <c r="CX53" s="518">
        <v>910</v>
      </c>
      <c r="CY53" s="517">
        <v>722</v>
      </c>
      <c r="CZ53" s="518">
        <v>620</v>
      </c>
      <c r="DA53" s="517">
        <v>910</v>
      </c>
      <c r="DB53" s="518">
        <v>910</v>
      </c>
      <c r="DC53" s="517">
        <v>650</v>
      </c>
      <c r="DD53" s="518">
        <v>732</v>
      </c>
      <c r="DE53" s="517">
        <v>925</v>
      </c>
      <c r="DF53" s="518">
        <v>629</v>
      </c>
      <c r="DG53" s="517">
        <v>733</v>
      </c>
      <c r="DH53" s="518">
        <v>925</v>
      </c>
      <c r="DI53" s="517">
        <v>629</v>
      </c>
      <c r="DJ53" s="518">
        <v>733</v>
      </c>
      <c r="DK53" s="517">
        <v>1030</v>
      </c>
      <c r="DL53" s="691">
        <v>795</v>
      </c>
      <c r="DM53" s="690">
        <v>660</v>
      </c>
      <c r="DN53" s="691">
        <v>625</v>
      </c>
      <c r="DO53" s="690">
        <v>795</v>
      </c>
      <c r="DP53" s="518">
        <v>600</v>
      </c>
      <c r="DQ53" s="517">
        <v>895</v>
      </c>
      <c r="DR53" s="518">
        <v>733</v>
      </c>
      <c r="DS53" s="517">
        <v>925</v>
      </c>
      <c r="DT53" s="518">
        <v>925</v>
      </c>
      <c r="DU53" s="518">
        <v>925</v>
      </c>
      <c r="DV53" s="517">
        <v>925</v>
      </c>
      <c r="DW53" s="690">
        <v>605</v>
      </c>
      <c r="DX53" s="691">
        <v>605</v>
      </c>
      <c r="DY53" s="517">
        <v>850</v>
      </c>
      <c r="DZ53" s="518">
        <v>850</v>
      </c>
      <c r="EA53">
        <v>1015</v>
      </c>
      <c r="EB53" s="691">
        <v>617</v>
      </c>
      <c r="EC53" s="517">
        <v>850</v>
      </c>
      <c r="ED53" s="691">
        <v>1050</v>
      </c>
      <c r="EE53" s="697">
        <v>1050</v>
      </c>
      <c r="EF53" s="517">
        <f>850-88</f>
        <v>762</v>
      </c>
      <c r="EG53" s="518">
        <f>850-101.5</f>
        <v>748.5</v>
      </c>
      <c r="EH53" s="517">
        <f>850-84</f>
        <v>766</v>
      </c>
      <c r="EI53" s="518"/>
      <c r="EJ53" s="517"/>
      <c r="EK53" s="518"/>
      <c r="EL53" s="517"/>
      <c r="EM53" s="518">
        <v>927</v>
      </c>
      <c r="EN53" s="518">
        <v>960</v>
      </c>
      <c r="EO53" s="517"/>
      <c r="EP53" s="518"/>
      <c r="EQ53" s="517"/>
      <c r="ER53" s="518"/>
      <c r="ES53" s="517"/>
      <c r="ET53" s="691">
        <v>1017</v>
      </c>
      <c r="EU53" s="690">
        <v>1017</v>
      </c>
      <c r="EV53" s="847">
        <v>1017</v>
      </c>
      <c r="EW53" s="690">
        <v>1017</v>
      </c>
      <c r="EX53" s="518">
        <v>960</v>
      </c>
      <c r="EY53" s="517">
        <v>960</v>
      </c>
      <c r="EZ53" s="518">
        <v>960</v>
      </c>
      <c r="FA53" s="517">
        <v>960</v>
      </c>
      <c r="FB53" s="517">
        <v>900</v>
      </c>
      <c r="FC53" s="518">
        <v>937</v>
      </c>
      <c r="FD53" s="517">
        <v>921</v>
      </c>
      <c r="FE53" s="518">
        <v>900</v>
      </c>
      <c r="FF53" s="518"/>
      <c r="FG53" s="517"/>
      <c r="FH53" s="518"/>
      <c r="FI53" s="517"/>
      <c r="FJ53" s="518"/>
      <c r="FK53" s="517"/>
      <c r="FL53" s="518"/>
      <c r="FM53" s="517"/>
      <c r="FN53" s="518"/>
      <c r="FO53" s="517"/>
      <c r="FP53" s="518"/>
      <c r="FQ53" s="517"/>
      <c r="FR53" s="518"/>
      <c r="FS53" s="517"/>
      <c r="FT53" s="518"/>
      <c r="FU53" s="517"/>
      <c r="FV53" s="518"/>
      <c r="FW53" s="517">
        <v>500</v>
      </c>
      <c r="FX53" s="518">
        <v>516</v>
      </c>
      <c r="FY53" s="517"/>
      <c r="FZ53" s="518">
        <v>510</v>
      </c>
      <c r="GA53" s="517">
        <v>835</v>
      </c>
      <c r="GB53" s="518">
        <v>535</v>
      </c>
      <c r="GC53" s="517">
        <v>580</v>
      </c>
      <c r="GD53" s="518">
        <v>580</v>
      </c>
      <c r="GE53" s="517">
        <v>880</v>
      </c>
      <c r="GF53" s="518">
        <v>910</v>
      </c>
      <c r="GG53" s="517">
        <v>925</v>
      </c>
      <c r="GH53" s="518">
        <v>580</v>
      </c>
      <c r="GI53" s="517">
        <v>610</v>
      </c>
      <c r="GJ53" s="518">
        <v>700</v>
      </c>
      <c r="GK53" s="517">
        <v>732</v>
      </c>
      <c r="GL53" s="518"/>
      <c r="GM53" s="517"/>
      <c r="GN53" s="518"/>
      <c r="GO53" s="517"/>
      <c r="GP53" s="518"/>
      <c r="GQ53" s="661"/>
      <c r="GR53" s="679">
        <v>1025</v>
      </c>
      <c r="GS53" s="676"/>
      <c r="GT53" s="679"/>
      <c r="GU53" s="676"/>
      <c r="GV53" s="679"/>
      <c r="GW53" s="676"/>
      <c r="GX53" s="679">
        <v>1052</v>
      </c>
      <c r="GY53" s="754">
        <v>850</v>
      </c>
      <c r="GZ53" s="755">
        <v>850</v>
      </c>
      <c r="HA53" s="754">
        <v>970</v>
      </c>
    </row>
    <row r="54" spans="1:211">
      <c r="A54" s="797" t="s">
        <v>1871</v>
      </c>
      <c r="B54" s="380" t="s">
        <v>1872</v>
      </c>
      <c r="C54" s="521" t="s">
        <v>1873</v>
      </c>
      <c r="D54" s="519"/>
      <c r="E54" s="517"/>
      <c r="F54" s="518"/>
      <c r="G54" s="517"/>
      <c r="H54" s="518"/>
      <c r="I54" s="517"/>
      <c r="J54" s="518"/>
      <c r="K54" s="517"/>
      <c r="L54" s="518">
        <v>2000</v>
      </c>
      <c r="M54" s="517">
        <v>2000</v>
      </c>
      <c r="N54" s="518">
        <v>2000</v>
      </c>
      <c r="O54" s="517"/>
      <c r="P54" s="518"/>
      <c r="Q54" s="517"/>
      <c r="R54" s="518"/>
      <c r="S54" s="517"/>
      <c r="T54" s="518"/>
      <c r="U54" s="517"/>
      <c r="V54" s="518">
        <v>1616</v>
      </c>
      <c r="W54" s="517"/>
      <c r="X54" s="518">
        <v>1608</v>
      </c>
      <c r="Y54" s="517"/>
      <c r="Z54" s="518"/>
      <c r="AA54" s="517"/>
      <c r="AB54" s="518"/>
      <c r="AC54" s="517"/>
      <c r="AD54" s="518"/>
      <c r="AE54" s="517"/>
      <c r="AF54" s="518"/>
      <c r="AG54" s="517"/>
      <c r="AH54" s="691"/>
      <c r="AI54" s="690"/>
      <c r="AJ54" s="518"/>
      <c r="AK54" s="517"/>
      <c r="AL54" s="518"/>
      <c r="AM54" s="517"/>
      <c r="AN54" s="518"/>
      <c r="AO54" s="517"/>
      <c r="AP54" s="518"/>
      <c r="AQ54" s="517"/>
      <c r="AR54" s="518"/>
      <c r="AS54" s="670"/>
      <c r="AT54" s="691"/>
      <c r="AU54" s="517"/>
      <c r="AV54" s="518"/>
      <c r="AW54" s="517"/>
      <c r="AX54" s="518"/>
      <c r="AY54" s="517">
        <v>1537</v>
      </c>
      <c r="AZ54" s="518"/>
      <c r="BA54" s="517"/>
      <c r="BB54" s="691"/>
      <c r="BC54" s="690"/>
      <c r="BD54" s="518"/>
      <c r="BE54" s="690"/>
      <c r="BF54" s="518"/>
      <c r="BG54" s="517"/>
      <c r="BH54" s="518"/>
      <c r="BI54" s="517"/>
      <c r="BJ54" s="518"/>
      <c r="BK54" s="690"/>
      <c r="BL54" s="518"/>
      <c r="BM54" s="517"/>
      <c r="BN54" s="691"/>
      <c r="BO54" s="517"/>
      <c r="BP54" s="518"/>
      <c r="BQ54" s="517"/>
      <c r="BR54" s="518"/>
      <c r="BS54" s="517"/>
      <c r="BT54" s="518"/>
      <c r="BU54" s="517"/>
      <c r="BV54" s="518"/>
      <c r="BW54" s="517"/>
      <c r="BX54" s="518"/>
      <c r="BY54" s="517"/>
      <c r="BZ54" s="517">
        <v>1835</v>
      </c>
      <c r="CA54" s="812"/>
      <c r="CB54" s="517"/>
      <c r="CC54" s="518"/>
      <c r="CD54" s="517">
        <v>1233</v>
      </c>
      <c r="CE54" s="518">
        <v>1144</v>
      </c>
      <c r="CF54" s="517"/>
      <c r="CG54" s="518"/>
      <c r="CH54" s="517"/>
      <c r="CI54" s="518"/>
      <c r="CJ54" s="517"/>
      <c r="CK54" s="518"/>
      <c r="CL54" s="517"/>
      <c r="CM54" s="518"/>
      <c r="CN54" s="517"/>
      <c r="CO54" s="518"/>
      <c r="CP54" s="518"/>
      <c r="CQ54" s="517"/>
      <c r="CR54" s="518"/>
      <c r="CS54" s="517"/>
      <c r="CT54" s="518"/>
      <c r="CU54" s="517"/>
      <c r="CV54" s="518"/>
      <c r="CW54" s="517"/>
      <c r="CX54" s="518"/>
      <c r="CY54" s="517"/>
      <c r="CZ54" s="518"/>
      <c r="DA54" s="517"/>
      <c r="DB54" s="518"/>
      <c r="DC54" s="517"/>
      <c r="DD54" s="518"/>
      <c r="DE54" s="517"/>
      <c r="DF54" s="518"/>
      <c r="DG54" s="517"/>
      <c r="DH54" s="518"/>
      <c r="DI54" s="517"/>
      <c r="DJ54" s="518"/>
      <c r="DK54" s="517"/>
      <c r="DL54" s="691"/>
      <c r="DM54" s="690">
        <v>1678</v>
      </c>
      <c r="DN54" s="691"/>
      <c r="DO54" s="690"/>
      <c r="DP54" s="518"/>
      <c r="DQ54" s="517"/>
      <c r="DR54" s="518">
        <v>1548</v>
      </c>
      <c r="DS54" s="517"/>
      <c r="DT54" s="518"/>
      <c r="DU54" s="518"/>
      <c r="DV54" s="517"/>
      <c r="DW54" s="690"/>
      <c r="DX54" s="691">
        <v>1634</v>
      </c>
      <c r="DY54" s="517"/>
      <c r="DZ54" s="518"/>
      <c r="EA54" s="517"/>
      <c r="EB54" s="691"/>
      <c r="EC54" s="517"/>
      <c r="ED54" s="691"/>
      <c r="EE54" s="690"/>
      <c r="EF54" s="517">
        <v>1820</v>
      </c>
      <c r="EG54" s="518">
        <v>1820</v>
      </c>
      <c r="EH54" s="517">
        <v>1810</v>
      </c>
      <c r="EI54" s="518"/>
      <c r="EJ54" s="517"/>
      <c r="EK54" s="518"/>
      <c r="EL54" s="517"/>
      <c r="EM54" s="518"/>
      <c r="EN54" s="518"/>
      <c r="EO54" s="517"/>
      <c r="EP54" s="518"/>
      <c r="EQ54" s="517"/>
      <c r="ER54" s="518"/>
      <c r="ES54" s="517"/>
      <c r="ET54" s="691"/>
      <c r="EU54" s="690"/>
      <c r="EV54" s="847"/>
      <c r="EW54" s="690"/>
      <c r="EX54" s="518"/>
      <c r="EY54" s="517"/>
      <c r="EZ54" s="518"/>
      <c r="FA54" s="517"/>
      <c r="FB54" s="517"/>
      <c r="FC54" s="518"/>
      <c r="FD54" s="517"/>
      <c r="FE54" s="518"/>
      <c r="FF54" s="518"/>
      <c r="FG54" s="517"/>
      <c r="FH54" s="518"/>
      <c r="FI54" s="517"/>
      <c r="FJ54" s="518"/>
      <c r="FK54" s="517"/>
      <c r="FL54" s="518"/>
      <c r="FM54" s="517"/>
      <c r="FN54" s="518"/>
      <c r="FO54" s="517"/>
      <c r="FP54" s="518"/>
      <c r="FQ54" s="517"/>
      <c r="FR54" s="518"/>
      <c r="FS54" s="517"/>
      <c r="FT54" s="518"/>
      <c r="FU54" s="517"/>
      <c r="FV54" s="518"/>
      <c r="FW54" s="517" t="s">
        <v>1225</v>
      </c>
      <c r="FX54" s="518"/>
      <c r="FY54" s="517">
        <v>1315</v>
      </c>
      <c r="FZ54" s="518"/>
      <c r="GA54" s="517"/>
      <c r="GB54" s="518"/>
      <c r="GC54" s="517"/>
      <c r="GD54" s="518">
        <v>1411</v>
      </c>
      <c r="GE54" s="517"/>
      <c r="GF54" s="518"/>
      <c r="GG54" s="517"/>
      <c r="GH54" s="518"/>
      <c r="GI54" s="517"/>
      <c r="GJ54" s="518"/>
      <c r="GK54" s="517"/>
      <c r="GL54" s="518"/>
      <c r="GM54" s="517"/>
      <c r="GN54" s="518"/>
      <c r="GO54" s="517"/>
      <c r="GP54" s="518"/>
      <c r="GQ54" s="661"/>
      <c r="GR54" s="679"/>
      <c r="GS54" s="676"/>
      <c r="GT54" s="679"/>
      <c r="GU54" s="676"/>
      <c r="GV54" s="679"/>
      <c r="GW54" s="676"/>
      <c r="GX54" s="679"/>
      <c r="GY54" s="754">
        <v>1870</v>
      </c>
      <c r="GZ54" s="755">
        <v>1870</v>
      </c>
      <c r="HA54" s="754"/>
    </row>
    <row r="55" spans="1:211" ht="15.75">
      <c r="A55" s="798" t="s">
        <v>1330</v>
      </c>
      <c r="B55" s="535"/>
      <c r="C55" s="659"/>
      <c r="D55" s="519"/>
      <c r="E55" s="533"/>
      <c r="F55" s="533"/>
      <c r="G55" s="533"/>
      <c r="H55" s="533"/>
      <c r="I55" s="533"/>
      <c r="J55" s="533"/>
      <c r="K55" s="533"/>
      <c r="L55" s="533"/>
      <c r="M55" s="533"/>
      <c r="N55" s="533"/>
      <c r="O55" s="533"/>
      <c r="P55" s="533"/>
      <c r="Q55" s="533"/>
      <c r="R55" s="533"/>
      <c r="S55" s="533"/>
      <c r="T55" s="533"/>
      <c r="U55" s="533"/>
      <c r="V55" s="533"/>
      <c r="W55" s="533"/>
      <c r="X55" s="533"/>
      <c r="Y55" s="533"/>
      <c r="Z55" s="533"/>
      <c r="AA55" s="533"/>
      <c r="AB55" s="533"/>
      <c r="AC55" s="533"/>
      <c r="AD55" s="533"/>
      <c r="AE55" s="533"/>
      <c r="AF55" s="533"/>
      <c r="AG55" s="533"/>
      <c r="AH55" s="695"/>
      <c r="AI55" s="695"/>
      <c r="AJ55" s="533"/>
      <c r="AK55" s="533"/>
      <c r="AL55" s="533"/>
      <c r="AM55" s="533"/>
      <c r="AN55" s="533"/>
      <c r="AO55" s="533"/>
      <c r="AP55" s="533"/>
      <c r="AQ55" s="533"/>
      <c r="AR55" s="533"/>
      <c r="AS55" s="533"/>
      <c r="AT55" s="695"/>
      <c r="AU55" s="533"/>
      <c r="AV55" s="533"/>
      <c r="AW55" s="533"/>
      <c r="AX55" s="533"/>
      <c r="AY55" s="533"/>
      <c r="AZ55" s="533"/>
      <c r="BA55" s="533"/>
      <c r="BB55" s="695"/>
      <c r="BC55" s="695"/>
      <c r="BD55" s="533"/>
      <c r="BE55" s="695"/>
      <c r="BF55" s="533"/>
      <c r="BG55" s="533"/>
      <c r="BH55" s="533"/>
      <c r="BI55" s="533"/>
      <c r="BJ55" s="533"/>
      <c r="BK55" s="695"/>
      <c r="BL55" s="533"/>
      <c r="BM55" s="533"/>
      <c r="BN55" s="695"/>
      <c r="BO55" s="533"/>
      <c r="BP55" s="533"/>
      <c r="BQ55" s="533"/>
      <c r="BR55" s="533"/>
      <c r="BS55" s="533"/>
      <c r="BT55" s="533"/>
      <c r="BU55" s="533"/>
      <c r="BV55" s="533"/>
      <c r="BW55" s="533"/>
      <c r="BX55" s="533"/>
      <c r="BY55" s="533"/>
      <c r="BZ55" s="533"/>
      <c r="CA55" s="533"/>
      <c r="CB55" s="533"/>
      <c r="CC55" s="533"/>
      <c r="CD55" s="533"/>
      <c r="CE55" s="533"/>
      <c r="CF55" s="533"/>
      <c r="CG55" s="533"/>
      <c r="CH55" s="533"/>
      <c r="CI55" s="533"/>
      <c r="CJ55" s="533"/>
      <c r="CK55" s="533"/>
      <c r="CL55" s="533"/>
      <c r="CM55" s="533"/>
      <c r="CN55" s="533"/>
      <c r="CO55" s="533"/>
      <c r="CP55" s="533"/>
      <c r="CQ55" s="533"/>
      <c r="CR55" s="533"/>
      <c r="CS55" s="533"/>
      <c r="CT55" s="533"/>
      <c r="CU55" s="533"/>
      <c r="CV55" s="533"/>
      <c r="CW55" s="533"/>
      <c r="CX55" s="533"/>
      <c r="CY55" s="533"/>
      <c r="CZ55" s="533"/>
      <c r="DA55" s="533"/>
      <c r="DB55" s="533"/>
      <c r="DC55" s="533"/>
      <c r="DD55" s="533"/>
      <c r="DE55" s="533"/>
      <c r="DF55" s="533"/>
      <c r="DG55" s="533"/>
      <c r="DH55" s="533"/>
      <c r="DI55" s="533"/>
      <c r="DJ55" s="533"/>
      <c r="DK55" s="533"/>
      <c r="DL55" s="695"/>
      <c r="DM55" s="695"/>
      <c r="DN55" s="695"/>
      <c r="DO55" s="695"/>
      <c r="DP55" s="533"/>
      <c r="DQ55" s="533"/>
      <c r="DR55" s="533"/>
      <c r="DS55" s="533"/>
      <c r="DT55" s="533"/>
      <c r="DU55" s="533"/>
      <c r="DV55" s="533"/>
      <c r="DW55" s="695"/>
      <c r="DX55" s="695"/>
      <c r="DY55" s="533"/>
      <c r="DZ55" s="533"/>
      <c r="EA55" s="533"/>
      <c r="EB55" s="695"/>
      <c r="EC55" s="533"/>
      <c r="ED55" s="695"/>
      <c r="EE55" s="695"/>
      <c r="EF55" s="533"/>
      <c r="EG55" s="533"/>
      <c r="EH55" s="533"/>
      <c r="EI55" s="533"/>
      <c r="EJ55" s="533"/>
      <c r="EK55" s="533"/>
      <c r="EL55" s="533"/>
      <c r="EM55" s="533"/>
      <c r="EN55" s="533"/>
      <c r="EO55" s="533"/>
      <c r="EP55" s="533"/>
      <c r="EQ55" s="533"/>
      <c r="ER55" s="533"/>
      <c r="ES55" s="533"/>
      <c r="ET55" s="695"/>
      <c r="EU55" s="695"/>
      <c r="EV55" s="850"/>
      <c r="EW55" s="695"/>
      <c r="EX55" s="533"/>
      <c r="EY55" s="533"/>
      <c r="EZ55" s="533"/>
      <c r="FA55" s="533"/>
      <c r="FB55" s="533"/>
      <c r="FC55" s="533"/>
      <c r="FD55" s="533"/>
      <c r="FE55" s="533"/>
      <c r="FF55" s="533"/>
      <c r="FG55" s="533"/>
      <c r="FH55" s="533"/>
      <c r="FI55" s="533"/>
      <c r="FJ55" s="533"/>
      <c r="FK55" s="533"/>
      <c r="FL55" s="533"/>
      <c r="FM55" s="533"/>
      <c r="FN55" s="533"/>
      <c r="FO55" s="533"/>
      <c r="FP55" s="533"/>
      <c r="FQ55" s="533"/>
      <c r="FR55" s="533"/>
      <c r="FS55" s="533"/>
      <c r="FT55" s="533"/>
      <c r="FU55" s="533"/>
      <c r="FV55" s="533"/>
      <c r="FW55" s="533"/>
      <c r="FX55" s="533"/>
      <c r="FY55" s="533"/>
      <c r="FZ55" s="533"/>
      <c r="GA55" s="533"/>
      <c r="GB55" s="533"/>
      <c r="GC55" s="533"/>
      <c r="GD55" s="533"/>
      <c r="GE55" s="533"/>
      <c r="GF55" s="533"/>
      <c r="GG55" s="533"/>
      <c r="GH55" s="533"/>
      <c r="GI55" s="533"/>
      <c r="GJ55" s="533"/>
      <c r="GK55" s="533"/>
      <c r="GL55" s="533"/>
      <c r="GM55" s="533"/>
      <c r="GN55" s="533"/>
      <c r="GO55" s="533"/>
      <c r="GP55" s="533"/>
      <c r="GQ55" s="664"/>
      <c r="GR55" s="668"/>
      <c r="GS55" s="668"/>
      <c r="GT55" s="668"/>
      <c r="GU55" s="668"/>
      <c r="GV55" s="668"/>
      <c r="GW55" s="668"/>
      <c r="GX55" s="668"/>
      <c r="GY55" s="543"/>
      <c r="GZ55" s="668"/>
      <c r="HA55" s="668"/>
      <c r="HB55" s="747"/>
      <c r="HC55" s="687"/>
    </row>
    <row r="56" spans="1:211" ht="105">
      <c r="A56" s="797" t="s">
        <v>1331</v>
      </c>
      <c r="B56" s="380" t="s">
        <v>901</v>
      </c>
      <c r="C56" s="521" t="s">
        <v>1332</v>
      </c>
      <c r="D56" s="519"/>
      <c r="E56" s="517" t="s">
        <v>1874</v>
      </c>
      <c r="F56" s="518" t="s">
        <v>1874</v>
      </c>
      <c r="G56" s="517" t="s">
        <v>1874</v>
      </c>
      <c r="H56" s="518" t="s">
        <v>1875</v>
      </c>
      <c r="I56" s="517" t="s">
        <v>1875</v>
      </c>
      <c r="J56" s="518" t="s">
        <v>1875</v>
      </c>
      <c r="K56" s="517" t="s">
        <v>1875</v>
      </c>
      <c r="L56" s="518" t="s">
        <v>1876</v>
      </c>
      <c r="M56" s="517" t="s">
        <v>1876</v>
      </c>
      <c r="N56" s="518" t="s">
        <v>1876</v>
      </c>
      <c r="O56" s="517" t="s">
        <v>1877</v>
      </c>
      <c r="P56" s="517" t="s">
        <v>1877</v>
      </c>
      <c r="Q56" s="517" t="s">
        <v>1877</v>
      </c>
      <c r="R56" s="517" t="s">
        <v>1877</v>
      </c>
      <c r="S56" s="517" t="s">
        <v>1878</v>
      </c>
      <c r="T56" s="518" t="s">
        <v>1879</v>
      </c>
      <c r="U56" s="517" t="s">
        <v>1879</v>
      </c>
      <c r="V56" s="518" t="s">
        <v>1878</v>
      </c>
      <c r="W56" s="517" t="s">
        <v>1880</v>
      </c>
      <c r="X56" s="518" t="s">
        <v>1879</v>
      </c>
      <c r="Y56" s="517" t="s">
        <v>1879</v>
      </c>
      <c r="Z56" s="518" t="s">
        <v>1879</v>
      </c>
      <c r="AA56" s="517" t="s">
        <v>1878</v>
      </c>
      <c r="AB56" s="518" t="s">
        <v>1878</v>
      </c>
      <c r="AC56" s="517" t="s">
        <v>1879</v>
      </c>
      <c r="AD56" s="518" t="s">
        <v>1880</v>
      </c>
      <c r="AE56" s="517" t="s">
        <v>1880</v>
      </c>
      <c r="AF56" s="518" t="s">
        <v>1881</v>
      </c>
      <c r="AG56" s="517" t="s">
        <v>1882</v>
      </c>
      <c r="AH56" s="691" t="s">
        <v>1883</v>
      </c>
      <c r="AI56" s="690" t="s">
        <v>1884</v>
      </c>
      <c r="AJ56" s="518" t="s">
        <v>1881</v>
      </c>
      <c r="AK56" s="517" t="s">
        <v>1881</v>
      </c>
      <c r="AL56" s="518" t="s">
        <v>1885</v>
      </c>
      <c r="AM56" s="517" t="s">
        <v>1885</v>
      </c>
      <c r="AN56" s="518" t="s">
        <v>1881</v>
      </c>
      <c r="AO56" s="517" t="s">
        <v>1886</v>
      </c>
      <c r="AP56" s="518" t="s">
        <v>1886</v>
      </c>
      <c r="AQ56" s="517" t="s">
        <v>1886</v>
      </c>
      <c r="AR56" s="518" t="s">
        <v>1887</v>
      </c>
      <c r="AS56" s="517" t="s">
        <v>1887</v>
      </c>
      <c r="AT56" s="691" t="s">
        <v>1888</v>
      </c>
      <c r="AU56" s="517" t="s">
        <v>1885</v>
      </c>
      <c r="AV56" s="518" t="s">
        <v>1885</v>
      </c>
      <c r="AW56" s="670" t="s">
        <v>1881</v>
      </c>
      <c r="AX56" s="518" t="s">
        <v>1881</v>
      </c>
      <c r="AY56" s="517" t="s">
        <v>1886</v>
      </c>
      <c r="AZ56" s="518" t="s">
        <v>1886</v>
      </c>
      <c r="BA56" s="517" t="s">
        <v>1886</v>
      </c>
      <c r="BB56" s="691" t="s">
        <v>1888</v>
      </c>
      <c r="BC56" s="690" t="s">
        <v>1888</v>
      </c>
      <c r="BD56" s="518" t="s">
        <v>1887</v>
      </c>
      <c r="BE56" s="690" t="s">
        <v>1888</v>
      </c>
      <c r="BF56" s="518" t="s">
        <v>1881</v>
      </c>
      <c r="BG56" s="517" t="s">
        <v>1881</v>
      </c>
      <c r="BH56" s="518" t="s">
        <v>1886</v>
      </c>
      <c r="BI56" s="517" t="s">
        <v>1881</v>
      </c>
      <c r="BJ56" s="518" t="s">
        <v>1886</v>
      </c>
      <c r="BK56" s="690" t="s">
        <v>1888</v>
      </c>
      <c r="BL56" s="518" t="s">
        <v>1887</v>
      </c>
      <c r="BM56" s="517" t="s">
        <v>1887</v>
      </c>
      <c r="BN56" s="691" t="s">
        <v>1888</v>
      </c>
      <c r="BO56" s="517" t="s">
        <v>1887</v>
      </c>
      <c r="BP56" s="518" t="s">
        <v>1889</v>
      </c>
      <c r="BQ56" s="517" t="s">
        <v>1890</v>
      </c>
      <c r="BR56" s="518" t="s">
        <v>1889</v>
      </c>
      <c r="BS56" s="517" t="s">
        <v>1891</v>
      </c>
      <c r="BT56" s="518" t="s">
        <v>1892</v>
      </c>
      <c r="BU56" s="517" t="s">
        <v>1891</v>
      </c>
      <c r="BV56" s="518" t="s">
        <v>1891</v>
      </c>
      <c r="BW56" s="517" t="s">
        <v>1891</v>
      </c>
      <c r="BX56" s="518" t="s">
        <v>1892</v>
      </c>
      <c r="BY56" s="517" t="s">
        <v>1892</v>
      </c>
      <c r="BZ56" s="517" t="s">
        <v>1893</v>
      </c>
      <c r="CA56" s="812"/>
      <c r="CB56" s="517" t="s">
        <v>1894</v>
      </c>
      <c r="CC56" s="518" t="s">
        <v>1895</v>
      </c>
      <c r="CD56" s="517" t="s">
        <v>1896</v>
      </c>
      <c r="CE56" s="518" t="s">
        <v>1894</v>
      </c>
      <c r="CF56" s="517" t="s">
        <v>1897</v>
      </c>
      <c r="CG56" s="518" t="s">
        <v>1897</v>
      </c>
      <c r="CH56" s="517" t="s">
        <v>1898</v>
      </c>
      <c r="CI56" s="518" t="s">
        <v>1899</v>
      </c>
      <c r="CJ56" s="517" t="s">
        <v>1899</v>
      </c>
      <c r="CK56" s="518" t="s">
        <v>1899</v>
      </c>
      <c r="CL56" s="671" t="s">
        <v>1900</v>
      </c>
      <c r="CM56" s="689" t="s">
        <v>1901</v>
      </c>
      <c r="CN56" s="517" t="s">
        <v>1902</v>
      </c>
      <c r="CO56" s="518" t="s">
        <v>1902</v>
      </c>
      <c r="CP56" s="518" t="s">
        <v>1902</v>
      </c>
      <c r="CQ56" s="517" t="s">
        <v>1903</v>
      </c>
      <c r="CR56" s="518" t="s">
        <v>1904</v>
      </c>
      <c r="CS56" s="517" t="s">
        <v>1905</v>
      </c>
      <c r="CT56" s="518" t="s">
        <v>1877</v>
      </c>
      <c r="CU56" s="517" t="s">
        <v>1904</v>
      </c>
      <c r="CV56" s="518" t="s">
        <v>1904</v>
      </c>
      <c r="CW56" s="517" t="s">
        <v>1904</v>
      </c>
      <c r="CX56" s="518" t="s">
        <v>1906</v>
      </c>
      <c r="CY56" s="517" t="s">
        <v>1905</v>
      </c>
      <c r="CZ56" s="518" t="s">
        <v>1878</v>
      </c>
      <c r="DA56" s="517" t="s">
        <v>1904</v>
      </c>
      <c r="DB56" s="518" t="s">
        <v>1904</v>
      </c>
      <c r="DC56" s="517"/>
      <c r="DD56" s="518" t="s">
        <v>1905</v>
      </c>
      <c r="DE56" s="517" t="s">
        <v>1879</v>
      </c>
      <c r="DF56" s="518" t="s">
        <v>1880</v>
      </c>
      <c r="DG56" s="517" t="s">
        <v>1907</v>
      </c>
      <c r="DH56" s="518" t="s">
        <v>1879</v>
      </c>
      <c r="DI56" s="517" t="s">
        <v>1880</v>
      </c>
      <c r="DJ56" s="518" t="s">
        <v>1908</v>
      </c>
      <c r="DK56" s="517" t="s">
        <v>1909</v>
      </c>
      <c r="DL56" s="691" t="s">
        <v>1910</v>
      </c>
      <c r="DM56" s="690" t="s">
        <v>1911</v>
      </c>
      <c r="DN56" s="691" t="s">
        <v>1912</v>
      </c>
      <c r="DO56" s="690" t="s">
        <v>1910</v>
      </c>
      <c r="DP56" s="518" t="s">
        <v>1878</v>
      </c>
      <c r="DQ56" s="517" t="s">
        <v>1879</v>
      </c>
      <c r="DR56" s="518" t="s">
        <v>1913</v>
      </c>
      <c r="DS56" s="517" t="s">
        <v>1879</v>
      </c>
      <c r="DT56" s="518" t="s">
        <v>1879</v>
      </c>
      <c r="DU56" s="518" t="s">
        <v>1879</v>
      </c>
      <c r="DV56" s="517" t="s">
        <v>1914</v>
      </c>
      <c r="DW56" s="690" t="s">
        <v>1915</v>
      </c>
      <c r="DX56" s="691" t="s">
        <v>1915</v>
      </c>
      <c r="DY56" s="517" t="s">
        <v>1916</v>
      </c>
      <c r="DZ56" s="518" t="s">
        <v>1916</v>
      </c>
      <c r="EA56" s="517" t="s">
        <v>1917</v>
      </c>
      <c r="EB56" s="691" t="s">
        <v>1915</v>
      </c>
      <c r="EC56" s="517" t="s">
        <v>1916</v>
      </c>
      <c r="ED56" s="691" t="s">
        <v>1917</v>
      </c>
      <c r="EE56" s="690" t="s">
        <v>1917</v>
      </c>
      <c r="EF56" s="517" t="s">
        <v>1918</v>
      </c>
      <c r="EG56" s="518" t="s">
        <v>1918</v>
      </c>
      <c r="EH56" s="517" t="s">
        <v>1918</v>
      </c>
      <c r="EI56" s="518"/>
      <c r="EJ56" s="517"/>
      <c r="EK56" s="518" t="s">
        <v>1919</v>
      </c>
      <c r="EL56" s="517"/>
      <c r="EM56" s="518" t="s">
        <v>1920</v>
      </c>
      <c r="EN56" s="518" t="s">
        <v>1920</v>
      </c>
      <c r="EO56" s="517"/>
      <c r="EP56" s="518"/>
      <c r="EQ56" s="517"/>
      <c r="ER56" s="518"/>
      <c r="ES56" s="517"/>
      <c r="ET56" s="691" t="s">
        <v>1921</v>
      </c>
      <c r="EU56" s="690" t="s">
        <v>1921</v>
      </c>
      <c r="EV56" s="847" t="s">
        <v>1922</v>
      </c>
      <c r="EW56" s="690" t="s">
        <v>1922</v>
      </c>
      <c r="EX56" s="518" t="s">
        <v>1923</v>
      </c>
      <c r="EY56" s="517" t="s">
        <v>1924</v>
      </c>
      <c r="EZ56" s="518" t="s">
        <v>1925</v>
      </c>
      <c r="FA56" s="517" t="s">
        <v>1924</v>
      </c>
      <c r="FB56" s="517" t="s">
        <v>1926</v>
      </c>
      <c r="FC56" s="518" t="s">
        <v>1926</v>
      </c>
      <c r="FD56" s="517" t="s">
        <v>1926</v>
      </c>
      <c r="FE56" s="518" t="s">
        <v>1926</v>
      </c>
      <c r="FF56" s="518" t="s">
        <v>1927</v>
      </c>
      <c r="FG56" s="517" t="s">
        <v>1928</v>
      </c>
      <c r="FH56" s="518" t="s">
        <v>1929</v>
      </c>
      <c r="FI56" s="517" t="s">
        <v>1929</v>
      </c>
      <c r="FJ56" s="518"/>
      <c r="FK56" s="517" t="s">
        <v>1929</v>
      </c>
      <c r="FL56" s="518" t="s">
        <v>1929</v>
      </c>
      <c r="FM56" s="517"/>
      <c r="FN56" s="518"/>
      <c r="FO56" s="517"/>
      <c r="FP56" s="518"/>
      <c r="FQ56" s="517" t="s">
        <v>1929</v>
      </c>
      <c r="FR56" s="518" t="s">
        <v>1930</v>
      </c>
      <c r="FS56" s="517" t="s">
        <v>1931</v>
      </c>
      <c r="FT56" s="518" t="s">
        <v>1932</v>
      </c>
      <c r="FU56" s="517" t="s">
        <v>1933</v>
      </c>
      <c r="FV56" s="518" t="s">
        <v>1934</v>
      </c>
      <c r="FW56" s="517" t="s">
        <v>1935</v>
      </c>
      <c r="FX56" s="517" t="s">
        <v>1935</v>
      </c>
      <c r="FY56" s="517" t="s">
        <v>1936</v>
      </c>
      <c r="FZ56" s="518" t="s">
        <v>1894</v>
      </c>
      <c r="GA56" s="670" t="s">
        <v>1937</v>
      </c>
      <c r="GB56" s="518" t="s">
        <v>1938</v>
      </c>
      <c r="GC56" s="517" t="s">
        <v>1939</v>
      </c>
      <c r="GD56" s="518" t="s">
        <v>1899</v>
      </c>
      <c r="GE56" s="517" t="s">
        <v>1906</v>
      </c>
      <c r="GF56" s="518" t="s">
        <v>1940</v>
      </c>
      <c r="GG56" s="517"/>
      <c r="GH56" s="518"/>
      <c r="GI56" s="517" t="s">
        <v>1886</v>
      </c>
      <c r="GJ56" s="518" t="s">
        <v>1941</v>
      </c>
      <c r="GK56" s="517" t="s">
        <v>1942</v>
      </c>
      <c r="GL56" s="518" t="s">
        <v>1931</v>
      </c>
      <c r="GM56" s="517" t="s">
        <v>1931</v>
      </c>
      <c r="GN56" s="518"/>
      <c r="GO56" s="517"/>
      <c r="GP56" s="518"/>
      <c r="GQ56" s="661" t="s">
        <v>1943</v>
      </c>
      <c r="GR56" s="679" t="s">
        <v>1944</v>
      </c>
      <c r="GS56" s="676" t="s">
        <v>1945</v>
      </c>
      <c r="GT56" s="679" t="s">
        <v>1946</v>
      </c>
      <c r="GU56" s="676"/>
      <c r="GV56" s="679" t="s">
        <v>1947</v>
      </c>
      <c r="GW56" s="676"/>
      <c r="GX56" s="679" t="s">
        <v>1948</v>
      </c>
      <c r="GY56" s="676" t="s">
        <v>1949</v>
      </c>
      <c r="GZ56" s="679" t="s">
        <v>1949</v>
      </c>
      <c r="HA56" s="676" t="s">
        <v>1950</v>
      </c>
    </row>
    <row r="57" spans="1:211">
      <c r="A57" s="529"/>
      <c r="C57" s="521"/>
      <c r="D57" s="519"/>
      <c r="E57" s="517"/>
      <c r="F57" s="518"/>
      <c r="G57" s="517"/>
      <c r="H57" s="518"/>
      <c r="I57" s="517"/>
      <c r="J57" s="518"/>
      <c r="K57" s="517"/>
      <c r="L57" s="518"/>
      <c r="M57" s="517"/>
      <c r="N57" s="518"/>
      <c r="O57" s="517"/>
      <c r="P57" s="518"/>
      <c r="Q57" s="517"/>
      <c r="R57" s="518"/>
      <c r="S57" s="517"/>
      <c r="T57" s="518"/>
      <c r="U57" s="517"/>
      <c r="V57" s="518"/>
      <c r="W57" s="517"/>
      <c r="X57" s="518"/>
      <c r="Y57" s="517"/>
      <c r="Z57" s="518"/>
      <c r="AA57" s="517"/>
      <c r="AB57" s="518"/>
      <c r="AC57" s="517"/>
      <c r="AD57" s="518"/>
      <c r="AE57" s="517"/>
      <c r="AF57" s="518"/>
      <c r="AG57" s="517"/>
      <c r="AH57" s="691"/>
      <c r="AI57" s="690"/>
      <c r="AJ57" s="518"/>
      <c r="AK57" s="517"/>
      <c r="AL57" s="518"/>
      <c r="AM57" s="517"/>
      <c r="AN57" s="518"/>
      <c r="AO57" s="517"/>
      <c r="AP57" s="518"/>
      <c r="AQ57" s="517"/>
      <c r="AR57" s="518"/>
      <c r="AS57" s="517"/>
      <c r="AT57" s="691"/>
      <c r="AU57" s="517"/>
      <c r="AV57" s="518"/>
      <c r="AW57" s="517"/>
      <c r="AX57" s="518"/>
      <c r="AY57" s="517"/>
      <c r="AZ57" s="518"/>
      <c r="BA57" s="517"/>
      <c r="BB57" s="691"/>
      <c r="BC57" s="690"/>
      <c r="BD57" s="518"/>
      <c r="BE57" s="690"/>
      <c r="BF57" s="518"/>
      <c r="BG57" s="517"/>
      <c r="BH57" s="518"/>
      <c r="BI57" s="517"/>
      <c r="BJ57" s="518"/>
      <c r="BK57" s="690"/>
      <c r="BL57" s="518"/>
      <c r="BM57" s="517"/>
      <c r="BN57" s="691"/>
      <c r="BO57" s="517"/>
      <c r="BP57" s="518"/>
      <c r="BQ57" s="517"/>
      <c r="BR57" s="518"/>
      <c r="BS57" s="517"/>
      <c r="BT57" s="518"/>
      <c r="BU57" s="517"/>
      <c r="BV57" s="518"/>
      <c r="BW57" s="517"/>
      <c r="BX57" s="518"/>
      <c r="BY57" s="517"/>
      <c r="BZ57" s="517"/>
      <c r="CA57" s="812"/>
      <c r="CB57" s="517"/>
      <c r="CC57" s="518"/>
      <c r="CD57" s="517"/>
      <c r="CE57" s="518"/>
      <c r="CF57" s="517"/>
      <c r="CG57" s="518"/>
      <c r="CH57" s="517"/>
      <c r="CI57" s="518"/>
      <c r="CJ57" s="517"/>
      <c r="CK57" s="518"/>
      <c r="CL57" s="517"/>
      <c r="CM57" s="518"/>
      <c r="CN57" s="517"/>
      <c r="CO57" s="518"/>
      <c r="CP57" s="518"/>
      <c r="CQ57" s="517"/>
      <c r="CR57" s="518"/>
      <c r="CS57" s="517"/>
      <c r="CT57" s="518"/>
      <c r="CU57" s="517"/>
      <c r="CV57" s="518"/>
      <c r="CW57" s="517"/>
      <c r="CX57" s="518"/>
      <c r="CY57" s="517"/>
      <c r="CZ57" s="518"/>
      <c r="DA57" s="517"/>
      <c r="DB57" s="518"/>
      <c r="DC57" s="517"/>
      <c r="DD57" s="518"/>
      <c r="DE57" s="517"/>
      <c r="DF57" s="518"/>
      <c r="DG57" s="517"/>
      <c r="DH57" s="518"/>
      <c r="DI57" s="517"/>
      <c r="DJ57" s="518"/>
      <c r="DK57" s="517"/>
      <c r="DL57" s="691"/>
      <c r="DM57" s="690"/>
      <c r="DN57" s="691"/>
      <c r="DO57" s="690"/>
      <c r="DP57" s="518"/>
      <c r="DQ57" s="517"/>
      <c r="DR57" s="518"/>
      <c r="DS57" s="517"/>
      <c r="DT57" s="518"/>
      <c r="DU57" s="518"/>
      <c r="DV57" s="517"/>
      <c r="DW57" s="690"/>
      <c r="DX57" s="691"/>
      <c r="DY57" s="517"/>
      <c r="DZ57" s="518"/>
      <c r="EA57" s="517"/>
      <c r="EB57" s="691"/>
      <c r="EC57" s="517"/>
      <c r="ED57" s="518"/>
      <c r="EE57" s="517"/>
      <c r="EF57" s="517"/>
      <c r="EG57" s="518"/>
      <c r="EH57" s="517"/>
      <c r="EI57" s="518"/>
      <c r="EJ57" s="517"/>
      <c r="EK57" s="518"/>
      <c r="EL57" s="517"/>
      <c r="EM57" s="518"/>
      <c r="EN57" s="518"/>
      <c r="EO57" s="517"/>
      <c r="EP57" s="518"/>
      <c r="EQ57" s="517"/>
      <c r="ER57" s="518"/>
      <c r="ES57" s="517"/>
      <c r="ET57" s="691"/>
      <c r="EU57" s="690"/>
      <c r="EV57" s="847"/>
      <c r="EW57" s="690"/>
      <c r="EX57" s="518"/>
      <c r="EY57" s="517"/>
      <c r="EZ57" s="518"/>
      <c r="FA57" s="517"/>
      <c r="FB57" s="517"/>
      <c r="FC57" s="518"/>
      <c r="FD57" s="517"/>
      <c r="FE57" s="518"/>
      <c r="FF57" s="518"/>
      <c r="FG57" s="517"/>
      <c r="FH57" s="518"/>
      <c r="FI57" s="517"/>
      <c r="FJ57" s="518"/>
      <c r="FK57" s="517"/>
      <c r="FL57" s="518"/>
      <c r="FM57" s="517"/>
      <c r="FN57" s="518"/>
      <c r="FO57" s="517"/>
      <c r="FP57" s="518"/>
      <c r="FQ57" s="517"/>
      <c r="FR57" s="518"/>
      <c r="FS57" s="517"/>
      <c r="FT57" s="518"/>
      <c r="FU57" s="517"/>
      <c r="FV57" s="518"/>
      <c r="FW57" s="517"/>
      <c r="FX57" s="518"/>
      <c r="FY57" s="517"/>
      <c r="FZ57" s="518"/>
      <c r="GA57" s="517"/>
      <c r="GB57" s="518"/>
      <c r="GC57" s="517"/>
      <c r="GD57" s="518"/>
      <c r="GE57" s="517"/>
      <c r="GF57" s="518"/>
      <c r="GG57" s="517"/>
      <c r="GH57" s="518"/>
      <c r="GI57" s="517"/>
      <c r="GJ57" s="518"/>
      <c r="GK57" s="517"/>
      <c r="GL57" s="518"/>
      <c r="GM57" s="517"/>
      <c r="GN57" s="518"/>
      <c r="GO57" s="517"/>
      <c r="GP57" s="518"/>
      <c r="GQ57" s="661"/>
      <c r="GR57" s="679"/>
      <c r="GS57" s="676"/>
      <c r="GT57" s="679"/>
      <c r="GU57" s="676"/>
      <c r="GV57" s="679"/>
      <c r="GW57" s="676"/>
      <c r="GX57" s="679"/>
      <c r="GY57" s="754"/>
      <c r="GZ57" s="755"/>
      <c r="HA57" s="754"/>
    </row>
    <row r="58" spans="1:211">
      <c r="A58" s="529"/>
      <c r="C58" s="521"/>
      <c r="D58" s="519"/>
      <c r="E58" s="517"/>
      <c r="F58" s="518"/>
      <c r="G58" s="517"/>
      <c r="H58" s="518"/>
      <c r="I58" s="517"/>
      <c r="J58" s="518"/>
      <c r="K58" s="517"/>
      <c r="L58" s="518"/>
      <c r="M58" s="517"/>
      <c r="N58" s="518"/>
      <c r="O58" s="517"/>
      <c r="P58" s="518"/>
      <c r="Q58" s="517"/>
      <c r="R58" s="518"/>
      <c r="S58" s="517"/>
      <c r="T58" s="518"/>
      <c r="U58" s="517"/>
      <c r="V58" s="518"/>
      <c r="W58" s="517"/>
      <c r="X58" s="518"/>
      <c r="Y58" s="517"/>
      <c r="Z58" s="518"/>
      <c r="AA58" s="517"/>
      <c r="AB58" s="518"/>
      <c r="AC58" s="517"/>
      <c r="AD58" s="518"/>
      <c r="AE58" s="517"/>
      <c r="AF58" s="518"/>
      <c r="AG58" s="517"/>
      <c r="AH58" s="691"/>
      <c r="AI58" s="690"/>
      <c r="AJ58" s="518"/>
      <c r="AK58" s="517"/>
      <c r="AL58" s="518"/>
      <c r="AM58" s="517"/>
      <c r="AN58" s="518"/>
      <c r="AO58" s="517"/>
      <c r="AP58" s="518"/>
      <c r="AQ58" s="517"/>
      <c r="AR58" s="518"/>
      <c r="AS58" s="517"/>
      <c r="AT58" s="691"/>
      <c r="AU58" s="517"/>
      <c r="AV58" s="518"/>
      <c r="AW58" s="517"/>
      <c r="AX58" s="518"/>
      <c r="AY58" s="517"/>
      <c r="AZ58" s="518"/>
      <c r="BA58" s="517"/>
      <c r="BB58" s="691"/>
      <c r="BC58" s="690"/>
      <c r="BD58" s="518"/>
      <c r="BE58" s="690"/>
      <c r="BF58" s="518"/>
      <c r="BG58" s="517"/>
      <c r="BH58" s="518"/>
      <c r="BI58" s="517"/>
      <c r="BJ58" s="518"/>
      <c r="BK58" s="690"/>
      <c r="BL58" s="518"/>
      <c r="BM58" s="517"/>
      <c r="BN58" s="691"/>
      <c r="BO58" s="517"/>
      <c r="BP58" s="518"/>
      <c r="BQ58" s="517"/>
      <c r="BR58" s="518"/>
      <c r="BS58" s="517"/>
      <c r="BT58" s="518"/>
      <c r="BU58" s="517"/>
      <c r="BV58" s="518"/>
      <c r="BW58" s="517"/>
      <c r="BX58" s="518"/>
      <c r="BY58" s="517"/>
      <c r="BZ58" s="517"/>
      <c r="CA58" s="812"/>
      <c r="CB58" s="517"/>
      <c r="CC58" s="518"/>
      <c r="CD58" s="517"/>
      <c r="CE58" s="518"/>
      <c r="CF58" s="517"/>
      <c r="CG58" s="518"/>
      <c r="CH58" s="517"/>
      <c r="CI58" s="518"/>
      <c r="CJ58" s="517"/>
      <c r="CK58" s="518"/>
      <c r="CL58" s="517"/>
      <c r="CM58" s="518"/>
      <c r="CN58" s="517"/>
      <c r="CO58" s="518"/>
      <c r="CP58" s="518"/>
      <c r="CQ58" s="517"/>
      <c r="CR58" s="518"/>
      <c r="CS58" s="517"/>
      <c r="CT58" s="518"/>
      <c r="CU58" s="517"/>
      <c r="CV58" s="518"/>
      <c r="CW58" s="517"/>
      <c r="CX58" s="518"/>
      <c r="CY58" s="517"/>
      <c r="CZ58" s="518"/>
      <c r="DA58" s="517"/>
      <c r="DB58" s="518"/>
      <c r="DC58" s="517"/>
      <c r="DD58" s="518"/>
      <c r="DE58" s="517"/>
      <c r="DF58" s="518"/>
      <c r="DG58" s="517"/>
      <c r="DH58" s="518"/>
      <c r="DI58" s="517"/>
      <c r="DJ58" s="518"/>
      <c r="DK58" s="517"/>
      <c r="DL58" s="691"/>
      <c r="DM58" s="690"/>
      <c r="DN58" s="691"/>
      <c r="DO58" s="690"/>
      <c r="DP58" s="518"/>
      <c r="DQ58" s="517"/>
      <c r="DR58" s="518"/>
      <c r="DS58" s="517"/>
      <c r="DT58" s="518"/>
      <c r="DU58" s="518"/>
      <c r="DV58" s="517"/>
      <c r="DW58" s="690"/>
      <c r="DX58" s="691"/>
      <c r="DY58" s="517"/>
      <c r="DZ58" s="518"/>
      <c r="EA58" s="517"/>
      <c r="EB58" s="691"/>
      <c r="EC58" s="517"/>
      <c r="ED58" s="518"/>
      <c r="EE58" s="517"/>
      <c r="EF58" s="517"/>
      <c r="EG58" s="518"/>
      <c r="EH58" s="517"/>
      <c r="EI58" s="518"/>
      <c r="EJ58" s="517"/>
      <c r="EK58" s="518"/>
      <c r="EL58" s="517"/>
      <c r="EM58" s="518"/>
      <c r="EN58" s="518"/>
      <c r="EO58" s="517"/>
      <c r="EP58" s="518"/>
      <c r="EQ58" s="517"/>
      <c r="ER58" s="518"/>
      <c r="ES58" s="517"/>
      <c r="ET58" s="691"/>
      <c r="EU58" s="690"/>
      <c r="EV58" s="847"/>
      <c r="EW58" s="690"/>
      <c r="EX58" s="518"/>
      <c r="EY58" s="517"/>
      <c r="EZ58" s="518"/>
      <c r="FA58" s="517"/>
      <c r="FB58" s="517"/>
      <c r="FC58" s="518"/>
      <c r="FD58" s="517"/>
      <c r="FE58" s="518"/>
      <c r="FF58" s="518"/>
      <c r="FG58" s="517"/>
      <c r="FH58" s="518"/>
      <c r="FI58" s="517"/>
      <c r="FJ58" s="518"/>
      <c r="FK58" s="517"/>
      <c r="FL58" s="518"/>
      <c r="FM58" s="517"/>
      <c r="FN58" s="518"/>
      <c r="FO58" s="517"/>
      <c r="FP58" s="518"/>
      <c r="FQ58" s="517"/>
      <c r="FR58" s="518"/>
      <c r="FS58" s="517"/>
      <c r="FT58" s="518"/>
      <c r="FU58" s="517"/>
      <c r="FV58" s="518"/>
      <c r="FW58" s="517"/>
      <c r="FX58" s="518"/>
      <c r="FY58" s="517"/>
      <c r="FZ58" s="518"/>
      <c r="GA58" s="517"/>
      <c r="GB58" s="518"/>
      <c r="GC58" s="517"/>
      <c r="GD58" s="518"/>
      <c r="GE58" s="517"/>
      <c r="GF58" s="518"/>
      <c r="GG58" s="517"/>
      <c r="GH58" s="518"/>
      <c r="GI58" s="517"/>
      <c r="GJ58" s="518"/>
      <c r="GK58" s="517"/>
      <c r="GL58" s="518"/>
      <c r="GM58" s="517"/>
      <c r="GN58" s="518"/>
      <c r="GO58" s="517"/>
      <c r="GP58" s="518"/>
      <c r="GQ58" s="661"/>
      <c r="GR58" s="679"/>
      <c r="GS58" s="676"/>
      <c r="GT58" s="679"/>
      <c r="GU58" s="676"/>
      <c r="GV58" s="679"/>
      <c r="GW58" s="676"/>
      <c r="GX58" s="679"/>
      <c r="GY58" s="754"/>
      <c r="GZ58" s="755"/>
      <c r="HA58" s="754"/>
    </row>
    <row r="59" spans="1:211" ht="15.75">
      <c r="A59" s="528"/>
      <c r="B59" s="516"/>
      <c r="C59" s="657"/>
      <c r="D59" s="519"/>
      <c r="E59" s="517"/>
      <c r="F59" s="518"/>
      <c r="G59" s="517"/>
      <c r="H59" s="518"/>
      <c r="I59" s="517"/>
      <c r="J59" s="518"/>
      <c r="K59" s="517"/>
      <c r="L59" s="518"/>
      <c r="M59" s="517"/>
      <c r="N59" s="518"/>
      <c r="O59" s="517"/>
      <c r="P59" s="518"/>
      <c r="Q59" s="517"/>
      <c r="R59" s="518"/>
      <c r="S59" s="517"/>
      <c r="T59" s="518"/>
      <c r="U59" s="517"/>
      <c r="V59" s="518"/>
      <c r="W59" s="517"/>
      <c r="X59" s="518"/>
      <c r="Y59" s="517"/>
      <c r="Z59" s="518"/>
      <c r="AA59" s="517"/>
      <c r="AB59" s="518"/>
      <c r="AC59" s="517"/>
      <c r="AD59" s="518"/>
      <c r="AE59" s="517"/>
      <c r="AF59" s="518"/>
      <c r="AG59" s="517"/>
      <c r="AH59" s="691"/>
      <c r="AI59" s="690"/>
      <c r="AJ59" s="518"/>
      <c r="AK59" s="517"/>
      <c r="AL59" s="518"/>
      <c r="AM59" s="517"/>
      <c r="AN59" s="518"/>
      <c r="AO59" s="517"/>
      <c r="AP59" s="518"/>
      <c r="AQ59" s="517"/>
      <c r="AR59" s="518"/>
      <c r="AS59" s="517"/>
      <c r="AT59" s="691"/>
      <c r="AU59" s="517"/>
      <c r="AV59" s="518"/>
      <c r="AW59" s="517"/>
      <c r="AX59" s="518"/>
      <c r="AY59" s="517"/>
      <c r="AZ59" s="518"/>
      <c r="BA59" s="517"/>
      <c r="BB59" s="691"/>
      <c r="BC59" s="690"/>
      <c r="BD59" s="518"/>
      <c r="BE59" s="690"/>
      <c r="BF59" s="518"/>
      <c r="BG59" s="517"/>
      <c r="BH59" s="518"/>
      <c r="BI59" s="517"/>
      <c r="BJ59" s="518"/>
      <c r="BK59" s="690"/>
      <c r="BL59" s="518"/>
      <c r="BM59" s="517"/>
      <c r="BN59" s="691"/>
      <c r="BO59" s="517"/>
      <c r="BP59" s="518"/>
      <c r="BQ59" s="517"/>
      <c r="BR59" s="518"/>
      <c r="BS59" s="517"/>
      <c r="BT59" s="518"/>
      <c r="BU59" s="517"/>
      <c r="BV59" s="518"/>
      <c r="BW59" s="517"/>
      <c r="BX59" s="518"/>
      <c r="BY59" s="517"/>
      <c r="BZ59" s="517"/>
      <c r="CA59" s="812"/>
      <c r="CB59" s="517"/>
      <c r="CC59" s="518"/>
      <c r="CD59" s="517"/>
      <c r="CE59" s="518"/>
      <c r="CF59" s="517"/>
      <c r="CG59" s="518"/>
      <c r="CH59" s="517"/>
      <c r="CI59" s="518"/>
      <c r="CJ59" s="517"/>
      <c r="CK59" s="518"/>
      <c r="CL59" s="517"/>
      <c r="CM59" s="518"/>
      <c r="CN59" s="517"/>
      <c r="CO59" s="518"/>
      <c r="CP59" s="518"/>
      <c r="CQ59" s="517"/>
      <c r="CR59" s="518"/>
      <c r="CS59" s="517"/>
      <c r="CT59" s="518"/>
      <c r="CU59" s="517"/>
      <c r="CV59" s="518"/>
      <c r="CW59" s="517"/>
      <c r="CX59" s="518"/>
      <c r="CY59" s="517"/>
      <c r="CZ59" s="518"/>
      <c r="DA59" s="517"/>
      <c r="DB59" s="518"/>
      <c r="DC59" s="517"/>
      <c r="DD59" s="518"/>
      <c r="DE59" s="517"/>
      <c r="DF59" s="518"/>
      <c r="DG59" s="517"/>
      <c r="DH59" s="518"/>
      <c r="DI59" s="517"/>
      <c r="DJ59" s="518"/>
      <c r="DK59" s="517"/>
      <c r="DL59" s="691"/>
      <c r="DM59" s="690"/>
      <c r="DN59" s="691"/>
      <c r="DO59" s="690"/>
      <c r="DP59" s="518"/>
      <c r="DQ59" s="517"/>
      <c r="DR59" s="518"/>
      <c r="DS59" s="517"/>
      <c r="DT59" s="518"/>
      <c r="DU59" s="518"/>
      <c r="DV59" s="517"/>
      <c r="DW59" s="690"/>
      <c r="DX59" s="691"/>
      <c r="DY59" s="517"/>
      <c r="DZ59" s="518"/>
      <c r="EA59" s="517"/>
      <c r="EB59" s="691"/>
      <c r="EC59" s="517"/>
      <c r="ED59" s="518"/>
      <c r="EE59" s="517"/>
      <c r="EF59" s="517"/>
      <c r="EG59" s="518"/>
      <c r="EH59" s="517"/>
      <c r="EI59" s="518"/>
      <c r="EJ59" s="517"/>
      <c r="EK59" s="518"/>
      <c r="EL59" s="517"/>
      <c r="EM59" s="518"/>
      <c r="EN59" s="518"/>
      <c r="EO59" s="517"/>
      <c r="EP59" s="518"/>
      <c r="EQ59" s="517"/>
      <c r="ER59" s="518"/>
      <c r="ES59" s="517"/>
      <c r="ET59" s="691"/>
      <c r="EU59" s="690"/>
      <c r="EV59" s="847"/>
      <c r="EW59" s="690"/>
      <c r="EX59" s="518"/>
      <c r="EY59" s="517"/>
      <c r="EZ59" s="518"/>
      <c r="FA59" s="517"/>
      <c r="FB59" s="517"/>
      <c r="FC59" s="518"/>
      <c r="FD59" s="517"/>
      <c r="FE59" s="518"/>
      <c r="FF59" s="518"/>
      <c r="FG59" s="517"/>
      <c r="FH59" s="518"/>
      <c r="FI59" s="517"/>
      <c r="FJ59" s="518"/>
      <c r="FK59" s="517"/>
      <c r="FL59" s="518"/>
      <c r="FM59" s="517"/>
      <c r="FN59" s="518"/>
      <c r="FO59" s="517"/>
      <c r="FP59" s="518"/>
      <c r="FQ59" s="517"/>
      <c r="FR59" s="518"/>
      <c r="FS59" s="517"/>
      <c r="FT59" s="518"/>
      <c r="FU59" s="517"/>
      <c r="FV59" s="518"/>
      <c r="FW59" s="517"/>
      <c r="FX59" s="518"/>
      <c r="FY59" s="517"/>
      <c r="FZ59" s="518"/>
      <c r="GA59" s="517"/>
      <c r="GB59" s="518"/>
      <c r="GC59" s="517"/>
      <c r="GD59" s="518"/>
      <c r="GE59" s="517"/>
      <c r="GF59" s="518"/>
      <c r="GG59" s="517"/>
      <c r="GH59" s="518"/>
      <c r="GI59" s="517"/>
      <c r="GJ59" s="518"/>
      <c r="GK59" s="517"/>
      <c r="GL59" s="518"/>
      <c r="GM59" s="517"/>
      <c r="GN59" s="518"/>
      <c r="GO59" s="517"/>
      <c r="GP59" s="518"/>
      <c r="GQ59" s="661"/>
      <c r="GR59" s="679"/>
      <c r="GS59" s="676"/>
      <c r="GT59" s="679"/>
      <c r="GU59" s="676"/>
      <c r="GV59" s="679"/>
      <c r="GW59" s="676"/>
      <c r="GX59" s="679"/>
      <c r="GY59" s="754"/>
      <c r="GZ59" s="755"/>
      <c r="HA59" s="754"/>
    </row>
    <row r="60" spans="1:211">
      <c r="A60" s="529"/>
      <c r="C60" s="521"/>
      <c r="D60" s="519"/>
      <c r="E60" s="517"/>
      <c r="F60" s="518"/>
      <c r="G60" s="517"/>
      <c r="H60" s="518"/>
      <c r="I60" s="517"/>
      <c r="J60" s="518"/>
      <c r="K60" s="517"/>
      <c r="L60" s="518"/>
      <c r="M60" s="517"/>
      <c r="N60" s="518"/>
      <c r="O60" s="517"/>
      <c r="P60" s="518"/>
      <c r="Q60" s="517"/>
      <c r="R60" s="518"/>
      <c r="S60" s="517"/>
      <c r="T60" s="518"/>
      <c r="U60" s="517"/>
      <c r="V60" s="518"/>
      <c r="W60" s="517"/>
      <c r="X60" s="518"/>
      <c r="Y60" s="517"/>
      <c r="Z60" s="518"/>
      <c r="AA60" s="517"/>
      <c r="AB60" s="518"/>
      <c r="AC60" s="517"/>
      <c r="AD60" s="518"/>
      <c r="AE60" s="517"/>
      <c r="AF60" s="518"/>
      <c r="AG60" s="517"/>
      <c r="AH60" s="691"/>
      <c r="AI60" s="690"/>
      <c r="AJ60" s="518"/>
      <c r="AK60" s="517"/>
      <c r="AL60" s="518"/>
      <c r="AM60" s="517"/>
      <c r="AN60" s="518"/>
      <c r="AO60" s="517"/>
      <c r="AP60" s="518"/>
      <c r="AQ60" s="517"/>
      <c r="AR60" s="518"/>
      <c r="AS60" s="517"/>
      <c r="AT60" s="691"/>
      <c r="AU60" s="517"/>
      <c r="AV60" s="518"/>
      <c r="AW60" s="517"/>
      <c r="AX60" s="518"/>
      <c r="AY60" s="517"/>
      <c r="AZ60" s="518"/>
      <c r="BA60" s="517"/>
      <c r="BB60" s="691"/>
      <c r="BC60" s="690"/>
      <c r="BD60" s="518"/>
      <c r="BE60" s="690"/>
      <c r="BF60" s="518"/>
      <c r="BG60" s="517"/>
      <c r="BH60" s="518"/>
      <c r="BI60" s="517"/>
      <c r="BJ60" s="518"/>
      <c r="BK60" s="690"/>
      <c r="BL60" s="518"/>
      <c r="BM60" s="517"/>
      <c r="BN60" s="691"/>
      <c r="BO60" s="517"/>
      <c r="BP60" s="518"/>
      <c r="BQ60" s="517"/>
      <c r="BR60" s="518"/>
      <c r="BS60" s="517"/>
      <c r="BT60" s="518"/>
      <c r="BU60" s="517"/>
      <c r="BV60" s="518"/>
      <c r="BW60" s="517"/>
      <c r="BX60" s="518"/>
      <c r="BY60" s="517"/>
      <c r="BZ60" s="517"/>
      <c r="CA60" s="812"/>
      <c r="CB60" s="517"/>
      <c r="CC60" s="518"/>
      <c r="CD60" s="517"/>
      <c r="CE60" s="518"/>
      <c r="CF60" s="517"/>
      <c r="CG60" s="518"/>
      <c r="CH60" s="517"/>
      <c r="CI60" s="518"/>
      <c r="CJ60" s="517"/>
      <c r="CK60" s="518"/>
      <c r="CL60" s="517"/>
      <c r="CM60" s="518"/>
      <c r="CN60" s="517"/>
      <c r="CO60" s="518"/>
      <c r="CP60" s="518"/>
      <c r="CQ60" s="517"/>
      <c r="CR60" s="518"/>
      <c r="CS60" s="517"/>
      <c r="CT60" s="518"/>
      <c r="CU60" s="517"/>
      <c r="CV60" s="518"/>
      <c r="CW60" s="517"/>
      <c r="CX60" s="518"/>
      <c r="CY60" s="517"/>
      <c r="CZ60" s="518"/>
      <c r="DA60" s="517"/>
      <c r="DB60" s="518"/>
      <c r="DC60" s="517"/>
      <c r="DD60" s="518"/>
      <c r="DE60" s="517"/>
      <c r="DF60" s="518"/>
      <c r="DG60" s="517"/>
      <c r="DH60" s="518"/>
      <c r="DI60" s="517"/>
      <c r="DJ60" s="518"/>
      <c r="DK60" s="517"/>
      <c r="DL60" s="691"/>
      <c r="DM60" s="690"/>
      <c r="DN60" s="691"/>
      <c r="DO60" s="690"/>
      <c r="DP60" s="518"/>
      <c r="DQ60" s="517"/>
      <c r="DR60" s="518"/>
      <c r="DS60" s="517"/>
      <c r="DT60" s="518"/>
      <c r="DU60" s="518"/>
      <c r="DV60" s="517"/>
      <c r="DW60" s="690"/>
      <c r="DX60" s="691"/>
      <c r="DY60" s="517"/>
      <c r="DZ60" s="518"/>
      <c r="EA60" s="517"/>
      <c r="EB60" s="691"/>
      <c r="EC60" s="517"/>
      <c r="ED60" s="518"/>
      <c r="EE60" s="517"/>
      <c r="EF60" s="517"/>
      <c r="EG60" s="518"/>
      <c r="EH60" s="517"/>
      <c r="EI60" s="518"/>
      <c r="EJ60" s="517"/>
      <c r="EK60" s="518"/>
      <c r="EL60" s="517"/>
      <c r="EM60" s="518"/>
      <c r="EN60" s="518"/>
      <c r="EO60" s="517"/>
      <c r="EP60" s="518"/>
      <c r="EQ60" s="517"/>
      <c r="ER60" s="518"/>
      <c r="ES60" s="517"/>
      <c r="ET60" s="691"/>
      <c r="EU60" s="690"/>
      <c r="EV60" s="847"/>
      <c r="EW60" s="690"/>
      <c r="EX60" s="518"/>
      <c r="EY60" s="517"/>
      <c r="EZ60" s="518"/>
      <c r="FA60" s="517"/>
      <c r="FB60" s="517"/>
      <c r="FC60" s="518"/>
      <c r="FD60" s="517"/>
      <c r="FE60" s="518"/>
      <c r="FF60" s="518"/>
      <c r="FG60" s="517"/>
      <c r="FH60" s="518"/>
      <c r="FI60" s="517"/>
      <c r="FJ60" s="518"/>
      <c r="FK60" s="517"/>
      <c r="FL60" s="518"/>
      <c r="FM60" s="517"/>
      <c r="FN60" s="518"/>
      <c r="FO60" s="517"/>
      <c r="FP60" s="518"/>
      <c r="FQ60" s="517"/>
      <c r="FR60" s="518"/>
      <c r="FS60" s="517"/>
      <c r="FT60" s="518"/>
      <c r="FU60" s="517"/>
      <c r="FV60" s="518"/>
      <c r="FW60" s="517"/>
      <c r="FX60" s="518"/>
      <c r="FY60" s="517"/>
      <c r="FZ60" s="518"/>
      <c r="GA60" s="517"/>
      <c r="GB60" s="518"/>
      <c r="GC60" s="517"/>
      <c r="GD60" s="518"/>
      <c r="GE60" s="517"/>
      <c r="GF60" s="518"/>
      <c r="GG60" s="517"/>
      <c r="GH60" s="518"/>
      <c r="GI60" s="517"/>
      <c r="GJ60" s="518"/>
      <c r="GK60" s="517"/>
      <c r="GL60" s="518"/>
      <c r="GM60" s="517"/>
      <c r="GN60" s="518"/>
      <c r="GO60" s="517"/>
      <c r="GP60" s="518"/>
      <c r="GQ60" s="661"/>
      <c r="GR60" s="679"/>
      <c r="GS60" s="676"/>
      <c r="GT60" s="679"/>
      <c r="GU60" s="676"/>
      <c r="GV60" s="679"/>
      <c r="GW60" s="676"/>
      <c r="GX60" s="679"/>
      <c r="GY60" s="754"/>
      <c r="GZ60" s="755"/>
      <c r="HA60" s="754"/>
    </row>
    <row r="61" spans="1:211">
      <c r="A61" s="529"/>
      <c r="C61" s="521"/>
      <c r="D61" s="519"/>
      <c r="E61" s="517"/>
      <c r="F61" s="518"/>
      <c r="G61" s="517"/>
      <c r="H61" s="518"/>
      <c r="I61" s="517"/>
      <c r="J61" s="518"/>
      <c r="K61" s="517"/>
      <c r="L61" s="518"/>
      <c r="M61" s="517"/>
      <c r="N61" s="518"/>
      <c r="O61" s="517"/>
      <c r="P61" s="518"/>
      <c r="Q61" s="517"/>
      <c r="R61" s="518"/>
      <c r="S61" s="517"/>
      <c r="T61" s="518"/>
      <c r="U61" s="517"/>
      <c r="V61" s="518"/>
      <c r="W61" s="517"/>
      <c r="X61" s="518"/>
      <c r="Y61" s="517"/>
      <c r="Z61" s="518"/>
      <c r="AA61" s="517"/>
      <c r="AB61" s="518"/>
      <c r="AC61" s="517"/>
      <c r="AD61" s="518"/>
      <c r="AE61" s="517"/>
      <c r="AF61" s="518"/>
      <c r="AG61" s="517"/>
      <c r="AH61" s="691"/>
      <c r="AI61" s="690"/>
      <c r="AJ61" s="518"/>
      <c r="AK61" s="517"/>
      <c r="AL61" s="518"/>
      <c r="AM61" s="517"/>
      <c r="AN61" s="518"/>
      <c r="AO61" s="517"/>
      <c r="AP61" s="518"/>
      <c r="AQ61" s="517"/>
      <c r="AR61" s="518"/>
      <c r="AS61" s="517"/>
      <c r="AT61" s="691"/>
      <c r="AU61" s="517"/>
      <c r="AV61" s="518"/>
      <c r="AW61" s="517"/>
      <c r="AX61" s="518"/>
      <c r="AY61" s="517"/>
      <c r="AZ61" s="518"/>
      <c r="BA61" s="517"/>
      <c r="BB61" s="691"/>
      <c r="BC61" s="690"/>
      <c r="BD61" s="518"/>
      <c r="BE61" s="690"/>
      <c r="BF61" s="518"/>
      <c r="BG61" s="517"/>
      <c r="BH61" s="518"/>
      <c r="BI61" s="517"/>
      <c r="BJ61" s="518"/>
      <c r="BK61" s="690"/>
      <c r="BL61" s="518"/>
      <c r="BM61" s="517"/>
      <c r="BN61" s="691"/>
      <c r="BO61" s="517"/>
      <c r="BP61" s="518"/>
      <c r="BQ61" s="517"/>
      <c r="BR61" s="518"/>
      <c r="BS61" s="517"/>
      <c r="BT61" s="518"/>
      <c r="BU61" s="517"/>
      <c r="BV61" s="518"/>
      <c r="BW61" s="517"/>
      <c r="BX61" s="518"/>
      <c r="BY61" s="517"/>
      <c r="BZ61" s="517"/>
      <c r="CA61" s="812"/>
      <c r="CB61" s="517"/>
      <c r="CC61" s="518"/>
      <c r="CD61" s="517"/>
      <c r="CE61" s="518"/>
      <c r="CF61" s="517"/>
      <c r="CG61" s="518"/>
      <c r="CH61" s="517"/>
      <c r="CI61" s="518"/>
      <c r="CJ61" s="517"/>
      <c r="CK61" s="518"/>
      <c r="CL61" s="517"/>
      <c r="CM61" s="518"/>
      <c r="CN61" s="517"/>
      <c r="CO61" s="518"/>
      <c r="CP61" s="518"/>
      <c r="CQ61" s="517"/>
      <c r="CR61" s="518"/>
      <c r="CS61" s="517"/>
      <c r="CT61" s="518"/>
      <c r="CU61" s="517"/>
      <c r="CV61" s="518"/>
      <c r="CW61" s="517"/>
      <c r="CX61" s="518"/>
      <c r="CY61" s="517"/>
      <c r="CZ61" s="518"/>
      <c r="DA61" s="517"/>
      <c r="DB61" s="518"/>
      <c r="DC61" s="517"/>
      <c r="DD61" s="518"/>
      <c r="DE61" s="517"/>
      <c r="DF61" s="518"/>
      <c r="DG61" s="517"/>
      <c r="DH61" s="518"/>
      <c r="DI61" s="517"/>
      <c r="DJ61" s="518"/>
      <c r="DK61" s="517"/>
      <c r="DL61" s="691"/>
      <c r="DM61" s="690"/>
      <c r="DN61" s="691"/>
      <c r="DO61" s="690"/>
      <c r="DP61" s="518"/>
      <c r="DQ61" s="517"/>
      <c r="DR61" s="518"/>
      <c r="DS61" s="517"/>
      <c r="DT61" s="518"/>
      <c r="DU61" s="518"/>
      <c r="DV61" s="517"/>
      <c r="DW61" s="690"/>
      <c r="DX61" s="691"/>
      <c r="DY61" s="517"/>
      <c r="DZ61" s="518"/>
      <c r="EA61" s="517"/>
      <c r="EB61" s="691"/>
      <c r="EC61" s="517"/>
      <c r="ED61" s="518"/>
      <c r="EE61" s="517"/>
      <c r="EF61" s="517"/>
      <c r="EG61" s="518"/>
      <c r="EH61" s="517"/>
      <c r="EI61" s="518"/>
      <c r="EJ61" s="517"/>
      <c r="EK61" s="518"/>
      <c r="EL61" s="517"/>
      <c r="EM61" s="518"/>
      <c r="EN61" s="518"/>
      <c r="EO61" s="517"/>
      <c r="EP61" s="518"/>
      <c r="EQ61" s="517"/>
      <c r="ER61" s="518"/>
      <c r="ES61" s="517"/>
      <c r="ET61" s="691"/>
      <c r="EU61" s="690"/>
      <c r="EV61" s="847"/>
      <c r="EW61" s="690"/>
      <c r="EX61" s="518"/>
      <c r="EY61" s="517"/>
      <c r="EZ61" s="518"/>
      <c r="FA61" s="517"/>
      <c r="FB61" s="517"/>
      <c r="FC61" s="518"/>
      <c r="FD61" s="517"/>
      <c r="FE61" s="518"/>
      <c r="FF61" s="518"/>
      <c r="FG61" s="517"/>
      <c r="FH61" s="518"/>
      <c r="FI61" s="517"/>
      <c r="FJ61" s="518"/>
      <c r="FK61" s="517"/>
      <c r="FL61" s="518"/>
      <c r="FM61" s="517"/>
      <c r="FN61" s="518"/>
      <c r="FO61" s="517"/>
      <c r="FP61" s="518"/>
      <c r="FQ61" s="517"/>
      <c r="FR61" s="518"/>
      <c r="FS61" s="517"/>
      <c r="FT61" s="518"/>
      <c r="FU61" s="517"/>
      <c r="FV61" s="518"/>
      <c r="FW61" s="517"/>
      <c r="FX61" s="518"/>
      <c r="FY61" s="517"/>
      <c r="FZ61" s="518"/>
      <c r="GA61" s="517"/>
      <c r="GB61" s="518"/>
      <c r="GC61" s="517"/>
      <c r="GD61" s="518"/>
      <c r="GE61" s="517"/>
      <c r="GF61" s="518"/>
      <c r="GG61" s="517"/>
      <c r="GH61" s="518"/>
      <c r="GI61" s="517"/>
      <c r="GJ61" s="518"/>
      <c r="GK61" s="517"/>
      <c r="GL61" s="518"/>
      <c r="GM61" s="517"/>
      <c r="GN61" s="518"/>
      <c r="GO61" s="517"/>
      <c r="GP61" s="518"/>
      <c r="GQ61" s="661"/>
      <c r="GR61" s="679"/>
      <c r="GS61" s="676"/>
      <c r="GT61" s="679"/>
      <c r="GU61" s="676"/>
      <c r="GV61" s="679"/>
      <c r="GW61" s="676"/>
      <c r="GX61" s="679"/>
      <c r="GY61" s="754"/>
      <c r="GZ61" s="755"/>
      <c r="HA61" s="754"/>
    </row>
    <row r="62" spans="1:211">
      <c r="A62" s="529"/>
      <c r="C62" s="521"/>
      <c r="D62" s="519"/>
      <c r="E62" s="517"/>
      <c r="F62" s="518"/>
      <c r="G62" s="517"/>
      <c r="H62" s="518"/>
      <c r="I62" s="517"/>
      <c r="J62" s="518"/>
      <c r="K62" s="517"/>
      <c r="L62" s="518"/>
      <c r="M62" s="517"/>
      <c r="N62" s="518"/>
      <c r="O62" s="517"/>
      <c r="P62" s="518"/>
      <c r="Q62" s="517"/>
      <c r="R62" s="518"/>
      <c r="S62" s="517"/>
      <c r="T62" s="518"/>
      <c r="U62" s="517"/>
      <c r="V62" s="518"/>
      <c r="W62" s="517"/>
      <c r="X62" s="518"/>
      <c r="Y62" s="517"/>
      <c r="Z62" s="518"/>
      <c r="AA62" s="517"/>
      <c r="AB62" s="518"/>
      <c r="AC62" s="517"/>
      <c r="AD62" s="518"/>
      <c r="AE62" s="517"/>
      <c r="AF62" s="518"/>
      <c r="AG62" s="517"/>
      <c r="AH62" s="691"/>
      <c r="AI62" s="690"/>
      <c r="AJ62" s="518"/>
      <c r="AK62" s="517"/>
      <c r="AL62" s="518"/>
      <c r="AM62" s="517"/>
      <c r="AN62" s="518"/>
      <c r="AO62" s="517"/>
      <c r="AP62" s="518"/>
      <c r="AQ62" s="517"/>
      <c r="AR62" s="518"/>
      <c r="AS62" s="517"/>
      <c r="AT62" s="691"/>
      <c r="AU62" s="517"/>
      <c r="AV62" s="518"/>
      <c r="AW62" s="517"/>
      <c r="AX62" s="518"/>
      <c r="AY62" s="517"/>
      <c r="AZ62" s="518"/>
      <c r="BA62" s="517"/>
      <c r="BB62" s="691"/>
      <c r="BC62" s="690"/>
      <c r="BD62" s="518"/>
      <c r="BE62" s="690"/>
      <c r="BF62" s="518"/>
      <c r="BG62" s="517"/>
      <c r="BH62" s="518"/>
      <c r="BI62" s="517"/>
      <c r="BJ62" s="518"/>
      <c r="BK62" s="690"/>
      <c r="BL62" s="518"/>
      <c r="BM62" s="517"/>
      <c r="BN62" s="691"/>
      <c r="BO62" s="517"/>
      <c r="BP62" s="518"/>
      <c r="BQ62" s="517"/>
      <c r="BR62" s="518"/>
      <c r="BS62" s="517"/>
      <c r="BT62" s="518"/>
      <c r="BU62" s="517"/>
      <c r="BV62" s="518"/>
      <c r="BW62" s="517"/>
      <c r="BX62" s="518"/>
      <c r="BY62" s="517"/>
      <c r="BZ62" s="517"/>
      <c r="CA62" s="812"/>
      <c r="CB62" s="517"/>
      <c r="CC62" s="518"/>
      <c r="CD62" s="517"/>
      <c r="CE62" s="518"/>
      <c r="CF62" s="517"/>
      <c r="CG62" s="518"/>
      <c r="CH62" s="517"/>
      <c r="CI62" s="518"/>
      <c r="CJ62" s="517"/>
      <c r="CK62" s="518"/>
      <c r="CL62" s="517"/>
      <c r="CM62" s="518"/>
      <c r="CN62" s="517"/>
      <c r="CO62" s="518"/>
      <c r="CP62" s="518"/>
      <c r="CQ62" s="517"/>
      <c r="CR62" s="518"/>
      <c r="CS62" s="517"/>
      <c r="CT62" s="518"/>
      <c r="CU62" s="517"/>
      <c r="CV62" s="518"/>
      <c r="CW62" s="517"/>
      <c r="CX62" s="518"/>
      <c r="CY62" s="517"/>
      <c r="CZ62" s="518"/>
      <c r="DA62" s="517"/>
      <c r="DB62" s="518"/>
      <c r="DC62" s="517"/>
      <c r="DD62" s="518"/>
      <c r="DE62" s="517"/>
      <c r="DF62" s="518"/>
      <c r="DG62" s="517"/>
      <c r="DH62" s="518"/>
      <c r="DI62" s="517"/>
      <c r="DJ62" s="518"/>
      <c r="DK62" s="517"/>
      <c r="DL62" s="691"/>
      <c r="DM62" s="690"/>
      <c r="DN62" s="691"/>
      <c r="DO62" s="690"/>
      <c r="DP62" s="518"/>
      <c r="DQ62" s="517"/>
      <c r="DR62" s="518"/>
      <c r="DS62" s="517"/>
      <c r="DT62" s="518"/>
      <c r="DU62" s="518"/>
      <c r="DV62" s="517"/>
      <c r="DW62" s="690"/>
      <c r="DX62" s="691"/>
      <c r="DY62" s="517"/>
      <c r="DZ62" s="518"/>
      <c r="EA62" s="517"/>
      <c r="EB62" s="691"/>
      <c r="EC62" s="517"/>
      <c r="ED62" s="518"/>
      <c r="EE62" s="517"/>
      <c r="EF62" s="517"/>
      <c r="EG62" s="518"/>
      <c r="EH62" s="517"/>
      <c r="EI62" s="518"/>
      <c r="EJ62" s="517"/>
      <c r="EK62" s="518"/>
      <c r="EL62" s="517"/>
      <c r="EM62" s="518"/>
      <c r="EN62" s="518"/>
      <c r="EO62" s="517"/>
      <c r="EP62" s="518"/>
      <c r="EQ62" s="517"/>
      <c r="ER62" s="518"/>
      <c r="ES62" s="517"/>
      <c r="ET62" s="691"/>
      <c r="EU62" s="690"/>
      <c r="EV62" s="847"/>
      <c r="EW62" s="690"/>
      <c r="EX62" s="518"/>
      <c r="EY62" s="517"/>
      <c r="EZ62" s="518"/>
      <c r="FA62" s="517"/>
      <c r="FB62" s="517"/>
      <c r="FC62" s="518"/>
      <c r="FD62" s="517"/>
      <c r="FE62" s="518"/>
      <c r="FF62" s="518"/>
      <c r="FG62" s="517"/>
      <c r="FH62" s="518"/>
      <c r="FI62" s="517"/>
      <c r="FJ62" s="518"/>
      <c r="FK62" s="517"/>
      <c r="FL62" s="518"/>
      <c r="FM62" s="517"/>
      <c r="FN62" s="518"/>
      <c r="FO62" s="517"/>
      <c r="FP62" s="518"/>
      <c r="FQ62" s="517"/>
      <c r="FR62" s="518"/>
      <c r="FS62" s="517"/>
      <c r="FT62" s="518"/>
      <c r="FU62" s="517"/>
      <c r="FV62" s="518"/>
      <c r="FW62" s="517"/>
      <c r="FX62" s="518"/>
      <c r="FY62" s="517"/>
      <c r="FZ62" s="518"/>
      <c r="GA62" s="517"/>
      <c r="GB62" s="518"/>
      <c r="GC62" s="517"/>
      <c r="GD62" s="518"/>
      <c r="GE62" s="517"/>
      <c r="GF62" s="518"/>
      <c r="GG62" s="517"/>
      <c r="GH62" s="518"/>
      <c r="GI62" s="517"/>
      <c r="GJ62" s="518"/>
      <c r="GK62" s="517"/>
      <c r="GL62" s="518"/>
      <c r="GM62" s="517"/>
      <c r="GN62" s="518"/>
      <c r="GO62" s="517"/>
      <c r="GP62" s="518"/>
      <c r="GQ62" s="661"/>
      <c r="GR62" s="679"/>
      <c r="GS62" s="676"/>
      <c r="GT62" s="679"/>
      <c r="GU62" s="676"/>
      <c r="GV62" s="679"/>
      <c r="GW62" s="676"/>
      <c r="GX62" s="679"/>
      <c r="GY62" s="754"/>
      <c r="GZ62" s="755"/>
      <c r="HA62" s="754"/>
    </row>
    <row r="63" spans="1:211">
      <c r="A63" s="530"/>
      <c r="B63" s="516"/>
      <c r="C63" s="657"/>
      <c r="D63" s="519"/>
      <c r="E63" s="517"/>
      <c r="F63" s="518"/>
      <c r="G63" s="517"/>
      <c r="H63" s="518"/>
      <c r="I63" s="517"/>
      <c r="J63" s="518"/>
      <c r="K63" s="517"/>
      <c r="L63" s="518"/>
      <c r="M63" s="517"/>
      <c r="N63" s="518"/>
      <c r="O63" s="517"/>
      <c r="P63" s="518"/>
      <c r="Q63" s="517"/>
      <c r="R63" s="518"/>
      <c r="S63" s="517"/>
      <c r="T63" s="518"/>
      <c r="U63" s="517"/>
      <c r="V63" s="518"/>
      <c r="W63" s="517"/>
      <c r="X63" s="518"/>
      <c r="Y63" s="517"/>
      <c r="Z63" s="518"/>
      <c r="AA63" s="517"/>
      <c r="AB63" s="518"/>
      <c r="AC63" s="517"/>
      <c r="AD63" s="518"/>
      <c r="AE63" s="517"/>
      <c r="AF63" s="518"/>
      <c r="AG63" s="517"/>
      <c r="AH63" s="691"/>
      <c r="AI63" s="690"/>
      <c r="AJ63" s="518"/>
      <c r="AK63" s="517"/>
      <c r="AL63" s="518"/>
      <c r="AM63" s="517"/>
      <c r="AN63" s="518"/>
      <c r="AO63" s="517"/>
      <c r="AP63" s="518"/>
      <c r="AQ63" s="517"/>
      <c r="AR63" s="518"/>
      <c r="AS63" s="517"/>
      <c r="AT63" s="691"/>
      <c r="AU63" s="517"/>
      <c r="AV63" s="518"/>
      <c r="AW63" s="517"/>
      <c r="AX63" s="518"/>
      <c r="AY63" s="517"/>
      <c r="AZ63" s="518"/>
      <c r="BA63" s="517"/>
      <c r="BB63" s="691"/>
      <c r="BC63" s="690"/>
      <c r="BD63" s="518"/>
      <c r="BE63" s="690"/>
      <c r="BF63" s="518"/>
      <c r="BG63" s="517"/>
      <c r="BH63" s="518"/>
      <c r="BI63" s="517"/>
      <c r="BJ63" s="518"/>
      <c r="BK63" s="690"/>
      <c r="BL63" s="518"/>
      <c r="BM63" s="517"/>
      <c r="BN63" s="691"/>
      <c r="BO63" s="517"/>
      <c r="BP63" s="518"/>
      <c r="BQ63" s="517"/>
      <c r="BR63" s="518"/>
      <c r="BS63" s="517"/>
      <c r="BT63" s="518"/>
      <c r="BU63" s="517"/>
      <c r="BV63" s="518"/>
      <c r="BW63" s="517"/>
      <c r="BX63" s="518"/>
      <c r="BY63" s="517"/>
      <c r="BZ63" s="517"/>
      <c r="CA63" s="812"/>
      <c r="CB63" s="517"/>
      <c r="CC63" s="518"/>
      <c r="CD63" s="517"/>
      <c r="CE63" s="518"/>
      <c r="CF63" s="517"/>
      <c r="CG63" s="518"/>
      <c r="CH63" s="517"/>
      <c r="CI63" s="518"/>
      <c r="CJ63" s="517"/>
      <c r="CK63" s="518"/>
      <c r="CL63" s="517"/>
      <c r="CM63" s="518"/>
      <c r="CN63" s="517"/>
      <c r="CO63" s="518"/>
      <c r="CP63" s="518"/>
      <c r="CQ63" s="517"/>
      <c r="CR63" s="518"/>
      <c r="CS63" s="517"/>
      <c r="CT63" s="518"/>
      <c r="CU63" s="517"/>
      <c r="CV63" s="518"/>
      <c r="CW63" s="517"/>
      <c r="CX63" s="518"/>
      <c r="CY63" s="517"/>
      <c r="CZ63" s="518"/>
      <c r="DA63" s="517"/>
      <c r="DB63" s="518"/>
      <c r="DC63" s="517"/>
      <c r="DD63" s="518"/>
      <c r="DE63" s="517"/>
      <c r="DF63" s="518"/>
      <c r="DG63" s="517"/>
      <c r="DH63" s="518"/>
      <c r="DI63" s="517"/>
      <c r="DJ63" s="518"/>
      <c r="DK63" s="517"/>
      <c r="DL63" s="691"/>
      <c r="DM63" s="690"/>
      <c r="DN63" s="691"/>
      <c r="DO63" s="690"/>
      <c r="DP63" s="518"/>
      <c r="DQ63" s="517"/>
      <c r="DR63" s="518"/>
      <c r="DS63" s="517"/>
      <c r="DT63" s="518"/>
      <c r="DU63" s="518"/>
      <c r="DV63" s="517"/>
      <c r="DW63" s="690"/>
      <c r="DX63" s="691"/>
      <c r="DY63" s="517"/>
      <c r="DZ63" s="518"/>
      <c r="EA63" s="517"/>
      <c r="EB63" s="691"/>
      <c r="EC63" s="517"/>
      <c r="ED63" s="518"/>
      <c r="EE63" s="517"/>
      <c r="EF63" s="517"/>
      <c r="EG63" s="518"/>
      <c r="EH63" s="517"/>
      <c r="EI63" s="518"/>
      <c r="EJ63" s="517"/>
      <c r="EK63" s="518"/>
      <c r="EL63" s="517"/>
      <c r="EM63" s="518"/>
      <c r="EN63" s="518"/>
      <c r="EO63" s="517"/>
      <c r="EP63" s="518"/>
      <c r="EQ63" s="517"/>
      <c r="ER63" s="518"/>
      <c r="ES63" s="517"/>
      <c r="ET63" s="691"/>
      <c r="EU63" s="690"/>
      <c r="EV63" s="847"/>
      <c r="EW63" s="690"/>
      <c r="EX63" s="518"/>
      <c r="EY63" s="517"/>
      <c r="EZ63" s="518"/>
      <c r="FA63" s="517"/>
      <c r="FB63" s="517"/>
      <c r="FC63" s="518"/>
      <c r="FD63" s="517"/>
      <c r="FE63" s="518"/>
      <c r="FF63" s="518"/>
      <c r="FG63" s="517"/>
      <c r="FH63" s="518"/>
      <c r="FI63" s="517"/>
      <c r="FJ63" s="518"/>
      <c r="FK63" s="517"/>
      <c r="FL63" s="518"/>
      <c r="FM63" s="517"/>
      <c r="FN63" s="518"/>
      <c r="FO63" s="517"/>
      <c r="FP63" s="518"/>
      <c r="FQ63" s="517"/>
      <c r="FR63" s="518"/>
      <c r="FS63" s="517"/>
      <c r="FT63" s="518"/>
      <c r="FU63" s="517"/>
      <c r="FV63" s="518"/>
      <c r="FW63" s="517"/>
      <c r="FX63" s="518"/>
      <c r="FY63" s="517"/>
      <c r="FZ63" s="518"/>
      <c r="GA63" s="517"/>
      <c r="GB63" s="518"/>
      <c r="GC63" s="517"/>
      <c r="GD63" s="518"/>
      <c r="GE63" s="517"/>
      <c r="GF63" s="518"/>
      <c r="GG63" s="517"/>
      <c r="GH63" s="518"/>
      <c r="GI63" s="517"/>
      <c r="GJ63" s="518"/>
      <c r="GK63" s="517"/>
      <c r="GL63" s="518"/>
      <c r="GM63" s="517"/>
      <c r="GN63" s="518"/>
      <c r="GO63" s="517"/>
      <c r="GP63" s="518"/>
      <c r="GQ63" s="661"/>
      <c r="GR63" s="679"/>
      <c r="GS63" s="676"/>
      <c r="GT63" s="679"/>
      <c r="GU63" s="676"/>
      <c r="GV63" s="679"/>
      <c r="GW63" s="676"/>
      <c r="GX63" s="679"/>
      <c r="GY63" s="754"/>
      <c r="GZ63" s="755"/>
      <c r="HA63" s="754"/>
    </row>
    <row r="64" spans="1:211">
      <c r="A64" s="529"/>
      <c r="C64" s="521"/>
      <c r="D64" s="519"/>
      <c r="E64" s="517"/>
      <c r="F64" s="518"/>
      <c r="G64" s="517"/>
      <c r="H64" s="518"/>
      <c r="I64" s="517"/>
      <c r="J64" s="518"/>
      <c r="K64" s="517"/>
      <c r="L64" s="518"/>
      <c r="M64" s="517"/>
      <c r="N64" s="518"/>
      <c r="O64" s="517"/>
      <c r="P64" s="518"/>
      <c r="Q64" s="517"/>
      <c r="R64" s="518"/>
      <c r="S64" s="517"/>
      <c r="T64" s="518"/>
      <c r="U64" s="517"/>
      <c r="V64" s="518"/>
      <c r="W64" s="517"/>
      <c r="X64" s="518"/>
      <c r="Y64" s="517"/>
      <c r="Z64" s="518"/>
      <c r="AA64" s="517"/>
      <c r="AB64" s="518"/>
      <c r="AC64" s="517"/>
      <c r="AD64" s="518"/>
      <c r="AE64" s="517"/>
      <c r="AF64" s="518"/>
      <c r="AG64" s="517"/>
      <c r="AH64" s="691"/>
      <c r="AI64" s="690"/>
      <c r="AJ64" s="518"/>
      <c r="AK64" s="517"/>
      <c r="AL64" s="518"/>
      <c r="AM64" s="517"/>
      <c r="AN64" s="518"/>
      <c r="AO64" s="517"/>
      <c r="AP64" s="518"/>
      <c r="AQ64" s="517"/>
      <c r="AR64" s="518"/>
      <c r="AS64" s="517"/>
      <c r="AT64" s="691"/>
      <c r="AU64" s="517"/>
      <c r="AV64" s="518"/>
      <c r="AW64" s="517"/>
      <c r="AX64" s="518"/>
      <c r="AY64" s="517"/>
      <c r="AZ64" s="518"/>
      <c r="BA64" s="517"/>
      <c r="BB64" s="691"/>
      <c r="BC64" s="690"/>
      <c r="BD64" s="518"/>
      <c r="BE64" s="690"/>
      <c r="BF64" s="518"/>
      <c r="BG64" s="517"/>
      <c r="BH64" s="518"/>
      <c r="BI64" s="517"/>
      <c r="BJ64" s="518"/>
      <c r="BK64" s="690"/>
      <c r="BL64" s="518"/>
      <c r="BM64" s="517"/>
      <c r="BN64" s="691"/>
      <c r="BO64" s="517"/>
      <c r="BP64" s="518"/>
      <c r="BQ64" s="517"/>
      <c r="BR64" s="518"/>
      <c r="BS64" s="517"/>
      <c r="BT64" s="518"/>
      <c r="BU64" s="517"/>
      <c r="BV64" s="518"/>
      <c r="BW64" s="517"/>
      <c r="BX64" s="518"/>
      <c r="BY64" s="517"/>
      <c r="BZ64" s="517"/>
      <c r="CA64" s="812"/>
      <c r="CB64" s="517"/>
      <c r="CC64" s="518"/>
      <c r="CD64" s="517"/>
      <c r="CE64" s="518"/>
      <c r="CF64" s="517"/>
      <c r="CG64" s="518"/>
      <c r="CH64" s="517"/>
      <c r="CI64" s="518"/>
      <c r="CJ64" s="517"/>
      <c r="CK64" s="518"/>
      <c r="CL64" s="517"/>
      <c r="CM64" s="518"/>
      <c r="CN64" s="517"/>
      <c r="CO64" s="518"/>
      <c r="CP64" s="518"/>
      <c r="CQ64" s="517"/>
      <c r="CR64" s="518"/>
      <c r="CS64" s="517"/>
      <c r="CT64" s="518"/>
      <c r="CU64" s="517"/>
      <c r="CV64" s="518"/>
      <c r="CW64" s="517"/>
      <c r="CX64" s="518"/>
      <c r="CY64" s="517"/>
      <c r="CZ64" s="518"/>
      <c r="DA64" s="517"/>
      <c r="DB64" s="518"/>
      <c r="DC64" s="517"/>
      <c r="DD64" s="518"/>
      <c r="DE64" s="517"/>
      <c r="DF64" s="518"/>
      <c r="DG64" s="517"/>
      <c r="DH64" s="518"/>
      <c r="DI64" s="517"/>
      <c r="DJ64" s="518"/>
      <c r="DK64" s="517"/>
      <c r="DL64" s="691"/>
      <c r="DM64" s="690"/>
      <c r="DN64" s="691"/>
      <c r="DO64" s="690"/>
      <c r="DP64" s="518"/>
      <c r="DQ64" s="517"/>
      <c r="DR64" s="518"/>
      <c r="DS64" s="517"/>
      <c r="DT64" s="518"/>
      <c r="DU64" s="518"/>
      <c r="DV64" s="517"/>
      <c r="DW64" s="690"/>
      <c r="DX64" s="691"/>
      <c r="DY64" s="517"/>
      <c r="DZ64" s="518"/>
      <c r="EA64" s="517"/>
      <c r="EB64" s="691"/>
      <c r="EC64" s="517"/>
      <c r="ED64" s="518"/>
      <c r="EE64" s="517"/>
      <c r="EF64" s="517"/>
      <c r="EG64" s="518"/>
      <c r="EH64" s="517"/>
      <c r="EI64" s="518"/>
      <c r="EJ64" s="517"/>
      <c r="EK64" s="518"/>
      <c r="EL64" s="517"/>
      <c r="EM64" s="518"/>
      <c r="EN64" s="518"/>
      <c r="EO64" s="517"/>
      <c r="EP64" s="518"/>
      <c r="EQ64" s="517"/>
      <c r="ER64" s="518"/>
      <c r="ES64" s="517"/>
      <c r="ET64" s="691"/>
      <c r="EU64" s="690"/>
      <c r="EV64" s="847"/>
      <c r="EW64" s="690"/>
      <c r="EX64" s="518"/>
      <c r="EY64" s="517"/>
      <c r="EZ64" s="518"/>
      <c r="FA64" s="517"/>
      <c r="FB64" s="517"/>
      <c r="FC64" s="518"/>
      <c r="FD64" s="517"/>
      <c r="FE64" s="518"/>
      <c r="FF64" s="518"/>
      <c r="FG64" s="517"/>
      <c r="FH64" s="518"/>
      <c r="FI64" s="517"/>
      <c r="FJ64" s="518"/>
      <c r="FK64" s="517"/>
      <c r="FL64" s="518"/>
      <c r="FM64" s="517"/>
      <c r="FN64" s="518"/>
      <c r="FO64" s="517"/>
      <c r="FP64" s="518"/>
      <c r="FQ64" s="517"/>
      <c r="FR64" s="518"/>
      <c r="FS64" s="517"/>
      <c r="FT64" s="518"/>
      <c r="FU64" s="517"/>
      <c r="FV64" s="518"/>
      <c r="FW64" s="517"/>
      <c r="FX64" s="518"/>
      <c r="FY64" s="517"/>
      <c r="FZ64" s="518"/>
      <c r="GA64" s="517"/>
      <c r="GB64" s="518"/>
      <c r="GC64" s="517"/>
      <c r="GD64" s="518"/>
      <c r="GE64" s="517"/>
      <c r="GF64" s="518"/>
      <c r="GG64" s="517"/>
      <c r="GH64" s="518"/>
      <c r="GI64" s="517"/>
      <c r="GJ64" s="518"/>
      <c r="GK64" s="517"/>
      <c r="GL64" s="518"/>
      <c r="GM64" s="517"/>
      <c r="GN64" s="518"/>
      <c r="GO64" s="517"/>
      <c r="GP64" s="518"/>
      <c r="GQ64" s="661"/>
      <c r="GR64" s="679"/>
      <c r="GS64" s="676"/>
      <c r="GT64" s="679"/>
      <c r="GU64" s="676"/>
      <c r="GV64" s="679"/>
      <c r="GW64" s="676"/>
      <c r="GX64" s="679"/>
      <c r="GY64" s="754"/>
      <c r="GZ64" s="755"/>
      <c r="HA64" s="754"/>
    </row>
    <row r="65" spans="1:211">
      <c r="D65" s="490"/>
      <c r="J65" s="379"/>
      <c r="DL65" s="696"/>
      <c r="DM65" s="696"/>
      <c r="DN65" s="696"/>
      <c r="DO65" s="696"/>
    </row>
    <row r="66" spans="1:211">
      <c r="D66" s="490"/>
      <c r="J66" s="379"/>
      <c r="DL66" s="696"/>
      <c r="DM66" s="696"/>
      <c r="DN66" s="696"/>
      <c r="DO66" s="696"/>
    </row>
    <row r="67" spans="1:211">
      <c r="D67" s="490"/>
      <c r="E67" s="379">
        <f>LOG(E16)/LOG(E32+E35+E36+E37)</f>
        <v>1.3584331707121868</v>
      </c>
      <c r="F67" s="379">
        <f t="shared" ref="F67:BQ67" si="0">LOG(F16)/LOG(F32+F35+F36+F37)</f>
        <v>1.3202866983115638</v>
      </c>
      <c r="G67" s="379">
        <f t="shared" si="0"/>
        <v>1.3351036276654416</v>
      </c>
      <c r="H67" s="379">
        <f t="shared" si="0"/>
        <v>1.3128811497077648</v>
      </c>
      <c r="I67" s="379">
        <f t="shared" si="0"/>
        <v>1.3128811497077648</v>
      </c>
      <c r="J67" s="379">
        <f t="shared" si="0"/>
        <v>1.3128811497077648</v>
      </c>
      <c r="K67" s="379">
        <f t="shared" si="0"/>
        <v>1.3128811497077648</v>
      </c>
      <c r="L67" s="379">
        <f t="shared" si="0"/>
        <v>1.4445902826453896</v>
      </c>
      <c r="M67" s="379">
        <f t="shared" si="0"/>
        <v>1.4445902826453896</v>
      </c>
      <c r="N67" s="379">
        <f t="shared" si="0"/>
        <v>1.4445902826453896</v>
      </c>
      <c r="O67" s="379">
        <f t="shared" si="0"/>
        <v>1.1601991019545095</v>
      </c>
      <c r="P67" s="379">
        <f t="shared" si="0"/>
        <v>1.1685650839881894</v>
      </c>
      <c r="Q67" s="379">
        <f t="shared" si="0"/>
        <v>1.1778848732707332</v>
      </c>
      <c r="R67" s="379">
        <f t="shared" si="0"/>
        <v>1.1813160708771491</v>
      </c>
      <c r="S67" s="379">
        <f t="shared" si="0"/>
        <v>1.1536774610288019</v>
      </c>
      <c r="T67" s="379">
        <f t="shared" si="0"/>
        <v>1.1596241703670123</v>
      </c>
      <c r="U67" s="379">
        <f t="shared" si="0"/>
        <v>1.1673557657351246</v>
      </c>
      <c r="V67" s="379">
        <f t="shared" si="0"/>
        <v>1.1846919592000478</v>
      </c>
      <c r="W67" s="379">
        <f t="shared" si="0"/>
        <v>1.2350416876207042</v>
      </c>
      <c r="X67" s="379">
        <f t="shared" si="0"/>
        <v>1.1716960583126996</v>
      </c>
      <c r="Y67" s="379">
        <f t="shared" si="0"/>
        <v>1.15777118843803</v>
      </c>
      <c r="Z67" s="379">
        <f t="shared" si="0"/>
        <v>1.1292596125180685</v>
      </c>
      <c r="AA67" s="379">
        <f t="shared" si="0"/>
        <v>1.1371091561740105</v>
      </c>
      <c r="AB67" s="379">
        <f t="shared" si="0"/>
        <v>1.149233785596808</v>
      </c>
      <c r="AC67" s="379">
        <f t="shared" si="0"/>
        <v>1.1596241703670123</v>
      </c>
      <c r="AD67" s="379">
        <f t="shared" si="0"/>
        <v>1.1927072615081225</v>
      </c>
      <c r="AE67" s="379">
        <f t="shared" si="0"/>
        <v>1.2243101063936999</v>
      </c>
      <c r="AF67" s="379" t="e">
        <f t="shared" si="0"/>
        <v>#NUM!</v>
      </c>
      <c r="AG67" s="379" t="e">
        <f t="shared" si="0"/>
        <v>#NUM!</v>
      </c>
      <c r="AH67" s="379">
        <f t="shared" si="0"/>
        <v>1.3603326848056765</v>
      </c>
      <c r="AI67" s="379">
        <f t="shared" si="0"/>
        <v>1.392605430197559</v>
      </c>
      <c r="AJ67" s="379">
        <f t="shared" si="0"/>
        <v>1.2105016046638466</v>
      </c>
      <c r="AK67" s="379">
        <f t="shared" si="0"/>
        <v>1.2316422441650541</v>
      </c>
      <c r="AL67" s="379">
        <f t="shared" si="0"/>
        <v>1.2406528929077809</v>
      </c>
      <c r="AM67" s="379">
        <f t="shared" si="0"/>
        <v>1.261135688552478</v>
      </c>
      <c r="AN67" s="379">
        <f t="shared" si="0"/>
        <v>1.2772508336030952</v>
      </c>
      <c r="AO67" s="379">
        <f t="shared" si="0"/>
        <v>1.191574658846432</v>
      </c>
      <c r="AP67" s="379">
        <f t="shared" si="0"/>
        <v>1.2101491810079215</v>
      </c>
      <c r="AQ67" s="379" t="e">
        <f t="shared" si="0"/>
        <v>#NUM!</v>
      </c>
      <c r="AR67" s="379">
        <f t="shared" si="0"/>
        <v>1.397801939623543</v>
      </c>
      <c r="AS67" s="379">
        <f t="shared" si="0"/>
        <v>1.397801939623543</v>
      </c>
      <c r="AT67" s="379" t="e">
        <f t="shared" si="0"/>
        <v>#NUM!</v>
      </c>
      <c r="AU67" s="379">
        <f t="shared" si="0"/>
        <v>1.2776644979203338</v>
      </c>
      <c r="AV67" s="379">
        <f t="shared" si="0"/>
        <v>1.2963359338943412</v>
      </c>
      <c r="AW67" s="379">
        <f t="shared" si="0"/>
        <v>1.2772508336030952</v>
      </c>
      <c r="AX67" s="379">
        <f t="shared" si="0"/>
        <v>1.2316422441650541</v>
      </c>
      <c r="AY67" s="379">
        <f t="shared" si="0"/>
        <v>1.2849842281762938</v>
      </c>
      <c r="AZ67" s="379">
        <f t="shared" si="0"/>
        <v>1.2224821430734896</v>
      </c>
      <c r="BA67" s="379" t="e">
        <f t="shared" si="0"/>
        <v>#NUM!</v>
      </c>
      <c r="BB67" s="379" t="e">
        <f t="shared" si="0"/>
        <v>#NUM!</v>
      </c>
      <c r="BC67" s="379" t="e">
        <f t="shared" si="0"/>
        <v>#NUM!</v>
      </c>
      <c r="BD67" s="379">
        <f t="shared" si="0"/>
        <v>1.397801939623543</v>
      </c>
      <c r="BE67" s="379" t="e">
        <f t="shared" si="0"/>
        <v>#NUM!</v>
      </c>
      <c r="BF67" s="379">
        <f t="shared" si="0"/>
        <v>1.3132476751859679</v>
      </c>
      <c r="BG67" s="379">
        <f t="shared" si="0"/>
        <v>1.3237577746295608</v>
      </c>
      <c r="BH67" s="379">
        <f t="shared" si="0"/>
        <v>1.2751451650295804</v>
      </c>
      <c r="BI67" s="379">
        <f t="shared" si="0"/>
        <v>1.3328614721193357</v>
      </c>
      <c r="BJ67" s="379">
        <f t="shared" si="0"/>
        <v>1.2956022375636274</v>
      </c>
      <c r="BK67" s="379" t="e">
        <f t="shared" si="0"/>
        <v>#NUM!</v>
      </c>
      <c r="BL67" s="379">
        <f t="shared" si="0"/>
        <v>1.397801939623543</v>
      </c>
      <c r="BM67" s="379">
        <f t="shared" si="0"/>
        <v>1.397801939623543</v>
      </c>
      <c r="BN67" s="379" t="e">
        <f t="shared" si="0"/>
        <v>#NUM!</v>
      </c>
      <c r="BO67" s="379">
        <f t="shared" si="0"/>
        <v>1.397801939623543</v>
      </c>
      <c r="BP67" s="379">
        <f t="shared" si="0"/>
        <v>1.1812635437202836</v>
      </c>
      <c r="BQ67" s="379">
        <f t="shared" si="0"/>
        <v>1.2169707331760751</v>
      </c>
      <c r="BR67" s="379">
        <f t="shared" ref="BR67:EC67" si="1">LOG(BR16)/LOG(BR32+BR35+BR36+BR37)</f>
        <v>1.1946241244076001</v>
      </c>
      <c r="BS67" s="379">
        <f t="shared" si="1"/>
        <v>1.2276373150984534</v>
      </c>
      <c r="BT67" s="379">
        <f t="shared" si="1"/>
        <v>1.3232837917840568</v>
      </c>
      <c r="BU67" s="379">
        <f t="shared" si="1"/>
        <v>1.2456871247248522</v>
      </c>
      <c r="BV67" s="379">
        <f t="shared" si="1"/>
        <v>1.2232527105911302</v>
      </c>
      <c r="BW67" s="379">
        <f t="shared" si="1"/>
        <v>1.2276373150984534</v>
      </c>
      <c r="BX67" s="379">
        <f t="shared" si="1"/>
        <v>1.3232837917840568</v>
      </c>
      <c r="BY67" s="379">
        <f t="shared" si="1"/>
        <v>1.3232837917840568</v>
      </c>
      <c r="BZ67" s="379">
        <f t="shared" si="1"/>
        <v>1.4445902826453896</v>
      </c>
      <c r="CA67" s="379" t="e">
        <f t="shared" si="1"/>
        <v>#NUM!</v>
      </c>
      <c r="CB67" s="379">
        <f t="shared" si="1"/>
        <v>0.93267423302575869</v>
      </c>
      <c r="CC67" s="379">
        <f t="shared" si="1"/>
        <v>0.93267423302575869</v>
      </c>
      <c r="CD67" s="379">
        <f t="shared" si="1"/>
        <v>1.0238320992392618</v>
      </c>
      <c r="CE67" s="379">
        <f t="shared" si="1"/>
        <v>0.94138368659074423</v>
      </c>
      <c r="CF67" s="379">
        <f t="shared" si="1"/>
        <v>1.3524072200665227</v>
      </c>
      <c r="CG67" s="379">
        <f t="shared" si="1"/>
        <v>1.3584331707121868</v>
      </c>
      <c r="CH67" s="379">
        <f t="shared" si="1"/>
        <v>1.0760485122265457</v>
      </c>
      <c r="CI67" s="379">
        <f t="shared" si="1"/>
        <v>1.0785082758764251</v>
      </c>
      <c r="CJ67" s="379">
        <f t="shared" si="1"/>
        <v>1.0351951303434228</v>
      </c>
      <c r="CK67" s="379">
        <f t="shared" si="1"/>
        <v>1.0440403286387658</v>
      </c>
      <c r="CL67" s="379">
        <f t="shared" si="1"/>
        <v>1.2155990125918095</v>
      </c>
      <c r="CM67" s="379">
        <f t="shared" si="1"/>
        <v>1.2438749876543502</v>
      </c>
      <c r="CN67" s="379">
        <f t="shared" si="1"/>
        <v>1.217320301238805</v>
      </c>
      <c r="CO67" s="379">
        <f t="shared" si="1"/>
        <v>1.2702381544273198</v>
      </c>
      <c r="CP67" s="379">
        <f t="shared" si="1"/>
        <v>1.2977358321497525</v>
      </c>
      <c r="CQ67" s="379">
        <f t="shared" si="1"/>
        <v>1.397801939623543</v>
      </c>
      <c r="CR67" s="379">
        <f t="shared" si="1"/>
        <v>1.1329379838988514</v>
      </c>
      <c r="CS67" s="379">
        <f t="shared" si="1"/>
        <v>1.2626495350371936</v>
      </c>
      <c r="CT67" s="379">
        <f t="shared" si="1"/>
        <v>1.1311932211666651</v>
      </c>
      <c r="CU67" s="379">
        <f t="shared" si="1"/>
        <v>1.1497258462723974</v>
      </c>
      <c r="CV67" s="379">
        <f t="shared" si="1"/>
        <v>1.1497258462723974</v>
      </c>
      <c r="CW67" s="379">
        <f t="shared" si="1"/>
        <v>1.1657835662962137</v>
      </c>
      <c r="CX67" s="379">
        <f t="shared" si="1"/>
        <v>1.1813160708771491</v>
      </c>
      <c r="CY67" s="379">
        <f t="shared" si="1"/>
        <v>1.2824239266674726</v>
      </c>
      <c r="CZ67" s="379">
        <f t="shared" si="1"/>
        <v>1.1792477236012349</v>
      </c>
      <c r="DA67" s="379">
        <f t="shared" si="1"/>
        <v>1.1546169028505322</v>
      </c>
      <c r="DB67" s="379" t="e">
        <f t="shared" si="1"/>
        <v>#NUM!</v>
      </c>
      <c r="DC67" s="379">
        <f t="shared" si="1"/>
        <v>1.1811720167701401</v>
      </c>
      <c r="DD67" s="379">
        <f t="shared" si="1"/>
        <v>1.2759464495897797</v>
      </c>
      <c r="DE67" s="379">
        <f t="shared" si="1"/>
        <v>1.1471073233038114</v>
      </c>
      <c r="DF67" s="379">
        <f t="shared" si="1"/>
        <v>1.2069547561543299</v>
      </c>
      <c r="DG67" s="379">
        <f t="shared" si="1"/>
        <v>1.3237577746295608</v>
      </c>
      <c r="DH67" s="379">
        <f t="shared" si="1"/>
        <v>1.1706161741854084</v>
      </c>
      <c r="DI67" s="379">
        <f t="shared" si="1"/>
        <v>1.2533655649516404</v>
      </c>
      <c r="DJ67" s="379">
        <f t="shared" si="1"/>
        <v>1.3226042785129486</v>
      </c>
      <c r="DK67" s="379">
        <f t="shared" si="1"/>
        <v>1.4032138326213031</v>
      </c>
      <c r="DL67" s="379">
        <f t="shared" si="1"/>
        <v>1.1906672436996697</v>
      </c>
      <c r="DM67" s="379">
        <f t="shared" si="1"/>
        <v>1.1684764298951211</v>
      </c>
      <c r="DN67" s="379">
        <f t="shared" si="1"/>
        <v>1.2221479956865875</v>
      </c>
      <c r="DO67" s="379">
        <f t="shared" si="1"/>
        <v>1.2549471261506069</v>
      </c>
      <c r="DP67" s="379">
        <f t="shared" si="1"/>
        <v>1.1371091561740105</v>
      </c>
      <c r="DQ67" s="379">
        <f t="shared" si="1"/>
        <v>1.15777118843803</v>
      </c>
      <c r="DR67" s="379">
        <f t="shared" si="1"/>
        <v>1.3237577746295608</v>
      </c>
      <c r="DS67" s="379">
        <f t="shared" si="1"/>
        <v>1.1706161741854084</v>
      </c>
      <c r="DT67" s="379">
        <f t="shared" si="1"/>
        <v>1.1706161741854084</v>
      </c>
      <c r="DU67" s="379">
        <f t="shared" si="1"/>
        <v>1.1706161741854084</v>
      </c>
      <c r="DV67" s="379">
        <f t="shared" si="1"/>
        <v>1.391112075390357</v>
      </c>
      <c r="DW67" s="379">
        <f t="shared" si="1"/>
        <v>1.1936137752545555</v>
      </c>
      <c r="DX67" s="379">
        <f t="shared" si="1"/>
        <v>1.2426836552974094</v>
      </c>
      <c r="DY67" s="379">
        <f t="shared" si="1"/>
        <v>1.3097023406394928</v>
      </c>
      <c r="DZ67" s="379">
        <f t="shared" si="1"/>
        <v>1.3383581041079715</v>
      </c>
      <c r="EA67" s="379">
        <f t="shared" si="1"/>
        <v>1.397801939623543</v>
      </c>
      <c r="EB67" s="379">
        <f t="shared" si="1"/>
        <v>1.2758077613994951</v>
      </c>
      <c r="EC67" s="379">
        <f t="shared" si="1"/>
        <v>1.3584789221274796</v>
      </c>
      <c r="ED67" s="379">
        <f t="shared" ref="ED67:GN67" si="2">LOG(ED16)/LOG(ED32+ED35+ED36+ED37)</f>
        <v>1.4162896638657994</v>
      </c>
      <c r="EE67" s="379">
        <f t="shared" si="2"/>
        <v>1.4162896638657994</v>
      </c>
      <c r="EF67" s="379">
        <f t="shared" si="2"/>
        <v>1.4445902826453896</v>
      </c>
      <c r="EG67" s="379">
        <f t="shared" si="2"/>
        <v>1.4445902826453896</v>
      </c>
      <c r="EH67" s="379">
        <f t="shared" si="2"/>
        <v>1.4445902826453896</v>
      </c>
      <c r="EI67" s="379" t="e">
        <f t="shared" si="2"/>
        <v>#NUM!</v>
      </c>
      <c r="EJ67" s="379" t="e">
        <f t="shared" si="2"/>
        <v>#NUM!</v>
      </c>
      <c r="EK67" s="379">
        <f t="shared" si="2"/>
        <v>1.3538919020898201</v>
      </c>
      <c r="EL67" s="379" t="e">
        <f t="shared" si="2"/>
        <v>#NUM!</v>
      </c>
      <c r="EM67" s="379">
        <f t="shared" si="2"/>
        <v>1.3744707299739787</v>
      </c>
      <c r="EN67" s="379" t="e">
        <f t="shared" si="2"/>
        <v>#NUM!</v>
      </c>
      <c r="EO67" s="379" t="e">
        <f t="shared" si="2"/>
        <v>#NUM!</v>
      </c>
      <c r="EP67" s="379" t="e">
        <f t="shared" si="2"/>
        <v>#NUM!</v>
      </c>
      <c r="EQ67" s="379" t="e">
        <f t="shared" si="2"/>
        <v>#NUM!</v>
      </c>
      <c r="ER67" s="379" t="e">
        <f t="shared" si="2"/>
        <v>#NUM!</v>
      </c>
      <c r="ES67" s="379" t="e">
        <f t="shared" si="2"/>
        <v>#NUM!</v>
      </c>
      <c r="ET67" s="379" t="e">
        <f t="shared" si="2"/>
        <v>#NUM!</v>
      </c>
      <c r="EU67" s="379" t="e">
        <f t="shared" si="2"/>
        <v>#NUM!</v>
      </c>
      <c r="EV67" s="851" t="e">
        <f t="shared" si="2"/>
        <v>#NUM!</v>
      </c>
      <c r="EW67" s="379" t="e">
        <f t="shared" si="2"/>
        <v>#NUM!</v>
      </c>
      <c r="EX67" s="379" t="e">
        <f t="shared" si="2"/>
        <v>#NUM!</v>
      </c>
      <c r="EY67" s="379" t="e">
        <f t="shared" si="2"/>
        <v>#NUM!</v>
      </c>
      <c r="EZ67" s="379" t="e">
        <f t="shared" si="2"/>
        <v>#NUM!</v>
      </c>
      <c r="FA67" s="379" t="e">
        <f t="shared" si="2"/>
        <v>#NUM!</v>
      </c>
      <c r="FB67" s="379" t="e">
        <f t="shared" si="2"/>
        <v>#NUM!</v>
      </c>
      <c r="FC67" s="379" t="e">
        <f t="shared" si="2"/>
        <v>#NUM!</v>
      </c>
      <c r="FD67" s="379">
        <f t="shared" si="2"/>
        <v>1.1735579455116592</v>
      </c>
      <c r="FE67" s="379">
        <f t="shared" si="2"/>
        <v>1.1735579455116592</v>
      </c>
      <c r="FF67" s="379">
        <f t="shared" si="2"/>
        <v>1.6658123360966042</v>
      </c>
      <c r="FG67" s="379" t="e">
        <f t="shared" si="2"/>
        <v>#NUM!</v>
      </c>
      <c r="FH67" s="379" t="e">
        <f t="shared" si="2"/>
        <v>#NUM!</v>
      </c>
      <c r="FI67" s="379">
        <f t="shared" si="2"/>
        <v>0.92184491545432568</v>
      </c>
      <c r="FJ67" s="379" t="e">
        <f t="shared" si="2"/>
        <v>#NUM!</v>
      </c>
      <c r="FK67" s="379" t="e">
        <f t="shared" si="2"/>
        <v>#NUM!</v>
      </c>
      <c r="FL67" s="379">
        <f t="shared" si="2"/>
        <v>0.92184491545432568</v>
      </c>
      <c r="FM67" s="379" t="e">
        <f t="shared" si="2"/>
        <v>#NUM!</v>
      </c>
      <c r="FN67" s="379" t="e">
        <f t="shared" si="2"/>
        <v>#NUM!</v>
      </c>
      <c r="FO67" s="379" t="e">
        <f t="shared" si="2"/>
        <v>#NUM!</v>
      </c>
      <c r="FP67" s="379" t="e">
        <f t="shared" si="2"/>
        <v>#NUM!</v>
      </c>
      <c r="FQ67" s="379" t="e">
        <f t="shared" si="2"/>
        <v>#NUM!</v>
      </c>
      <c r="FR67" s="379" t="e">
        <f t="shared" si="2"/>
        <v>#NUM!</v>
      </c>
      <c r="FS67" s="379">
        <f t="shared" si="2"/>
        <v>1.5936926411670822</v>
      </c>
      <c r="FT67" s="379" t="e">
        <f t="shared" si="2"/>
        <v>#NUM!</v>
      </c>
      <c r="FU67" s="379" t="e">
        <f t="shared" si="2"/>
        <v>#NUM!</v>
      </c>
      <c r="FV67" s="379" t="e">
        <f t="shared" si="2"/>
        <v>#NUM!</v>
      </c>
      <c r="FW67" s="379" t="e">
        <f t="shared" si="2"/>
        <v>#NUM!</v>
      </c>
      <c r="FX67" s="379" t="e">
        <f t="shared" si="2"/>
        <v>#NUM!</v>
      </c>
      <c r="FY67" s="379">
        <f t="shared" si="2"/>
        <v>0.95440581437785776</v>
      </c>
      <c r="FZ67" s="379">
        <f t="shared" si="2"/>
        <v>1.1303337684950061</v>
      </c>
      <c r="GA67" s="379">
        <f t="shared" si="2"/>
        <v>1.250240373871405</v>
      </c>
      <c r="GB67" s="379">
        <f t="shared" si="2"/>
        <v>1.0660512658720545</v>
      </c>
      <c r="GC67" s="379">
        <f t="shared" si="2"/>
        <v>1.0823827789436167</v>
      </c>
      <c r="GD67" s="379">
        <f t="shared" si="2"/>
        <v>1.1196840045398047</v>
      </c>
      <c r="GE67" s="379">
        <f t="shared" si="2"/>
        <v>1.1038290633827592</v>
      </c>
      <c r="GF67" s="379">
        <f t="shared" si="2"/>
        <v>1.1311932211666651</v>
      </c>
      <c r="GG67" s="379">
        <f t="shared" si="2"/>
        <v>1.174915260347998</v>
      </c>
      <c r="GH67" s="379">
        <f t="shared" si="2"/>
        <v>1.1076536867599296</v>
      </c>
      <c r="GI67" s="379">
        <f t="shared" si="2"/>
        <v>1.2265032649104617</v>
      </c>
      <c r="GJ67" s="379">
        <f t="shared" si="2"/>
        <v>1.2151320881314251</v>
      </c>
      <c r="GK67" s="379">
        <f t="shared" si="2"/>
        <v>1.2151320881314251</v>
      </c>
      <c r="GL67" s="379" t="e">
        <f t="shared" si="2"/>
        <v>#NUM!</v>
      </c>
      <c r="GM67" s="379">
        <f t="shared" si="2"/>
        <v>0.88741157619409639</v>
      </c>
      <c r="GN67" s="379" t="e">
        <f t="shared" si="2"/>
        <v>#NUM!</v>
      </c>
      <c r="GO67" s="379" t="e">
        <f t="shared" ref="GO67:HA67" si="3">LOG(GO16)/LOG(GO32+GO35+GO36+GO37)</f>
        <v>#NUM!</v>
      </c>
      <c r="GP67" s="379" t="e">
        <f t="shared" si="3"/>
        <v>#NUM!</v>
      </c>
      <c r="GQ67" s="379">
        <f t="shared" si="3"/>
        <v>1.3128118183662694</v>
      </c>
      <c r="GR67" s="379">
        <f t="shared" si="3"/>
        <v>1.397801939623543</v>
      </c>
      <c r="GS67" s="379">
        <f t="shared" si="3"/>
        <v>1.0644579892269184</v>
      </c>
      <c r="GT67" s="379">
        <f t="shared" si="3"/>
        <v>1.2621987872969356</v>
      </c>
      <c r="GU67" s="379" t="e">
        <f t="shared" si="3"/>
        <v>#NUM!</v>
      </c>
      <c r="GV67" s="379" t="e">
        <f t="shared" si="3"/>
        <v>#NUM!</v>
      </c>
      <c r="GW67" s="379" t="e">
        <f t="shared" si="3"/>
        <v>#NUM!</v>
      </c>
      <c r="GX67" s="379">
        <f t="shared" si="3"/>
        <v>1.5119160496196309</v>
      </c>
      <c r="GY67" s="379">
        <f t="shared" si="3"/>
        <v>1.371308428917912</v>
      </c>
      <c r="GZ67" s="379">
        <f t="shared" si="3"/>
        <v>1.371308428917912</v>
      </c>
      <c r="HA67" s="379">
        <f t="shared" si="3"/>
        <v>1.4105749276603476</v>
      </c>
    </row>
    <row r="68" spans="1:211" ht="15.75">
      <c r="A68" s="531"/>
      <c r="D68" s="490"/>
      <c r="J68" s="379"/>
      <c r="DL68" s="696"/>
      <c r="DM68" s="696"/>
      <c r="DN68" s="696"/>
      <c r="DO68" s="696"/>
    </row>
    <row r="69" spans="1:211">
      <c r="B69" s="516"/>
      <c r="C69" s="516"/>
      <c r="D69" s="490"/>
      <c r="J69" s="379"/>
      <c r="DL69" s="696"/>
      <c r="DM69" s="696"/>
      <c r="DN69" s="696"/>
      <c r="DO69" s="696"/>
    </row>
    <row r="70" spans="1:211">
      <c r="B70" s="516"/>
      <c r="C70" s="516"/>
      <c r="D70" s="490"/>
      <c r="J70" s="379"/>
      <c r="DL70" s="696"/>
      <c r="DM70" s="696"/>
      <c r="DN70" s="696"/>
      <c r="DO70" s="696"/>
    </row>
    <row r="71" spans="1:211">
      <c r="D71" s="490"/>
      <c r="J71" s="379"/>
      <c r="DL71" s="696"/>
      <c r="DM71" s="696"/>
      <c r="DN71" s="696"/>
      <c r="DO71" s="696"/>
    </row>
    <row r="72" spans="1:211">
      <c r="D72" s="490"/>
      <c r="J72" s="379"/>
      <c r="DL72" s="696"/>
      <c r="DM72" s="696"/>
      <c r="DN72" s="696"/>
      <c r="DO72" s="696"/>
    </row>
    <row r="73" spans="1:211">
      <c r="A73" s="527" t="s">
        <v>1951</v>
      </c>
      <c r="D73" s="490"/>
      <c r="E73" s="379" t="str">
        <f t="shared" ref="E73:BP73" si="4">IF(E2=E80,"Good","Bad")</f>
        <v>Good</v>
      </c>
      <c r="F73" s="379" t="str">
        <f t="shared" si="4"/>
        <v>Good</v>
      </c>
      <c r="G73" s="379" t="str">
        <f t="shared" si="4"/>
        <v>Good</v>
      </c>
      <c r="H73" s="379" t="str">
        <f t="shared" si="4"/>
        <v>Good</v>
      </c>
      <c r="I73" s="379" t="str">
        <f t="shared" si="4"/>
        <v>Good</v>
      </c>
      <c r="J73" s="379" t="str">
        <f t="shared" si="4"/>
        <v>Good</v>
      </c>
      <c r="K73" s="379" t="str">
        <f t="shared" si="4"/>
        <v>Good</v>
      </c>
      <c r="L73" s="379" t="str">
        <f t="shared" si="4"/>
        <v>Good</v>
      </c>
      <c r="M73" s="379" t="str">
        <f t="shared" si="4"/>
        <v>Good</v>
      </c>
      <c r="N73" s="379" t="str">
        <f t="shared" si="4"/>
        <v>Good</v>
      </c>
      <c r="O73" s="379" t="str">
        <f t="shared" si="4"/>
        <v>Good</v>
      </c>
      <c r="P73" s="379" t="str">
        <f t="shared" si="4"/>
        <v>Good</v>
      </c>
      <c r="Q73" s="379" t="str">
        <f t="shared" si="4"/>
        <v>Good</v>
      </c>
      <c r="R73" s="379" t="str">
        <f t="shared" si="4"/>
        <v>Good</v>
      </c>
      <c r="S73" s="379" t="str">
        <f t="shared" si="4"/>
        <v>Good</v>
      </c>
      <c r="T73" s="379" t="str">
        <f t="shared" si="4"/>
        <v>Good</v>
      </c>
      <c r="U73" s="379" t="str">
        <f t="shared" si="4"/>
        <v>Good</v>
      </c>
      <c r="V73" s="379" t="str">
        <f t="shared" si="4"/>
        <v>Good</v>
      </c>
      <c r="W73" s="379" t="str">
        <f t="shared" si="4"/>
        <v>Good</v>
      </c>
      <c r="X73" s="379" t="str">
        <f t="shared" si="4"/>
        <v>Good</v>
      </c>
      <c r="Y73" s="379" t="str">
        <f t="shared" si="4"/>
        <v>Good</v>
      </c>
      <c r="Z73" s="379" t="str">
        <f t="shared" si="4"/>
        <v>Good</v>
      </c>
      <c r="AA73" s="379" t="str">
        <f t="shared" si="4"/>
        <v>Good</v>
      </c>
      <c r="AB73" s="379" t="str">
        <f t="shared" si="4"/>
        <v>Good</v>
      </c>
      <c r="AC73" s="379" t="str">
        <f t="shared" si="4"/>
        <v>Good</v>
      </c>
      <c r="AD73" s="379" t="str">
        <f t="shared" si="4"/>
        <v>Good</v>
      </c>
      <c r="AE73" s="379" t="str">
        <f t="shared" si="4"/>
        <v>Good</v>
      </c>
      <c r="AF73" s="379" t="str">
        <f t="shared" si="4"/>
        <v>Good</v>
      </c>
      <c r="AG73" s="379" t="str">
        <f t="shared" si="4"/>
        <v>Good</v>
      </c>
      <c r="AH73" s="696" t="str">
        <f t="shared" si="4"/>
        <v>Good</v>
      </c>
      <c r="AI73" s="696" t="str">
        <f t="shared" si="4"/>
        <v>Good</v>
      </c>
      <c r="AJ73" s="379" t="str">
        <f t="shared" si="4"/>
        <v>Good</v>
      </c>
      <c r="AK73" s="379" t="str">
        <f t="shared" si="4"/>
        <v>Good</v>
      </c>
      <c r="AL73" s="379" t="str">
        <f t="shared" si="4"/>
        <v>Good</v>
      </c>
      <c r="AM73" s="379" t="str">
        <f t="shared" si="4"/>
        <v>Good</v>
      </c>
      <c r="AN73" s="379" t="str">
        <f t="shared" si="4"/>
        <v>Good</v>
      </c>
      <c r="AO73" s="379" t="str">
        <f t="shared" si="4"/>
        <v>Good</v>
      </c>
      <c r="AP73" s="379" t="str">
        <f t="shared" si="4"/>
        <v>Good</v>
      </c>
      <c r="AQ73" s="379" t="str">
        <f t="shared" si="4"/>
        <v>Good</v>
      </c>
      <c r="AR73" s="379" t="str">
        <f t="shared" si="4"/>
        <v>Good</v>
      </c>
      <c r="AS73" s="379" t="str">
        <f t="shared" si="4"/>
        <v>Good</v>
      </c>
      <c r="AT73" s="696" t="str">
        <f t="shared" si="4"/>
        <v>Good</v>
      </c>
      <c r="AU73" s="379" t="str">
        <f t="shared" si="4"/>
        <v>Good</v>
      </c>
      <c r="AV73" s="379" t="str">
        <f t="shared" si="4"/>
        <v>Good</v>
      </c>
      <c r="AW73" s="379" t="str">
        <f t="shared" si="4"/>
        <v>Good</v>
      </c>
      <c r="AX73" s="379" t="str">
        <f t="shared" si="4"/>
        <v>Good</v>
      </c>
      <c r="AY73" s="379" t="str">
        <f t="shared" si="4"/>
        <v>Good</v>
      </c>
      <c r="AZ73" s="379" t="str">
        <f t="shared" si="4"/>
        <v>Good</v>
      </c>
      <c r="BA73" s="379" t="str">
        <f t="shared" si="4"/>
        <v>Good</v>
      </c>
      <c r="BB73" s="696" t="str">
        <f t="shared" si="4"/>
        <v>Good</v>
      </c>
      <c r="BC73" s="696" t="str">
        <f t="shared" si="4"/>
        <v>Good</v>
      </c>
      <c r="BD73" s="379" t="str">
        <f t="shared" si="4"/>
        <v>Good</v>
      </c>
      <c r="BE73" s="696" t="str">
        <f t="shared" si="4"/>
        <v>Good</v>
      </c>
      <c r="BF73" s="379" t="str">
        <f t="shared" si="4"/>
        <v>Good</v>
      </c>
      <c r="BG73" s="379" t="str">
        <f t="shared" si="4"/>
        <v>Good</v>
      </c>
      <c r="BH73" s="379" t="str">
        <f t="shared" si="4"/>
        <v>Good</v>
      </c>
      <c r="BI73" s="379" t="str">
        <f t="shared" si="4"/>
        <v>Good</v>
      </c>
      <c r="BJ73" s="379" t="str">
        <f t="shared" si="4"/>
        <v>Good</v>
      </c>
      <c r="BK73" s="696" t="str">
        <f t="shared" si="4"/>
        <v>Good</v>
      </c>
      <c r="BL73" s="379" t="str">
        <f t="shared" si="4"/>
        <v>Good</v>
      </c>
      <c r="BM73" s="379" t="str">
        <f t="shared" si="4"/>
        <v>Good</v>
      </c>
      <c r="BN73" s="696" t="str">
        <f t="shared" si="4"/>
        <v>Good</v>
      </c>
      <c r="BO73" s="379" t="str">
        <f t="shared" si="4"/>
        <v>Good</v>
      </c>
      <c r="BP73" s="379" t="str">
        <f t="shared" si="4"/>
        <v>Good</v>
      </c>
      <c r="BQ73" s="379" t="str">
        <f t="shared" ref="BQ73:EB73" si="5">IF(BQ2=BQ80,"Good","Bad")</f>
        <v>Good</v>
      </c>
      <c r="BR73" s="379" t="str">
        <f t="shared" si="5"/>
        <v>Good</v>
      </c>
      <c r="BS73" s="379" t="str">
        <f t="shared" si="5"/>
        <v>Good</v>
      </c>
      <c r="BT73" s="379" t="str">
        <f t="shared" si="5"/>
        <v>Good</v>
      </c>
      <c r="BU73" s="379" t="str">
        <f t="shared" si="5"/>
        <v>Good</v>
      </c>
      <c r="BV73" s="379" t="str">
        <f t="shared" si="5"/>
        <v>Good</v>
      </c>
      <c r="BW73" s="379" t="str">
        <f t="shared" si="5"/>
        <v>Good</v>
      </c>
      <c r="BX73" s="379" t="str">
        <f t="shared" si="5"/>
        <v>Good</v>
      </c>
      <c r="BY73" s="379" t="str">
        <f t="shared" si="5"/>
        <v>Good</v>
      </c>
      <c r="BZ73" s="379" t="str">
        <f t="shared" si="5"/>
        <v>Good</v>
      </c>
      <c r="CA73" s="379" t="str">
        <f t="shared" si="5"/>
        <v>Bad</v>
      </c>
      <c r="CB73" s="379" t="str">
        <f t="shared" si="5"/>
        <v>Good</v>
      </c>
      <c r="CC73" s="379" t="str">
        <f t="shared" si="5"/>
        <v>Good</v>
      </c>
      <c r="CD73" s="379" t="str">
        <f t="shared" si="5"/>
        <v>Good</v>
      </c>
      <c r="CE73" s="379" t="str">
        <f t="shared" si="5"/>
        <v>Good</v>
      </c>
      <c r="CF73" s="379" t="str">
        <f t="shared" si="5"/>
        <v>Good</v>
      </c>
      <c r="CG73" s="379" t="str">
        <f t="shared" si="5"/>
        <v>Good</v>
      </c>
      <c r="CH73" s="379" t="str">
        <f t="shared" si="5"/>
        <v>Good</v>
      </c>
      <c r="CI73" s="379" t="str">
        <f t="shared" si="5"/>
        <v>Good</v>
      </c>
      <c r="CJ73" s="379" t="str">
        <f t="shared" si="5"/>
        <v>Good</v>
      </c>
      <c r="CK73" s="379" t="str">
        <f t="shared" si="5"/>
        <v>Good</v>
      </c>
      <c r="CL73" s="379" t="str">
        <f t="shared" si="5"/>
        <v>Good</v>
      </c>
      <c r="CM73" s="379" t="str">
        <f t="shared" si="5"/>
        <v>Good</v>
      </c>
      <c r="CN73" s="379" t="str">
        <f t="shared" si="5"/>
        <v>Good</v>
      </c>
      <c r="CO73" s="379" t="str">
        <f t="shared" si="5"/>
        <v>Good</v>
      </c>
      <c r="CP73" s="379" t="str">
        <f t="shared" si="5"/>
        <v>Good</v>
      </c>
      <c r="CQ73" s="379" t="str">
        <f t="shared" si="5"/>
        <v>Good</v>
      </c>
      <c r="CR73" s="379" t="str">
        <f t="shared" si="5"/>
        <v>Good</v>
      </c>
      <c r="CS73" s="379" t="str">
        <f t="shared" si="5"/>
        <v>Good</v>
      </c>
      <c r="CT73" s="379" t="str">
        <f t="shared" si="5"/>
        <v>Good</v>
      </c>
      <c r="CU73" s="379" t="str">
        <f t="shared" si="5"/>
        <v>Good</v>
      </c>
      <c r="CV73" s="379" t="str">
        <f t="shared" si="5"/>
        <v>Good</v>
      </c>
      <c r="CW73" s="379" t="str">
        <f t="shared" si="5"/>
        <v>Good</v>
      </c>
      <c r="CX73" s="379" t="str">
        <f t="shared" si="5"/>
        <v>Good</v>
      </c>
      <c r="CY73" s="379" t="str">
        <f t="shared" si="5"/>
        <v>Good</v>
      </c>
      <c r="CZ73" s="379" t="str">
        <f t="shared" si="5"/>
        <v>Good</v>
      </c>
      <c r="DA73" s="379" t="str">
        <f t="shared" si="5"/>
        <v>Good</v>
      </c>
      <c r="DB73" s="379" t="str">
        <f t="shared" si="5"/>
        <v>Good</v>
      </c>
      <c r="DC73" s="379" t="str">
        <f t="shared" si="5"/>
        <v>Good</v>
      </c>
      <c r="DD73" s="379" t="str">
        <f t="shared" si="5"/>
        <v>Good</v>
      </c>
      <c r="DE73" s="379" t="str">
        <f t="shared" si="5"/>
        <v>Good</v>
      </c>
      <c r="DF73" s="379" t="str">
        <f t="shared" si="5"/>
        <v>Good</v>
      </c>
      <c r="DG73" s="379" t="str">
        <f t="shared" si="5"/>
        <v>Good</v>
      </c>
      <c r="DH73" s="379" t="str">
        <f t="shared" si="5"/>
        <v>Good</v>
      </c>
      <c r="DI73" s="379" t="str">
        <f t="shared" si="5"/>
        <v>Good</v>
      </c>
      <c r="DJ73" s="379" t="str">
        <f t="shared" si="5"/>
        <v>Good</v>
      </c>
      <c r="DK73" s="379" t="str">
        <f t="shared" si="5"/>
        <v>Good</v>
      </c>
      <c r="DL73" s="696" t="str">
        <f t="shared" si="5"/>
        <v>Good</v>
      </c>
      <c r="DM73" s="696" t="str">
        <f t="shared" si="5"/>
        <v>Good</v>
      </c>
      <c r="DN73" s="696" t="str">
        <f t="shared" si="5"/>
        <v>Good</v>
      </c>
      <c r="DO73" s="696" t="str">
        <f t="shared" si="5"/>
        <v>Good</v>
      </c>
      <c r="DP73" s="379" t="str">
        <f t="shared" si="5"/>
        <v>Good</v>
      </c>
      <c r="DQ73" s="379" t="str">
        <f t="shared" si="5"/>
        <v>Good</v>
      </c>
      <c r="DR73" s="379" t="str">
        <f t="shared" si="5"/>
        <v>Good</v>
      </c>
      <c r="DS73" s="379" t="str">
        <f t="shared" si="5"/>
        <v>Good</v>
      </c>
      <c r="DT73" s="379" t="str">
        <f t="shared" si="5"/>
        <v>Good</v>
      </c>
      <c r="DU73" s="379" t="str">
        <f t="shared" si="5"/>
        <v>Good</v>
      </c>
      <c r="DV73" s="379" t="str">
        <f t="shared" si="5"/>
        <v>Good</v>
      </c>
      <c r="DW73" s="696" t="str">
        <f t="shared" si="5"/>
        <v>Good</v>
      </c>
      <c r="DX73" s="696" t="str">
        <f t="shared" si="5"/>
        <v>Good</v>
      </c>
      <c r="DY73" s="379" t="str">
        <f t="shared" si="5"/>
        <v>Good</v>
      </c>
      <c r="DZ73" s="379" t="str">
        <f t="shared" si="5"/>
        <v>Good</v>
      </c>
      <c r="EA73" s="379" t="str">
        <f t="shared" si="5"/>
        <v>Good</v>
      </c>
      <c r="EB73" s="696" t="str">
        <f t="shared" si="5"/>
        <v>Good</v>
      </c>
      <c r="EC73" s="379" t="str">
        <f t="shared" ref="EC73:GM73" si="6">IF(EC2=EC80,"Good","Bad")</f>
        <v>Good</v>
      </c>
      <c r="ED73" s="379" t="str">
        <f t="shared" si="6"/>
        <v>Good</v>
      </c>
      <c r="EE73" s="379" t="str">
        <f t="shared" si="6"/>
        <v>Good</v>
      </c>
      <c r="EF73" s="379" t="str">
        <f t="shared" si="6"/>
        <v>Good</v>
      </c>
      <c r="EG73" s="379" t="str">
        <f t="shared" si="6"/>
        <v>Good</v>
      </c>
      <c r="EH73" s="379" t="str">
        <f t="shared" si="6"/>
        <v>Good</v>
      </c>
      <c r="EI73" s="379" t="str">
        <f t="shared" si="6"/>
        <v>Good</v>
      </c>
      <c r="EJ73" s="379" t="str">
        <f t="shared" si="6"/>
        <v>Good</v>
      </c>
      <c r="EK73" s="379" t="str">
        <f t="shared" si="6"/>
        <v>Good</v>
      </c>
      <c r="EL73" s="379" t="str">
        <f t="shared" si="6"/>
        <v>Good</v>
      </c>
      <c r="EM73" s="379" t="str">
        <f t="shared" si="6"/>
        <v>Good</v>
      </c>
      <c r="EN73" s="379" t="str">
        <f t="shared" si="6"/>
        <v>Good</v>
      </c>
      <c r="EO73" s="379" t="str">
        <f t="shared" si="6"/>
        <v>Good</v>
      </c>
      <c r="EP73" s="379" t="str">
        <f t="shared" si="6"/>
        <v>Good</v>
      </c>
      <c r="EQ73" s="379" t="str">
        <f t="shared" si="6"/>
        <v>Good</v>
      </c>
      <c r="ER73" s="379" t="str">
        <f t="shared" si="6"/>
        <v>Good</v>
      </c>
      <c r="ES73" s="379" t="str">
        <f t="shared" si="6"/>
        <v>Good</v>
      </c>
      <c r="ET73" s="696" t="str">
        <f t="shared" si="6"/>
        <v>Good</v>
      </c>
      <c r="EU73" s="696" t="str">
        <f t="shared" si="6"/>
        <v>Good</v>
      </c>
      <c r="EV73" s="851" t="str">
        <f t="shared" si="6"/>
        <v>Good</v>
      </c>
      <c r="EW73" s="696" t="str">
        <f t="shared" si="6"/>
        <v>Good</v>
      </c>
      <c r="EX73" s="379" t="str">
        <f t="shared" si="6"/>
        <v>Good</v>
      </c>
      <c r="EY73" s="379" t="str">
        <f t="shared" si="6"/>
        <v>Good</v>
      </c>
      <c r="EZ73" s="379" t="str">
        <f t="shared" si="6"/>
        <v>Good</v>
      </c>
      <c r="FA73" s="379" t="str">
        <f t="shared" si="6"/>
        <v>Good</v>
      </c>
      <c r="FB73" s="379" t="str">
        <f t="shared" si="6"/>
        <v>Good</v>
      </c>
      <c r="FC73" s="379" t="str">
        <f t="shared" si="6"/>
        <v>Good</v>
      </c>
      <c r="FD73" s="379" t="str">
        <f t="shared" si="6"/>
        <v>Good</v>
      </c>
      <c r="FE73" s="379" t="str">
        <f t="shared" si="6"/>
        <v>Good</v>
      </c>
      <c r="FF73" s="379" t="str">
        <f t="shared" si="6"/>
        <v>Good</v>
      </c>
      <c r="FG73" s="379" t="str">
        <f t="shared" si="6"/>
        <v>Good</v>
      </c>
      <c r="FH73" s="379" t="str">
        <f t="shared" si="6"/>
        <v>Good</v>
      </c>
      <c r="FI73" s="379" t="str">
        <f t="shared" si="6"/>
        <v>Good</v>
      </c>
      <c r="FJ73" s="379" t="str">
        <f t="shared" si="6"/>
        <v>Good</v>
      </c>
      <c r="FK73" s="379" t="str">
        <f t="shared" si="6"/>
        <v>Good</v>
      </c>
      <c r="FL73" s="379" t="str">
        <f t="shared" si="6"/>
        <v>Good</v>
      </c>
      <c r="FM73" s="379" t="str">
        <f t="shared" si="6"/>
        <v>Good</v>
      </c>
      <c r="FN73" s="379" t="str">
        <f t="shared" si="6"/>
        <v>Good</v>
      </c>
      <c r="FO73" s="379" t="str">
        <f t="shared" si="6"/>
        <v>Good</v>
      </c>
      <c r="FP73" s="379" t="str">
        <f t="shared" si="6"/>
        <v>Good</v>
      </c>
      <c r="FQ73" s="379" t="str">
        <f t="shared" si="6"/>
        <v>Good</v>
      </c>
      <c r="FR73" s="379" t="str">
        <f t="shared" si="6"/>
        <v>Good</v>
      </c>
      <c r="FS73" s="379" t="str">
        <f t="shared" si="6"/>
        <v>Good</v>
      </c>
      <c r="FT73" s="379" t="str">
        <f t="shared" si="6"/>
        <v>Good</v>
      </c>
      <c r="FU73" s="379" t="str">
        <f t="shared" si="6"/>
        <v>Good</v>
      </c>
      <c r="FV73" s="379" t="str">
        <f t="shared" si="6"/>
        <v>Good</v>
      </c>
      <c r="FW73" s="379" t="str">
        <f t="shared" si="6"/>
        <v>Good</v>
      </c>
      <c r="FX73" s="379" t="str">
        <f t="shared" si="6"/>
        <v>Good</v>
      </c>
      <c r="FY73" s="379" t="str">
        <f t="shared" si="6"/>
        <v>Good</v>
      </c>
      <c r="FZ73" s="379" t="str">
        <f t="shared" si="6"/>
        <v>Good</v>
      </c>
      <c r="GA73" s="379" t="str">
        <f t="shared" si="6"/>
        <v>Good</v>
      </c>
      <c r="GB73" s="379" t="str">
        <f t="shared" si="6"/>
        <v>Good</v>
      </c>
      <c r="GC73" s="379" t="str">
        <f t="shared" si="6"/>
        <v>Good</v>
      </c>
      <c r="GD73" s="379" t="str">
        <f t="shared" si="6"/>
        <v>Good</v>
      </c>
      <c r="GE73" s="379" t="str">
        <f t="shared" si="6"/>
        <v>Good</v>
      </c>
      <c r="GF73" s="379" t="str">
        <f t="shared" si="6"/>
        <v>Good</v>
      </c>
      <c r="GG73" s="379" t="str">
        <f t="shared" si="6"/>
        <v>Good</v>
      </c>
      <c r="GH73" s="379" t="str">
        <f t="shared" si="6"/>
        <v>Good</v>
      </c>
      <c r="GI73" s="379" t="str">
        <f t="shared" si="6"/>
        <v>Good</v>
      </c>
      <c r="GJ73" s="379" t="str">
        <f t="shared" si="6"/>
        <v>Good</v>
      </c>
      <c r="GK73" s="379" t="str">
        <f t="shared" si="6"/>
        <v>Good</v>
      </c>
      <c r="GL73" s="379" t="str">
        <f t="shared" si="6"/>
        <v>Good</v>
      </c>
      <c r="GM73" s="379" t="str">
        <f t="shared" si="6"/>
        <v>Good</v>
      </c>
      <c r="GN73" s="379" t="str">
        <f t="shared" ref="GN73:HC73" si="7">IF(GN2=GN80,"Good","Bad")</f>
        <v>Good</v>
      </c>
      <c r="GO73" s="379" t="str">
        <f t="shared" si="7"/>
        <v>Good</v>
      </c>
      <c r="GP73" s="379" t="str">
        <f t="shared" si="7"/>
        <v>Good</v>
      </c>
      <c r="GQ73" s="379" t="str">
        <f t="shared" si="7"/>
        <v>Good</v>
      </c>
      <c r="GR73" s="379" t="str">
        <f t="shared" si="7"/>
        <v>Good</v>
      </c>
      <c r="GS73" s="379" t="str">
        <f t="shared" si="7"/>
        <v>Good</v>
      </c>
      <c r="GT73" s="379" t="str">
        <f t="shared" si="7"/>
        <v>Good</v>
      </c>
      <c r="GU73" s="379" t="str">
        <f t="shared" si="7"/>
        <v>Good</v>
      </c>
      <c r="GV73" s="379" t="str">
        <f t="shared" si="7"/>
        <v>Good</v>
      </c>
      <c r="GW73" s="379" t="str">
        <f t="shared" si="7"/>
        <v>Good</v>
      </c>
      <c r="GX73" s="379" t="str">
        <f t="shared" si="7"/>
        <v>Good</v>
      </c>
      <c r="GY73" s="379" t="str">
        <f t="shared" si="7"/>
        <v>Good</v>
      </c>
      <c r="GZ73" s="379" t="str">
        <f t="shared" si="7"/>
        <v>Good</v>
      </c>
      <c r="HA73" s="379" t="str">
        <f t="shared" si="7"/>
        <v>Good</v>
      </c>
      <c r="HB73" s="379" t="str">
        <f t="shared" si="7"/>
        <v>Good</v>
      </c>
      <c r="HC73" s="379" t="str">
        <f t="shared" si="7"/>
        <v>Good</v>
      </c>
    </row>
    <row r="74" spans="1:211">
      <c r="D74" s="490"/>
      <c r="J74" s="379"/>
      <c r="DL74" s="696"/>
      <c r="DM74" s="696"/>
      <c r="DN74" s="696"/>
      <c r="DO74" s="696"/>
    </row>
    <row r="75" spans="1:211" ht="15.75">
      <c r="A75" s="531"/>
      <c r="D75" s="490"/>
      <c r="J75" s="379"/>
    </row>
    <row r="76" spans="1:211">
      <c r="A76" s="527" t="s">
        <v>1952</v>
      </c>
      <c r="D76" s="490"/>
      <c r="E76" s="379" t="str" cm="1">
        <f t="array" ref="E76:G76">_xlfn.UNIQUE(E73:ZY73,2)</f>
        <v>Good</v>
      </c>
      <c r="F76" s="379" t="str">
        <v>Bad</v>
      </c>
      <c r="G76" s="379">
        <v>0</v>
      </c>
      <c r="J76" s="379"/>
    </row>
    <row r="77" spans="1:211">
      <c r="D77" s="490"/>
      <c r="J77" s="379"/>
    </row>
    <row r="78" spans="1:211">
      <c r="D78" s="490"/>
      <c r="J78" s="379"/>
    </row>
    <row r="79" spans="1:211">
      <c r="B79" s="379"/>
      <c r="D79" s="490"/>
      <c r="J79" s="379"/>
    </row>
    <row r="80" spans="1:211" ht="60.75" customHeight="1">
      <c r="A80" s="527" t="s">
        <v>1953</v>
      </c>
      <c r="B80" s="379"/>
      <c r="D80" s="490"/>
      <c r="E80" s="379" t="str" cm="1">
        <f t="array" ref="E80:HA80">_xlfn.UNIQUE('Jet Aircraft'!$H$8:$ZI$8,2)</f>
        <v>CFM56_5C2</v>
      </c>
      <c r="F80" s="379" t="str">
        <v>CFM56_5C3_F</v>
      </c>
      <c r="G80" s="379" t="str">
        <v>CFM56_5C4</v>
      </c>
      <c r="H80" s="379" t="str">
        <v>RB211_Trent_553_61</v>
      </c>
      <c r="I80" s="379" t="str">
        <v>RB211_Trent_556A2_61</v>
      </c>
      <c r="J80" s="379" t="str">
        <v>RB211_Trent_556_61</v>
      </c>
      <c r="K80" s="379" t="str">
        <v>RB211_Trent_560A2_61</v>
      </c>
      <c r="L80" s="379" t="str">
        <v>Trent_XWB_84</v>
      </c>
      <c r="M80" s="379" t="str">
        <v>Trent_XWB_75</v>
      </c>
      <c r="N80" s="379" t="str">
        <v>Trent_XWB_97</v>
      </c>
      <c r="O80" s="379" t="str">
        <v>CF6_50A</v>
      </c>
      <c r="P80" s="379" t="str">
        <v>CF6_50C</v>
      </c>
      <c r="Q80" s="379" t="str">
        <v>CF6_50C1</v>
      </c>
      <c r="R80" s="379" t="str">
        <v>CF6_50C2</v>
      </c>
      <c r="S80" s="379" t="str">
        <v>JT9D_59A</v>
      </c>
      <c r="T80" s="379" t="str">
        <v>CF6_80C2A1</v>
      </c>
      <c r="U80" s="379" t="str">
        <v>CF6_80C2A3</v>
      </c>
      <c r="V80" s="379" t="str">
        <v>JT9D_7R4H1</v>
      </c>
      <c r="W80" s="379" t="str">
        <v>PW_4158</v>
      </c>
      <c r="X80" s="379" t="str">
        <v>CF6_80C2A5</v>
      </c>
      <c r="Y80" s="379" t="str">
        <v>CF6_80A3</v>
      </c>
      <c r="Z80" s="379" t="str">
        <v>CF6_80C2A2</v>
      </c>
      <c r="AA80" s="379" t="str">
        <v>JT9D_7R4D1</v>
      </c>
      <c r="AB80" s="379" t="str">
        <v>JT9D_7R4E1</v>
      </c>
      <c r="AC80" s="379" t="str">
        <v>CF6_80C2A8</v>
      </c>
      <c r="AD80" s="379" t="str">
        <v>PW_4152</v>
      </c>
      <c r="AE80" s="379" t="str">
        <v>PW_4156A</v>
      </c>
      <c r="AF80" s="379" t="str">
        <v>CFM56_5B8_P</v>
      </c>
      <c r="AG80" s="379" t="str">
        <v>CFM56_5B9_P</v>
      </c>
      <c r="AH80" s="696" t="str">
        <v>PW_6122A</v>
      </c>
      <c r="AI80" s="696" t="str">
        <v>PW_6124A</v>
      </c>
      <c r="AJ80" s="379" t="str">
        <v>CFM56_5B5</v>
      </c>
      <c r="AK80" s="379" t="str">
        <v>CFM56_5B6</v>
      </c>
      <c r="AL80" s="379" t="str">
        <v>CFM56_5A4</v>
      </c>
      <c r="AM80" s="379" t="str">
        <v>CFM56_5A5</v>
      </c>
      <c r="AN80" s="379" t="str">
        <v>CFM56_5B7</v>
      </c>
      <c r="AO80" s="379" t="str">
        <v>V2522_A5</v>
      </c>
      <c r="AP80" s="379" t="str">
        <v>V2524_A5</v>
      </c>
      <c r="AQ80" s="379" t="str">
        <v>V2527M_A5</v>
      </c>
      <c r="AR80" s="379" t="str">
        <v>LEAP_1A24</v>
      </c>
      <c r="AS80" s="379" t="str">
        <v>LEAP_1A26</v>
      </c>
      <c r="AT80" s="696" t="str">
        <v>PW_1124G_JM</v>
      </c>
      <c r="AU80" s="379" t="str">
        <v>CFM56_5A1</v>
      </c>
      <c r="AV80" s="379" t="str">
        <v>CFM56_5A3</v>
      </c>
      <c r="AW80" s="379" t="str">
        <v>CFM56_5B4</v>
      </c>
      <c r="AX80" s="379" t="str">
        <v>CFM56_5B6_P</v>
      </c>
      <c r="AY80" s="379" t="str">
        <v>V2500_A1</v>
      </c>
      <c r="AZ80" s="379" t="str">
        <v>V2527_A5</v>
      </c>
      <c r="BA80" s="379" t="str">
        <v>V2527E_A5</v>
      </c>
      <c r="BB80" s="696" t="str">
        <v>PW_1127G_JM</v>
      </c>
      <c r="BC80" s="696" t="str">
        <v>PW_1124G1_JM</v>
      </c>
      <c r="BD80" s="379" t="str">
        <v>LEAP_1A29</v>
      </c>
      <c r="BE80" s="696" t="str">
        <v>PW_1129G_JM</v>
      </c>
      <c r="BF80" s="379" t="str">
        <v>CFM56_5B1</v>
      </c>
      <c r="BG80" s="379" t="str">
        <v>CFM56_5B2</v>
      </c>
      <c r="BH80" s="379" t="str">
        <v>V2530_A5</v>
      </c>
      <c r="BI80" s="379" t="str">
        <v>CFM56_5B3_P</v>
      </c>
      <c r="BJ80" s="379" t="str">
        <v>V2533_A5</v>
      </c>
      <c r="BK80" s="696" t="str">
        <v>PW_1133G_JM</v>
      </c>
      <c r="BL80" s="379" t="str">
        <v>LEAP_1A32</v>
      </c>
      <c r="BM80" s="379" t="str">
        <v>LEAP_1A33</v>
      </c>
      <c r="BN80" s="696" t="str">
        <v>PW_1130G_JM</v>
      </c>
      <c r="BO80" s="379" t="str">
        <v>LEAP_1A30</v>
      </c>
      <c r="BP80" s="379" t="str">
        <v>CF6_80E1A2</v>
      </c>
      <c r="BQ80" s="379" t="str">
        <v>CF6_80E1A4</v>
      </c>
      <c r="BR80" s="379" t="str">
        <v>CF6_80E1A3</v>
      </c>
      <c r="BS80" s="379" t="str">
        <v>PW_4168A</v>
      </c>
      <c r="BT80" s="379" t="str">
        <v>Trent_772B_60</v>
      </c>
      <c r="BU80" s="379" t="str">
        <v>PW_4170</v>
      </c>
      <c r="BV80" s="379" t="str">
        <v>PW_4164</v>
      </c>
      <c r="BW80" s="379" t="str">
        <v>PW_4168</v>
      </c>
      <c r="BX80" s="379" t="str">
        <v>Trent_768_60</v>
      </c>
      <c r="BY80" s="379" t="str">
        <v>Trent_772_60</v>
      </c>
      <c r="BZ80" s="379" t="str">
        <v>Trent_7000_72</v>
      </c>
      <c r="CA80" s="379">
        <v>0</v>
      </c>
      <c r="CB80" s="379" t="str">
        <v>JT3D_1</v>
      </c>
      <c r="CC80" s="379" t="str">
        <v>JT4A_11</v>
      </c>
      <c r="CD80" s="379" t="str">
        <v>JT3D_3</v>
      </c>
      <c r="CE80" s="379" t="str">
        <v>JT3D_3B</v>
      </c>
      <c r="CF80" s="379" t="str">
        <v>BR715_A1_30</v>
      </c>
      <c r="CG80" s="379" t="str">
        <v>BR715_C1_30</v>
      </c>
      <c r="CH80" s="379" t="str">
        <v>JT8D_7</v>
      </c>
      <c r="CI80" s="379" t="str">
        <v>JT8D_9</v>
      </c>
      <c r="CJ80" s="379" t="str">
        <v>JT8D_15</v>
      </c>
      <c r="CK80" s="379" t="str">
        <v>JT8D_17</v>
      </c>
      <c r="CL80" s="379" t="str">
        <v>CFM56_3B1</v>
      </c>
      <c r="CM80" s="379" t="str">
        <v>CFM56_3B2</v>
      </c>
      <c r="CN80" s="379" t="str">
        <v>CFM56_7B20</v>
      </c>
      <c r="CO80" s="379" t="str">
        <v>CFM56_7B24</v>
      </c>
      <c r="CP80" s="379" t="str">
        <v>CFM56_7B26</v>
      </c>
      <c r="CQ80" s="379" t="str">
        <v>LEAP_1B28</v>
      </c>
      <c r="CR80" s="379" t="str">
        <v>JT9D_3A</v>
      </c>
      <c r="CS80" s="379" t="str">
        <v>RB211_524B2_19</v>
      </c>
      <c r="CT80" s="379" t="str">
        <v>CF6_45A2</v>
      </c>
      <c r="CU80" s="379" t="str">
        <v>JT9D_7A</v>
      </c>
      <c r="CV80" s="379" t="str">
        <v>JT9D_7AW</v>
      </c>
      <c r="CW80" s="379" t="str">
        <v>JT9D_7J</v>
      </c>
      <c r="CX80" s="379" t="str">
        <v>CF6_50E2</v>
      </c>
      <c r="CY80" s="379" t="str">
        <v>RB211_524D4_19</v>
      </c>
      <c r="CZ80" s="379" t="str">
        <v>JT9D_7R4G2</v>
      </c>
      <c r="DA80" s="379" t="str">
        <v>JT9D_7F</v>
      </c>
      <c r="DB80" s="379" t="str">
        <v>JT9D_7FW</v>
      </c>
      <c r="DC80" s="379" t="str">
        <v>JT9D_7Q</v>
      </c>
      <c r="DD80" s="379" t="str">
        <v>RB211_524C2_19</v>
      </c>
      <c r="DE80" s="379" t="str">
        <v>CF6_80C2B1</v>
      </c>
      <c r="DF80" s="379" t="str">
        <v>PW_4056</v>
      </c>
      <c r="DG80" s="379" t="str">
        <v>RB211_524G2_19</v>
      </c>
      <c r="DH80" s="379" t="str">
        <v>CF6_80C2B5_F</v>
      </c>
      <c r="DI80" s="379" t="str">
        <v>PW_4062</v>
      </c>
      <c r="DJ80" s="379" t="str">
        <v>RB211_524H2_T_19</v>
      </c>
      <c r="DK80" s="379" t="str">
        <v>GEnx_2B67</v>
      </c>
      <c r="DL80" s="379" t="str">
        <v>RB211_535C_37</v>
      </c>
      <c r="DM80" s="379" t="str">
        <v>PW_2037</v>
      </c>
      <c r="DN80" s="379" t="str">
        <v>PW_2043</v>
      </c>
      <c r="DO80" s="379" t="str">
        <v>RB211_535E4B_37</v>
      </c>
      <c r="DP80" s="379" t="str">
        <v>JT9D_7R4D</v>
      </c>
      <c r="DQ80" s="379" t="str">
        <v>CF6_80A2</v>
      </c>
      <c r="DR80" s="379" t="str">
        <v>RB211_524H_36</v>
      </c>
      <c r="DS80" s="379" t="str">
        <v>CF6_80C2_B6F</v>
      </c>
      <c r="DT80" s="379" t="str">
        <v>CF6_80C2_B7F</v>
      </c>
      <c r="DU80" s="379" t="str">
        <v>CF6_80C2_B8F</v>
      </c>
      <c r="DV80" s="379" t="str">
        <v>GE90_76B</v>
      </c>
      <c r="DW80" s="696" t="str">
        <v>PW_4077</v>
      </c>
      <c r="DX80" s="696" t="str">
        <v>PW_4084</v>
      </c>
      <c r="DY80" s="379" t="str">
        <v>RB_Trent_877</v>
      </c>
      <c r="DZ80" s="379" t="str">
        <v>RB_Trent_884</v>
      </c>
      <c r="EA80" s="379" t="str">
        <v>GE90_94B</v>
      </c>
      <c r="EB80" s="696" t="str">
        <v>PW_4098</v>
      </c>
      <c r="EC80" s="379" t="str">
        <v>RB_Trent_892</v>
      </c>
      <c r="ED80" s="379" t="str">
        <v>GE90_110B1</v>
      </c>
      <c r="EE80" s="379" t="str">
        <v>GE90_115B</v>
      </c>
      <c r="EF80" s="379" t="str">
        <v>RB211_Trent_1000A</v>
      </c>
      <c r="EG80" s="379" t="str">
        <v>RB211_Trent_1000A2</v>
      </c>
      <c r="EH80" s="379" t="str">
        <v>RB211_Trent_1000J3</v>
      </c>
      <c r="EI80" s="379" t="str">
        <v>CF34_3A1</v>
      </c>
      <c r="EJ80" s="379" t="str">
        <v>CF34_3B1</v>
      </c>
      <c r="EK80" s="379" t="str">
        <v>BR700_710A2_020</v>
      </c>
      <c r="EL80" s="379" t="str">
        <v>AS907_1_1A</v>
      </c>
      <c r="EM80" s="379" t="str">
        <v>CF34_8C1</v>
      </c>
      <c r="EN80" s="379" t="str">
        <v>CF34_8C5</v>
      </c>
      <c r="EO80" s="379" t="str">
        <v>EP20_19BB1A</v>
      </c>
      <c r="EP80" s="379" t="str">
        <v>ALF_502L</v>
      </c>
      <c r="EQ80" s="379" t="str">
        <v>CF34_1A</v>
      </c>
      <c r="ER80" s="379" t="str">
        <v>CF34_3A</v>
      </c>
      <c r="ES80" s="379" t="str">
        <v>CF34_3B</v>
      </c>
      <c r="ET80" s="696" t="str">
        <v>PW_1524G</v>
      </c>
      <c r="EU80" s="696" t="str">
        <v>PW_1521G_3</v>
      </c>
      <c r="EV80" s="851" t="str">
        <v>PW_1919G</v>
      </c>
      <c r="EW80" s="696" t="str">
        <v>PW_1921G</v>
      </c>
      <c r="EX80" s="379" t="str">
        <v>CF34_8E5</v>
      </c>
      <c r="EY80" s="379" t="str">
        <v>CF34_10E7_B</v>
      </c>
      <c r="EZ80" s="379" t="str">
        <v>CF34_10E5</v>
      </c>
      <c r="FA80" s="379" t="str">
        <v>CF34_10E5A1</v>
      </c>
      <c r="FB80" s="379" t="str">
        <v>AE3007A3</v>
      </c>
      <c r="FC80" s="379" t="str">
        <v>AE3007A1E</v>
      </c>
      <c r="FD80" s="379" t="str">
        <v>AE3007A</v>
      </c>
      <c r="FE80" s="379" t="str">
        <v>AE3007A1</v>
      </c>
      <c r="FF80" s="379" t="str">
        <v>TFE_731_3A_200G</v>
      </c>
      <c r="FG80" s="379" t="str">
        <v>TFE_731_40R_200G</v>
      </c>
      <c r="FH80" s="379" t="str">
        <v>CJ_610_4</v>
      </c>
      <c r="FI80" s="379" t="str">
        <v>CJ_610_6</v>
      </c>
      <c r="FJ80" s="379" t="str">
        <v>CJ_610_7</v>
      </c>
      <c r="FK80" s="379" t="str">
        <v>CJ_610_8</v>
      </c>
      <c r="FL80" s="379" t="str">
        <v>CJ_610_9</v>
      </c>
      <c r="FM80" s="379" t="str">
        <v>CJ_610_10</v>
      </c>
      <c r="FN80" s="379" t="str">
        <v>CJ_610_11</v>
      </c>
      <c r="FO80" s="379" t="str">
        <v>CJ_610_12</v>
      </c>
      <c r="FP80" s="379" t="str">
        <v>CJ_610_13</v>
      </c>
      <c r="FQ80" s="379" t="str">
        <v>CJ_610_8A</v>
      </c>
      <c r="FR80" s="379" t="str">
        <v>TFE_731_2_3B</v>
      </c>
      <c r="FS80" s="379" t="str">
        <v>TFE_731_2_2B</v>
      </c>
      <c r="FT80" s="379" t="str">
        <v>TFE_731_20AR</v>
      </c>
      <c r="FU80" s="379" t="str">
        <v>TFE_731_20R</v>
      </c>
      <c r="FV80" s="379" t="str">
        <v>TFE_731_40BR</v>
      </c>
      <c r="FW80" s="379" t="str">
        <v>JT4A_3</v>
      </c>
      <c r="FX80" s="379" t="str">
        <v>JT4A_9</v>
      </c>
      <c r="FY80" s="379" t="str">
        <v>RCo12_Mk509</v>
      </c>
      <c r="FZ80" s="379" t="str">
        <v>JT3D_7</v>
      </c>
      <c r="GA80" s="379" t="str">
        <v>CFM56_2C1</v>
      </c>
      <c r="GB80" s="379" t="str">
        <v>JT8D_1</v>
      </c>
      <c r="GC80" s="379" t="str">
        <v>JT8D_209</v>
      </c>
      <c r="GD80" s="379" t="str">
        <v>JT8D_219</v>
      </c>
      <c r="GE80" s="379" t="str">
        <v>CF6_6D</v>
      </c>
      <c r="GF80" s="379" t="str">
        <v>CF6_50C2_F</v>
      </c>
      <c r="GG80" s="379" t="str">
        <v>CF6_80C2D1F</v>
      </c>
      <c r="GH80" s="379" t="str">
        <v>JT8D_217A</v>
      </c>
      <c r="GI80" s="379" t="str">
        <v>V2525_D5</v>
      </c>
      <c r="GJ80" s="379" t="str">
        <v>RB211_22B_02</v>
      </c>
      <c r="GK80" s="379" t="str">
        <v>RB211_524B_02</v>
      </c>
      <c r="GL80" s="379" t="str">
        <v>CJ_805_3</v>
      </c>
      <c r="GM80" s="379" t="str">
        <v>CJ_805_23B</v>
      </c>
      <c r="GN80" s="379" t="str">
        <v>RB183_Mk555_15</v>
      </c>
      <c r="GO80" s="379" t="str">
        <v>RB183_Mk555_15H</v>
      </c>
      <c r="GP80" s="379" t="str">
        <v>Tay_620_15</v>
      </c>
      <c r="GQ80" s="379" t="str">
        <v>CF34_10A</v>
      </c>
      <c r="GR80" s="379" t="str">
        <v>LEAP_1C</v>
      </c>
      <c r="GS80" s="379" t="str">
        <v>ALF502R_3A</v>
      </c>
      <c r="GT80" s="379" t="str">
        <v>LF507_1F</v>
      </c>
      <c r="GU80" s="379" t="str">
        <v>RB163_1_Mk505_5</v>
      </c>
      <c r="GV80" s="379" t="str">
        <v>RR_Conway_Mk301</v>
      </c>
      <c r="GW80" s="379" t="str">
        <v>Spey</v>
      </c>
      <c r="GX80" s="379" t="str">
        <v>GE9X_105B1A</v>
      </c>
      <c r="GY80" s="376" t="str">
        <v>Trent_970B_84</v>
      </c>
      <c r="GZ80" s="376" t="str">
        <v>Trent_972B_84</v>
      </c>
      <c r="HA80" s="376" t="str">
        <v>GP_7270</v>
      </c>
    </row>
    <row r="81" spans="1:53" ht="62.25" customHeight="1">
      <c r="B81" s="379"/>
      <c r="D81" s="490"/>
      <c r="J81" s="379"/>
    </row>
    <row r="82" spans="1:53">
      <c r="A82" s="532"/>
      <c r="B82" s="525"/>
      <c r="D82" s="526"/>
      <c r="E82" s="524"/>
      <c r="F82" s="524"/>
      <c r="G82" s="524"/>
      <c r="H82" s="524"/>
      <c r="I82" s="524"/>
      <c r="J82" s="526"/>
      <c r="K82" s="524"/>
      <c r="L82" s="524"/>
      <c r="M82" s="524"/>
      <c r="N82" s="524"/>
      <c r="O82" s="524"/>
      <c r="P82" s="524"/>
      <c r="Q82" s="524"/>
      <c r="R82" s="524"/>
      <c r="S82" s="524"/>
      <c r="T82" s="524"/>
      <c r="U82" s="524"/>
      <c r="V82" s="524"/>
      <c r="W82" s="524"/>
      <c r="X82" s="524"/>
      <c r="Y82" s="524"/>
      <c r="Z82" s="524"/>
      <c r="AA82" s="524"/>
      <c r="AB82" s="524"/>
      <c r="AC82" s="524"/>
      <c r="AD82" s="524"/>
      <c r="AE82" s="524"/>
      <c r="AF82" s="524"/>
      <c r="AG82" s="524"/>
      <c r="AH82" s="704"/>
      <c r="AI82" s="704"/>
      <c r="AJ82" s="524"/>
      <c r="AK82" s="524"/>
      <c r="AL82" s="524"/>
      <c r="AM82" s="524"/>
      <c r="AN82" s="524"/>
      <c r="AO82" s="524"/>
      <c r="AP82" s="524"/>
      <c r="AQ82" s="524"/>
      <c r="AR82" s="524"/>
      <c r="AS82" s="524"/>
      <c r="AT82" s="704"/>
      <c r="AU82" s="524"/>
      <c r="AV82" s="524"/>
      <c r="AW82" s="524"/>
      <c r="AX82" s="524"/>
      <c r="AY82" s="524"/>
      <c r="AZ82" s="524"/>
      <c r="BA82" s="524"/>
    </row>
    <row r="83" spans="1:53">
      <c r="A83" s="532"/>
      <c r="B83" s="525"/>
      <c r="D83" s="526"/>
      <c r="E83" s="524"/>
      <c r="F83" s="524"/>
      <c r="G83" s="524"/>
      <c r="H83" s="524"/>
      <c r="I83" s="524"/>
      <c r="J83" s="526"/>
      <c r="K83" s="524"/>
      <c r="L83" s="524"/>
      <c r="M83" s="524"/>
      <c r="N83" s="524"/>
      <c r="O83" s="524"/>
      <c r="P83" s="524"/>
      <c r="Q83" s="524"/>
      <c r="R83" s="524"/>
      <c r="S83" s="524"/>
      <c r="T83" s="524"/>
      <c r="U83" s="524"/>
      <c r="V83" s="524"/>
      <c r="W83" s="524"/>
      <c r="X83" s="524"/>
      <c r="Y83" s="524"/>
      <c r="Z83" s="524"/>
      <c r="AA83" s="524"/>
      <c r="AB83" s="524"/>
      <c r="AC83" s="524"/>
      <c r="AD83" s="524"/>
      <c r="AE83" s="524"/>
      <c r="AF83" s="524"/>
      <c r="AG83" s="524"/>
      <c r="AH83" s="704"/>
      <c r="AI83" s="704"/>
      <c r="AJ83" s="524"/>
      <c r="AK83" s="524"/>
      <c r="AL83" s="524"/>
      <c r="AM83" s="524"/>
      <c r="AN83" s="524"/>
      <c r="AO83" s="524"/>
      <c r="AP83" s="524"/>
      <c r="AQ83" s="524"/>
      <c r="AR83" s="524"/>
      <c r="AS83" s="524"/>
      <c r="AT83" s="704"/>
      <c r="AU83" s="524"/>
      <c r="AV83" s="524"/>
      <c r="AW83" s="524"/>
      <c r="AX83" s="524"/>
      <c r="AY83" s="524"/>
      <c r="AZ83" s="524"/>
      <c r="BA83" s="524"/>
    </row>
    <row r="84" spans="1:53">
      <c r="A84" s="532"/>
      <c r="B84" s="525"/>
      <c r="D84" s="526"/>
      <c r="E84" s="524"/>
      <c r="F84" s="524"/>
      <c r="G84" s="524"/>
      <c r="H84" s="524"/>
      <c r="I84" s="524"/>
      <c r="J84" s="526"/>
      <c r="K84" s="524"/>
      <c r="L84" s="524"/>
      <c r="M84" s="524"/>
      <c r="N84" s="524"/>
      <c r="O84" s="524"/>
      <c r="P84" s="524"/>
      <c r="Q84" s="524"/>
      <c r="R84" s="524"/>
      <c r="S84" s="524"/>
      <c r="T84" s="524"/>
      <c r="U84" s="524"/>
      <c r="V84" s="524"/>
      <c r="W84" s="524"/>
      <c r="X84" s="524"/>
      <c r="Y84" s="524"/>
      <c r="Z84" s="524"/>
      <c r="AA84" s="524"/>
      <c r="AB84" s="524"/>
      <c r="AC84" s="524"/>
      <c r="AD84" s="524"/>
      <c r="AE84" s="524"/>
      <c r="AF84" s="524"/>
      <c r="AG84" s="524"/>
      <c r="AH84" s="704"/>
      <c r="AI84" s="704"/>
      <c r="AJ84" s="524"/>
      <c r="AK84" s="524"/>
      <c r="AL84" s="524"/>
      <c r="AM84" s="524"/>
      <c r="AN84" s="524"/>
      <c r="AO84" s="524"/>
      <c r="AP84" s="524"/>
      <c r="AQ84" s="524"/>
      <c r="AR84" s="524"/>
      <c r="AS84" s="524"/>
      <c r="AT84" s="704"/>
      <c r="AU84" s="524"/>
      <c r="AV84" s="524"/>
      <c r="AW84" s="524"/>
      <c r="AX84" s="524"/>
      <c r="AY84" s="524"/>
      <c r="AZ84" s="524"/>
      <c r="BA84" s="524"/>
    </row>
    <row r="85" spans="1:53">
      <c r="A85" s="532"/>
      <c r="B85" s="525"/>
      <c r="D85" s="526"/>
      <c r="E85" s="524"/>
      <c r="F85" s="524"/>
      <c r="G85" s="524"/>
      <c r="H85" s="524"/>
      <c r="I85" s="524"/>
      <c r="J85" s="526"/>
      <c r="K85" s="524"/>
      <c r="L85" s="524"/>
      <c r="M85" s="524"/>
      <c r="N85" s="524"/>
      <c r="O85" s="524"/>
      <c r="P85" s="524"/>
      <c r="Q85" s="524"/>
      <c r="R85" s="524"/>
      <c r="S85" s="524"/>
      <c r="T85" s="524"/>
      <c r="U85" s="524"/>
      <c r="V85" s="524"/>
      <c r="W85" s="524"/>
      <c r="X85" s="524"/>
      <c r="Y85" s="524"/>
      <c r="Z85" s="524"/>
      <c r="AA85" s="524"/>
      <c r="AB85" s="524"/>
      <c r="AC85" s="524"/>
      <c r="AD85" s="524"/>
      <c r="AE85" s="524"/>
      <c r="AF85" s="524"/>
      <c r="AG85" s="524"/>
      <c r="AH85" s="704"/>
      <c r="AI85" s="704"/>
      <c r="AJ85" s="524"/>
      <c r="AK85" s="524"/>
      <c r="AL85" s="524"/>
      <c r="AM85" s="524"/>
      <c r="AN85" s="524"/>
      <c r="AO85" s="524"/>
      <c r="AP85" s="524"/>
      <c r="AQ85" s="524"/>
      <c r="AR85" s="524"/>
      <c r="AS85" s="524"/>
      <c r="AT85" s="704"/>
      <c r="AU85" s="524"/>
      <c r="AV85" s="524"/>
      <c r="AW85" s="524"/>
      <c r="AX85" s="524"/>
      <c r="AY85" s="524"/>
      <c r="AZ85" s="524"/>
      <c r="BA85" s="524"/>
    </row>
    <row r="86" spans="1:53">
      <c r="A86" s="532"/>
      <c r="B86" s="525"/>
      <c r="D86" s="526"/>
      <c r="E86" s="524"/>
      <c r="F86" s="524"/>
      <c r="G86" s="524"/>
      <c r="H86" s="524"/>
      <c r="I86" s="524"/>
      <c r="J86" s="526"/>
      <c r="K86" s="524"/>
      <c r="L86" s="524"/>
      <c r="M86" s="524"/>
      <c r="N86" s="524"/>
      <c r="O86" s="524"/>
      <c r="P86" s="524"/>
      <c r="Q86" s="524"/>
      <c r="R86" s="524"/>
      <c r="S86" s="524"/>
      <c r="T86" s="524"/>
      <c r="U86" s="524"/>
      <c r="V86" s="524"/>
      <c r="W86" s="524"/>
      <c r="X86" s="524"/>
      <c r="Y86" s="524"/>
      <c r="Z86" s="524"/>
      <c r="AA86" s="524"/>
      <c r="AB86" s="524"/>
      <c r="AC86" s="524"/>
      <c r="AD86" s="524"/>
      <c r="AE86" s="524"/>
      <c r="AF86" s="524"/>
      <c r="AG86" s="524"/>
      <c r="AH86" s="704"/>
      <c r="AI86" s="704"/>
      <c r="AJ86" s="524"/>
      <c r="AK86" s="524"/>
      <c r="AL86" s="524"/>
      <c r="AM86" s="524"/>
      <c r="AN86" s="524"/>
      <c r="AO86" s="524"/>
      <c r="AP86" s="524"/>
      <c r="AQ86" s="524"/>
      <c r="AR86" s="524"/>
      <c r="AS86" s="524"/>
      <c r="AT86" s="704"/>
      <c r="AU86" s="524"/>
      <c r="AV86" s="524"/>
      <c r="AW86" s="524"/>
      <c r="AX86" s="524"/>
      <c r="AY86" s="524"/>
      <c r="AZ86" s="524"/>
      <c r="BA86" s="524"/>
    </row>
    <row r="87" spans="1:53">
      <c r="A87" s="532"/>
      <c r="B87" s="525"/>
      <c r="D87" s="526"/>
      <c r="E87" s="524"/>
      <c r="F87" s="524"/>
      <c r="G87" s="524"/>
      <c r="H87" s="524"/>
      <c r="I87" s="524"/>
      <c r="J87" s="526"/>
      <c r="K87" s="524"/>
      <c r="L87" s="524"/>
      <c r="M87" s="524"/>
      <c r="N87" s="524"/>
      <c r="O87" s="524"/>
      <c r="P87" s="524"/>
      <c r="Q87" s="524"/>
      <c r="R87" s="524"/>
      <c r="S87" s="524"/>
      <c r="T87" s="524"/>
      <c r="U87" s="524"/>
      <c r="V87" s="524"/>
      <c r="W87" s="524"/>
      <c r="X87" s="524"/>
      <c r="Y87" s="524"/>
      <c r="Z87" s="524"/>
      <c r="AA87" s="524"/>
      <c r="AB87" s="524"/>
      <c r="AC87" s="524"/>
      <c r="AD87" s="524"/>
      <c r="AE87" s="524"/>
      <c r="AF87" s="524"/>
      <c r="AG87" s="524"/>
      <c r="AH87" s="704"/>
      <c r="AI87" s="704"/>
      <c r="AJ87" s="524"/>
      <c r="AK87" s="524"/>
      <c r="AL87" s="524"/>
      <c r="AM87" s="524"/>
      <c r="AN87" s="524"/>
      <c r="AO87" s="524"/>
      <c r="AP87" s="524"/>
      <c r="AQ87" s="524"/>
      <c r="AR87" s="524"/>
      <c r="AS87" s="524"/>
      <c r="AT87" s="704"/>
      <c r="AU87" s="524"/>
      <c r="AV87" s="524"/>
      <c r="AW87" s="524"/>
      <c r="AX87" s="524"/>
      <c r="AY87" s="524"/>
      <c r="AZ87" s="524"/>
      <c r="BA87" s="524"/>
    </row>
    <row r="88" spans="1:53">
      <c r="A88" s="532"/>
      <c r="B88" s="525"/>
      <c r="D88" s="526"/>
      <c r="E88" s="524"/>
      <c r="F88" s="524"/>
      <c r="G88" s="524"/>
      <c r="H88" s="524"/>
      <c r="I88" s="524"/>
      <c r="J88" s="526"/>
      <c r="K88" s="524"/>
      <c r="L88" s="524"/>
      <c r="M88" s="524"/>
      <c r="N88" s="524"/>
      <c r="O88" s="524"/>
      <c r="P88" s="524"/>
      <c r="Q88" s="524"/>
      <c r="R88" s="524"/>
      <c r="S88" s="524"/>
      <c r="T88" s="524"/>
      <c r="U88" s="524"/>
      <c r="V88" s="524"/>
      <c r="W88" s="524"/>
      <c r="X88" s="524"/>
      <c r="Y88" s="524"/>
      <c r="Z88" s="524"/>
      <c r="AA88" s="524"/>
      <c r="AB88" s="524"/>
      <c r="AC88" s="524"/>
      <c r="AD88" s="524"/>
      <c r="AE88" s="524"/>
      <c r="AF88" s="524"/>
      <c r="AG88" s="524"/>
      <c r="AH88" s="704"/>
      <c r="AI88" s="704"/>
      <c r="AJ88" s="524"/>
      <c r="AK88" s="524"/>
      <c r="AL88" s="524"/>
      <c r="AM88" s="524"/>
      <c r="AN88" s="524"/>
      <c r="AO88" s="524"/>
      <c r="AP88" s="524"/>
      <c r="AQ88" s="524"/>
      <c r="AR88" s="524"/>
      <c r="AS88" s="524"/>
      <c r="AT88" s="704"/>
      <c r="AU88" s="524"/>
      <c r="AV88" s="524"/>
      <c r="AW88" s="524"/>
      <c r="AX88" s="524"/>
      <c r="AY88" s="524"/>
      <c r="AZ88" s="524"/>
      <c r="BA88" s="524"/>
    </row>
    <row r="89" spans="1:53">
      <c r="A89" s="532"/>
      <c r="B89" s="525"/>
      <c r="D89" s="526"/>
      <c r="E89" s="524"/>
      <c r="F89" s="524"/>
      <c r="G89" s="524"/>
      <c r="H89" s="524"/>
      <c r="I89" s="524"/>
      <c r="J89" s="526"/>
      <c r="K89" s="524"/>
      <c r="L89" s="524"/>
      <c r="M89" s="524"/>
      <c r="N89" s="524"/>
      <c r="O89" s="524"/>
      <c r="P89" s="524"/>
      <c r="Q89" s="524"/>
      <c r="R89" s="524"/>
      <c r="S89" s="524"/>
      <c r="T89" s="524"/>
      <c r="U89" s="524"/>
      <c r="V89" s="524"/>
      <c r="W89" s="524"/>
      <c r="X89" s="524"/>
      <c r="Y89" s="524"/>
      <c r="Z89" s="524"/>
      <c r="AA89" s="524"/>
      <c r="AB89" s="524"/>
      <c r="AC89" s="524"/>
      <c r="AD89" s="524"/>
      <c r="AE89" s="524"/>
      <c r="AF89" s="524"/>
      <c r="AG89" s="524"/>
      <c r="AH89" s="704"/>
      <c r="AI89" s="704"/>
      <c r="AJ89" s="524"/>
      <c r="AK89" s="524"/>
      <c r="AL89" s="524"/>
      <c r="AM89" s="524"/>
      <c r="AN89" s="524"/>
      <c r="AO89" s="524"/>
      <c r="AP89" s="524"/>
      <c r="AQ89" s="524"/>
      <c r="AR89" s="524"/>
      <c r="AS89" s="524"/>
      <c r="AT89" s="704"/>
      <c r="AU89" s="524"/>
      <c r="AV89" s="524"/>
      <c r="AW89" s="524"/>
      <c r="AX89" s="524"/>
      <c r="AY89" s="524"/>
      <c r="AZ89" s="524"/>
      <c r="BA89" s="524"/>
    </row>
    <row r="90" spans="1:53">
      <c r="A90" s="532"/>
      <c r="B90" s="525"/>
      <c r="D90" s="526"/>
      <c r="E90" s="524"/>
      <c r="F90" s="524"/>
      <c r="G90" s="524"/>
      <c r="H90" s="524"/>
      <c r="I90" s="524"/>
      <c r="J90" s="526"/>
      <c r="K90" s="524"/>
      <c r="L90" s="524"/>
      <c r="M90" s="524"/>
      <c r="N90" s="524"/>
      <c r="O90" s="524"/>
      <c r="P90" s="524"/>
      <c r="Q90" s="524"/>
      <c r="R90" s="524"/>
      <c r="S90" s="524"/>
      <c r="T90" s="524"/>
      <c r="U90" s="524"/>
      <c r="V90" s="524"/>
      <c r="W90" s="524"/>
      <c r="X90" s="524"/>
      <c r="Y90" s="524"/>
      <c r="Z90" s="524"/>
      <c r="AA90" s="524"/>
      <c r="AB90" s="524"/>
      <c r="AC90" s="524"/>
      <c r="AD90" s="524"/>
      <c r="AE90" s="524"/>
      <c r="AF90" s="524"/>
      <c r="AG90" s="524"/>
      <c r="AH90" s="704"/>
      <c r="AI90" s="704"/>
      <c r="AJ90" s="524"/>
      <c r="AK90" s="524"/>
      <c r="AL90" s="524"/>
      <c r="AM90" s="524"/>
      <c r="AN90" s="524"/>
      <c r="AO90" s="524"/>
      <c r="AP90" s="524"/>
      <c r="AQ90" s="524"/>
      <c r="AR90" s="524"/>
      <c r="AS90" s="524"/>
      <c r="AT90" s="704"/>
      <c r="AU90" s="524"/>
      <c r="AV90" s="524"/>
      <c r="AW90" s="524"/>
      <c r="AX90" s="524"/>
      <c r="AY90" s="524"/>
      <c r="AZ90" s="524"/>
      <c r="BA90" s="524"/>
    </row>
    <row r="91" spans="1:53">
      <c r="A91" s="532"/>
      <c r="B91" s="525"/>
      <c r="D91" s="526"/>
      <c r="E91" s="524"/>
      <c r="F91" s="524"/>
      <c r="G91" s="524"/>
      <c r="H91" s="524"/>
      <c r="I91" s="524"/>
      <c r="J91" s="526"/>
      <c r="K91" s="524"/>
      <c r="L91" s="524"/>
      <c r="M91" s="524"/>
      <c r="N91" s="524"/>
      <c r="O91" s="524"/>
      <c r="P91" s="524"/>
      <c r="Q91" s="524"/>
      <c r="R91" s="524"/>
      <c r="S91" s="524"/>
      <c r="T91" s="524"/>
      <c r="U91" s="524"/>
      <c r="V91" s="524"/>
      <c r="W91" s="524"/>
      <c r="X91" s="524"/>
      <c r="Y91" s="524"/>
      <c r="Z91" s="524"/>
      <c r="AA91" s="524"/>
      <c r="AB91" s="524"/>
      <c r="AC91" s="524"/>
      <c r="AD91" s="524"/>
      <c r="AE91" s="524"/>
      <c r="AF91" s="524"/>
      <c r="AG91" s="524"/>
      <c r="AH91" s="704"/>
      <c r="AI91" s="704"/>
      <c r="AJ91" s="524"/>
      <c r="AK91" s="524"/>
      <c r="AL91" s="524"/>
      <c r="AM91" s="524"/>
      <c r="AN91" s="524"/>
      <c r="AO91" s="524"/>
      <c r="AP91" s="524"/>
      <c r="AQ91" s="524"/>
      <c r="AR91" s="524"/>
      <c r="AS91" s="524"/>
      <c r="AT91" s="704"/>
      <c r="AU91" s="524"/>
      <c r="AV91" s="524"/>
      <c r="AW91" s="524"/>
      <c r="AX91" s="524"/>
      <c r="AY91" s="524"/>
      <c r="AZ91" s="524"/>
      <c r="BA91" s="524"/>
    </row>
    <row r="92" spans="1:53">
      <c r="A92" s="532"/>
      <c r="B92" s="525"/>
      <c r="D92" s="526"/>
      <c r="E92" s="524"/>
      <c r="F92" s="524"/>
      <c r="G92" s="524"/>
      <c r="H92" s="524"/>
      <c r="I92" s="524"/>
      <c r="J92" s="526"/>
      <c r="K92" s="524" t="s">
        <v>1954</v>
      </c>
      <c r="L92" s="524"/>
      <c r="M92" s="524"/>
      <c r="N92" s="524"/>
      <c r="O92" s="524"/>
      <c r="P92" s="524"/>
      <c r="Q92" s="524"/>
      <c r="R92" s="524"/>
      <c r="S92" s="524"/>
      <c r="T92" s="524"/>
      <c r="U92" s="524"/>
      <c r="V92" s="524"/>
      <c r="W92" s="524"/>
      <c r="X92" s="524"/>
      <c r="Y92" s="524"/>
      <c r="Z92" s="524"/>
      <c r="AA92" s="524"/>
      <c r="AB92" s="524"/>
      <c r="AC92" s="524"/>
      <c r="AD92" s="524"/>
      <c r="AE92" s="524"/>
      <c r="AF92" s="524"/>
      <c r="AG92" s="524"/>
      <c r="AH92" s="704"/>
      <c r="AI92" s="704"/>
      <c r="AJ92" s="524"/>
      <c r="AK92" s="524"/>
      <c r="AL92" s="524"/>
      <c r="AM92" s="524"/>
      <c r="AN92" s="524"/>
      <c r="AO92" s="524"/>
      <c r="AP92" s="524"/>
      <c r="AQ92" s="524"/>
      <c r="AR92" s="524"/>
      <c r="AS92" s="524"/>
      <c r="AT92" s="704"/>
      <c r="AU92" s="524"/>
      <c r="AV92" s="524"/>
      <c r="AW92" s="524"/>
      <c r="AX92" s="524"/>
      <c r="AY92" s="524"/>
      <c r="AZ92" s="524"/>
      <c r="BA92" s="524"/>
    </row>
    <row r="93" spans="1:53">
      <c r="A93" s="532"/>
      <c r="B93" s="525"/>
      <c r="D93" s="526"/>
      <c r="E93" s="524"/>
      <c r="F93" s="524"/>
      <c r="G93" s="524"/>
      <c r="H93" s="524"/>
      <c r="I93" s="524"/>
      <c r="J93" s="526"/>
      <c r="K93" s="524"/>
      <c r="L93" s="524"/>
      <c r="M93" s="524"/>
      <c r="N93" s="524"/>
      <c r="O93" s="524"/>
      <c r="P93" s="524"/>
      <c r="Q93" s="524"/>
      <c r="R93" s="524"/>
      <c r="S93" s="524"/>
      <c r="T93" s="524"/>
      <c r="U93" s="524"/>
      <c r="V93" s="524"/>
      <c r="W93" s="524"/>
      <c r="X93" s="524"/>
      <c r="Y93" s="524"/>
      <c r="Z93" s="524"/>
      <c r="AA93" s="524"/>
      <c r="AB93" s="524"/>
      <c r="AC93" s="524"/>
      <c r="AD93" s="524"/>
      <c r="AE93" s="524"/>
      <c r="AF93" s="524"/>
      <c r="AG93" s="524"/>
      <c r="AH93" s="704"/>
      <c r="AI93" s="704"/>
      <c r="AJ93" s="524"/>
      <c r="AK93" s="524"/>
      <c r="AL93" s="524"/>
      <c r="AM93" s="524"/>
      <c r="AN93" s="524"/>
      <c r="AO93" s="524"/>
      <c r="AP93" s="524"/>
      <c r="AQ93" s="524"/>
      <c r="AR93" s="524"/>
      <c r="AS93" s="524"/>
      <c r="AT93" s="704"/>
      <c r="AU93" s="524"/>
      <c r="AV93" s="524"/>
      <c r="AW93" s="524"/>
      <c r="AX93" s="524"/>
      <c r="AY93" s="524"/>
      <c r="AZ93" s="524"/>
      <c r="BA93" s="524"/>
    </row>
    <row r="94" spans="1:53">
      <c r="A94" s="532"/>
      <c r="B94" s="525"/>
      <c r="D94" s="526"/>
      <c r="E94" s="524"/>
      <c r="F94" s="524"/>
      <c r="G94" s="524"/>
      <c r="H94" s="524"/>
      <c r="I94" s="524"/>
      <c r="J94" s="526"/>
      <c r="K94" s="524"/>
      <c r="L94" s="524"/>
      <c r="M94" s="524"/>
      <c r="N94" s="524"/>
      <c r="O94" s="524"/>
      <c r="P94" s="524"/>
      <c r="Q94" s="524"/>
      <c r="R94" s="524"/>
      <c r="S94" s="524"/>
      <c r="T94" s="524"/>
      <c r="U94" s="524"/>
      <c r="V94" s="524"/>
      <c r="W94" s="524"/>
      <c r="X94" s="524"/>
      <c r="Y94" s="524"/>
      <c r="Z94" s="524"/>
      <c r="AA94" s="524"/>
      <c r="AB94" s="524"/>
      <c r="AC94" s="524"/>
      <c r="AD94" s="524"/>
      <c r="AE94" s="524"/>
      <c r="AF94" s="524"/>
      <c r="AG94" s="524"/>
      <c r="AH94" s="704"/>
      <c r="AI94" s="704"/>
      <c r="AJ94" s="524"/>
      <c r="AK94" s="524"/>
      <c r="AL94" s="524"/>
      <c r="AM94" s="524"/>
      <c r="AN94" s="524"/>
      <c r="AO94" s="524"/>
      <c r="AP94" s="524"/>
      <c r="AQ94" s="524"/>
      <c r="AR94" s="524"/>
      <c r="AS94" s="524"/>
      <c r="AT94" s="704"/>
      <c r="AU94" s="524"/>
      <c r="AV94" s="524"/>
      <c r="AW94" s="524"/>
      <c r="AX94" s="524"/>
      <c r="AY94" s="524"/>
      <c r="AZ94" s="524"/>
      <c r="BA94" s="524"/>
    </row>
    <row r="95" spans="1:53">
      <c r="A95" s="532"/>
      <c r="B95" s="525"/>
      <c r="D95" s="526"/>
      <c r="E95" s="524"/>
      <c r="F95" s="524"/>
      <c r="G95" s="524"/>
      <c r="H95" s="524"/>
      <c r="I95" s="524"/>
      <c r="J95" s="526"/>
      <c r="K95" s="524"/>
      <c r="L95" s="524"/>
      <c r="M95" s="524"/>
      <c r="N95" s="524"/>
      <c r="O95" s="524"/>
      <c r="P95" s="524"/>
      <c r="Q95" s="524"/>
      <c r="R95" s="524"/>
      <c r="S95" s="524"/>
      <c r="T95" s="524"/>
      <c r="U95" s="524"/>
      <c r="V95" s="524"/>
      <c r="W95" s="524"/>
      <c r="X95" s="524"/>
      <c r="Y95" s="524"/>
      <c r="Z95" s="524"/>
      <c r="AA95" s="524"/>
      <c r="AB95" s="524"/>
      <c r="AC95" s="524"/>
      <c r="AD95" s="524"/>
      <c r="AE95" s="524"/>
      <c r="AF95" s="524"/>
      <c r="AG95" s="524"/>
      <c r="AH95" s="704"/>
      <c r="AI95" s="704"/>
      <c r="AJ95" s="524"/>
      <c r="AK95" s="524"/>
      <c r="AL95" s="524"/>
      <c r="AM95" s="524"/>
      <c r="AN95" s="524"/>
      <c r="AO95" s="524"/>
      <c r="AP95" s="524"/>
      <c r="AQ95" s="524"/>
      <c r="AR95" s="524"/>
      <c r="AS95" s="524"/>
      <c r="AT95" s="704"/>
      <c r="AU95" s="524"/>
      <c r="AV95" s="524"/>
      <c r="AW95" s="524"/>
      <c r="AX95" s="524"/>
      <c r="AY95" s="524"/>
      <c r="AZ95" s="524"/>
      <c r="BA95" s="524"/>
    </row>
    <row r="96" spans="1:53">
      <c r="A96" s="532"/>
      <c r="B96" s="525"/>
      <c r="D96" s="526"/>
      <c r="E96" s="524"/>
      <c r="F96" s="524"/>
      <c r="G96" s="524"/>
      <c r="H96" s="524"/>
      <c r="I96" s="524"/>
      <c r="J96" s="526"/>
      <c r="K96" s="524"/>
      <c r="L96" s="524"/>
      <c r="M96" s="524"/>
      <c r="N96" s="524"/>
      <c r="O96" s="524"/>
      <c r="P96" s="524"/>
      <c r="Q96" s="524"/>
      <c r="R96" s="524"/>
      <c r="S96" s="524"/>
      <c r="T96" s="524"/>
      <c r="U96" s="524"/>
      <c r="V96" s="524"/>
      <c r="W96" s="524"/>
      <c r="X96" s="524"/>
      <c r="Y96" s="524"/>
      <c r="Z96" s="524"/>
      <c r="AA96" s="524"/>
      <c r="AB96" s="524"/>
      <c r="AC96" s="524"/>
      <c r="AD96" s="524"/>
      <c r="AE96" s="524"/>
      <c r="AF96" s="524"/>
      <c r="AG96" s="524"/>
      <c r="AH96" s="704"/>
      <c r="AI96" s="704"/>
      <c r="AJ96" s="524"/>
      <c r="AK96" s="524"/>
      <c r="AL96" s="524"/>
      <c r="AM96" s="524"/>
      <c r="AN96" s="524"/>
      <c r="AO96" s="524"/>
      <c r="AP96" s="524"/>
      <c r="AQ96" s="524"/>
      <c r="AR96" s="524"/>
      <c r="AS96" s="524"/>
      <c r="AT96" s="704"/>
      <c r="AU96" s="524"/>
      <c r="AV96" s="524"/>
      <c r="AW96" s="524"/>
      <c r="AX96" s="524"/>
      <c r="AY96" s="524"/>
      <c r="AZ96" s="524"/>
      <c r="BA96" s="524"/>
    </row>
    <row r="97" spans="1:53">
      <c r="A97" s="532"/>
      <c r="B97" s="525"/>
      <c r="D97" s="526"/>
      <c r="E97" s="524"/>
      <c r="F97" s="524"/>
      <c r="G97" s="524"/>
      <c r="H97" s="524"/>
      <c r="I97" s="524"/>
      <c r="J97" s="526"/>
      <c r="K97" s="524"/>
      <c r="L97" s="524"/>
      <c r="M97" s="524"/>
      <c r="N97" s="524"/>
      <c r="O97" s="524"/>
      <c r="P97" s="524"/>
      <c r="Q97" s="524"/>
      <c r="R97" s="524"/>
      <c r="S97" s="524"/>
      <c r="T97" s="524"/>
      <c r="U97" s="524"/>
      <c r="V97" s="524"/>
      <c r="W97" s="524"/>
      <c r="X97" s="524"/>
      <c r="Y97" s="524"/>
      <c r="Z97" s="524"/>
      <c r="AA97" s="524"/>
      <c r="AB97" s="524"/>
      <c r="AC97" s="524"/>
      <c r="AD97" s="524"/>
      <c r="AE97" s="524"/>
      <c r="AF97" s="524"/>
      <c r="AG97" s="524"/>
      <c r="AH97" s="704"/>
      <c r="AI97" s="704"/>
      <c r="AJ97" s="524"/>
      <c r="AK97" s="524"/>
      <c r="AL97" s="524"/>
      <c r="AM97" s="524"/>
      <c r="AN97" s="524"/>
      <c r="AO97" s="524"/>
      <c r="AP97" s="524"/>
      <c r="AQ97" s="524"/>
      <c r="AR97" s="524"/>
      <c r="AS97" s="524"/>
      <c r="AT97" s="704"/>
      <c r="AU97" s="524"/>
      <c r="AV97" s="524"/>
      <c r="AW97" s="524"/>
      <c r="AX97" s="524"/>
      <c r="AY97" s="524"/>
      <c r="AZ97" s="524"/>
      <c r="BA97" s="524"/>
    </row>
    <row r="98" spans="1:53">
      <c r="A98" s="532"/>
      <c r="B98" s="525"/>
      <c r="D98" s="526"/>
      <c r="E98" s="524"/>
      <c r="F98" s="524"/>
      <c r="G98" s="524"/>
      <c r="H98" s="524"/>
      <c r="I98" s="524"/>
      <c r="J98" s="526"/>
      <c r="K98" s="524"/>
      <c r="L98" s="524"/>
      <c r="M98" s="524"/>
      <c r="N98" s="524"/>
      <c r="O98" s="524"/>
      <c r="P98" s="524"/>
      <c r="Q98" s="524"/>
      <c r="R98" s="524"/>
      <c r="S98" s="524"/>
      <c r="T98" s="524"/>
      <c r="U98" s="524"/>
      <c r="V98" s="524"/>
      <c r="W98" s="524"/>
      <c r="X98" s="524"/>
      <c r="Y98" s="524"/>
      <c r="Z98" s="524"/>
      <c r="AA98" s="524"/>
      <c r="AB98" s="524"/>
      <c r="AC98" s="524"/>
      <c r="AD98" s="524"/>
      <c r="AE98" s="524"/>
      <c r="AF98" s="524"/>
      <c r="AG98" s="524"/>
      <c r="AH98" s="704"/>
      <c r="AI98" s="704"/>
      <c r="AJ98" s="524"/>
      <c r="AK98" s="524"/>
      <c r="AL98" s="524"/>
      <c r="AM98" s="524"/>
      <c r="AN98" s="524"/>
      <c r="AO98" s="524"/>
      <c r="AP98" s="524"/>
      <c r="AQ98" s="524"/>
      <c r="AR98" s="524"/>
      <c r="AS98" s="524"/>
      <c r="AT98" s="704"/>
      <c r="AU98" s="524"/>
      <c r="AV98" s="524"/>
      <c r="AW98" s="524"/>
      <c r="AX98" s="524"/>
      <c r="AY98" s="524"/>
      <c r="AZ98" s="524"/>
      <c r="BA98" s="524"/>
    </row>
    <row r="99" spans="1:53">
      <c r="A99" s="532"/>
      <c r="B99" s="525"/>
      <c r="D99" s="526"/>
      <c r="E99" s="524"/>
      <c r="F99" s="524"/>
      <c r="G99" s="524"/>
      <c r="H99" s="524"/>
      <c r="I99" s="524"/>
      <c r="J99" s="526"/>
      <c r="K99" s="524"/>
      <c r="L99" s="524"/>
      <c r="M99" s="524"/>
      <c r="N99" s="524"/>
      <c r="O99" s="524"/>
      <c r="P99" s="524"/>
      <c r="Q99" s="524"/>
      <c r="R99" s="524"/>
      <c r="S99" s="524"/>
      <c r="T99" s="524"/>
      <c r="U99" s="524"/>
      <c r="V99" s="524"/>
      <c r="W99" s="524"/>
      <c r="X99" s="524"/>
      <c r="Y99" s="524"/>
      <c r="Z99" s="524"/>
      <c r="AA99" s="524"/>
      <c r="AB99" s="524"/>
      <c r="AC99" s="524"/>
      <c r="AD99" s="524"/>
      <c r="AE99" s="524"/>
      <c r="AF99" s="524"/>
      <c r="AG99" s="524"/>
      <c r="AH99" s="704"/>
      <c r="AI99" s="704"/>
      <c r="AJ99" s="524"/>
      <c r="AK99" s="524"/>
      <c r="AL99" s="524"/>
      <c r="AM99" s="524"/>
      <c r="AN99" s="524"/>
      <c r="AO99" s="524"/>
      <c r="AP99" s="524"/>
      <c r="AQ99" s="524"/>
      <c r="AR99" s="524"/>
      <c r="AS99" s="524"/>
      <c r="AT99" s="704"/>
      <c r="AU99" s="524"/>
      <c r="AV99" s="524"/>
      <c r="AW99" s="524"/>
      <c r="AX99" s="524"/>
      <c r="AY99" s="524"/>
      <c r="AZ99" s="524"/>
      <c r="BA99" s="524"/>
    </row>
    <row r="100" spans="1:53">
      <c r="A100" s="532"/>
      <c r="B100" s="525"/>
      <c r="D100" s="526"/>
      <c r="E100" s="524"/>
      <c r="F100" s="524"/>
      <c r="G100" s="524"/>
      <c r="H100" s="524"/>
      <c r="I100" s="524"/>
      <c r="J100" s="526"/>
      <c r="K100" s="524"/>
      <c r="L100" s="524"/>
      <c r="M100" s="524"/>
      <c r="N100" s="524"/>
      <c r="O100" s="524"/>
      <c r="P100" s="524"/>
      <c r="Q100" s="524"/>
      <c r="R100" s="524"/>
      <c r="S100" s="524"/>
      <c r="T100" s="524"/>
      <c r="U100" s="524"/>
      <c r="V100" s="524"/>
      <c r="W100" s="524"/>
      <c r="X100" s="524"/>
      <c r="Y100" s="524"/>
      <c r="Z100" s="524"/>
      <c r="AA100" s="524"/>
      <c r="AB100" s="524"/>
      <c r="AC100" s="524"/>
      <c r="AD100" s="524"/>
      <c r="AE100" s="524"/>
      <c r="AF100" s="524"/>
      <c r="AG100" s="524"/>
      <c r="AH100" s="704"/>
      <c r="AI100" s="704"/>
      <c r="AJ100" s="524"/>
      <c r="AK100" s="524"/>
      <c r="AL100" s="524"/>
      <c r="AM100" s="524"/>
      <c r="AN100" s="524"/>
      <c r="AO100" s="524"/>
      <c r="AP100" s="524"/>
      <c r="AQ100" s="524"/>
      <c r="AR100" s="524"/>
      <c r="AS100" s="524"/>
      <c r="AT100" s="704"/>
      <c r="AU100" s="524"/>
      <c r="AV100" s="524"/>
      <c r="AW100" s="524"/>
      <c r="AX100" s="524"/>
      <c r="AY100" s="524"/>
      <c r="AZ100" s="524"/>
      <c r="BA100" s="524"/>
    </row>
    <row r="101" spans="1:53">
      <c r="A101" s="532"/>
      <c r="B101" s="525"/>
      <c r="D101" s="526"/>
      <c r="E101" s="524"/>
      <c r="F101" s="524"/>
      <c r="G101" s="524"/>
      <c r="H101" s="524"/>
      <c r="I101" s="524"/>
      <c r="J101" s="526"/>
      <c r="K101" s="524"/>
      <c r="L101" s="524"/>
      <c r="M101" s="524"/>
      <c r="N101" s="524"/>
      <c r="O101" s="524"/>
      <c r="P101" s="524"/>
      <c r="Q101" s="524"/>
      <c r="R101" s="524"/>
      <c r="S101" s="524"/>
      <c r="T101" s="524"/>
      <c r="U101" s="524"/>
      <c r="V101" s="524"/>
      <c r="W101" s="524"/>
      <c r="X101" s="524"/>
      <c r="Y101" s="524"/>
      <c r="Z101" s="524"/>
      <c r="AA101" s="524"/>
      <c r="AB101" s="524"/>
      <c r="AC101" s="524"/>
      <c r="AD101" s="524"/>
      <c r="AE101" s="524"/>
      <c r="AF101" s="524"/>
      <c r="AG101" s="524"/>
      <c r="AH101" s="704"/>
      <c r="AI101" s="704"/>
      <c r="AJ101" s="524"/>
      <c r="AK101" s="524"/>
      <c r="AL101" s="524"/>
      <c r="AM101" s="524"/>
      <c r="AN101" s="524"/>
      <c r="AO101" s="524"/>
      <c r="AP101" s="524"/>
      <c r="AQ101" s="524"/>
      <c r="AR101" s="524"/>
      <c r="AS101" s="524"/>
      <c r="AT101" s="704"/>
      <c r="AU101" s="524"/>
      <c r="AV101" s="524"/>
      <c r="AW101" s="524"/>
      <c r="AX101" s="524"/>
      <c r="AY101" s="524"/>
      <c r="AZ101" s="524"/>
      <c r="BA101" s="524"/>
    </row>
    <row r="102" spans="1:53">
      <c r="A102" s="532"/>
      <c r="B102" s="525"/>
      <c r="D102" s="526"/>
      <c r="E102" s="524"/>
      <c r="F102" s="524"/>
      <c r="G102" s="524"/>
      <c r="H102" s="524"/>
      <c r="I102" s="524"/>
      <c r="J102" s="526"/>
      <c r="K102" s="524"/>
      <c r="L102" s="524"/>
      <c r="M102" s="524"/>
      <c r="N102" s="524"/>
      <c r="O102" s="524"/>
      <c r="P102" s="524"/>
      <c r="Q102" s="524"/>
      <c r="R102" s="524"/>
      <c r="S102" s="524"/>
      <c r="T102" s="524"/>
      <c r="U102" s="524"/>
      <c r="V102" s="524"/>
      <c r="W102" s="524"/>
      <c r="X102" s="524"/>
      <c r="Y102" s="524"/>
      <c r="Z102" s="524"/>
      <c r="AA102" s="524"/>
      <c r="AB102" s="524"/>
      <c r="AC102" s="524"/>
      <c r="AD102" s="524"/>
      <c r="AE102" s="524"/>
      <c r="AF102" s="524"/>
      <c r="AG102" s="524"/>
      <c r="AH102" s="704"/>
      <c r="AI102" s="704"/>
      <c r="AJ102" s="524"/>
      <c r="AK102" s="524"/>
      <c r="AL102" s="524"/>
      <c r="AM102" s="524"/>
      <c r="AN102" s="524"/>
      <c r="AO102" s="524"/>
      <c r="AP102" s="524"/>
      <c r="AQ102" s="524"/>
      <c r="AR102" s="524"/>
      <c r="AS102" s="524"/>
      <c r="AT102" s="704"/>
      <c r="AU102" s="524"/>
      <c r="AV102" s="524"/>
      <c r="AW102" s="524"/>
      <c r="AX102" s="524"/>
      <c r="AY102" s="524"/>
      <c r="AZ102" s="524"/>
      <c r="BA102" s="524"/>
    </row>
    <row r="103" spans="1:53">
      <c r="A103" s="532"/>
      <c r="B103" s="525"/>
      <c r="D103" s="526"/>
      <c r="E103" s="524"/>
      <c r="F103" s="524"/>
      <c r="G103" s="524"/>
      <c r="H103" s="524"/>
      <c r="I103" s="524"/>
      <c r="J103" s="526"/>
      <c r="K103" s="524"/>
      <c r="L103" s="524"/>
      <c r="M103" s="524"/>
      <c r="N103" s="524"/>
      <c r="O103" s="524"/>
      <c r="P103" s="524"/>
      <c r="Q103" s="524"/>
      <c r="R103" s="524"/>
      <c r="S103" s="524"/>
      <c r="T103" s="524"/>
      <c r="U103" s="524"/>
      <c r="V103" s="524"/>
      <c r="W103" s="524"/>
      <c r="X103" s="524"/>
      <c r="Y103" s="524"/>
      <c r="Z103" s="524"/>
      <c r="AA103" s="524"/>
      <c r="AB103" s="524"/>
      <c r="AC103" s="524"/>
      <c r="AD103" s="524"/>
      <c r="AE103" s="524"/>
      <c r="AF103" s="524"/>
      <c r="AG103" s="524"/>
      <c r="AH103" s="704"/>
      <c r="AI103" s="704"/>
      <c r="AJ103" s="524"/>
      <c r="AK103" s="524"/>
      <c r="AL103" s="524"/>
      <c r="AM103" s="524"/>
      <c r="AN103" s="524"/>
      <c r="AO103" s="524"/>
      <c r="AP103" s="524"/>
      <c r="AQ103" s="524"/>
      <c r="AR103" s="524"/>
      <c r="AS103" s="524"/>
      <c r="AT103" s="704"/>
      <c r="AU103" s="524"/>
      <c r="AV103" s="524"/>
      <c r="AW103" s="524"/>
      <c r="AX103" s="524"/>
      <c r="AY103" s="524"/>
      <c r="AZ103" s="524"/>
      <c r="BA103" s="524"/>
    </row>
    <row r="104" spans="1:53">
      <c r="A104" s="532"/>
      <c r="B104" s="525"/>
      <c r="D104" s="526"/>
      <c r="E104" s="524"/>
      <c r="F104" s="524"/>
      <c r="G104" s="524"/>
      <c r="H104" s="524"/>
      <c r="I104" s="524"/>
      <c r="J104" s="526"/>
      <c r="K104" s="524"/>
      <c r="L104" s="524"/>
      <c r="M104" s="524"/>
      <c r="N104" s="524"/>
      <c r="O104" s="524"/>
      <c r="P104" s="524"/>
      <c r="Q104" s="524"/>
      <c r="R104" s="524"/>
      <c r="S104" s="524"/>
      <c r="T104" s="524"/>
      <c r="U104" s="524"/>
      <c r="V104" s="524"/>
      <c r="W104" s="524"/>
      <c r="X104" s="524"/>
      <c r="Y104" s="524"/>
      <c r="Z104" s="524"/>
      <c r="AA104" s="524"/>
      <c r="AB104" s="524"/>
      <c r="AC104" s="524"/>
      <c r="AD104" s="524"/>
      <c r="AE104" s="524"/>
      <c r="AF104" s="524"/>
      <c r="AG104" s="524"/>
      <c r="AH104" s="704"/>
      <c r="AI104" s="704"/>
      <c r="AJ104" s="524"/>
      <c r="AK104" s="524"/>
      <c r="AL104" s="524"/>
      <c r="AM104" s="524"/>
      <c r="AN104" s="524"/>
      <c r="AO104" s="524"/>
      <c r="AP104" s="524"/>
      <c r="AQ104" s="524"/>
      <c r="AR104" s="524"/>
      <c r="AS104" s="524"/>
      <c r="AT104" s="704"/>
      <c r="AU104" s="524"/>
      <c r="AV104" s="524"/>
      <c r="AW104" s="524"/>
      <c r="AX104" s="524"/>
      <c r="AY104" s="524"/>
      <c r="AZ104" s="524"/>
      <c r="BA104" s="524"/>
    </row>
    <row r="105" spans="1:53">
      <c r="A105" s="532"/>
      <c r="B105" s="525"/>
      <c r="D105" s="526"/>
      <c r="E105" s="524"/>
      <c r="F105" s="524"/>
      <c r="G105" s="524"/>
      <c r="H105" s="524"/>
      <c r="I105" s="524"/>
      <c r="J105" s="526"/>
      <c r="K105" s="524"/>
      <c r="L105" s="524"/>
      <c r="M105" s="524"/>
      <c r="N105" s="524"/>
      <c r="O105" s="524"/>
      <c r="P105" s="524"/>
      <c r="Q105" s="524"/>
      <c r="R105" s="524"/>
      <c r="S105" s="524"/>
      <c r="T105" s="524"/>
      <c r="U105" s="524"/>
      <c r="V105" s="524"/>
      <c r="W105" s="524"/>
      <c r="X105" s="524"/>
      <c r="Y105" s="524"/>
      <c r="Z105" s="524"/>
      <c r="AA105" s="524"/>
      <c r="AB105" s="524"/>
      <c r="AC105" s="524"/>
      <c r="AD105" s="524"/>
      <c r="AE105" s="524"/>
      <c r="AF105" s="524"/>
      <c r="AG105" s="524"/>
      <c r="AH105" s="704"/>
      <c r="AI105" s="704"/>
      <c r="AJ105" s="524"/>
      <c r="AK105" s="524"/>
      <c r="AL105" s="524"/>
      <c r="AM105" s="524"/>
      <c r="AN105" s="524"/>
      <c r="AO105" s="524"/>
      <c r="AP105" s="524"/>
      <c r="AQ105" s="524"/>
      <c r="AR105" s="524"/>
      <c r="AS105" s="524"/>
      <c r="AT105" s="704"/>
      <c r="AU105" s="524"/>
      <c r="AV105" s="524"/>
      <c r="AW105" s="524"/>
      <c r="AX105" s="524"/>
      <c r="AY105" s="524"/>
      <c r="AZ105" s="524"/>
      <c r="BA105" s="524"/>
    </row>
    <row r="106" spans="1:53">
      <c r="A106" s="532"/>
      <c r="B106" s="525"/>
      <c r="D106" s="526"/>
      <c r="E106" s="524"/>
      <c r="F106" s="524"/>
      <c r="G106" s="524"/>
      <c r="H106" s="524"/>
      <c r="I106" s="524"/>
      <c r="J106" s="526"/>
      <c r="K106" s="524"/>
      <c r="L106" s="524"/>
      <c r="M106" s="524"/>
      <c r="N106" s="524"/>
      <c r="O106" s="524"/>
      <c r="P106" s="524"/>
      <c r="Q106" s="524"/>
      <c r="R106" s="524"/>
      <c r="S106" s="524"/>
      <c r="T106" s="524"/>
      <c r="U106" s="524"/>
      <c r="V106" s="524"/>
      <c r="W106" s="524"/>
      <c r="X106" s="524"/>
      <c r="Y106" s="524"/>
      <c r="Z106" s="524"/>
      <c r="AA106" s="524"/>
      <c r="AB106" s="524"/>
      <c r="AC106" s="524"/>
      <c r="AD106" s="524"/>
      <c r="AE106" s="524"/>
      <c r="AF106" s="524"/>
      <c r="AG106" s="524"/>
      <c r="AH106" s="704"/>
      <c r="AI106" s="704"/>
      <c r="AJ106" s="524"/>
      <c r="AK106" s="524"/>
      <c r="AL106" s="524"/>
      <c r="AM106" s="524"/>
      <c r="AN106" s="524"/>
      <c r="AO106" s="524"/>
      <c r="AP106" s="524"/>
      <c r="AQ106" s="524"/>
      <c r="AR106" s="524"/>
      <c r="AS106" s="524"/>
      <c r="AT106" s="704"/>
      <c r="AU106" s="524"/>
      <c r="AV106" s="524"/>
      <c r="AW106" s="524"/>
      <c r="AX106" s="524"/>
      <c r="AY106" s="524"/>
      <c r="AZ106" s="524"/>
      <c r="BA106" s="524"/>
    </row>
    <row r="107" spans="1:53">
      <c r="A107" s="532"/>
      <c r="B107" s="525"/>
      <c r="D107" s="526"/>
      <c r="E107" s="524"/>
      <c r="F107" s="524"/>
      <c r="G107" s="524"/>
      <c r="H107" s="524"/>
      <c r="I107" s="524"/>
      <c r="J107" s="526"/>
      <c r="K107" s="524"/>
      <c r="L107" s="524"/>
      <c r="M107" s="524"/>
      <c r="N107" s="524"/>
      <c r="O107" s="524"/>
      <c r="P107" s="524"/>
      <c r="Q107" s="524"/>
      <c r="R107" s="524"/>
      <c r="S107" s="524"/>
      <c r="T107" s="524"/>
      <c r="U107" s="524"/>
      <c r="V107" s="524"/>
      <c r="W107" s="524"/>
      <c r="X107" s="524"/>
      <c r="Y107" s="524"/>
      <c r="Z107" s="524"/>
      <c r="AA107" s="524"/>
      <c r="AB107" s="524"/>
      <c r="AC107" s="524"/>
      <c r="AD107" s="524"/>
      <c r="AE107" s="524"/>
      <c r="AF107" s="524"/>
      <c r="AG107" s="524"/>
      <c r="AH107" s="704"/>
      <c r="AI107" s="704"/>
      <c r="AJ107" s="524"/>
      <c r="AK107" s="524"/>
      <c r="AL107" s="524"/>
      <c r="AM107" s="524"/>
      <c r="AN107" s="524"/>
      <c r="AO107" s="524"/>
      <c r="AP107" s="524"/>
      <c r="AQ107" s="524"/>
      <c r="AR107" s="524"/>
      <c r="AS107" s="524"/>
      <c r="AT107" s="704"/>
      <c r="AU107" s="524"/>
      <c r="AV107" s="524"/>
      <c r="AW107" s="524"/>
      <c r="AX107" s="524"/>
      <c r="AY107" s="524"/>
      <c r="AZ107" s="524"/>
      <c r="BA107" s="524"/>
    </row>
    <row r="108" spans="1:53">
      <c r="A108" s="532"/>
      <c r="B108" s="525"/>
      <c r="D108" s="526"/>
      <c r="E108" s="524"/>
      <c r="F108" s="524"/>
      <c r="G108" s="524"/>
      <c r="H108" s="524"/>
      <c r="I108" s="524"/>
      <c r="J108" s="526"/>
      <c r="K108" s="524"/>
      <c r="L108" s="524"/>
      <c r="M108" s="524"/>
      <c r="N108" s="524"/>
      <c r="O108" s="524"/>
      <c r="P108" s="524"/>
      <c r="Q108" s="524"/>
      <c r="R108" s="524"/>
      <c r="S108" s="524"/>
      <c r="T108" s="524"/>
      <c r="U108" s="524"/>
      <c r="V108" s="524"/>
      <c r="W108" s="524"/>
      <c r="X108" s="524"/>
      <c r="Y108" s="524"/>
      <c r="Z108" s="524"/>
      <c r="AA108" s="524"/>
      <c r="AB108" s="524"/>
      <c r="AC108" s="524"/>
      <c r="AD108" s="524"/>
      <c r="AE108" s="524"/>
      <c r="AF108" s="524"/>
      <c r="AG108" s="524"/>
      <c r="AH108" s="704"/>
      <c r="AI108" s="704"/>
      <c r="AJ108" s="524"/>
      <c r="AK108" s="524"/>
      <c r="AL108" s="524"/>
      <c r="AM108" s="524"/>
      <c r="AN108" s="524"/>
      <c r="AO108" s="524"/>
      <c r="AP108" s="524"/>
      <c r="AQ108" s="524"/>
      <c r="AR108" s="524"/>
      <c r="AS108" s="524"/>
      <c r="AT108" s="704"/>
      <c r="AU108" s="524"/>
      <c r="AV108" s="524"/>
      <c r="AW108" s="524"/>
      <c r="AX108" s="524"/>
      <c r="AY108" s="524"/>
      <c r="AZ108" s="524"/>
      <c r="BA108" s="524"/>
    </row>
    <row r="109" spans="1:53">
      <c r="A109" s="532"/>
      <c r="B109" s="525"/>
      <c r="D109" s="526"/>
      <c r="E109" s="524"/>
      <c r="F109" s="524"/>
      <c r="G109" s="524"/>
      <c r="H109" s="524"/>
      <c r="I109" s="524"/>
      <c r="J109" s="526"/>
      <c r="K109" s="524"/>
      <c r="L109" s="524"/>
      <c r="M109" s="524"/>
      <c r="N109" s="524"/>
      <c r="O109" s="524"/>
      <c r="P109" s="524"/>
      <c r="Q109" s="524"/>
      <c r="R109" s="524"/>
      <c r="S109" s="524"/>
      <c r="T109" s="524"/>
      <c r="U109" s="524"/>
      <c r="V109" s="524"/>
      <c r="W109" s="524"/>
      <c r="X109" s="524"/>
      <c r="Y109" s="524"/>
      <c r="Z109" s="524"/>
      <c r="AA109" s="524"/>
      <c r="AB109" s="524"/>
      <c r="AC109" s="524"/>
      <c r="AD109" s="524"/>
      <c r="AE109" s="524"/>
      <c r="AF109" s="524"/>
      <c r="AG109" s="524"/>
      <c r="AH109" s="704"/>
      <c r="AI109" s="704"/>
      <c r="AJ109" s="524"/>
      <c r="AK109" s="524"/>
      <c r="AL109" s="524"/>
      <c r="AM109" s="524"/>
      <c r="AN109" s="524"/>
      <c r="AO109" s="524"/>
      <c r="AP109" s="524"/>
      <c r="AQ109" s="524"/>
      <c r="AR109" s="524"/>
      <c r="AS109" s="524"/>
      <c r="AT109" s="704"/>
      <c r="AU109" s="524"/>
      <c r="AV109" s="524"/>
      <c r="AW109" s="524"/>
      <c r="AX109" s="524"/>
      <c r="AY109" s="524"/>
      <c r="AZ109" s="524"/>
      <c r="BA109" s="524"/>
    </row>
    <row r="110" spans="1:53">
      <c r="A110" s="532"/>
      <c r="B110" s="525"/>
      <c r="D110" s="526"/>
      <c r="E110" s="524"/>
      <c r="F110" s="524"/>
      <c r="G110" s="524"/>
      <c r="H110" s="524"/>
      <c r="I110" s="524"/>
      <c r="J110" s="526"/>
      <c r="K110" s="524"/>
      <c r="L110" s="524"/>
      <c r="M110" s="524"/>
      <c r="N110" s="524"/>
      <c r="O110" s="524"/>
      <c r="P110" s="524"/>
      <c r="Q110" s="524"/>
      <c r="R110" s="524"/>
      <c r="S110" s="524"/>
      <c r="T110" s="524"/>
      <c r="U110" s="524"/>
      <c r="V110" s="524"/>
      <c r="W110" s="524"/>
      <c r="X110" s="524"/>
      <c r="Y110" s="524"/>
      <c r="Z110" s="524"/>
      <c r="AA110" s="524"/>
      <c r="AB110" s="524"/>
      <c r="AC110" s="524"/>
      <c r="AD110" s="524"/>
      <c r="AE110" s="524"/>
      <c r="AF110" s="524"/>
      <c r="AG110" s="524"/>
      <c r="AH110" s="704"/>
      <c r="AI110" s="704"/>
      <c r="AJ110" s="524"/>
      <c r="AK110" s="524"/>
      <c r="AL110" s="524"/>
      <c r="AM110" s="524"/>
      <c r="AN110" s="524"/>
      <c r="AO110" s="524"/>
      <c r="AP110" s="524"/>
      <c r="AQ110" s="524"/>
      <c r="AR110" s="524"/>
      <c r="AS110" s="524"/>
      <c r="AT110" s="704"/>
      <c r="AU110" s="524"/>
      <c r="AV110" s="524"/>
      <c r="AW110" s="524"/>
      <c r="AX110" s="524"/>
      <c r="AY110" s="524"/>
      <c r="AZ110" s="524"/>
      <c r="BA110" s="524"/>
    </row>
    <row r="111" spans="1:53">
      <c r="A111" s="532"/>
      <c r="B111" s="525"/>
      <c r="D111" s="526"/>
      <c r="E111" s="524"/>
      <c r="F111" s="524"/>
      <c r="G111" s="524"/>
      <c r="H111" s="524"/>
      <c r="I111" s="524"/>
      <c r="J111" s="526"/>
      <c r="K111" s="524"/>
      <c r="L111" s="524"/>
      <c r="M111" s="524"/>
      <c r="N111" s="524"/>
      <c r="O111" s="524"/>
      <c r="P111" s="524"/>
      <c r="Q111" s="524"/>
      <c r="R111" s="524"/>
      <c r="S111" s="524"/>
      <c r="T111" s="524"/>
      <c r="U111" s="524"/>
      <c r="V111" s="524"/>
      <c r="W111" s="524"/>
      <c r="X111" s="524"/>
      <c r="Y111" s="524"/>
      <c r="Z111" s="524"/>
      <c r="AA111" s="524"/>
      <c r="AB111" s="524"/>
      <c r="AC111" s="524"/>
      <c r="AD111" s="524"/>
      <c r="AE111" s="524"/>
      <c r="AF111" s="524"/>
      <c r="AG111" s="524"/>
      <c r="AH111" s="704"/>
      <c r="AI111" s="704"/>
      <c r="AJ111" s="524"/>
      <c r="AK111" s="524"/>
      <c r="AL111" s="524"/>
      <c r="AM111" s="524"/>
      <c r="AN111" s="524"/>
      <c r="AO111" s="524"/>
      <c r="AP111" s="524"/>
      <c r="AQ111" s="524"/>
      <c r="AR111" s="524"/>
      <c r="AS111" s="524"/>
      <c r="AT111" s="704"/>
      <c r="AU111" s="524"/>
      <c r="AV111" s="524"/>
      <c r="AW111" s="524"/>
      <c r="AX111" s="524"/>
      <c r="AY111" s="524"/>
      <c r="AZ111" s="524"/>
      <c r="BA111" s="524"/>
    </row>
    <row r="112" spans="1:53">
      <c r="A112" s="532"/>
      <c r="B112" s="525"/>
      <c r="D112" s="526"/>
      <c r="E112" s="524"/>
      <c r="F112" s="524"/>
      <c r="G112" s="524"/>
      <c r="H112" s="524"/>
      <c r="I112" s="524"/>
      <c r="J112" s="526"/>
      <c r="K112" s="524"/>
      <c r="L112" s="524"/>
      <c r="M112" s="524"/>
      <c r="N112" s="524"/>
      <c r="O112" s="524"/>
      <c r="P112" s="524"/>
      <c r="Q112" s="524"/>
      <c r="R112" s="524"/>
      <c r="S112" s="524"/>
      <c r="T112" s="524"/>
      <c r="U112" s="524"/>
      <c r="V112" s="524"/>
      <c r="W112" s="524"/>
      <c r="X112" s="524"/>
      <c r="Y112" s="524"/>
      <c r="Z112" s="524"/>
      <c r="AA112" s="524"/>
      <c r="AB112" s="524"/>
      <c r="AC112" s="524"/>
      <c r="AD112" s="524"/>
      <c r="AE112" s="524"/>
      <c r="AF112" s="524"/>
      <c r="AG112" s="524"/>
      <c r="AH112" s="704"/>
      <c r="AI112" s="704"/>
      <c r="AJ112" s="524"/>
      <c r="AK112" s="524"/>
      <c r="AL112" s="524"/>
      <c r="AM112" s="524"/>
      <c r="AN112" s="524"/>
      <c r="AO112" s="524"/>
      <c r="AP112" s="524"/>
      <c r="AQ112" s="524"/>
      <c r="AR112" s="524"/>
      <c r="AS112" s="524"/>
      <c r="AT112" s="704"/>
      <c r="AU112" s="524"/>
      <c r="AV112" s="524"/>
      <c r="AW112" s="524"/>
      <c r="AX112" s="524"/>
      <c r="AY112" s="524"/>
      <c r="AZ112" s="524"/>
      <c r="BA112" s="524"/>
    </row>
    <row r="113" spans="1:53">
      <c r="A113" s="532"/>
      <c r="B113" s="525"/>
      <c r="D113" s="526"/>
      <c r="E113" s="524"/>
      <c r="F113" s="524"/>
      <c r="G113" s="524"/>
      <c r="H113" s="524"/>
      <c r="I113" s="524"/>
      <c r="J113" s="526"/>
      <c r="K113" s="524"/>
      <c r="L113" s="524"/>
      <c r="M113" s="524"/>
      <c r="N113" s="524"/>
      <c r="O113" s="524"/>
      <c r="P113" s="524"/>
      <c r="Q113" s="524"/>
      <c r="R113" s="524"/>
      <c r="S113" s="524"/>
      <c r="T113" s="524"/>
      <c r="U113" s="524"/>
      <c r="V113" s="524"/>
      <c r="W113" s="524"/>
      <c r="X113" s="524"/>
      <c r="Y113" s="524"/>
      <c r="Z113" s="524"/>
      <c r="AA113" s="524"/>
      <c r="AB113" s="524"/>
      <c r="AC113" s="524"/>
      <c r="AD113" s="524"/>
      <c r="AE113" s="524"/>
      <c r="AF113" s="524"/>
      <c r="AG113" s="524"/>
      <c r="AH113" s="704"/>
      <c r="AI113" s="704"/>
      <c r="AJ113" s="524"/>
      <c r="AK113" s="524"/>
      <c r="AL113" s="524"/>
      <c r="AM113" s="524"/>
      <c r="AN113" s="524"/>
      <c r="AO113" s="524"/>
      <c r="AP113" s="524"/>
      <c r="AQ113" s="524"/>
      <c r="AR113" s="524"/>
      <c r="AS113" s="524"/>
      <c r="AT113" s="704"/>
      <c r="AU113" s="524"/>
      <c r="AV113" s="524"/>
      <c r="AW113" s="524"/>
      <c r="AX113" s="524"/>
      <c r="AY113" s="524"/>
      <c r="AZ113" s="524"/>
      <c r="BA113" s="524"/>
    </row>
    <row r="114" spans="1:53">
      <c r="A114" s="532"/>
      <c r="B114" s="525"/>
      <c r="D114" s="526"/>
      <c r="E114" s="524"/>
      <c r="F114" s="524"/>
      <c r="G114" s="524"/>
      <c r="H114" s="524"/>
      <c r="I114" s="524"/>
      <c r="J114" s="526"/>
      <c r="K114" s="524"/>
      <c r="L114" s="524"/>
      <c r="M114" s="524"/>
      <c r="N114" s="524"/>
      <c r="O114" s="524"/>
      <c r="P114" s="524"/>
      <c r="Q114" s="524"/>
      <c r="R114" s="524"/>
      <c r="S114" s="524"/>
      <c r="T114" s="524"/>
      <c r="U114" s="524"/>
      <c r="V114" s="524"/>
      <c r="W114" s="524"/>
      <c r="X114" s="524"/>
      <c r="Y114" s="524"/>
      <c r="Z114" s="524"/>
      <c r="AA114" s="524"/>
      <c r="AB114" s="524"/>
      <c r="AC114" s="524"/>
      <c r="AD114" s="524"/>
      <c r="AE114" s="524"/>
      <c r="AF114" s="524"/>
      <c r="AG114" s="524"/>
      <c r="AH114" s="704"/>
      <c r="AI114" s="704"/>
      <c r="AJ114" s="524"/>
      <c r="AK114" s="524"/>
      <c r="AL114" s="524"/>
      <c r="AM114" s="524"/>
      <c r="AN114" s="524"/>
      <c r="AO114" s="524"/>
      <c r="AP114" s="524"/>
      <c r="AQ114" s="524"/>
      <c r="AR114" s="524"/>
      <c r="AS114" s="524"/>
      <c r="AT114" s="704"/>
      <c r="AU114" s="524"/>
      <c r="AV114" s="524"/>
      <c r="AW114" s="524"/>
      <c r="AX114" s="524"/>
      <c r="AY114" s="524"/>
      <c r="AZ114" s="524"/>
      <c r="BA114" s="524"/>
    </row>
    <row r="115" spans="1:53">
      <c r="A115" s="532"/>
      <c r="B115" s="525"/>
      <c r="D115" s="526"/>
      <c r="E115" s="524"/>
      <c r="F115" s="524"/>
      <c r="G115" s="524"/>
      <c r="H115" s="524"/>
      <c r="I115" s="524"/>
      <c r="J115" s="526"/>
      <c r="K115" s="524"/>
      <c r="L115" s="524"/>
      <c r="M115" s="524"/>
      <c r="N115" s="524"/>
      <c r="O115" s="524"/>
      <c r="P115" s="524"/>
      <c r="Q115" s="524"/>
      <c r="R115" s="524"/>
      <c r="S115" s="524"/>
      <c r="T115" s="524"/>
      <c r="U115" s="524"/>
      <c r="V115" s="524"/>
      <c r="W115" s="524"/>
      <c r="X115" s="524"/>
      <c r="Y115" s="524"/>
      <c r="Z115" s="524"/>
      <c r="AA115" s="524"/>
      <c r="AB115" s="524"/>
      <c r="AC115" s="524"/>
      <c r="AD115" s="524"/>
      <c r="AE115" s="524"/>
      <c r="AF115" s="524"/>
      <c r="AG115" s="524"/>
      <c r="AH115" s="704"/>
      <c r="AI115" s="704"/>
      <c r="AJ115" s="524"/>
      <c r="AK115" s="524"/>
      <c r="AL115" s="524"/>
      <c r="AM115" s="524"/>
      <c r="AN115" s="524"/>
      <c r="AO115" s="524"/>
      <c r="AP115" s="524"/>
      <c r="AQ115" s="524"/>
      <c r="AR115" s="524"/>
      <c r="AS115" s="524"/>
      <c r="AT115" s="704"/>
      <c r="AU115" s="524"/>
      <c r="AV115" s="524"/>
      <c r="AW115" s="524"/>
      <c r="AX115" s="524"/>
      <c r="AY115" s="524"/>
      <c r="AZ115" s="524"/>
      <c r="BA115" s="524"/>
    </row>
    <row r="116" spans="1:53">
      <c r="A116" s="532"/>
      <c r="B116" s="525"/>
      <c r="D116" s="526"/>
      <c r="E116" s="524"/>
      <c r="F116" s="524"/>
      <c r="G116" s="524"/>
      <c r="H116" s="524"/>
      <c r="I116" s="524"/>
      <c r="J116" s="526"/>
      <c r="K116" s="524"/>
      <c r="L116" s="524"/>
      <c r="M116" s="524"/>
      <c r="N116" s="524"/>
      <c r="O116" s="524"/>
      <c r="P116" s="524"/>
      <c r="Q116" s="524"/>
      <c r="R116" s="524"/>
      <c r="S116" s="524"/>
      <c r="T116" s="524"/>
      <c r="U116" s="524"/>
      <c r="V116" s="524"/>
      <c r="W116" s="524"/>
      <c r="X116" s="524"/>
      <c r="Y116" s="524"/>
      <c r="Z116" s="524"/>
      <c r="AA116" s="524"/>
      <c r="AB116" s="524"/>
      <c r="AC116" s="524"/>
      <c r="AD116" s="524"/>
      <c r="AE116" s="524"/>
      <c r="AF116" s="524"/>
      <c r="AG116" s="524"/>
      <c r="AH116" s="704"/>
      <c r="AI116" s="704"/>
      <c r="AJ116" s="524"/>
      <c r="AK116" s="524"/>
      <c r="AL116" s="524"/>
      <c r="AM116" s="524"/>
      <c r="AN116" s="524"/>
      <c r="AO116" s="524"/>
      <c r="AP116" s="524"/>
      <c r="AQ116" s="524"/>
      <c r="AR116" s="524"/>
      <c r="AS116" s="524"/>
      <c r="AT116" s="704"/>
      <c r="AU116" s="524"/>
      <c r="AV116" s="524"/>
      <c r="AW116" s="524"/>
      <c r="AX116" s="524"/>
      <c r="AY116" s="524"/>
      <c r="AZ116" s="524"/>
      <c r="BA116" s="524"/>
    </row>
    <row r="117" spans="1:53">
      <c r="A117" s="532"/>
      <c r="B117" s="525"/>
      <c r="D117" s="526"/>
      <c r="E117" s="524"/>
      <c r="F117" s="524"/>
      <c r="G117" s="524"/>
      <c r="H117" s="524"/>
      <c r="I117" s="524"/>
      <c r="J117" s="526"/>
      <c r="K117" s="524"/>
      <c r="L117" s="524"/>
      <c r="M117" s="524"/>
      <c r="N117" s="524"/>
      <c r="O117" s="524"/>
      <c r="P117" s="524"/>
      <c r="Q117" s="524"/>
      <c r="R117" s="524"/>
      <c r="S117" s="524"/>
      <c r="T117" s="524"/>
      <c r="U117" s="524"/>
      <c r="V117" s="524"/>
      <c r="W117" s="524"/>
      <c r="X117" s="524"/>
      <c r="Y117" s="524"/>
      <c r="Z117" s="524"/>
      <c r="AA117" s="524"/>
      <c r="AB117" s="524"/>
      <c r="AC117" s="524"/>
      <c r="AD117" s="524"/>
      <c r="AE117" s="524"/>
      <c r="AF117" s="524"/>
      <c r="AG117" s="524"/>
      <c r="AH117" s="704"/>
      <c r="AI117" s="704"/>
      <c r="AJ117" s="524"/>
      <c r="AK117" s="524"/>
      <c r="AL117" s="524"/>
      <c r="AM117" s="524"/>
      <c r="AN117" s="524"/>
      <c r="AO117" s="524"/>
      <c r="AP117" s="524"/>
      <c r="AQ117" s="524"/>
      <c r="AR117" s="524"/>
      <c r="AS117" s="524"/>
      <c r="AT117" s="704"/>
      <c r="AU117" s="524"/>
      <c r="AV117" s="524"/>
      <c r="AW117" s="524"/>
      <c r="AX117" s="524"/>
      <c r="AY117" s="524"/>
      <c r="AZ117" s="524"/>
      <c r="BA117" s="524"/>
    </row>
    <row r="118" spans="1:53">
      <c r="A118" s="532"/>
      <c r="B118" s="525"/>
      <c r="D118" s="526"/>
      <c r="E118" s="524"/>
      <c r="F118" s="524"/>
      <c r="G118" s="524"/>
      <c r="H118" s="524"/>
      <c r="I118" s="524"/>
      <c r="J118" s="526"/>
      <c r="K118" s="524"/>
      <c r="L118" s="524"/>
      <c r="M118" s="524"/>
      <c r="N118" s="524"/>
      <c r="O118" s="524"/>
      <c r="P118" s="524"/>
      <c r="Q118" s="524"/>
      <c r="R118" s="524"/>
      <c r="S118" s="524"/>
      <c r="T118" s="524"/>
      <c r="U118" s="524"/>
      <c r="V118" s="524"/>
      <c r="W118" s="524"/>
      <c r="X118" s="524"/>
      <c r="Y118" s="524"/>
      <c r="Z118" s="524"/>
      <c r="AA118" s="524"/>
      <c r="AB118" s="524"/>
      <c r="AC118" s="524"/>
      <c r="AD118" s="524"/>
      <c r="AE118" s="524"/>
      <c r="AF118" s="524"/>
      <c r="AG118" s="524"/>
      <c r="AH118" s="704"/>
      <c r="AI118" s="704"/>
      <c r="AJ118" s="524"/>
      <c r="AK118" s="524"/>
      <c r="AL118" s="524"/>
      <c r="AM118" s="524"/>
      <c r="AN118" s="524"/>
      <c r="AO118" s="524"/>
      <c r="AP118" s="524"/>
      <c r="AQ118" s="524"/>
      <c r="AR118" s="524"/>
      <c r="AS118" s="524"/>
      <c r="AT118" s="704"/>
      <c r="AU118" s="524"/>
      <c r="AV118" s="524"/>
      <c r="AW118" s="524"/>
      <c r="AX118" s="524"/>
      <c r="AY118" s="524"/>
      <c r="AZ118" s="524"/>
      <c r="BA118" s="524"/>
    </row>
    <row r="119" spans="1:53">
      <c r="A119" s="532"/>
      <c r="B119" s="525"/>
      <c r="D119" s="526"/>
      <c r="E119" s="524"/>
      <c r="F119" s="524"/>
      <c r="G119" s="524"/>
      <c r="H119" s="524"/>
      <c r="I119" s="524"/>
      <c r="J119" s="526"/>
      <c r="K119" s="524"/>
      <c r="L119" s="524"/>
      <c r="M119" s="524"/>
      <c r="N119" s="524"/>
      <c r="O119" s="524"/>
      <c r="P119" s="524"/>
      <c r="Q119" s="524"/>
      <c r="R119" s="524"/>
      <c r="S119" s="524"/>
      <c r="T119" s="524"/>
      <c r="U119" s="524"/>
      <c r="V119" s="524"/>
      <c r="W119" s="524"/>
      <c r="X119" s="524"/>
      <c r="Y119" s="524"/>
      <c r="Z119" s="524"/>
      <c r="AA119" s="524"/>
      <c r="AB119" s="524"/>
      <c r="AC119" s="524"/>
      <c r="AD119" s="524"/>
      <c r="AE119" s="524"/>
      <c r="AF119" s="524"/>
      <c r="AG119" s="524"/>
      <c r="AH119" s="704"/>
      <c r="AI119" s="704"/>
      <c r="AJ119" s="524"/>
      <c r="AK119" s="524"/>
      <c r="AL119" s="524"/>
      <c r="AM119" s="524"/>
      <c r="AN119" s="524"/>
      <c r="AO119" s="524"/>
      <c r="AP119" s="524"/>
      <c r="AQ119" s="524"/>
      <c r="AR119" s="524"/>
      <c r="AS119" s="524"/>
      <c r="AT119" s="704"/>
      <c r="AU119" s="524"/>
      <c r="AV119" s="524"/>
      <c r="AW119" s="524"/>
      <c r="AX119" s="524"/>
      <c r="AY119" s="524"/>
      <c r="AZ119" s="524"/>
      <c r="BA119" s="524"/>
    </row>
    <row r="120" spans="1:53">
      <c r="A120" s="532"/>
      <c r="B120" s="525"/>
      <c r="D120" s="526"/>
      <c r="E120" s="524"/>
      <c r="F120" s="524"/>
      <c r="G120" s="524"/>
      <c r="H120" s="524"/>
      <c r="I120" s="524"/>
      <c r="J120" s="526"/>
      <c r="K120" s="524"/>
      <c r="L120" s="524"/>
      <c r="M120" s="524"/>
      <c r="N120" s="524"/>
      <c r="O120" s="524"/>
      <c r="P120" s="524"/>
      <c r="Q120" s="524"/>
      <c r="R120" s="524"/>
      <c r="S120" s="524"/>
      <c r="T120" s="524"/>
      <c r="U120" s="524"/>
      <c r="V120" s="524"/>
      <c r="W120" s="524"/>
      <c r="X120" s="524"/>
      <c r="Y120" s="524"/>
      <c r="Z120" s="524"/>
      <c r="AA120" s="524"/>
      <c r="AB120" s="524"/>
      <c r="AC120" s="524"/>
      <c r="AD120" s="524"/>
      <c r="AE120" s="524"/>
      <c r="AF120" s="524"/>
      <c r="AG120" s="524"/>
      <c r="AH120" s="704"/>
      <c r="AI120" s="704"/>
      <c r="AJ120" s="524"/>
      <c r="AK120" s="524"/>
      <c r="AL120" s="524"/>
      <c r="AM120" s="524"/>
      <c r="AN120" s="524"/>
      <c r="AO120" s="524"/>
      <c r="AP120" s="524"/>
      <c r="AQ120" s="524"/>
      <c r="AR120" s="524"/>
      <c r="AS120" s="524"/>
      <c r="AT120" s="704"/>
      <c r="AU120" s="524"/>
      <c r="AV120" s="524"/>
      <c r="AW120" s="524"/>
      <c r="AX120" s="524"/>
      <c r="AY120" s="524"/>
      <c r="AZ120" s="524"/>
      <c r="BA120" s="524"/>
    </row>
    <row r="121" spans="1:53">
      <c r="A121" s="532"/>
      <c r="B121" s="525"/>
      <c r="D121" s="526"/>
      <c r="E121" s="524"/>
      <c r="F121" s="524"/>
      <c r="G121" s="524"/>
      <c r="H121" s="524"/>
      <c r="I121" s="524"/>
      <c r="J121" s="526"/>
      <c r="K121" s="524"/>
      <c r="L121" s="524"/>
      <c r="M121" s="524"/>
      <c r="N121" s="524"/>
      <c r="O121" s="524"/>
      <c r="P121" s="524"/>
      <c r="Q121" s="524"/>
      <c r="R121" s="524"/>
      <c r="S121" s="524"/>
      <c r="T121" s="524"/>
      <c r="U121" s="524"/>
      <c r="V121" s="524"/>
      <c r="W121" s="524"/>
      <c r="X121" s="524"/>
      <c r="Y121" s="524"/>
      <c r="Z121" s="524"/>
      <c r="AA121" s="524"/>
      <c r="AB121" s="524"/>
      <c r="AC121" s="524"/>
      <c r="AD121" s="524"/>
      <c r="AE121" s="524"/>
      <c r="AF121" s="524"/>
      <c r="AG121" s="524"/>
      <c r="AH121" s="704"/>
      <c r="AI121" s="704"/>
      <c r="AJ121" s="524"/>
      <c r="AK121" s="524"/>
      <c r="AL121" s="524"/>
      <c r="AM121" s="524"/>
      <c r="AN121" s="524"/>
      <c r="AO121" s="524"/>
      <c r="AP121" s="524"/>
      <c r="AQ121" s="524"/>
      <c r="AR121" s="524"/>
      <c r="AS121" s="524"/>
      <c r="AT121" s="704"/>
      <c r="AU121" s="524"/>
      <c r="AV121" s="524"/>
      <c r="AW121" s="524"/>
      <c r="AX121" s="524"/>
      <c r="AY121" s="524"/>
      <c r="AZ121" s="524"/>
      <c r="BA121" s="524"/>
    </row>
    <row r="122" spans="1:53">
      <c r="A122" s="532"/>
      <c r="B122" s="525"/>
      <c r="D122" s="526"/>
      <c r="E122" s="524"/>
      <c r="F122" s="524"/>
      <c r="G122" s="524"/>
      <c r="H122" s="524"/>
      <c r="I122" s="524"/>
      <c r="J122" s="526"/>
      <c r="K122" s="524"/>
      <c r="L122" s="524"/>
      <c r="M122" s="524"/>
      <c r="N122" s="524"/>
      <c r="O122" s="524"/>
      <c r="P122" s="524"/>
      <c r="Q122" s="524"/>
      <c r="R122" s="524"/>
      <c r="S122" s="524"/>
      <c r="T122" s="524"/>
      <c r="U122" s="524"/>
      <c r="V122" s="524"/>
      <c r="W122" s="524"/>
      <c r="X122" s="524"/>
      <c r="Y122" s="524"/>
      <c r="Z122" s="524"/>
      <c r="AA122" s="524"/>
      <c r="AB122" s="524"/>
      <c r="AC122" s="524"/>
      <c r="AD122" s="524"/>
      <c r="AE122" s="524"/>
      <c r="AF122" s="524"/>
      <c r="AG122" s="524"/>
      <c r="AH122" s="704"/>
      <c r="AI122" s="704"/>
      <c r="AJ122" s="524"/>
      <c r="AK122" s="524"/>
      <c r="AL122" s="524"/>
      <c r="AM122" s="524"/>
      <c r="AN122" s="524"/>
      <c r="AO122" s="524"/>
      <c r="AP122" s="524"/>
      <c r="AQ122" s="524"/>
      <c r="AR122" s="524"/>
      <c r="AS122" s="524"/>
      <c r="AT122" s="704"/>
      <c r="AU122" s="524"/>
      <c r="AV122" s="524"/>
      <c r="AW122" s="524"/>
      <c r="AX122" s="524"/>
      <c r="AY122" s="524"/>
      <c r="AZ122" s="524"/>
      <c r="BA122" s="524"/>
    </row>
    <row r="123" spans="1:53">
      <c r="A123" s="532"/>
      <c r="B123" s="525"/>
      <c r="D123" s="526"/>
      <c r="E123" s="524"/>
      <c r="F123" s="524"/>
      <c r="G123" s="524"/>
      <c r="H123" s="524"/>
      <c r="I123" s="524"/>
      <c r="J123" s="526"/>
      <c r="K123" s="524"/>
      <c r="L123" s="524"/>
      <c r="M123" s="524"/>
      <c r="N123" s="524"/>
      <c r="O123" s="524"/>
      <c r="P123" s="524"/>
      <c r="Q123" s="524"/>
      <c r="R123" s="524"/>
      <c r="S123" s="524"/>
      <c r="T123" s="524"/>
      <c r="U123" s="524"/>
      <c r="V123" s="524"/>
      <c r="W123" s="524"/>
      <c r="X123" s="524"/>
      <c r="Y123" s="524"/>
      <c r="Z123" s="524"/>
      <c r="AA123" s="524"/>
      <c r="AB123" s="524"/>
      <c r="AC123" s="524"/>
      <c r="AD123" s="524"/>
      <c r="AE123" s="524"/>
      <c r="AF123" s="524"/>
      <c r="AG123" s="524"/>
      <c r="AH123" s="704"/>
      <c r="AI123" s="704"/>
      <c r="AJ123" s="524"/>
      <c r="AK123" s="524"/>
      <c r="AL123" s="524"/>
      <c r="AM123" s="524"/>
      <c r="AN123" s="524"/>
      <c r="AO123" s="524"/>
      <c r="AP123" s="524"/>
      <c r="AQ123" s="524"/>
      <c r="AR123" s="524"/>
      <c r="AS123" s="524"/>
      <c r="AT123" s="704"/>
      <c r="AU123" s="524"/>
      <c r="AV123" s="524"/>
      <c r="AW123" s="524"/>
      <c r="AX123" s="524"/>
      <c r="AY123" s="524"/>
      <c r="AZ123" s="524"/>
      <c r="BA123" s="524"/>
    </row>
    <row r="124" spans="1:53">
      <c r="A124" s="532"/>
      <c r="B124" s="525"/>
      <c r="D124" s="526"/>
      <c r="E124" s="524"/>
      <c r="F124" s="524"/>
      <c r="G124" s="524"/>
      <c r="H124" s="524"/>
      <c r="I124" s="524"/>
      <c r="J124" s="526"/>
      <c r="K124" s="524"/>
      <c r="L124" s="524"/>
      <c r="M124" s="524"/>
      <c r="N124" s="524"/>
      <c r="O124" s="524"/>
      <c r="P124" s="524"/>
      <c r="Q124" s="524"/>
      <c r="R124" s="524"/>
      <c r="S124" s="524"/>
      <c r="T124" s="524"/>
      <c r="U124" s="524"/>
      <c r="V124" s="524"/>
      <c r="W124" s="524"/>
      <c r="X124" s="524"/>
      <c r="Y124" s="524"/>
      <c r="Z124" s="524"/>
      <c r="AA124" s="524"/>
      <c r="AB124" s="524"/>
      <c r="AC124" s="524"/>
      <c r="AD124" s="524"/>
      <c r="AE124" s="524"/>
      <c r="AF124" s="524"/>
      <c r="AG124" s="524"/>
      <c r="AH124" s="704"/>
      <c r="AI124" s="704"/>
      <c r="AJ124" s="524"/>
      <c r="AK124" s="524"/>
      <c r="AL124" s="524"/>
      <c r="AM124" s="524"/>
      <c r="AN124" s="524"/>
      <c r="AO124" s="524"/>
      <c r="AP124" s="524"/>
      <c r="AQ124" s="524"/>
      <c r="AR124" s="524"/>
      <c r="AS124" s="524"/>
      <c r="AT124" s="704"/>
      <c r="AU124" s="524"/>
      <c r="AV124" s="524"/>
      <c r="AW124" s="524"/>
      <c r="AX124" s="524"/>
      <c r="AY124" s="524"/>
      <c r="AZ124" s="524"/>
      <c r="BA124" s="524"/>
    </row>
    <row r="125" spans="1:53">
      <c r="A125" s="532"/>
      <c r="B125" s="525"/>
      <c r="D125" s="526"/>
      <c r="E125" s="524"/>
      <c r="F125" s="524"/>
      <c r="G125" s="524"/>
      <c r="H125" s="524"/>
      <c r="I125" s="524"/>
      <c r="J125" s="526"/>
      <c r="K125" s="524"/>
      <c r="L125" s="524"/>
      <c r="M125" s="524"/>
      <c r="N125" s="524"/>
      <c r="O125" s="524"/>
      <c r="P125" s="524"/>
      <c r="Q125" s="524"/>
      <c r="R125" s="524"/>
      <c r="S125" s="524"/>
      <c r="T125" s="524"/>
      <c r="U125" s="524"/>
      <c r="V125" s="524"/>
      <c r="W125" s="524"/>
      <c r="X125" s="524"/>
      <c r="Y125" s="524"/>
      <c r="Z125" s="524"/>
      <c r="AA125" s="524"/>
      <c r="AB125" s="524"/>
      <c r="AC125" s="524"/>
      <c r="AD125" s="524"/>
      <c r="AE125" s="524"/>
      <c r="AF125" s="524"/>
      <c r="AG125" s="524"/>
      <c r="AH125" s="704"/>
      <c r="AI125" s="704"/>
      <c r="AJ125" s="524"/>
      <c r="AK125" s="524"/>
      <c r="AL125" s="524"/>
      <c r="AM125" s="524"/>
      <c r="AN125" s="524"/>
      <c r="AO125" s="524"/>
      <c r="AP125" s="524"/>
      <c r="AQ125" s="524"/>
      <c r="AR125" s="524"/>
      <c r="AS125" s="524"/>
      <c r="AT125" s="704"/>
      <c r="AU125" s="524"/>
      <c r="AV125" s="524"/>
      <c r="AW125" s="524"/>
      <c r="AX125" s="524"/>
      <c r="AY125" s="524"/>
      <c r="AZ125" s="524"/>
      <c r="BA125" s="524"/>
    </row>
    <row r="126" spans="1:53">
      <c r="A126" s="532"/>
      <c r="B126" s="525"/>
      <c r="D126" s="526"/>
      <c r="E126" s="524"/>
      <c r="F126" s="524"/>
      <c r="G126" s="524"/>
      <c r="H126" s="524"/>
      <c r="I126" s="524"/>
      <c r="J126" s="526"/>
      <c r="K126" s="524"/>
      <c r="L126" s="524"/>
      <c r="M126" s="524"/>
      <c r="N126" s="524"/>
      <c r="O126" s="524"/>
      <c r="P126" s="524"/>
      <c r="Q126" s="524"/>
      <c r="R126" s="524"/>
      <c r="S126" s="524"/>
      <c r="T126" s="524"/>
      <c r="U126" s="524"/>
      <c r="V126" s="524"/>
      <c r="W126" s="524"/>
      <c r="X126" s="524"/>
      <c r="Y126" s="524"/>
      <c r="Z126" s="524"/>
      <c r="AA126" s="524"/>
      <c r="AB126" s="524"/>
      <c r="AC126" s="524"/>
      <c r="AD126" s="524"/>
      <c r="AE126" s="524"/>
      <c r="AF126" s="524"/>
      <c r="AG126" s="524"/>
      <c r="AH126" s="704"/>
      <c r="AI126" s="704"/>
      <c r="AJ126" s="524"/>
      <c r="AK126" s="524"/>
      <c r="AL126" s="524"/>
      <c r="AM126" s="524"/>
      <c r="AN126" s="524"/>
      <c r="AO126" s="524"/>
      <c r="AP126" s="524"/>
      <c r="AQ126" s="524"/>
      <c r="AR126" s="524"/>
      <c r="AS126" s="524"/>
      <c r="AT126" s="704"/>
      <c r="AU126" s="524"/>
      <c r="AV126" s="524"/>
      <c r="AW126" s="524"/>
      <c r="AX126" s="524"/>
      <c r="AY126" s="524"/>
      <c r="AZ126" s="524"/>
      <c r="BA126" s="524"/>
    </row>
    <row r="127" spans="1:53">
      <c r="A127" s="532"/>
      <c r="B127" s="525"/>
      <c r="D127" s="526"/>
      <c r="E127" s="524"/>
      <c r="F127" s="524"/>
      <c r="G127" s="524"/>
      <c r="H127" s="524"/>
      <c r="I127" s="524"/>
      <c r="J127" s="526"/>
      <c r="K127" s="524"/>
      <c r="L127" s="524"/>
      <c r="M127" s="524"/>
      <c r="N127" s="524"/>
      <c r="O127" s="524"/>
      <c r="P127" s="524"/>
      <c r="Q127" s="524"/>
      <c r="R127" s="524"/>
      <c r="S127" s="524"/>
      <c r="T127" s="524"/>
      <c r="U127" s="524"/>
      <c r="V127" s="524"/>
      <c r="W127" s="524"/>
      <c r="X127" s="524"/>
      <c r="Y127" s="524"/>
      <c r="Z127" s="524"/>
      <c r="AA127" s="524"/>
      <c r="AB127" s="524"/>
      <c r="AC127" s="524"/>
      <c r="AD127" s="524"/>
      <c r="AE127" s="524"/>
      <c r="AF127" s="524"/>
      <c r="AG127" s="524"/>
      <c r="AH127" s="704"/>
      <c r="AI127" s="704"/>
      <c r="AJ127" s="524"/>
      <c r="AK127" s="524"/>
      <c r="AL127" s="524"/>
      <c r="AM127" s="524"/>
      <c r="AN127" s="524"/>
      <c r="AO127" s="524"/>
      <c r="AP127" s="524"/>
      <c r="AQ127" s="524"/>
      <c r="AR127" s="524"/>
      <c r="AS127" s="524"/>
      <c r="AT127" s="704"/>
      <c r="AU127" s="524"/>
      <c r="AV127" s="524"/>
      <c r="AW127" s="524"/>
      <c r="AX127" s="524"/>
      <c r="AY127" s="524"/>
      <c r="AZ127" s="524"/>
      <c r="BA127" s="524"/>
    </row>
    <row r="128" spans="1:53">
      <c r="A128" s="532"/>
      <c r="B128" s="525"/>
      <c r="D128" s="526"/>
      <c r="E128" s="524"/>
      <c r="F128" s="524"/>
      <c r="G128" s="524"/>
      <c r="H128" s="524"/>
      <c r="I128" s="524"/>
      <c r="J128" s="526"/>
      <c r="K128" s="524"/>
      <c r="L128" s="524"/>
      <c r="M128" s="524"/>
      <c r="N128" s="524"/>
      <c r="O128" s="524"/>
      <c r="P128" s="524"/>
      <c r="Q128" s="524"/>
      <c r="R128" s="524"/>
      <c r="S128" s="524"/>
      <c r="T128" s="524"/>
      <c r="U128" s="524"/>
      <c r="V128" s="524"/>
      <c r="W128" s="524"/>
      <c r="X128" s="524"/>
      <c r="Y128" s="524"/>
      <c r="Z128" s="524"/>
      <c r="AA128" s="524"/>
      <c r="AB128" s="524"/>
      <c r="AC128" s="524"/>
      <c r="AD128" s="524"/>
      <c r="AE128" s="524"/>
      <c r="AF128" s="524"/>
      <c r="AG128" s="524"/>
      <c r="AH128" s="704"/>
      <c r="AI128" s="704"/>
      <c r="AJ128" s="524"/>
      <c r="AK128" s="524"/>
      <c r="AL128" s="524"/>
      <c r="AM128" s="524"/>
      <c r="AN128" s="524"/>
      <c r="AO128" s="524"/>
      <c r="AP128" s="524"/>
      <c r="AQ128" s="524"/>
      <c r="AR128" s="524"/>
      <c r="AS128" s="524"/>
      <c r="AT128" s="704"/>
      <c r="AU128" s="524"/>
      <c r="AV128" s="524"/>
      <c r="AW128" s="524"/>
      <c r="AX128" s="524"/>
      <c r="AY128" s="524"/>
      <c r="AZ128" s="524"/>
      <c r="BA128" s="524"/>
    </row>
    <row r="129" spans="1:53">
      <c r="A129" s="532"/>
      <c r="B129" s="525"/>
      <c r="D129" s="526"/>
      <c r="E129" s="524"/>
      <c r="F129" s="524"/>
      <c r="G129" s="524"/>
      <c r="H129" s="524"/>
      <c r="I129" s="524"/>
      <c r="J129" s="526"/>
      <c r="K129" s="524"/>
      <c r="L129" s="524"/>
      <c r="M129" s="524"/>
      <c r="N129" s="524"/>
      <c r="O129" s="524"/>
      <c r="P129" s="524"/>
      <c r="Q129" s="524"/>
      <c r="R129" s="524"/>
      <c r="S129" s="524"/>
      <c r="T129" s="524"/>
      <c r="U129" s="524"/>
      <c r="V129" s="524"/>
      <c r="W129" s="524"/>
      <c r="X129" s="524"/>
      <c r="Y129" s="524"/>
      <c r="Z129" s="524"/>
      <c r="AA129" s="524"/>
      <c r="AB129" s="524"/>
      <c r="AC129" s="524"/>
      <c r="AD129" s="524"/>
      <c r="AE129" s="524"/>
      <c r="AF129" s="524"/>
      <c r="AG129" s="524"/>
      <c r="AH129" s="704"/>
      <c r="AI129" s="704"/>
      <c r="AJ129" s="524"/>
      <c r="AK129" s="524"/>
      <c r="AL129" s="524"/>
      <c r="AM129" s="524"/>
      <c r="AN129" s="524"/>
      <c r="AO129" s="524"/>
      <c r="AP129" s="524"/>
      <c r="AQ129" s="524"/>
      <c r="AR129" s="524"/>
      <c r="AS129" s="524"/>
      <c r="AT129" s="704"/>
      <c r="AU129" s="524"/>
      <c r="AV129" s="524"/>
      <c r="AW129" s="524"/>
      <c r="AX129" s="524"/>
      <c r="AY129" s="524"/>
      <c r="AZ129" s="524"/>
      <c r="BA129" s="524"/>
    </row>
    <row r="130" spans="1:53">
      <c r="A130" s="532"/>
      <c r="B130" s="525"/>
      <c r="D130" s="526"/>
      <c r="E130" s="524"/>
      <c r="F130" s="524"/>
      <c r="G130" s="524"/>
      <c r="H130" s="524"/>
      <c r="I130" s="524"/>
      <c r="J130" s="526"/>
      <c r="K130" s="524"/>
      <c r="L130" s="524"/>
      <c r="M130" s="524"/>
      <c r="N130" s="524"/>
      <c r="O130" s="524"/>
      <c r="P130" s="524"/>
      <c r="Q130" s="524"/>
      <c r="R130" s="524"/>
      <c r="S130" s="524"/>
      <c r="T130" s="524"/>
      <c r="U130" s="524"/>
      <c r="V130" s="524"/>
      <c r="W130" s="524"/>
      <c r="X130" s="524"/>
      <c r="Y130" s="524"/>
      <c r="Z130" s="524"/>
      <c r="AA130" s="524"/>
      <c r="AB130" s="524"/>
      <c r="AC130" s="524"/>
      <c r="AD130" s="524"/>
      <c r="AE130" s="524"/>
      <c r="AF130" s="524"/>
      <c r="AG130" s="524"/>
      <c r="AH130" s="704"/>
      <c r="AI130" s="704"/>
      <c r="AJ130" s="524"/>
      <c r="AK130" s="524"/>
      <c r="AL130" s="524"/>
      <c r="AM130" s="524"/>
      <c r="AN130" s="524"/>
      <c r="AO130" s="524"/>
      <c r="AP130" s="524"/>
      <c r="AQ130" s="524"/>
      <c r="AR130" s="524"/>
      <c r="AS130" s="524"/>
      <c r="AT130" s="704"/>
      <c r="AU130" s="524"/>
      <c r="AV130" s="524"/>
      <c r="AW130" s="524"/>
      <c r="AX130" s="524"/>
      <c r="AY130" s="524"/>
      <c r="AZ130" s="524"/>
      <c r="BA130" s="524"/>
    </row>
    <row r="131" spans="1:53">
      <c r="A131" s="532"/>
      <c r="B131" s="525"/>
      <c r="D131" s="526"/>
      <c r="E131" s="524"/>
      <c r="F131" s="524"/>
      <c r="G131" s="524"/>
      <c r="H131" s="524"/>
      <c r="I131" s="524"/>
      <c r="J131" s="526"/>
      <c r="K131" s="524"/>
      <c r="L131" s="524"/>
      <c r="M131" s="524"/>
      <c r="N131" s="524"/>
      <c r="O131" s="524"/>
      <c r="P131" s="524"/>
      <c r="Q131" s="524"/>
      <c r="R131" s="524"/>
      <c r="S131" s="524"/>
      <c r="T131" s="524"/>
      <c r="U131" s="524"/>
      <c r="V131" s="524"/>
      <c r="W131" s="524"/>
      <c r="X131" s="524"/>
      <c r="Y131" s="524"/>
      <c r="Z131" s="524"/>
      <c r="AA131" s="524"/>
      <c r="AB131" s="524"/>
      <c r="AC131" s="524"/>
      <c r="AD131" s="524"/>
      <c r="AE131" s="524"/>
      <c r="AF131" s="524"/>
      <c r="AG131" s="524"/>
      <c r="AH131" s="704"/>
      <c r="AI131" s="704"/>
      <c r="AJ131" s="524"/>
      <c r="AK131" s="524"/>
      <c r="AL131" s="524"/>
      <c r="AM131" s="524"/>
      <c r="AN131" s="524"/>
      <c r="AO131" s="524"/>
      <c r="AP131" s="524"/>
      <c r="AQ131" s="524"/>
      <c r="AR131" s="524"/>
      <c r="AS131" s="524"/>
      <c r="AT131" s="704"/>
      <c r="AU131" s="524"/>
      <c r="AV131" s="524"/>
      <c r="AW131" s="524"/>
      <c r="AX131" s="524"/>
      <c r="AY131" s="524"/>
      <c r="AZ131" s="524"/>
      <c r="BA131" s="524"/>
    </row>
    <row r="132" spans="1:53">
      <c r="A132" s="532"/>
      <c r="B132" s="525"/>
      <c r="D132" s="526"/>
      <c r="E132" s="524"/>
      <c r="F132" s="524"/>
      <c r="G132" s="524"/>
      <c r="H132" s="524"/>
      <c r="I132" s="524"/>
      <c r="J132" s="526"/>
      <c r="K132" s="524"/>
      <c r="L132" s="524"/>
      <c r="M132" s="524"/>
      <c r="N132" s="524"/>
      <c r="O132" s="524"/>
      <c r="P132" s="524"/>
      <c r="Q132" s="524"/>
      <c r="R132" s="524"/>
      <c r="S132" s="524"/>
      <c r="T132" s="524"/>
      <c r="U132" s="524"/>
      <c r="V132" s="524"/>
      <c r="W132" s="524"/>
      <c r="X132" s="524"/>
      <c r="Y132" s="524"/>
      <c r="Z132" s="524"/>
      <c r="AA132" s="524"/>
      <c r="AB132" s="524"/>
      <c r="AC132" s="524"/>
      <c r="AD132" s="524"/>
      <c r="AE132" s="524"/>
      <c r="AF132" s="524"/>
      <c r="AG132" s="524"/>
      <c r="AH132" s="704"/>
      <c r="AI132" s="704"/>
      <c r="AJ132" s="524"/>
      <c r="AK132" s="524"/>
      <c r="AL132" s="524"/>
      <c r="AM132" s="524"/>
      <c r="AN132" s="524"/>
      <c r="AO132" s="524"/>
      <c r="AP132" s="524"/>
      <c r="AQ132" s="524"/>
      <c r="AR132" s="524"/>
      <c r="AS132" s="524"/>
      <c r="AT132" s="704"/>
      <c r="AU132" s="524"/>
      <c r="AV132" s="524"/>
      <c r="AW132" s="524"/>
      <c r="AX132" s="524"/>
      <c r="AY132" s="524"/>
      <c r="AZ132" s="524"/>
      <c r="BA132" s="524"/>
    </row>
    <row r="133" spans="1:53">
      <c r="A133" s="532"/>
      <c r="B133" s="525"/>
      <c r="D133" s="526"/>
      <c r="E133" s="524"/>
      <c r="F133" s="524"/>
      <c r="G133" s="524"/>
      <c r="H133" s="524"/>
      <c r="I133" s="524"/>
      <c r="J133" s="526"/>
      <c r="K133" s="524"/>
      <c r="L133" s="524"/>
      <c r="M133" s="524"/>
      <c r="N133" s="524"/>
      <c r="O133" s="524"/>
      <c r="P133" s="524"/>
      <c r="Q133" s="524"/>
      <c r="R133" s="524"/>
      <c r="S133" s="524"/>
      <c r="T133" s="524"/>
      <c r="U133" s="524"/>
      <c r="V133" s="524"/>
      <c r="W133" s="524"/>
      <c r="X133" s="524"/>
      <c r="Y133" s="524"/>
      <c r="Z133" s="524"/>
      <c r="AA133" s="524"/>
      <c r="AB133" s="524"/>
      <c r="AC133" s="524"/>
      <c r="AD133" s="524"/>
      <c r="AE133" s="524"/>
      <c r="AF133" s="524"/>
      <c r="AG133" s="524"/>
      <c r="AH133" s="704"/>
      <c r="AI133" s="704"/>
      <c r="AJ133" s="524"/>
      <c r="AK133" s="524"/>
      <c r="AL133" s="524"/>
      <c r="AM133" s="524"/>
      <c r="AN133" s="524"/>
      <c r="AO133" s="524"/>
      <c r="AP133" s="524"/>
      <c r="AQ133" s="524"/>
      <c r="AR133" s="524"/>
      <c r="AS133" s="524"/>
      <c r="AT133" s="704"/>
      <c r="AU133" s="524"/>
      <c r="AV133" s="524"/>
      <c r="AW133" s="524"/>
      <c r="AX133" s="524"/>
      <c r="AY133" s="524"/>
      <c r="AZ133" s="524"/>
      <c r="BA133" s="524"/>
    </row>
    <row r="134" spans="1:53">
      <c r="A134" s="532"/>
      <c r="B134" s="525"/>
      <c r="D134" s="526"/>
      <c r="E134" s="524"/>
      <c r="F134" s="524"/>
      <c r="G134" s="524"/>
      <c r="H134" s="524"/>
      <c r="I134" s="524"/>
      <c r="J134" s="526"/>
      <c r="K134" s="524"/>
      <c r="L134" s="524"/>
      <c r="M134" s="524"/>
      <c r="N134" s="524"/>
      <c r="O134" s="524"/>
      <c r="P134" s="524"/>
      <c r="Q134" s="524"/>
      <c r="R134" s="524"/>
      <c r="S134" s="524"/>
      <c r="T134" s="524"/>
      <c r="U134" s="524"/>
      <c r="V134" s="524"/>
      <c r="W134" s="524"/>
      <c r="X134" s="524"/>
      <c r="Y134" s="524"/>
      <c r="Z134" s="524"/>
      <c r="AA134" s="524"/>
      <c r="AB134" s="524"/>
      <c r="AC134" s="524"/>
      <c r="AD134" s="524"/>
      <c r="AE134" s="524"/>
      <c r="AF134" s="524"/>
      <c r="AG134" s="524"/>
      <c r="AH134" s="704"/>
      <c r="AI134" s="704"/>
      <c r="AJ134" s="524"/>
      <c r="AK134" s="524"/>
      <c r="AL134" s="524"/>
      <c r="AM134" s="524"/>
      <c r="AN134" s="524"/>
      <c r="AO134" s="524"/>
      <c r="AP134" s="524"/>
      <c r="AQ134" s="524"/>
      <c r="AR134" s="524"/>
      <c r="AS134" s="524"/>
      <c r="AT134" s="704"/>
      <c r="AU134" s="524"/>
      <c r="AV134" s="524"/>
      <c r="AW134" s="524"/>
      <c r="AX134" s="524"/>
      <c r="AY134" s="524"/>
      <c r="AZ134" s="524"/>
      <c r="BA134" s="524"/>
    </row>
    <row r="135" spans="1:53">
      <c r="A135" s="532"/>
      <c r="B135" s="525"/>
      <c r="D135" s="526"/>
      <c r="E135" s="524"/>
      <c r="F135" s="524"/>
      <c r="G135" s="524"/>
      <c r="H135" s="524"/>
      <c r="I135" s="524"/>
      <c r="J135" s="526"/>
      <c r="K135" s="524"/>
      <c r="L135" s="524"/>
      <c r="M135" s="524"/>
      <c r="N135" s="524"/>
      <c r="O135" s="524"/>
      <c r="P135" s="524"/>
      <c r="Q135" s="524"/>
      <c r="R135" s="524"/>
      <c r="S135" s="524"/>
      <c r="T135" s="524"/>
      <c r="U135" s="524"/>
      <c r="V135" s="524"/>
      <c r="W135" s="524"/>
      <c r="X135" s="524"/>
      <c r="Y135" s="524"/>
      <c r="Z135" s="524"/>
      <c r="AA135" s="524"/>
      <c r="AB135" s="524"/>
      <c r="AC135" s="524"/>
      <c r="AD135" s="524"/>
      <c r="AE135" s="524"/>
      <c r="AF135" s="524"/>
      <c r="AG135" s="524"/>
      <c r="AH135" s="704"/>
      <c r="AI135" s="704"/>
      <c r="AJ135" s="524"/>
      <c r="AK135" s="524"/>
      <c r="AL135" s="524"/>
      <c r="AM135" s="524"/>
      <c r="AN135" s="524"/>
      <c r="AO135" s="524"/>
      <c r="AP135" s="524"/>
      <c r="AQ135" s="524"/>
      <c r="AR135" s="524"/>
      <c r="AS135" s="524"/>
      <c r="AT135" s="704"/>
      <c r="AU135" s="524"/>
      <c r="AV135" s="524"/>
      <c r="AW135" s="524"/>
      <c r="AX135" s="524"/>
      <c r="AY135" s="524"/>
      <c r="AZ135" s="524"/>
      <c r="BA135" s="524"/>
    </row>
    <row r="136" spans="1:53">
      <c r="A136" s="532"/>
      <c r="B136" s="525"/>
      <c r="D136" s="526"/>
      <c r="E136" s="524"/>
      <c r="F136" s="524"/>
      <c r="G136" s="524"/>
      <c r="H136" s="524"/>
      <c r="I136" s="524"/>
      <c r="J136" s="526"/>
      <c r="K136" s="524"/>
      <c r="L136" s="524"/>
      <c r="M136" s="524"/>
      <c r="N136" s="524"/>
      <c r="O136" s="524"/>
      <c r="P136" s="524"/>
      <c r="Q136" s="524"/>
      <c r="R136" s="524"/>
      <c r="S136" s="524"/>
      <c r="T136" s="524"/>
      <c r="U136" s="524"/>
      <c r="V136" s="524"/>
      <c r="W136" s="524"/>
      <c r="X136" s="524"/>
      <c r="Y136" s="524"/>
      <c r="Z136" s="524"/>
      <c r="AA136" s="524"/>
      <c r="AB136" s="524"/>
      <c r="AC136" s="524"/>
      <c r="AD136" s="524"/>
      <c r="AE136" s="524"/>
      <c r="AF136" s="524"/>
      <c r="AG136" s="524"/>
      <c r="AH136" s="704"/>
      <c r="AI136" s="704"/>
      <c r="AJ136" s="524"/>
      <c r="AK136" s="524"/>
      <c r="AL136" s="524"/>
      <c r="AM136" s="524"/>
      <c r="AN136" s="524"/>
      <c r="AO136" s="524"/>
      <c r="AP136" s="524"/>
      <c r="AQ136" s="524"/>
      <c r="AR136" s="524"/>
      <c r="AS136" s="524"/>
      <c r="AT136" s="704"/>
      <c r="AU136" s="524"/>
      <c r="AV136" s="524"/>
      <c r="AW136" s="524"/>
      <c r="AX136" s="524"/>
      <c r="AY136" s="524"/>
      <c r="AZ136" s="524"/>
      <c r="BA136" s="524"/>
    </row>
    <row r="137" spans="1:53">
      <c r="A137" s="532"/>
      <c r="B137" s="525"/>
      <c r="D137" s="526"/>
      <c r="E137" s="524"/>
      <c r="F137" s="524"/>
      <c r="G137" s="524"/>
      <c r="H137" s="524"/>
      <c r="I137" s="524"/>
      <c r="J137" s="526"/>
      <c r="K137" s="524"/>
      <c r="L137" s="524"/>
      <c r="M137" s="524"/>
      <c r="N137" s="524"/>
      <c r="O137" s="524"/>
      <c r="P137" s="524"/>
      <c r="Q137" s="524"/>
      <c r="R137" s="524"/>
      <c r="S137" s="524"/>
      <c r="T137" s="524"/>
      <c r="U137" s="524"/>
      <c r="V137" s="524"/>
      <c r="W137" s="524"/>
      <c r="X137" s="524"/>
      <c r="Y137" s="524"/>
      <c r="Z137" s="524"/>
      <c r="AA137" s="524"/>
      <c r="AB137" s="524"/>
      <c r="AC137" s="524"/>
      <c r="AD137" s="524"/>
      <c r="AE137" s="524"/>
      <c r="AF137" s="524"/>
      <c r="AG137" s="524"/>
      <c r="AH137" s="704"/>
      <c r="AI137" s="704"/>
      <c r="AJ137" s="524"/>
      <c r="AK137" s="524"/>
      <c r="AL137" s="524"/>
      <c r="AM137" s="524"/>
      <c r="AN137" s="524"/>
      <c r="AO137" s="524"/>
      <c r="AP137" s="524"/>
      <c r="AQ137" s="524"/>
      <c r="AR137" s="524"/>
      <c r="AS137" s="524"/>
      <c r="AT137" s="704"/>
      <c r="AU137" s="524"/>
      <c r="AV137" s="524"/>
      <c r="AW137" s="524"/>
      <c r="AX137" s="524"/>
      <c r="AY137" s="524"/>
      <c r="AZ137" s="524"/>
      <c r="BA137" s="524"/>
    </row>
    <row r="138" spans="1:53">
      <c r="A138" s="532"/>
      <c r="B138" s="525"/>
      <c r="D138" s="526"/>
      <c r="E138" s="524"/>
      <c r="F138" s="524"/>
      <c r="G138" s="524"/>
      <c r="H138" s="524"/>
      <c r="I138" s="524"/>
      <c r="J138" s="526"/>
      <c r="K138" s="524"/>
      <c r="L138" s="524"/>
      <c r="M138" s="524"/>
      <c r="N138" s="524"/>
      <c r="O138" s="524"/>
      <c r="P138" s="524"/>
      <c r="Q138" s="524"/>
      <c r="R138" s="524"/>
      <c r="S138" s="524"/>
      <c r="T138" s="524"/>
      <c r="U138" s="524"/>
      <c r="V138" s="524"/>
      <c r="W138" s="524"/>
      <c r="X138" s="524"/>
      <c r="Y138" s="524"/>
      <c r="Z138" s="524"/>
      <c r="AA138" s="524"/>
      <c r="AB138" s="524"/>
      <c r="AC138" s="524"/>
      <c r="AD138" s="524"/>
      <c r="AE138" s="524"/>
      <c r="AF138" s="524"/>
      <c r="AG138" s="524"/>
      <c r="AH138" s="704"/>
      <c r="AI138" s="704"/>
      <c r="AJ138" s="524"/>
      <c r="AK138" s="524"/>
      <c r="AL138" s="524"/>
      <c r="AM138" s="524"/>
      <c r="AN138" s="524"/>
      <c r="AO138" s="524"/>
      <c r="AP138" s="524"/>
      <c r="AQ138" s="524"/>
      <c r="AR138" s="524"/>
      <c r="AS138" s="524"/>
      <c r="AT138" s="704"/>
      <c r="AU138" s="524"/>
      <c r="AV138" s="524"/>
      <c r="AW138" s="524"/>
      <c r="AX138" s="524"/>
      <c r="AY138" s="524"/>
      <c r="AZ138" s="524"/>
      <c r="BA138" s="524"/>
    </row>
    <row r="139" spans="1:53">
      <c r="A139" s="532"/>
      <c r="B139" s="525"/>
      <c r="D139" s="526"/>
      <c r="E139" s="524"/>
      <c r="F139" s="524"/>
      <c r="G139" s="524"/>
      <c r="H139" s="524"/>
      <c r="I139" s="524"/>
      <c r="J139" s="526"/>
      <c r="K139" s="524"/>
      <c r="L139" s="524"/>
      <c r="M139" s="524"/>
      <c r="N139" s="524"/>
      <c r="O139" s="524"/>
      <c r="P139" s="524"/>
      <c r="Q139" s="524"/>
      <c r="R139" s="524"/>
      <c r="S139" s="524"/>
      <c r="T139" s="524"/>
      <c r="U139" s="524"/>
      <c r="V139" s="524"/>
      <c r="W139" s="524"/>
      <c r="X139" s="524"/>
      <c r="Y139" s="524"/>
      <c r="Z139" s="524"/>
      <c r="AA139" s="524"/>
      <c r="AB139" s="524"/>
      <c r="AC139" s="524"/>
      <c r="AD139" s="524"/>
      <c r="AE139" s="524"/>
      <c r="AF139" s="524"/>
      <c r="AG139" s="524"/>
      <c r="AH139" s="704"/>
      <c r="AI139" s="704"/>
      <c r="AJ139" s="524"/>
      <c r="AK139" s="524"/>
      <c r="AL139" s="524"/>
      <c r="AM139" s="524"/>
      <c r="AN139" s="524"/>
      <c r="AO139" s="524"/>
      <c r="AP139" s="524"/>
      <c r="AQ139" s="524"/>
      <c r="AR139" s="524"/>
      <c r="AS139" s="524"/>
      <c r="AT139" s="704"/>
      <c r="AU139" s="524"/>
      <c r="AV139" s="524"/>
      <c r="AW139" s="524"/>
      <c r="AX139" s="524"/>
      <c r="AY139" s="524"/>
      <c r="AZ139" s="524"/>
      <c r="BA139" s="524"/>
    </row>
    <row r="140" spans="1:53">
      <c r="A140" s="532"/>
      <c r="B140" s="525"/>
      <c r="D140" s="526"/>
      <c r="E140" s="524"/>
      <c r="F140" s="524"/>
      <c r="G140" s="524"/>
      <c r="H140" s="524"/>
      <c r="I140" s="524"/>
      <c r="J140" s="526"/>
      <c r="K140" s="524"/>
      <c r="L140" s="524"/>
      <c r="M140" s="524"/>
      <c r="N140" s="524"/>
      <c r="O140" s="524"/>
      <c r="P140" s="524"/>
      <c r="Q140" s="524"/>
      <c r="R140" s="524"/>
      <c r="S140" s="524"/>
      <c r="T140" s="524"/>
      <c r="U140" s="524"/>
      <c r="V140" s="524"/>
      <c r="W140" s="524"/>
      <c r="X140" s="524"/>
      <c r="Y140" s="524"/>
      <c r="Z140" s="524"/>
      <c r="AA140" s="524"/>
      <c r="AB140" s="524"/>
      <c r="AC140" s="524"/>
      <c r="AD140" s="524"/>
      <c r="AE140" s="524"/>
      <c r="AF140" s="524"/>
      <c r="AG140" s="524"/>
      <c r="AH140" s="704"/>
      <c r="AI140" s="704"/>
      <c r="AJ140" s="524"/>
      <c r="AK140" s="524"/>
      <c r="AL140" s="524"/>
      <c r="AM140" s="524"/>
      <c r="AN140" s="524"/>
      <c r="AO140" s="524"/>
      <c r="AP140" s="524"/>
      <c r="AQ140" s="524"/>
      <c r="AR140" s="524"/>
      <c r="AS140" s="524"/>
      <c r="AT140" s="704"/>
      <c r="AU140" s="524"/>
      <c r="AV140" s="524"/>
      <c r="AW140" s="524"/>
      <c r="AX140" s="524"/>
      <c r="AY140" s="524"/>
      <c r="AZ140" s="524"/>
      <c r="BA140" s="524"/>
    </row>
    <row r="141" spans="1:53">
      <c r="A141" s="532"/>
      <c r="B141" s="525"/>
      <c r="D141" s="526"/>
      <c r="E141" s="524"/>
      <c r="F141" s="524"/>
      <c r="G141" s="524"/>
      <c r="H141" s="524"/>
      <c r="I141" s="524"/>
      <c r="J141" s="526"/>
      <c r="K141" s="524"/>
      <c r="L141" s="524"/>
      <c r="M141" s="524"/>
      <c r="N141" s="524"/>
      <c r="O141" s="524"/>
      <c r="P141" s="524"/>
      <c r="Q141" s="524"/>
      <c r="R141" s="524"/>
      <c r="S141" s="524"/>
      <c r="T141" s="524"/>
      <c r="U141" s="524"/>
      <c r="V141" s="524"/>
      <c r="W141" s="524"/>
      <c r="X141" s="524"/>
      <c r="Y141" s="524"/>
      <c r="Z141" s="524"/>
      <c r="AA141" s="524"/>
      <c r="AB141" s="524"/>
      <c r="AC141" s="524"/>
      <c r="AD141" s="524"/>
      <c r="AE141" s="524"/>
      <c r="AF141" s="524"/>
      <c r="AG141" s="524"/>
      <c r="AH141" s="704"/>
      <c r="AI141" s="704"/>
      <c r="AJ141" s="524"/>
      <c r="AK141" s="524"/>
      <c r="AL141" s="524"/>
      <c r="AM141" s="524"/>
      <c r="AN141" s="524"/>
      <c r="AO141" s="524"/>
      <c r="AP141" s="524"/>
      <c r="AQ141" s="524"/>
      <c r="AR141" s="524"/>
      <c r="AS141" s="524"/>
      <c r="AT141" s="704"/>
      <c r="AU141" s="524"/>
      <c r="AV141" s="524"/>
      <c r="AW141" s="524"/>
      <c r="AX141" s="524"/>
      <c r="AY141" s="524"/>
      <c r="AZ141" s="524"/>
      <c r="BA141" s="524"/>
    </row>
    <row r="142" spans="1:53">
      <c r="A142" s="532"/>
      <c r="B142" s="525"/>
      <c r="D142" s="526"/>
      <c r="E142" s="524"/>
      <c r="F142" s="524"/>
      <c r="G142" s="524"/>
      <c r="H142" s="524"/>
      <c r="I142" s="524"/>
      <c r="J142" s="526"/>
      <c r="K142" s="524"/>
      <c r="L142" s="524"/>
      <c r="M142" s="524"/>
      <c r="N142" s="524"/>
      <c r="O142" s="524"/>
      <c r="P142" s="524"/>
      <c r="Q142" s="524"/>
      <c r="R142" s="524"/>
      <c r="S142" s="524"/>
      <c r="T142" s="524"/>
      <c r="U142" s="524"/>
      <c r="V142" s="524"/>
      <c r="W142" s="524"/>
      <c r="X142" s="524"/>
      <c r="Y142" s="524"/>
      <c r="Z142" s="524"/>
      <c r="AA142" s="524"/>
      <c r="AB142" s="524"/>
      <c r="AC142" s="524"/>
      <c r="AD142" s="524"/>
      <c r="AE142" s="524"/>
      <c r="AF142" s="524"/>
      <c r="AG142" s="524"/>
      <c r="AH142" s="704"/>
      <c r="AI142" s="704"/>
      <c r="AJ142" s="524"/>
      <c r="AK142" s="524"/>
      <c r="AL142" s="524"/>
      <c r="AM142" s="524"/>
      <c r="AN142" s="524"/>
      <c r="AO142" s="524"/>
      <c r="AP142" s="524"/>
      <c r="AQ142" s="524"/>
      <c r="AR142" s="524"/>
      <c r="AS142" s="524"/>
      <c r="AT142" s="704"/>
      <c r="AU142" s="524"/>
      <c r="AV142" s="524"/>
      <c r="AW142" s="524"/>
      <c r="AX142" s="524"/>
      <c r="AY142" s="524"/>
      <c r="AZ142" s="524"/>
      <c r="BA142" s="524"/>
    </row>
    <row r="143" spans="1:53">
      <c r="A143" s="532"/>
      <c r="B143" s="525"/>
      <c r="D143" s="526"/>
      <c r="E143" s="524"/>
      <c r="F143" s="524"/>
      <c r="G143" s="524"/>
      <c r="H143" s="524"/>
      <c r="I143" s="524"/>
      <c r="J143" s="526"/>
      <c r="K143" s="524"/>
      <c r="L143" s="524"/>
      <c r="M143" s="524"/>
      <c r="N143" s="524"/>
      <c r="O143" s="524"/>
      <c r="P143" s="524"/>
      <c r="Q143" s="524"/>
      <c r="R143" s="524"/>
      <c r="S143" s="524"/>
      <c r="T143" s="524"/>
      <c r="U143" s="524"/>
      <c r="V143" s="524"/>
      <c r="W143" s="524"/>
      <c r="X143" s="524"/>
      <c r="Y143" s="524"/>
      <c r="Z143" s="524"/>
      <c r="AA143" s="524"/>
      <c r="AB143" s="524"/>
      <c r="AC143" s="524"/>
      <c r="AD143" s="524"/>
      <c r="AE143" s="524"/>
      <c r="AF143" s="524"/>
      <c r="AG143" s="524"/>
      <c r="AH143" s="704"/>
      <c r="AI143" s="704"/>
      <c r="AJ143" s="524"/>
      <c r="AK143" s="524"/>
      <c r="AL143" s="524"/>
      <c r="AM143" s="524"/>
      <c r="AN143" s="524"/>
      <c r="AO143" s="524"/>
      <c r="AP143" s="524"/>
      <c r="AQ143" s="524"/>
      <c r="AR143" s="524"/>
      <c r="AS143" s="524"/>
      <c r="AT143" s="704"/>
      <c r="AU143" s="524"/>
      <c r="AV143" s="524"/>
      <c r="AW143" s="524"/>
      <c r="AX143" s="524"/>
      <c r="AY143" s="524"/>
      <c r="AZ143" s="524"/>
      <c r="BA143" s="524"/>
    </row>
    <row r="144" spans="1:53">
      <c r="A144" s="532"/>
      <c r="B144" s="525"/>
      <c r="D144" s="526"/>
      <c r="E144" s="524"/>
      <c r="F144" s="524"/>
      <c r="G144" s="524"/>
      <c r="H144" s="524"/>
      <c r="I144" s="524"/>
      <c r="J144" s="526"/>
      <c r="K144" s="524"/>
      <c r="L144" s="524"/>
      <c r="M144" s="524"/>
      <c r="N144" s="524"/>
      <c r="O144" s="524"/>
      <c r="P144" s="524"/>
      <c r="Q144" s="524"/>
      <c r="R144" s="524"/>
      <c r="S144" s="524"/>
      <c r="T144" s="524"/>
      <c r="U144" s="524"/>
      <c r="V144" s="524"/>
      <c r="W144" s="524"/>
      <c r="X144" s="524"/>
      <c r="Y144" s="524"/>
      <c r="Z144" s="524"/>
      <c r="AA144" s="524"/>
      <c r="AB144" s="524"/>
      <c r="AC144" s="524"/>
      <c r="AD144" s="524"/>
      <c r="AE144" s="524"/>
      <c r="AF144" s="524"/>
      <c r="AG144" s="524"/>
      <c r="AH144" s="704"/>
      <c r="AI144" s="704"/>
      <c r="AJ144" s="524"/>
      <c r="AK144" s="524"/>
      <c r="AL144" s="524"/>
      <c r="AM144" s="524"/>
      <c r="AN144" s="524"/>
      <c r="AO144" s="524"/>
      <c r="AP144" s="524"/>
      <c r="AQ144" s="524"/>
      <c r="AR144" s="524"/>
      <c r="AS144" s="524"/>
      <c r="AT144" s="704"/>
      <c r="AU144" s="524"/>
      <c r="AV144" s="524"/>
      <c r="AW144" s="524"/>
      <c r="AX144" s="524"/>
      <c r="AY144" s="524"/>
      <c r="AZ144" s="524"/>
      <c r="BA144" s="524"/>
    </row>
    <row r="145" spans="1:53">
      <c r="A145" s="532"/>
      <c r="B145" s="525"/>
      <c r="D145" s="526"/>
      <c r="E145" s="524"/>
      <c r="F145" s="524"/>
      <c r="G145" s="524"/>
      <c r="H145" s="524"/>
      <c r="I145" s="524"/>
      <c r="J145" s="526"/>
      <c r="K145" s="524"/>
      <c r="L145" s="524"/>
      <c r="M145" s="524"/>
      <c r="N145" s="524"/>
      <c r="O145" s="524"/>
      <c r="P145" s="524"/>
      <c r="Q145" s="524"/>
      <c r="R145" s="524"/>
      <c r="S145" s="524"/>
      <c r="T145" s="524"/>
      <c r="U145" s="524"/>
      <c r="V145" s="524"/>
      <c r="W145" s="524"/>
      <c r="X145" s="524"/>
      <c r="Y145" s="524"/>
      <c r="Z145" s="524"/>
      <c r="AA145" s="524"/>
      <c r="AB145" s="524"/>
      <c r="AC145" s="524"/>
      <c r="AD145" s="524"/>
      <c r="AE145" s="524"/>
      <c r="AF145" s="524"/>
      <c r="AG145" s="524"/>
      <c r="AH145" s="704"/>
      <c r="AI145" s="704"/>
      <c r="AJ145" s="524"/>
      <c r="AK145" s="524"/>
      <c r="AL145" s="524"/>
      <c r="AM145" s="524"/>
      <c r="AN145" s="524"/>
      <c r="AO145" s="524"/>
      <c r="AP145" s="524"/>
      <c r="AQ145" s="524"/>
      <c r="AR145" s="524"/>
      <c r="AS145" s="524"/>
      <c r="AT145" s="704"/>
      <c r="AU145" s="524"/>
      <c r="AV145" s="524"/>
      <c r="AW145" s="524"/>
      <c r="AX145" s="524"/>
      <c r="AY145" s="524"/>
      <c r="AZ145" s="524"/>
      <c r="BA145" s="524"/>
    </row>
    <row r="146" spans="1:53">
      <c r="A146" s="532"/>
      <c r="B146" s="525"/>
      <c r="D146" s="526"/>
      <c r="E146" s="524"/>
      <c r="F146" s="524"/>
      <c r="G146" s="524"/>
      <c r="H146" s="524"/>
      <c r="I146" s="524"/>
      <c r="J146" s="526"/>
      <c r="K146" s="524"/>
      <c r="L146" s="524"/>
      <c r="M146" s="524"/>
      <c r="N146" s="524"/>
      <c r="O146" s="524"/>
      <c r="P146" s="524"/>
      <c r="Q146" s="524"/>
      <c r="R146" s="524"/>
      <c r="S146" s="524"/>
      <c r="T146" s="524"/>
      <c r="U146" s="524"/>
      <c r="V146" s="524"/>
      <c r="W146" s="524"/>
      <c r="X146" s="524"/>
      <c r="Y146" s="524"/>
      <c r="Z146" s="524"/>
      <c r="AA146" s="524"/>
      <c r="AB146" s="524"/>
      <c r="AC146" s="524"/>
      <c r="AD146" s="524"/>
      <c r="AE146" s="524"/>
      <c r="AF146" s="524"/>
      <c r="AG146" s="524"/>
      <c r="AH146" s="704"/>
      <c r="AI146" s="704"/>
      <c r="AJ146" s="524"/>
      <c r="AK146" s="524"/>
      <c r="AL146" s="524"/>
      <c r="AM146" s="524"/>
      <c r="AN146" s="524"/>
      <c r="AO146" s="524"/>
      <c r="AP146" s="524"/>
      <c r="AQ146" s="524"/>
      <c r="AR146" s="524"/>
      <c r="AS146" s="524"/>
      <c r="AT146" s="704"/>
      <c r="AU146" s="524"/>
      <c r="AV146" s="524"/>
      <c r="AW146" s="524"/>
      <c r="AX146" s="524"/>
      <c r="AY146" s="524"/>
      <c r="AZ146" s="524"/>
      <c r="BA146" s="524"/>
    </row>
    <row r="147" spans="1:53">
      <c r="A147" s="532"/>
      <c r="B147" s="525"/>
      <c r="D147" s="526"/>
      <c r="E147" s="524"/>
      <c r="F147" s="524"/>
      <c r="G147" s="524"/>
      <c r="H147" s="524"/>
      <c r="I147" s="524"/>
      <c r="J147" s="526"/>
      <c r="K147" s="524"/>
      <c r="L147" s="524"/>
      <c r="M147" s="524"/>
      <c r="N147" s="524"/>
      <c r="O147" s="524"/>
      <c r="P147" s="524"/>
      <c r="Q147" s="524"/>
      <c r="R147" s="524"/>
      <c r="S147" s="524"/>
      <c r="T147" s="524"/>
      <c r="U147" s="524"/>
      <c r="V147" s="524"/>
      <c r="W147" s="524"/>
      <c r="X147" s="524"/>
      <c r="Y147" s="524"/>
      <c r="Z147" s="524"/>
      <c r="AA147" s="524"/>
      <c r="AB147" s="524"/>
      <c r="AC147" s="524"/>
      <c r="AD147" s="524"/>
      <c r="AE147" s="524"/>
      <c r="AF147" s="524"/>
      <c r="AG147" s="524"/>
      <c r="AH147" s="704"/>
      <c r="AI147" s="704"/>
      <c r="AJ147" s="524"/>
      <c r="AK147" s="524"/>
      <c r="AL147" s="524"/>
      <c r="AM147" s="524"/>
      <c r="AN147" s="524"/>
      <c r="AO147" s="524"/>
      <c r="AP147" s="524"/>
      <c r="AQ147" s="524"/>
      <c r="AR147" s="524"/>
      <c r="AS147" s="524"/>
      <c r="AT147" s="704"/>
      <c r="AU147" s="524"/>
      <c r="AV147" s="524"/>
      <c r="AW147" s="524"/>
      <c r="AX147" s="524"/>
      <c r="AY147" s="524"/>
      <c r="AZ147" s="524"/>
      <c r="BA147" s="524"/>
    </row>
    <row r="148" spans="1:53">
      <c r="A148" s="532"/>
      <c r="B148" s="525"/>
      <c r="D148" s="526"/>
      <c r="E148" s="524"/>
      <c r="F148" s="524"/>
      <c r="G148" s="524"/>
      <c r="H148" s="524"/>
      <c r="I148" s="524"/>
      <c r="J148" s="526"/>
      <c r="K148" s="524"/>
      <c r="L148" s="524"/>
      <c r="M148" s="524"/>
      <c r="N148" s="524"/>
      <c r="O148" s="524"/>
      <c r="P148" s="524"/>
      <c r="Q148" s="524"/>
      <c r="R148" s="524"/>
      <c r="S148" s="524"/>
      <c r="T148" s="524"/>
      <c r="U148" s="524"/>
      <c r="V148" s="524"/>
      <c r="W148" s="524"/>
      <c r="X148" s="524"/>
      <c r="Y148" s="524"/>
      <c r="Z148" s="524"/>
      <c r="AA148" s="524"/>
      <c r="AB148" s="524"/>
      <c r="AC148" s="524"/>
      <c r="AD148" s="524"/>
      <c r="AE148" s="524"/>
      <c r="AF148" s="524"/>
      <c r="AG148" s="524"/>
      <c r="AH148" s="704"/>
      <c r="AI148" s="704"/>
      <c r="AJ148" s="524"/>
      <c r="AK148" s="524"/>
      <c r="AL148" s="524"/>
      <c r="AM148" s="524"/>
      <c r="AN148" s="524"/>
      <c r="AO148" s="524"/>
      <c r="AP148" s="524"/>
      <c r="AQ148" s="524"/>
      <c r="AR148" s="524"/>
      <c r="AS148" s="524"/>
      <c r="AT148" s="704"/>
      <c r="AU148" s="524"/>
      <c r="AV148" s="524"/>
      <c r="AW148" s="524"/>
      <c r="AX148" s="524"/>
      <c r="AY148" s="524"/>
      <c r="AZ148" s="524"/>
      <c r="BA148" s="524"/>
    </row>
    <row r="149" spans="1:53">
      <c r="A149" s="532"/>
      <c r="B149" s="525"/>
      <c r="D149" s="526"/>
      <c r="E149" s="524"/>
      <c r="F149" s="524"/>
      <c r="G149" s="524"/>
      <c r="H149" s="524"/>
      <c r="I149" s="524"/>
      <c r="J149" s="526"/>
      <c r="K149" s="524"/>
      <c r="L149" s="524"/>
      <c r="M149" s="524"/>
      <c r="N149" s="524"/>
      <c r="O149" s="524"/>
      <c r="P149" s="524"/>
      <c r="Q149" s="524"/>
      <c r="R149" s="524"/>
      <c r="S149" s="524"/>
      <c r="T149" s="524"/>
      <c r="U149" s="524"/>
      <c r="V149" s="524"/>
      <c r="W149" s="524"/>
      <c r="X149" s="524"/>
      <c r="Y149" s="524"/>
      <c r="Z149" s="524"/>
      <c r="AA149" s="524"/>
      <c r="AB149" s="524"/>
      <c r="AC149" s="524"/>
      <c r="AD149" s="524"/>
      <c r="AE149" s="524"/>
      <c r="AF149" s="524"/>
      <c r="AG149" s="524"/>
      <c r="AH149" s="704"/>
      <c r="AI149" s="704"/>
      <c r="AJ149" s="524"/>
      <c r="AK149" s="524"/>
      <c r="AL149" s="524"/>
      <c r="AM149" s="524"/>
      <c r="AN149" s="524"/>
      <c r="AO149" s="524"/>
      <c r="AP149" s="524"/>
      <c r="AQ149" s="524"/>
      <c r="AR149" s="524"/>
      <c r="AS149" s="524"/>
      <c r="AT149" s="704"/>
      <c r="AU149" s="524"/>
      <c r="AV149" s="524"/>
      <c r="AW149" s="524"/>
      <c r="AX149" s="524"/>
      <c r="AY149" s="524"/>
      <c r="AZ149" s="524"/>
      <c r="BA149" s="524"/>
    </row>
    <row r="150" spans="1:53">
      <c r="A150" s="532"/>
      <c r="B150" s="525"/>
      <c r="D150" s="526"/>
      <c r="E150" s="524"/>
      <c r="F150" s="524"/>
      <c r="G150" s="524"/>
      <c r="H150" s="524"/>
      <c r="I150" s="524"/>
      <c r="J150" s="526"/>
      <c r="K150" s="524"/>
      <c r="L150" s="524"/>
      <c r="M150" s="524"/>
      <c r="N150" s="524"/>
      <c r="O150" s="524"/>
      <c r="P150" s="524"/>
      <c r="Q150" s="524"/>
      <c r="R150" s="524"/>
      <c r="S150" s="524"/>
      <c r="T150" s="524"/>
      <c r="U150" s="524"/>
      <c r="V150" s="524"/>
      <c r="W150" s="524"/>
      <c r="X150" s="524"/>
      <c r="Y150" s="524"/>
      <c r="Z150" s="524"/>
      <c r="AA150" s="524"/>
      <c r="AB150" s="524"/>
      <c r="AC150" s="524"/>
      <c r="AD150" s="524"/>
      <c r="AE150" s="524"/>
      <c r="AF150" s="524"/>
      <c r="AG150" s="524"/>
      <c r="AH150" s="704"/>
      <c r="AI150" s="704"/>
      <c r="AJ150" s="524"/>
      <c r="AK150" s="524"/>
      <c r="AL150" s="524"/>
      <c r="AM150" s="524"/>
      <c r="AN150" s="524"/>
      <c r="AO150" s="524"/>
      <c r="AP150" s="524"/>
      <c r="AQ150" s="524"/>
      <c r="AR150" s="524"/>
      <c r="AS150" s="524"/>
      <c r="AT150" s="704"/>
      <c r="AU150" s="524"/>
      <c r="AV150" s="524"/>
      <c r="AW150" s="524"/>
      <c r="AX150" s="524"/>
      <c r="AY150" s="524"/>
      <c r="AZ150" s="524"/>
      <c r="BA150" s="524"/>
    </row>
    <row r="151" spans="1:53">
      <c r="A151" s="532"/>
      <c r="B151" s="525"/>
      <c r="D151" s="526"/>
      <c r="E151" s="524"/>
      <c r="F151" s="524"/>
      <c r="G151" s="524"/>
      <c r="H151" s="524"/>
      <c r="I151" s="524"/>
      <c r="J151" s="526"/>
      <c r="K151" s="524"/>
      <c r="L151" s="524"/>
      <c r="M151" s="524"/>
      <c r="N151" s="524"/>
      <c r="O151" s="524"/>
      <c r="P151" s="524"/>
      <c r="Q151" s="524"/>
      <c r="R151" s="524"/>
      <c r="S151" s="524"/>
      <c r="T151" s="524"/>
      <c r="U151" s="524"/>
      <c r="V151" s="524"/>
      <c r="W151" s="524"/>
      <c r="X151" s="524"/>
      <c r="Y151" s="524"/>
      <c r="Z151" s="524"/>
      <c r="AA151" s="524"/>
      <c r="AB151" s="524"/>
      <c r="AC151" s="524"/>
      <c r="AD151" s="524"/>
      <c r="AE151" s="524"/>
      <c r="AF151" s="524"/>
      <c r="AG151" s="524"/>
      <c r="AH151" s="704"/>
      <c r="AI151" s="704"/>
      <c r="AJ151" s="524"/>
      <c r="AK151" s="524"/>
      <c r="AL151" s="524"/>
      <c r="AM151" s="524"/>
      <c r="AN151" s="524"/>
      <c r="AO151" s="524"/>
      <c r="AP151" s="524"/>
      <c r="AQ151" s="524"/>
      <c r="AR151" s="524"/>
      <c r="AS151" s="524"/>
      <c r="AT151" s="704"/>
      <c r="AU151" s="524"/>
      <c r="AV151" s="524"/>
      <c r="AW151" s="524"/>
      <c r="AX151" s="524"/>
      <c r="AY151" s="524"/>
      <c r="AZ151" s="524"/>
      <c r="BA151" s="524"/>
    </row>
    <row r="152" spans="1:53">
      <c r="A152" s="532"/>
      <c r="B152" s="525"/>
      <c r="D152" s="526"/>
      <c r="E152" s="524"/>
      <c r="F152" s="524"/>
      <c r="G152" s="524"/>
      <c r="H152" s="524"/>
      <c r="I152" s="524"/>
      <c r="J152" s="526"/>
      <c r="K152" s="524"/>
      <c r="L152" s="524"/>
      <c r="M152" s="524"/>
      <c r="N152" s="524"/>
      <c r="O152" s="524"/>
      <c r="P152" s="524"/>
      <c r="Q152" s="524"/>
      <c r="R152" s="524"/>
      <c r="S152" s="524"/>
      <c r="T152" s="524"/>
      <c r="U152" s="524"/>
      <c r="V152" s="524"/>
      <c r="W152" s="524"/>
      <c r="X152" s="524"/>
      <c r="Y152" s="524"/>
      <c r="Z152" s="524"/>
      <c r="AA152" s="524"/>
      <c r="AB152" s="524"/>
      <c r="AC152" s="524"/>
      <c r="AD152" s="524"/>
      <c r="AE152" s="524"/>
      <c r="AF152" s="524"/>
      <c r="AG152" s="524"/>
      <c r="AH152" s="704"/>
      <c r="AI152" s="704"/>
      <c r="AJ152" s="524"/>
      <c r="AK152" s="524"/>
      <c r="AL152" s="524"/>
      <c r="AM152" s="524"/>
      <c r="AN152" s="524"/>
      <c r="AO152" s="524"/>
      <c r="AP152" s="524"/>
      <c r="AQ152" s="524"/>
      <c r="AR152" s="524"/>
      <c r="AS152" s="524"/>
      <c r="AT152" s="704"/>
      <c r="AU152" s="524"/>
      <c r="AV152" s="524"/>
      <c r="AW152" s="524"/>
      <c r="AX152" s="524"/>
      <c r="AY152" s="524"/>
      <c r="AZ152" s="524"/>
      <c r="BA152" s="524"/>
    </row>
    <row r="153" spans="1:53">
      <c r="A153" s="532"/>
      <c r="B153" s="525"/>
      <c r="D153" s="526"/>
      <c r="E153" s="524"/>
      <c r="F153" s="524"/>
      <c r="G153" s="524"/>
      <c r="H153" s="524"/>
      <c r="I153" s="524"/>
      <c r="J153" s="526"/>
      <c r="K153" s="524"/>
      <c r="L153" s="524"/>
      <c r="M153" s="524"/>
      <c r="N153" s="524"/>
      <c r="O153" s="524"/>
      <c r="P153" s="524"/>
      <c r="Q153" s="524"/>
      <c r="R153" s="524"/>
      <c r="S153" s="524"/>
      <c r="T153" s="524"/>
      <c r="U153" s="524"/>
      <c r="V153" s="524"/>
      <c r="W153" s="524"/>
      <c r="X153" s="524"/>
      <c r="Y153" s="524"/>
      <c r="Z153" s="524"/>
      <c r="AA153" s="524"/>
      <c r="AB153" s="524"/>
      <c r="AC153" s="524"/>
      <c r="AD153" s="524"/>
      <c r="AE153" s="524"/>
      <c r="AF153" s="524"/>
      <c r="AG153" s="524"/>
      <c r="AH153" s="704"/>
      <c r="AI153" s="704"/>
      <c r="AJ153" s="524"/>
      <c r="AK153" s="524"/>
      <c r="AL153" s="524"/>
      <c r="AM153" s="524"/>
      <c r="AN153" s="524"/>
      <c r="AO153" s="524"/>
      <c r="AP153" s="524"/>
      <c r="AQ153" s="524"/>
      <c r="AR153" s="524"/>
      <c r="AS153" s="524"/>
      <c r="AT153" s="704"/>
      <c r="AU153" s="524"/>
      <c r="AV153" s="524"/>
      <c r="AW153" s="524"/>
      <c r="AX153" s="524"/>
      <c r="AY153" s="524"/>
      <c r="AZ153" s="524"/>
      <c r="BA153" s="524"/>
    </row>
    <row r="154" spans="1:53">
      <c r="A154" s="532"/>
      <c r="B154" s="525"/>
      <c r="D154" s="526"/>
      <c r="E154" s="524"/>
      <c r="F154" s="524"/>
      <c r="G154" s="524"/>
      <c r="H154" s="524"/>
      <c r="I154" s="524"/>
      <c r="J154" s="526"/>
      <c r="K154" s="524"/>
      <c r="L154" s="524"/>
      <c r="M154" s="524"/>
      <c r="N154" s="524"/>
      <c r="O154" s="524"/>
      <c r="P154" s="524"/>
      <c r="Q154" s="524"/>
      <c r="R154" s="524"/>
      <c r="S154" s="524"/>
      <c r="T154" s="524"/>
      <c r="U154" s="524"/>
      <c r="V154" s="524"/>
      <c r="W154" s="524"/>
      <c r="X154" s="524"/>
      <c r="Y154" s="524"/>
      <c r="Z154" s="524"/>
      <c r="AA154" s="524"/>
      <c r="AB154" s="524"/>
      <c r="AC154" s="524"/>
      <c r="AD154" s="524"/>
      <c r="AE154" s="524"/>
      <c r="AF154" s="524"/>
      <c r="AG154" s="524"/>
      <c r="AH154" s="704"/>
      <c r="AI154" s="704"/>
      <c r="AJ154" s="524"/>
      <c r="AK154" s="524"/>
      <c r="AL154" s="524"/>
      <c r="AM154" s="524"/>
      <c r="AN154" s="524"/>
      <c r="AO154" s="524"/>
      <c r="AP154" s="524"/>
      <c r="AQ154" s="524"/>
      <c r="AR154" s="524"/>
      <c r="AS154" s="524"/>
      <c r="AT154" s="704"/>
      <c r="AU154" s="524"/>
      <c r="AV154" s="524"/>
      <c r="AW154" s="524"/>
      <c r="AX154" s="524"/>
      <c r="AY154" s="524"/>
      <c r="AZ154" s="524"/>
      <c r="BA154" s="524"/>
    </row>
    <row r="155" spans="1:53">
      <c r="A155" s="532"/>
      <c r="B155" s="525"/>
      <c r="D155" s="526"/>
      <c r="E155" s="524"/>
      <c r="F155" s="524"/>
      <c r="G155" s="524"/>
      <c r="H155" s="524"/>
      <c r="I155" s="524"/>
      <c r="J155" s="526"/>
      <c r="K155" s="524"/>
      <c r="L155" s="524"/>
      <c r="M155" s="524"/>
      <c r="N155" s="524"/>
      <c r="O155" s="524"/>
      <c r="P155" s="524"/>
      <c r="Q155" s="524"/>
      <c r="R155" s="524"/>
      <c r="S155" s="524"/>
      <c r="T155" s="524"/>
      <c r="U155" s="524"/>
      <c r="V155" s="524"/>
      <c r="W155" s="524"/>
      <c r="X155" s="524"/>
      <c r="Y155" s="524"/>
      <c r="Z155" s="524"/>
      <c r="AA155" s="524"/>
      <c r="AB155" s="524"/>
      <c r="AC155" s="524"/>
      <c r="AD155" s="524"/>
      <c r="AE155" s="524"/>
      <c r="AF155" s="524"/>
      <c r="AG155" s="524"/>
      <c r="AH155" s="704"/>
      <c r="AI155" s="704"/>
      <c r="AJ155" s="524"/>
      <c r="AK155" s="524"/>
      <c r="AL155" s="524"/>
      <c r="AM155" s="524"/>
      <c r="AN155" s="524"/>
      <c r="AO155" s="524"/>
      <c r="AP155" s="524"/>
      <c r="AQ155" s="524"/>
      <c r="AR155" s="524"/>
      <c r="AS155" s="524"/>
      <c r="AT155" s="704"/>
      <c r="AU155" s="524"/>
      <c r="AV155" s="524"/>
      <c r="AW155" s="524"/>
      <c r="AX155" s="524"/>
      <c r="AY155" s="524"/>
      <c r="AZ155" s="524"/>
      <c r="BA155" s="524"/>
    </row>
    <row r="156" spans="1:53">
      <c r="A156" s="532"/>
      <c r="B156" s="525"/>
      <c r="D156" s="526"/>
      <c r="E156" s="524"/>
      <c r="F156" s="524"/>
      <c r="G156" s="524"/>
      <c r="H156" s="524"/>
      <c r="I156" s="524"/>
      <c r="J156" s="526"/>
      <c r="K156" s="524"/>
      <c r="L156" s="524"/>
      <c r="M156" s="524"/>
      <c r="N156" s="524"/>
      <c r="O156" s="524"/>
      <c r="P156" s="524"/>
      <c r="Q156" s="524"/>
      <c r="R156" s="524"/>
      <c r="S156" s="524"/>
      <c r="T156" s="524"/>
      <c r="U156" s="524"/>
      <c r="V156" s="524"/>
      <c r="W156" s="524"/>
      <c r="X156" s="524"/>
      <c r="Y156" s="524"/>
      <c r="Z156" s="524"/>
      <c r="AA156" s="524"/>
      <c r="AB156" s="524"/>
      <c r="AC156" s="524"/>
      <c r="AD156" s="524"/>
      <c r="AE156" s="524"/>
      <c r="AF156" s="524"/>
      <c r="AG156" s="524"/>
      <c r="AH156" s="704"/>
      <c r="AI156" s="704"/>
      <c r="AJ156" s="524"/>
      <c r="AK156" s="524"/>
      <c r="AL156" s="524"/>
      <c r="AM156" s="524"/>
      <c r="AN156" s="524"/>
      <c r="AO156" s="524"/>
      <c r="AP156" s="524"/>
      <c r="AQ156" s="524"/>
      <c r="AR156" s="524"/>
      <c r="AS156" s="524"/>
      <c r="AT156" s="704"/>
      <c r="AU156" s="524"/>
      <c r="AV156" s="524"/>
      <c r="AW156" s="524"/>
      <c r="AX156" s="524"/>
      <c r="AY156" s="524"/>
      <c r="AZ156" s="524"/>
      <c r="BA156" s="524"/>
    </row>
    <row r="157" spans="1:53">
      <c r="A157" s="532"/>
      <c r="B157" s="525"/>
      <c r="D157" s="526"/>
      <c r="E157" s="524"/>
      <c r="F157" s="524"/>
      <c r="G157" s="524"/>
      <c r="H157" s="524"/>
      <c r="I157" s="524"/>
      <c r="J157" s="526"/>
      <c r="K157" s="524"/>
      <c r="L157" s="524"/>
      <c r="M157" s="524"/>
      <c r="N157" s="524"/>
      <c r="O157" s="524"/>
      <c r="P157" s="524"/>
      <c r="Q157" s="524"/>
      <c r="R157" s="524"/>
      <c r="S157" s="524"/>
      <c r="T157" s="524"/>
      <c r="U157" s="524"/>
      <c r="V157" s="524"/>
      <c r="W157" s="524"/>
      <c r="X157" s="524"/>
      <c r="Y157" s="524"/>
      <c r="Z157" s="524"/>
      <c r="AA157" s="524"/>
      <c r="AB157" s="524"/>
      <c r="AC157" s="524"/>
      <c r="AD157" s="524"/>
      <c r="AE157" s="524"/>
      <c r="AF157" s="524"/>
      <c r="AG157" s="524"/>
      <c r="AH157" s="704"/>
      <c r="AI157" s="704"/>
      <c r="AJ157" s="524"/>
      <c r="AK157" s="524"/>
      <c r="AL157" s="524"/>
      <c r="AM157" s="524"/>
      <c r="AN157" s="524"/>
      <c r="AO157" s="524"/>
      <c r="AP157" s="524"/>
      <c r="AQ157" s="524"/>
      <c r="AR157" s="524"/>
      <c r="AS157" s="524"/>
      <c r="AT157" s="704"/>
      <c r="AU157" s="524"/>
      <c r="AV157" s="524"/>
      <c r="AW157" s="524"/>
      <c r="AX157" s="524"/>
      <c r="AY157" s="524"/>
      <c r="AZ157" s="524"/>
      <c r="BA157" s="524"/>
    </row>
    <row r="158" spans="1:53">
      <c r="A158" s="532"/>
      <c r="B158" s="525"/>
      <c r="D158" s="526"/>
      <c r="E158" s="524"/>
      <c r="F158" s="524"/>
      <c r="G158" s="524"/>
      <c r="H158" s="524"/>
      <c r="I158" s="524"/>
      <c r="J158" s="526"/>
      <c r="K158" s="524"/>
      <c r="L158" s="524"/>
      <c r="M158" s="524"/>
      <c r="N158" s="524"/>
      <c r="O158" s="524"/>
      <c r="P158" s="524"/>
      <c r="Q158" s="524"/>
      <c r="R158" s="524"/>
      <c r="S158" s="524"/>
      <c r="T158" s="524"/>
      <c r="U158" s="524"/>
      <c r="V158" s="524"/>
      <c r="W158" s="524"/>
      <c r="X158" s="524"/>
      <c r="Y158" s="524"/>
      <c r="Z158" s="524"/>
      <c r="AA158" s="524"/>
      <c r="AB158" s="524"/>
      <c r="AC158" s="524"/>
      <c r="AD158" s="524"/>
      <c r="AE158" s="524"/>
      <c r="AF158" s="524"/>
      <c r="AG158" s="524"/>
      <c r="AH158" s="704"/>
      <c r="AI158" s="704"/>
      <c r="AJ158" s="524"/>
      <c r="AK158" s="524"/>
      <c r="AL158" s="524"/>
      <c r="AM158" s="524"/>
      <c r="AN158" s="524"/>
      <c r="AO158" s="524"/>
      <c r="AP158" s="524"/>
      <c r="AQ158" s="524"/>
      <c r="AR158" s="524"/>
      <c r="AS158" s="524"/>
      <c r="AT158" s="704"/>
      <c r="AU158" s="524"/>
      <c r="AV158" s="524"/>
      <c r="AW158" s="524"/>
      <c r="AX158" s="524"/>
      <c r="AY158" s="524"/>
      <c r="AZ158" s="524"/>
      <c r="BA158" s="524"/>
    </row>
    <row r="159" spans="1:53">
      <c r="A159" s="532"/>
      <c r="B159" s="525"/>
      <c r="D159" s="526"/>
      <c r="E159" s="524"/>
      <c r="F159" s="524"/>
      <c r="G159" s="524"/>
      <c r="H159" s="524"/>
      <c r="I159" s="524"/>
      <c r="J159" s="526"/>
      <c r="K159" s="524"/>
      <c r="L159" s="524"/>
      <c r="M159" s="524"/>
      <c r="N159" s="524"/>
      <c r="O159" s="524"/>
      <c r="P159" s="524"/>
      <c r="Q159" s="524"/>
      <c r="R159" s="524"/>
      <c r="S159" s="524"/>
      <c r="T159" s="524"/>
      <c r="U159" s="524"/>
      <c r="V159" s="524"/>
      <c r="W159" s="524"/>
      <c r="X159" s="524"/>
      <c r="Y159" s="524"/>
      <c r="Z159" s="524"/>
      <c r="AA159" s="524"/>
      <c r="AB159" s="524"/>
      <c r="AC159" s="524"/>
      <c r="AD159" s="524"/>
      <c r="AE159" s="524"/>
      <c r="AF159" s="524"/>
      <c r="AG159" s="524"/>
      <c r="AH159" s="704"/>
      <c r="AI159" s="704"/>
      <c r="AJ159" s="524"/>
      <c r="AK159" s="524"/>
      <c r="AL159" s="524"/>
      <c r="AM159" s="524"/>
      <c r="AN159" s="524"/>
      <c r="AO159" s="524"/>
      <c r="AP159" s="524"/>
      <c r="AQ159" s="524"/>
      <c r="AR159" s="524"/>
      <c r="AS159" s="524"/>
      <c r="AT159" s="704"/>
      <c r="AU159" s="524"/>
      <c r="AV159" s="524"/>
      <c r="AW159" s="524"/>
      <c r="AX159" s="524"/>
      <c r="AY159" s="524"/>
      <c r="AZ159" s="524"/>
      <c r="BA159" s="524"/>
    </row>
    <row r="160" spans="1:53">
      <c r="A160" s="532"/>
      <c r="B160" s="525"/>
      <c r="D160" s="526"/>
      <c r="E160" s="524"/>
      <c r="F160" s="524"/>
      <c r="G160" s="524"/>
      <c r="H160" s="524"/>
      <c r="I160" s="524"/>
      <c r="J160" s="526"/>
      <c r="K160" s="524"/>
      <c r="L160" s="524"/>
      <c r="M160" s="524"/>
      <c r="N160" s="524"/>
      <c r="O160" s="524"/>
      <c r="P160" s="524"/>
      <c r="Q160" s="524"/>
      <c r="R160" s="524"/>
      <c r="S160" s="524"/>
      <c r="T160" s="524"/>
      <c r="U160" s="524"/>
      <c r="V160" s="524"/>
      <c r="W160" s="524"/>
      <c r="X160" s="524"/>
      <c r="Y160" s="524"/>
      <c r="Z160" s="524"/>
      <c r="AA160" s="524"/>
      <c r="AB160" s="524"/>
      <c r="AC160" s="524"/>
      <c r="AD160" s="524"/>
      <c r="AE160" s="524"/>
      <c r="AF160" s="524"/>
      <c r="AG160" s="524"/>
      <c r="AH160" s="704"/>
      <c r="AI160" s="704"/>
      <c r="AJ160" s="524"/>
      <c r="AK160" s="524"/>
      <c r="AL160" s="524"/>
      <c r="AM160" s="524"/>
      <c r="AN160" s="524"/>
      <c r="AO160" s="524"/>
      <c r="AP160" s="524"/>
      <c r="AQ160" s="524"/>
      <c r="AR160" s="524"/>
      <c r="AS160" s="524"/>
      <c r="AT160" s="704"/>
      <c r="AU160" s="524"/>
      <c r="AV160" s="524"/>
      <c r="AW160" s="524"/>
      <c r="AX160" s="524"/>
      <c r="AY160" s="524"/>
      <c r="AZ160" s="524"/>
      <c r="BA160" s="524"/>
    </row>
    <row r="161" spans="1:53">
      <c r="A161" s="532"/>
      <c r="B161" s="525"/>
      <c r="D161" s="526"/>
      <c r="E161" s="524"/>
      <c r="F161" s="524"/>
      <c r="G161" s="524"/>
      <c r="H161" s="524"/>
      <c r="I161" s="524"/>
      <c r="J161" s="526"/>
      <c r="K161" s="524"/>
      <c r="L161" s="524"/>
      <c r="M161" s="524"/>
      <c r="N161" s="524"/>
      <c r="O161" s="524"/>
      <c r="P161" s="524"/>
      <c r="Q161" s="524"/>
      <c r="R161" s="524"/>
      <c r="S161" s="524"/>
      <c r="T161" s="524"/>
      <c r="U161" s="524"/>
      <c r="V161" s="524"/>
      <c r="W161" s="524"/>
      <c r="X161" s="524"/>
      <c r="Y161" s="524"/>
      <c r="Z161" s="524"/>
      <c r="AA161" s="524"/>
      <c r="AB161" s="524"/>
      <c r="AC161" s="524"/>
      <c r="AD161" s="524"/>
      <c r="AE161" s="524"/>
      <c r="AF161" s="524"/>
      <c r="AG161" s="524"/>
      <c r="AH161" s="704"/>
      <c r="AI161" s="704"/>
      <c r="AJ161" s="524"/>
      <c r="AK161" s="524"/>
      <c r="AL161" s="524"/>
      <c r="AM161" s="524"/>
      <c r="AN161" s="524"/>
      <c r="AO161" s="524"/>
      <c r="AP161" s="524"/>
      <c r="AQ161" s="524"/>
      <c r="AR161" s="524"/>
      <c r="AS161" s="524"/>
      <c r="AT161" s="704"/>
      <c r="AU161" s="524"/>
      <c r="AV161" s="524"/>
      <c r="AW161" s="524"/>
      <c r="AX161" s="524"/>
      <c r="AY161" s="524"/>
      <c r="AZ161" s="524"/>
      <c r="BA161" s="524"/>
    </row>
    <row r="162" spans="1:53">
      <c r="A162" s="532"/>
      <c r="B162" s="525"/>
      <c r="D162" s="526"/>
      <c r="E162" s="524"/>
      <c r="F162" s="524"/>
      <c r="G162" s="524"/>
      <c r="H162" s="524"/>
      <c r="I162" s="524"/>
      <c r="J162" s="526"/>
      <c r="K162" s="524"/>
      <c r="L162" s="524"/>
      <c r="M162" s="524"/>
      <c r="N162" s="524"/>
      <c r="O162" s="524"/>
      <c r="P162" s="524"/>
      <c r="Q162" s="524"/>
      <c r="R162" s="524"/>
      <c r="S162" s="524"/>
      <c r="T162" s="524"/>
      <c r="U162" s="524"/>
      <c r="V162" s="524"/>
      <c r="W162" s="524"/>
      <c r="X162" s="524"/>
      <c r="Y162" s="524"/>
      <c r="Z162" s="524"/>
      <c r="AA162" s="524"/>
      <c r="AB162" s="524"/>
      <c r="AC162" s="524"/>
      <c r="AD162" s="524"/>
      <c r="AE162" s="524"/>
      <c r="AF162" s="524"/>
      <c r="AG162" s="524"/>
      <c r="AH162" s="704"/>
      <c r="AI162" s="704"/>
      <c r="AJ162" s="524"/>
      <c r="AK162" s="524"/>
      <c r="AL162" s="524"/>
      <c r="AM162" s="524"/>
      <c r="AN162" s="524"/>
      <c r="AO162" s="524"/>
      <c r="AP162" s="524"/>
      <c r="AQ162" s="524"/>
      <c r="AR162" s="524"/>
      <c r="AS162" s="524"/>
      <c r="AT162" s="704"/>
      <c r="AU162" s="524"/>
      <c r="AV162" s="524"/>
      <c r="AW162" s="524"/>
      <c r="AX162" s="524"/>
      <c r="AY162" s="524"/>
      <c r="AZ162" s="524"/>
      <c r="BA162" s="524"/>
    </row>
    <row r="163" spans="1:53">
      <c r="A163" s="532"/>
      <c r="B163" s="525"/>
      <c r="D163" s="526"/>
      <c r="E163" s="524"/>
      <c r="F163" s="524"/>
      <c r="G163" s="524"/>
      <c r="H163" s="524"/>
      <c r="I163" s="524"/>
      <c r="J163" s="526"/>
      <c r="K163" s="524"/>
      <c r="L163" s="524"/>
      <c r="M163" s="524"/>
      <c r="N163" s="524"/>
      <c r="O163" s="524"/>
      <c r="P163" s="524"/>
      <c r="Q163" s="524"/>
      <c r="R163" s="524"/>
      <c r="S163" s="524"/>
      <c r="T163" s="524"/>
      <c r="U163" s="524"/>
      <c r="V163" s="524"/>
      <c r="W163" s="524"/>
      <c r="X163" s="524"/>
      <c r="Y163" s="524"/>
      <c r="Z163" s="524"/>
      <c r="AA163" s="524"/>
      <c r="AB163" s="524"/>
      <c r="AC163" s="524"/>
      <c r="AD163" s="524"/>
      <c r="AE163" s="524"/>
      <c r="AF163" s="524"/>
      <c r="AG163" s="524"/>
      <c r="AH163" s="704"/>
      <c r="AI163" s="704"/>
      <c r="AJ163" s="524"/>
      <c r="AK163" s="524"/>
      <c r="AL163" s="524"/>
      <c r="AM163" s="524"/>
      <c r="AN163" s="524"/>
      <c r="AO163" s="524"/>
      <c r="AP163" s="524"/>
      <c r="AQ163" s="524"/>
      <c r="AR163" s="524"/>
      <c r="AS163" s="524"/>
      <c r="AT163" s="704"/>
      <c r="AU163" s="524"/>
      <c r="AV163" s="524"/>
      <c r="AW163" s="524"/>
      <c r="AX163" s="524"/>
      <c r="AY163" s="524"/>
      <c r="AZ163" s="524"/>
      <c r="BA163" s="524"/>
    </row>
    <row r="164" spans="1:53">
      <c r="A164" s="532"/>
      <c r="B164" s="525"/>
      <c r="D164" s="526"/>
      <c r="E164" s="524"/>
      <c r="F164" s="524"/>
      <c r="G164" s="524"/>
      <c r="H164" s="524"/>
      <c r="I164" s="524"/>
      <c r="J164" s="526"/>
      <c r="K164" s="524"/>
      <c r="L164" s="524"/>
      <c r="M164" s="524"/>
      <c r="N164" s="524"/>
      <c r="O164" s="524"/>
      <c r="P164" s="524"/>
      <c r="Q164" s="524"/>
      <c r="R164" s="524"/>
      <c r="S164" s="524"/>
      <c r="T164" s="524"/>
      <c r="U164" s="524"/>
      <c r="V164" s="524"/>
      <c r="W164" s="524"/>
      <c r="X164" s="524"/>
      <c r="Y164" s="524"/>
      <c r="Z164" s="524"/>
      <c r="AA164" s="524"/>
      <c r="AB164" s="524"/>
      <c r="AC164" s="524"/>
      <c r="AD164" s="524"/>
      <c r="AE164" s="524"/>
      <c r="AF164" s="524"/>
      <c r="AG164" s="524"/>
      <c r="AH164" s="704"/>
      <c r="AI164" s="704"/>
      <c r="AJ164" s="524"/>
      <c r="AK164" s="524"/>
      <c r="AL164" s="524"/>
      <c r="AM164" s="524"/>
      <c r="AN164" s="524"/>
      <c r="AO164" s="524"/>
      <c r="AP164" s="524"/>
      <c r="AQ164" s="524"/>
      <c r="AR164" s="524"/>
      <c r="AS164" s="524"/>
      <c r="AT164" s="704"/>
      <c r="AU164" s="524"/>
      <c r="AV164" s="524"/>
      <c r="AW164" s="524"/>
      <c r="AX164" s="524"/>
      <c r="AY164" s="524"/>
      <c r="AZ164" s="524"/>
      <c r="BA164" s="524"/>
    </row>
    <row r="165" spans="1:53">
      <c r="A165" s="532"/>
      <c r="B165" s="525"/>
      <c r="D165" s="526"/>
      <c r="E165" s="524"/>
      <c r="F165" s="524"/>
      <c r="G165" s="524"/>
      <c r="H165" s="524"/>
      <c r="I165" s="524"/>
      <c r="J165" s="526"/>
      <c r="K165" s="524"/>
      <c r="L165" s="524"/>
      <c r="M165" s="524"/>
      <c r="N165" s="524"/>
      <c r="O165" s="524"/>
      <c r="P165" s="524"/>
      <c r="Q165" s="524"/>
      <c r="R165" s="524"/>
      <c r="S165" s="524"/>
      <c r="T165" s="524"/>
      <c r="U165" s="524"/>
      <c r="V165" s="524"/>
      <c r="W165" s="524"/>
      <c r="X165" s="524"/>
      <c r="Y165" s="524"/>
      <c r="Z165" s="524"/>
      <c r="AA165" s="524"/>
      <c r="AB165" s="524"/>
      <c r="AC165" s="524"/>
      <c r="AD165" s="524"/>
      <c r="AE165" s="524"/>
      <c r="AF165" s="524"/>
      <c r="AG165" s="524"/>
      <c r="AH165" s="704"/>
      <c r="AI165" s="704"/>
      <c r="AJ165" s="524"/>
      <c r="AK165" s="524"/>
      <c r="AL165" s="524"/>
      <c r="AM165" s="524"/>
      <c r="AN165" s="524"/>
      <c r="AO165" s="524"/>
      <c r="AP165" s="524"/>
      <c r="AQ165" s="524"/>
      <c r="AR165" s="524"/>
      <c r="AS165" s="524"/>
      <c r="AT165" s="704"/>
      <c r="AU165" s="524"/>
      <c r="AV165" s="524"/>
      <c r="AW165" s="524"/>
      <c r="AX165" s="524"/>
      <c r="AY165" s="524"/>
      <c r="AZ165" s="524"/>
      <c r="BA165" s="524"/>
    </row>
    <row r="166" spans="1:53">
      <c r="A166" s="532"/>
      <c r="B166" s="525"/>
      <c r="D166" s="526"/>
      <c r="E166" s="524"/>
      <c r="F166" s="524"/>
      <c r="G166" s="524"/>
      <c r="H166" s="524"/>
      <c r="I166" s="524"/>
      <c r="J166" s="526"/>
      <c r="K166" s="524"/>
      <c r="L166" s="524"/>
      <c r="M166" s="524"/>
      <c r="N166" s="524"/>
      <c r="O166" s="524"/>
      <c r="P166" s="524"/>
      <c r="Q166" s="524"/>
      <c r="R166" s="524"/>
      <c r="S166" s="524"/>
      <c r="T166" s="524"/>
      <c r="U166" s="524"/>
      <c r="V166" s="524"/>
      <c r="W166" s="524"/>
      <c r="X166" s="524"/>
      <c r="Y166" s="524"/>
      <c r="Z166" s="524"/>
      <c r="AA166" s="524"/>
      <c r="AB166" s="524"/>
      <c r="AC166" s="524"/>
      <c r="AD166" s="524"/>
      <c r="AE166" s="524"/>
      <c r="AF166" s="524"/>
      <c r="AG166" s="524"/>
      <c r="AH166" s="704"/>
      <c r="AI166" s="704"/>
      <c r="AJ166" s="524"/>
      <c r="AK166" s="524"/>
      <c r="AL166" s="524"/>
      <c r="AM166" s="524"/>
      <c r="AN166" s="524"/>
      <c r="AO166" s="524"/>
      <c r="AP166" s="524"/>
      <c r="AQ166" s="524"/>
      <c r="AR166" s="524"/>
      <c r="AS166" s="524"/>
      <c r="AT166" s="704"/>
      <c r="AU166" s="524"/>
      <c r="AV166" s="524"/>
      <c r="AW166" s="524"/>
      <c r="AX166" s="524"/>
      <c r="AY166" s="524"/>
      <c r="AZ166" s="524"/>
      <c r="BA166" s="524"/>
    </row>
    <row r="167" spans="1:53">
      <c r="A167" s="532"/>
      <c r="B167" s="525"/>
      <c r="D167" s="526"/>
      <c r="E167" s="524"/>
      <c r="F167" s="524"/>
      <c r="G167" s="524"/>
      <c r="H167" s="524"/>
      <c r="I167" s="524"/>
      <c r="J167" s="526"/>
      <c r="K167" s="524"/>
      <c r="L167" s="524"/>
      <c r="M167" s="524"/>
      <c r="N167" s="524"/>
      <c r="O167" s="524"/>
      <c r="P167" s="524"/>
      <c r="Q167" s="524"/>
      <c r="R167" s="524"/>
      <c r="S167" s="524"/>
      <c r="T167" s="524"/>
      <c r="U167" s="524"/>
      <c r="V167" s="524"/>
      <c r="W167" s="524"/>
      <c r="X167" s="524"/>
      <c r="Y167" s="524"/>
      <c r="Z167" s="524"/>
      <c r="AA167" s="524"/>
      <c r="AB167" s="524"/>
      <c r="AC167" s="524"/>
      <c r="AD167" s="524"/>
      <c r="AE167" s="524"/>
      <c r="AF167" s="524"/>
      <c r="AG167" s="524"/>
      <c r="AH167" s="704"/>
      <c r="AI167" s="704"/>
      <c r="AJ167" s="524"/>
      <c r="AK167" s="524"/>
      <c r="AL167" s="524"/>
      <c r="AM167" s="524"/>
      <c r="AN167" s="524"/>
      <c r="AO167" s="524"/>
      <c r="AP167" s="524"/>
      <c r="AQ167" s="524"/>
      <c r="AR167" s="524"/>
      <c r="AS167" s="524"/>
      <c r="AT167" s="704"/>
      <c r="AU167" s="524"/>
      <c r="AV167" s="524"/>
      <c r="AW167" s="524"/>
      <c r="AX167" s="524"/>
      <c r="AY167" s="524"/>
      <c r="AZ167" s="524"/>
      <c r="BA167" s="524"/>
    </row>
  </sheetData>
  <sortState xmlns:xlrd2="http://schemas.microsoft.com/office/spreadsheetml/2017/richdata2" ref="E2:ZZ2">
    <sortCondition ref="E2"/>
  </sortState>
  <conditionalFormatting sqref="D1:HD1 A1:C78 HF1:ABH656 D2:BZ2 CB2:GX2 D3:HC3 D4:DN4 DP4:DW4 DX4:FX5 FY4:GW18 GX4:GX64 D5:DW5 D6:FX6 AN7:DW9 D7:AK24 DX7:FX24 AL7:AM41 AN10:DJ11 DL10:DW11 AN12 AP12:DW12 AN13:DW14 AS15:DW21 AN15:AR41 FY19:GG20 GI19:GW20 FY21:GW24 DF22:DJ22 DL22:DP22 AS22:DD24 DQ22:DW41 DE22:DE53 DF23:DP24 E25:G25 FY25:GH25 GJ25:GS25 GV25:GW25 D25:D26 H25:AE27 DF25:DJ27 DL25:DP27 ED25:FX27 GT25:GT27 BJ25:DD28 AF25:AK41 AS25:BI41 DX26:DZ26 FY26:GS27 GU26:GW27 D27:G27 FY28:GW28 DX28:FX29 D28:AE41 DF28:DP43 BJ29:BY29 CA29:DD29 FY29:GS29 GU29:GW29 EI30:FX30 BJ30:DD41 DX30:EE41 FY30:GW41 EF31:FX41 AN42:DD42 DR42:GW48 D42:AM53 DQ42:DQ53 BY43:CO44 BX43:BX45 BJ43:BW48 CP43:CT48 CV43:DD48 AN43:AR53 AT43:BI53 AS43:AS54 DF44:DJ44 DL44:DP44 BY45:CA45 CC45 CE45:CO45 DF45:DP53 BX46:CO48 BJ49:DD53 DR49:DW53 EF49:GW53 DX53:DZ53 EB53:ED53 D54:AR54 AT54:GW54 D55:GW64 D65:GX66 HC65:HC73 D67:HA67 D68:GX78 GY73:HB73 HC74:HD656 C79:GX656">
    <cfRule type="expression" dxfId="20" priority="19">
      <formula>_xlfn.ISFORMULA(A1)</formula>
    </cfRule>
  </conditionalFormatting>
  <conditionalFormatting sqref="DX25:EC25 EB26:EC26 DX27:EC27 DX49:EE52 A82:B656">
    <cfRule type="expression" dxfId="19" priority="20">
      <formula>_xlfn.ISFORMULA(A25)</formula>
    </cfRule>
  </conditionalFormatting>
  <conditionalFormatting sqref="GY9:HC9">
    <cfRule type="expression" dxfId="18" priority="11">
      <formula>_xlfn.ISFORMULA(GY9)</formula>
    </cfRule>
  </conditionalFormatting>
  <conditionalFormatting sqref="GY13:HC13">
    <cfRule type="expression" dxfId="17" priority="10">
      <formula>_xlfn.ISFORMULA(GY13)</formula>
    </cfRule>
  </conditionalFormatting>
  <conditionalFormatting sqref="GY18:HC18">
    <cfRule type="expression" dxfId="16" priority="9">
      <formula>_xlfn.ISFORMULA(GY18)</formula>
    </cfRule>
  </conditionalFormatting>
  <conditionalFormatting sqref="GY21:HC21">
    <cfRule type="expression" dxfId="15" priority="8">
      <formula>_xlfn.ISFORMULA(GY21)</formula>
    </cfRule>
  </conditionalFormatting>
  <conditionalFormatting sqref="GY23:HC23">
    <cfRule type="expression" dxfId="14" priority="7">
      <formula>_xlfn.ISFORMULA(GY23)</formula>
    </cfRule>
  </conditionalFormatting>
  <conditionalFormatting sqref="GY28:HC28">
    <cfRule type="expression" dxfId="13" priority="6">
      <formula>_xlfn.ISFORMULA(GY28)</formula>
    </cfRule>
  </conditionalFormatting>
  <conditionalFormatting sqref="GY31:HC31">
    <cfRule type="expression" dxfId="12" priority="5">
      <formula>_xlfn.ISFORMULA(GY31)</formula>
    </cfRule>
  </conditionalFormatting>
  <conditionalFormatting sqref="GY42:HC42">
    <cfRule type="expression" dxfId="11" priority="4">
      <formula>_xlfn.ISFORMULA(GY42)</formula>
    </cfRule>
  </conditionalFormatting>
  <conditionalFormatting sqref="GY49:HC49">
    <cfRule type="expression" dxfId="10" priority="3">
      <formula>_xlfn.ISFORMULA(GY49)</formula>
    </cfRule>
  </conditionalFormatting>
  <conditionalFormatting sqref="GY52:HC52">
    <cfRule type="expression" dxfId="9" priority="2">
      <formula>_xlfn.ISFORMULA(GY52)</formula>
    </cfRule>
  </conditionalFormatting>
  <conditionalFormatting sqref="GY55:HC55">
    <cfRule type="expression" dxfId="8" priority="1">
      <formula>_xlfn.ISFORMULA(GY55)</formula>
    </cfRule>
  </conditionalFormatting>
  <hyperlinks>
    <hyperlink ref="CL56" r:id="rId1" xr:uid="{BB6A23B4-4EAA-4195-9CAD-FA1D45BB13C5}"/>
    <hyperlink ref="CM56" r:id="rId2" xr:uid="{9D86D571-F50B-4627-B4CA-1A3BFE4EE10B}"/>
  </hyperlinks>
  <pageMargins left="0.7" right="0.7" top="0.75" bottom="0.75" header="0.3" footer="0.3"/>
  <pageSetup orientation="portrait" r:id="rId3"/>
  <drawing r:id="rId4"/>
  <legacyDrawing r:id="rId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EDA56-040E-4AC8-A945-744229481D88}">
  <dimension ref="A1:DJ180"/>
  <sheetViews>
    <sheetView workbookViewId="0">
      <pane xSplit="2" ySplit="2" topLeftCell="C9" activePane="bottomRight" state="frozen"/>
      <selection pane="topRight" activeCell="C1" sqref="C1"/>
      <selection pane="bottomLeft" activeCell="A3" sqref="A3"/>
      <selection pane="bottomRight" activeCell="I24" sqref="I24"/>
    </sheetView>
  </sheetViews>
  <sheetFormatPr defaultColWidth="20.7109375" defaultRowHeight="15" customHeight="1"/>
  <cols>
    <col min="1" max="1" width="26.42578125" style="527" customWidth="1"/>
    <col min="2" max="2" width="20.7109375" style="380"/>
    <col min="3" max="3" width="16.7109375" style="380" customWidth="1"/>
    <col min="4" max="4" width="2.42578125" customWidth="1"/>
    <col min="10" max="10" width="17" customWidth="1"/>
  </cols>
  <sheetData>
    <row r="1" spans="1:114" ht="15" customHeight="1">
      <c r="B1" s="380" t="s">
        <v>1</v>
      </c>
      <c r="C1" s="521" t="s">
        <v>1713</v>
      </c>
      <c r="D1" s="794"/>
      <c r="E1" s="796"/>
      <c r="F1" s="796"/>
      <c r="G1" s="796"/>
      <c r="H1" s="796"/>
      <c r="I1" s="796"/>
      <c r="J1" s="796"/>
      <c r="K1" s="796"/>
      <c r="L1" s="796"/>
      <c r="M1" s="796"/>
      <c r="N1" s="796"/>
      <c r="O1" s="796"/>
      <c r="P1" s="796"/>
      <c r="Q1" s="796"/>
      <c r="R1" s="796"/>
      <c r="S1" s="796"/>
      <c r="T1" s="796"/>
      <c r="U1" s="796"/>
      <c r="V1" s="796"/>
      <c r="W1" s="796"/>
      <c r="X1" s="796"/>
      <c r="Y1" s="796"/>
      <c r="Z1" s="796"/>
      <c r="AA1" s="796"/>
      <c r="AB1" s="796"/>
      <c r="AC1" s="796"/>
      <c r="AD1" s="796"/>
      <c r="AE1" s="796"/>
      <c r="AF1" s="796"/>
      <c r="AG1" s="796"/>
      <c r="AH1" s="796"/>
      <c r="AI1" s="796"/>
      <c r="AJ1" s="796"/>
      <c r="AK1" s="796"/>
      <c r="AL1" s="796"/>
      <c r="AM1" s="796"/>
      <c r="AN1" s="796"/>
      <c r="AO1" s="796"/>
      <c r="AP1" s="796"/>
      <c r="AQ1" s="796"/>
      <c r="AR1" s="796"/>
      <c r="AS1" s="796"/>
      <c r="AT1" s="796"/>
      <c r="AU1" s="796"/>
      <c r="AV1" s="796"/>
      <c r="AW1" s="796"/>
      <c r="AX1" s="796"/>
      <c r="AY1" s="796"/>
      <c r="AZ1" s="796"/>
      <c r="BA1" s="796"/>
      <c r="BB1" s="796"/>
      <c r="BC1" s="796"/>
      <c r="BD1" s="796"/>
      <c r="BE1" s="796"/>
      <c r="BF1" s="796"/>
      <c r="BG1" s="796"/>
      <c r="BH1" s="796"/>
      <c r="BI1" s="796"/>
      <c r="BJ1" s="796"/>
      <c r="BK1" s="796"/>
      <c r="BL1" s="796"/>
      <c r="BM1" s="796"/>
      <c r="BN1" s="796"/>
      <c r="BO1" s="796"/>
      <c r="BP1" s="796"/>
      <c r="BQ1" s="796"/>
      <c r="BR1" s="796"/>
      <c r="BS1" s="796"/>
      <c r="BT1" s="796"/>
      <c r="BU1" s="796"/>
      <c r="BV1" s="796"/>
      <c r="BW1" s="796"/>
      <c r="BX1" s="796"/>
      <c r="BY1" s="796"/>
      <c r="BZ1" s="796"/>
      <c r="CA1" s="796"/>
      <c r="CB1" s="796"/>
      <c r="CC1" s="796"/>
      <c r="CD1" s="796"/>
      <c r="CE1" s="796"/>
      <c r="CF1" s="796"/>
      <c r="CG1" s="796"/>
      <c r="CH1" s="796"/>
      <c r="CI1" s="796"/>
      <c r="CJ1" s="796"/>
      <c r="CK1" s="796"/>
      <c r="CL1" s="796"/>
      <c r="CM1" s="796"/>
      <c r="CN1" s="796"/>
      <c r="CO1" s="796"/>
      <c r="CP1" s="796"/>
      <c r="CQ1" s="796"/>
      <c r="CR1" s="796"/>
      <c r="CS1" s="796"/>
      <c r="CT1" s="796"/>
      <c r="CU1" s="796"/>
      <c r="CV1" s="796"/>
      <c r="CW1" s="796"/>
      <c r="CX1" s="796"/>
      <c r="CY1" s="796"/>
      <c r="CZ1" s="796"/>
      <c r="DA1" s="796"/>
      <c r="DB1" s="796"/>
      <c r="DC1" s="796"/>
      <c r="DD1" s="796"/>
      <c r="DE1" s="796"/>
      <c r="DF1" s="796"/>
      <c r="DG1" s="796"/>
      <c r="DH1" s="796"/>
      <c r="DI1" s="796"/>
      <c r="DJ1" s="796"/>
    </row>
    <row r="2" spans="1:114" s="810" customFormat="1" ht="15" customHeight="1">
      <c r="A2" s="528" t="s">
        <v>1714</v>
      </c>
      <c r="B2" s="380" t="s">
        <v>17</v>
      </c>
      <c r="C2" s="521"/>
      <c r="D2" s="806"/>
      <c r="E2" s="807" t="s">
        <v>1529</v>
      </c>
      <c r="F2" s="808" t="s">
        <v>1530</v>
      </c>
      <c r="G2" s="807" t="s">
        <v>1531</v>
      </c>
      <c r="H2" s="808" t="s">
        <v>1532</v>
      </c>
      <c r="I2" s="807" t="s">
        <v>1533</v>
      </c>
      <c r="J2" s="809" t="s">
        <v>1715</v>
      </c>
      <c r="K2" s="807" t="s">
        <v>1534</v>
      </c>
      <c r="L2" s="808" t="s">
        <v>1535</v>
      </c>
      <c r="M2" s="807" t="s">
        <v>1536</v>
      </c>
      <c r="N2" s="808" t="s">
        <v>1537</v>
      </c>
      <c r="O2" s="807" t="s">
        <v>1538</v>
      </c>
      <c r="P2" s="808" t="s">
        <v>1539</v>
      </c>
      <c r="Q2" s="807" t="s">
        <v>1540</v>
      </c>
      <c r="R2" s="808" t="s">
        <v>1541</v>
      </c>
      <c r="S2" s="807" t="s">
        <v>1542</v>
      </c>
      <c r="T2" s="808" t="s">
        <v>1543</v>
      </c>
      <c r="U2" s="807" t="s">
        <v>1544</v>
      </c>
      <c r="V2" s="808" t="s">
        <v>1545</v>
      </c>
      <c r="W2" s="807" t="s">
        <v>1546</v>
      </c>
      <c r="X2" s="808" t="s">
        <v>1547</v>
      </c>
      <c r="Y2" s="808" t="s">
        <v>1548</v>
      </c>
      <c r="Z2" s="808" t="s">
        <v>1549</v>
      </c>
      <c r="AA2" s="807" t="s">
        <v>1550</v>
      </c>
      <c r="AB2" s="808" t="s">
        <v>1551</v>
      </c>
      <c r="AC2" s="807" t="s">
        <v>1552</v>
      </c>
      <c r="AD2" s="808" t="s">
        <v>1553</v>
      </c>
      <c r="AE2" s="807" t="s">
        <v>1554</v>
      </c>
      <c r="AF2" s="808" t="s">
        <v>1555</v>
      </c>
      <c r="AG2" s="807" t="s">
        <v>1556</v>
      </c>
      <c r="AH2" s="808" t="s">
        <v>1557</v>
      </c>
      <c r="AI2" s="807" t="s">
        <v>1558</v>
      </c>
      <c r="AJ2" s="808" t="s">
        <v>1559</v>
      </c>
      <c r="AK2" s="807" t="s">
        <v>1560</v>
      </c>
      <c r="AL2" s="808" t="s">
        <v>1561</v>
      </c>
      <c r="AM2" s="807" t="s">
        <v>1562</v>
      </c>
      <c r="AN2" s="808"/>
      <c r="AO2" s="807"/>
      <c r="AP2" s="808"/>
      <c r="AQ2" s="807"/>
      <c r="AR2" s="808"/>
      <c r="AS2" s="807"/>
      <c r="AT2" s="808"/>
      <c r="AU2" s="807"/>
      <c r="AV2" s="808"/>
      <c r="AW2" s="807"/>
      <c r="AX2" s="808"/>
      <c r="AY2" s="807"/>
      <c r="AZ2" s="808"/>
      <c r="BA2" s="807"/>
      <c r="BB2" s="808"/>
      <c r="BC2" s="807"/>
      <c r="BD2" s="808"/>
      <c r="BE2" s="807"/>
      <c r="BF2" s="808"/>
      <c r="BG2" s="807"/>
      <c r="BH2" s="808"/>
      <c r="BI2" s="807"/>
      <c r="BJ2" s="808"/>
      <c r="BK2" s="807"/>
      <c r="BL2" s="808"/>
      <c r="BM2" s="807"/>
      <c r="BN2" s="808"/>
      <c r="BO2" s="807"/>
      <c r="BP2" s="808"/>
      <c r="BQ2" s="807"/>
      <c r="BR2" s="808"/>
      <c r="BS2" s="807"/>
      <c r="BT2" s="808"/>
      <c r="BU2" s="807"/>
      <c r="BV2" s="808"/>
      <c r="BW2" s="807"/>
      <c r="BX2" s="808"/>
      <c r="BY2" s="807"/>
      <c r="BZ2" s="808"/>
      <c r="CA2" s="807"/>
      <c r="CB2" s="808"/>
      <c r="CC2" s="807"/>
      <c r="CD2" s="808"/>
      <c r="CE2" s="807"/>
      <c r="CF2" s="808"/>
      <c r="CG2" s="807"/>
      <c r="CH2" s="808"/>
      <c r="CI2" s="807"/>
      <c r="CJ2" s="808"/>
      <c r="CK2" s="807"/>
      <c r="CL2" s="808"/>
      <c r="CM2" s="807"/>
      <c r="CN2" s="808"/>
      <c r="CO2" s="807"/>
      <c r="CP2" s="808"/>
      <c r="CQ2" s="807"/>
      <c r="CR2" s="808"/>
      <c r="CS2" s="807"/>
      <c r="CT2" s="808"/>
      <c r="CU2" s="807"/>
      <c r="CV2" s="808"/>
      <c r="CW2" s="807"/>
      <c r="CX2" s="808"/>
      <c r="CY2" s="807"/>
      <c r="CZ2" s="808"/>
      <c r="DA2" s="807"/>
      <c r="DB2" s="808"/>
      <c r="DC2" s="807"/>
      <c r="DD2" s="808"/>
      <c r="DE2" s="807"/>
      <c r="DF2" s="808"/>
      <c r="DG2" s="807"/>
      <c r="DH2" s="808"/>
      <c r="DI2" s="807"/>
      <c r="DJ2" s="808"/>
    </row>
    <row r="3" spans="1:114" ht="15" customHeight="1">
      <c r="A3" s="528" t="s">
        <v>420</v>
      </c>
      <c r="B3" s="535"/>
      <c r="C3" s="520"/>
      <c r="D3" s="794"/>
      <c r="E3" s="796"/>
      <c r="F3" s="796"/>
      <c r="G3" s="796"/>
      <c r="H3" s="796"/>
      <c r="I3" s="796"/>
      <c r="J3" s="796"/>
      <c r="K3" s="796"/>
      <c r="L3" s="796"/>
      <c r="M3" s="796"/>
      <c r="N3" s="796"/>
      <c r="O3" s="796"/>
      <c r="P3" s="796"/>
      <c r="Q3" s="796"/>
      <c r="R3" s="796"/>
      <c r="S3" s="796"/>
      <c r="T3" s="796"/>
      <c r="U3" s="796"/>
      <c r="V3" s="796"/>
      <c r="W3" s="796"/>
      <c r="X3" s="796"/>
      <c r="Y3" s="796"/>
      <c r="Z3" s="796"/>
      <c r="AA3" s="796"/>
      <c r="AB3" s="796"/>
      <c r="AC3" s="796"/>
      <c r="AD3" s="796"/>
      <c r="AE3" s="796"/>
      <c r="AF3" s="796"/>
      <c r="AG3" s="796"/>
      <c r="AH3" s="796"/>
      <c r="AI3" s="796"/>
      <c r="AJ3" s="796"/>
      <c r="AK3" s="796"/>
      <c r="AL3" s="796"/>
      <c r="AM3" s="796"/>
      <c r="AN3" s="796"/>
      <c r="AO3" s="796"/>
      <c r="AP3" s="796"/>
      <c r="AQ3" s="796"/>
      <c r="AR3" s="796"/>
      <c r="AS3" s="796"/>
      <c r="AT3" s="796"/>
      <c r="AU3" s="796"/>
      <c r="AV3" s="796"/>
      <c r="AW3" s="796"/>
      <c r="AX3" s="796"/>
      <c r="AY3" s="796"/>
      <c r="AZ3" s="796"/>
      <c r="BA3" s="796"/>
      <c r="BB3" s="796"/>
      <c r="BC3" s="796"/>
      <c r="BD3" s="796"/>
      <c r="BE3" s="796"/>
      <c r="BF3" s="796"/>
      <c r="BG3" s="796"/>
      <c r="BH3" s="796"/>
      <c r="BI3" s="796"/>
      <c r="BJ3" s="796"/>
      <c r="BK3" s="796"/>
      <c r="BL3" s="796"/>
      <c r="BM3" s="796"/>
      <c r="BN3" s="796"/>
      <c r="BO3" s="796"/>
      <c r="BP3" s="796"/>
      <c r="BQ3" s="796"/>
      <c r="BR3" s="796"/>
      <c r="BS3" s="796"/>
      <c r="BT3" s="796"/>
      <c r="BU3" s="796"/>
      <c r="BV3" s="796"/>
      <c r="BW3" s="796"/>
      <c r="BX3" s="796"/>
      <c r="BY3" s="796"/>
      <c r="BZ3" s="796"/>
      <c r="CA3" s="796"/>
      <c r="CB3" s="796"/>
      <c r="CC3" s="796"/>
      <c r="CD3" s="796"/>
      <c r="CE3" s="796"/>
      <c r="CF3" s="796"/>
      <c r="CG3" s="796"/>
      <c r="CH3" s="796"/>
      <c r="CI3" s="796"/>
      <c r="CJ3" s="796"/>
      <c r="CK3" s="796"/>
      <c r="CL3" s="796"/>
      <c r="CM3" s="796"/>
      <c r="CN3" s="796"/>
      <c r="CO3" s="796"/>
      <c r="CP3" s="796"/>
      <c r="CQ3" s="796"/>
      <c r="CR3" s="796"/>
      <c r="CS3" s="796"/>
      <c r="CT3" s="796"/>
      <c r="CU3" s="796"/>
      <c r="CV3" s="796"/>
      <c r="CW3" s="796"/>
      <c r="CX3" s="796"/>
      <c r="CY3" s="796"/>
      <c r="CZ3" s="796"/>
      <c r="DA3" s="796"/>
      <c r="DB3" s="796"/>
      <c r="DC3" s="796"/>
      <c r="DD3" s="796"/>
      <c r="DE3" s="796"/>
      <c r="DF3" s="796"/>
      <c r="DG3" s="796"/>
      <c r="DH3" s="796"/>
      <c r="DI3" s="796"/>
      <c r="DJ3" s="796"/>
    </row>
    <row r="4" spans="1:114" s="810" customFormat="1" ht="15" customHeight="1">
      <c r="A4" s="797" t="s">
        <v>421</v>
      </c>
      <c r="B4" s="380" t="s">
        <v>17</v>
      </c>
      <c r="C4" s="521" t="s">
        <v>421</v>
      </c>
      <c r="D4" s="806"/>
      <c r="E4" s="807" t="s">
        <v>1720</v>
      </c>
      <c r="F4" s="808" t="s">
        <v>1720</v>
      </c>
      <c r="G4" s="807" t="s">
        <v>1720</v>
      </c>
      <c r="H4" s="808" t="s">
        <v>1720</v>
      </c>
      <c r="I4" s="807" t="s">
        <v>1720</v>
      </c>
      <c r="J4" s="811"/>
      <c r="K4" s="807" t="s">
        <v>1720</v>
      </c>
      <c r="L4" s="808" t="s">
        <v>1720</v>
      </c>
      <c r="M4" s="807" t="s">
        <v>1720</v>
      </c>
      <c r="N4" s="808" t="s">
        <v>1717</v>
      </c>
      <c r="O4" s="807" t="s">
        <v>1717</v>
      </c>
      <c r="P4" s="808" t="s">
        <v>1717</v>
      </c>
      <c r="Q4" s="807" t="s">
        <v>1720</v>
      </c>
      <c r="R4" s="808" t="s">
        <v>1720</v>
      </c>
      <c r="S4" s="807" t="s">
        <v>1720</v>
      </c>
      <c r="T4" s="808" t="s">
        <v>1720</v>
      </c>
      <c r="U4" s="807" t="s">
        <v>1720</v>
      </c>
      <c r="V4" s="808" t="s">
        <v>1720</v>
      </c>
      <c r="W4" s="807" t="s">
        <v>1720</v>
      </c>
      <c r="X4" s="808" t="s">
        <v>1720</v>
      </c>
      <c r="Y4" s="808" t="s">
        <v>1720</v>
      </c>
      <c r="Z4" s="808" t="s">
        <v>1720</v>
      </c>
      <c r="AA4" s="807" t="s">
        <v>1720</v>
      </c>
      <c r="AB4" s="808" t="s">
        <v>1720</v>
      </c>
      <c r="AC4" s="807"/>
      <c r="AD4" s="808"/>
      <c r="AE4" s="807"/>
      <c r="AF4" s="808"/>
      <c r="AG4" s="807" t="s">
        <v>1720</v>
      </c>
      <c r="AH4" s="808"/>
      <c r="AI4" s="807"/>
      <c r="AJ4" s="808"/>
      <c r="AK4" s="807"/>
      <c r="AL4" s="808"/>
      <c r="AM4" s="807" t="s">
        <v>1720</v>
      </c>
      <c r="AN4" s="808"/>
      <c r="AO4" s="807"/>
      <c r="AP4" s="808"/>
      <c r="AQ4" s="807"/>
      <c r="AR4" s="808"/>
      <c r="AS4" s="807"/>
      <c r="AT4" s="808"/>
      <c r="AU4" s="807"/>
      <c r="AV4" s="808"/>
      <c r="AW4" s="807"/>
      <c r="AX4" s="808"/>
      <c r="AY4" s="807"/>
      <c r="AZ4" s="808"/>
      <c r="BA4" s="807"/>
      <c r="BB4" s="808"/>
      <c r="BC4" s="807"/>
      <c r="BD4" s="808"/>
      <c r="BE4" s="807"/>
      <c r="BF4" s="808"/>
      <c r="BG4" s="807"/>
      <c r="BH4" s="808"/>
      <c r="BI4" s="807"/>
      <c r="BJ4" s="808"/>
      <c r="BK4" s="807"/>
      <c r="BL4" s="808"/>
      <c r="BM4" s="807"/>
      <c r="BN4" s="808"/>
      <c r="BO4" s="807"/>
      <c r="BP4" s="808"/>
      <c r="BQ4" s="807"/>
      <c r="BR4" s="808"/>
      <c r="BS4" s="807"/>
      <c r="BT4" s="808"/>
      <c r="BU4" s="807"/>
      <c r="BV4" s="808"/>
      <c r="BW4" s="807"/>
      <c r="BX4" s="808"/>
      <c r="BY4" s="807"/>
      <c r="BZ4" s="808"/>
      <c r="CA4" s="807"/>
      <c r="CB4" s="808"/>
      <c r="CC4" s="807"/>
      <c r="CD4" s="808"/>
      <c r="CE4" s="807"/>
      <c r="CF4" s="808"/>
      <c r="CG4" s="807"/>
      <c r="CH4" s="808"/>
      <c r="CI4" s="807"/>
      <c r="CJ4" s="808"/>
      <c r="CK4" s="807"/>
      <c r="CL4" s="808"/>
      <c r="CM4" s="807"/>
      <c r="CN4" s="808"/>
      <c r="CO4" s="807"/>
      <c r="CP4" s="808"/>
      <c r="CQ4" s="807"/>
      <c r="CR4" s="808"/>
      <c r="CS4" s="807"/>
      <c r="CT4" s="808"/>
      <c r="CU4" s="807"/>
      <c r="CV4" s="808"/>
      <c r="CW4" s="807"/>
      <c r="CX4" s="808"/>
      <c r="CY4" s="807"/>
      <c r="CZ4" s="808"/>
      <c r="DA4" s="807"/>
      <c r="DB4" s="808"/>
      <c r="DC4" s="807"/>
      <c r="DD4" s="808"/>
      <c r="DE4" s="807"/>
      <c r="DF4" s="808"/>
      <c r="DG4" s="807"/>
      <c r="DH4" s="808"/>
      <c r="DI4" s="807"/>
      <c r="DJ4" s="808"/>
    </row>
    <row r="5" spans="1:114" ht="15" customHeight="1">
      <c r="A5" s="797" t="s">
        <v>1731</v>
      </c>
      <c r="B5" s="380" t="s">
        <v>437</v>
      </c>
      <c r="C5" s="521" t="s">
        <v>440</v>
      </c>
      <c r="D5" s="794"/>
      <c r="E5" s="685">
        <v>1985</v>
      </c>
      <c r="F5" s="795">
        <v>1988</v>
      </c>
      <c r="G5" s="685">
        <v>1995</v>
      </c>
      <c r="H5" s="795">
        <v>1995</v>
      </c>
      <c r="I5" s="685">
        <v>2007</v>
      </c>
      <c r="J5" s="803"/>
      <c r="K5" s="685">
        <v>1989</v>
      </c>
      <c r="L5" s="795">
        <v>1992</v>
      </c>
      <c r="M5" s="685">
        <v>1997</v>
      </c>
      <c r="N5" s="795">
        <v>1968</v>
      </c>
      <c r="O5" s="685">
        <v>1964</v>
      </c>
      <c r="P5" s="795">
        <v>1997</v>
      </c>
      <c r="Q5" s="685">
        <v>1976</v>
      </c>
      <c r="R5" s="795">
        <v>1984</v>
      </c>
      <c r="S5" s="685">
        <v>1995</v>
      </c>
      <c r="T5" s="795">
        <v>1995</v>
      </c>
      <c r="U5" s="685">
        <v>1988</v>
      </c>
      <c r="V5" s="795">
        <v>1995</v>
      </c>
      <c r="W5" s="685">
        <v>1995</v>
      </c>
      <c r="X5" s="795">
        <v>1998</v>
      </c>
      <c r="Y5" s="795">
        <v>1986</v>
      </c>
      <c r="Z5" s="795"/>
      <c r="AA5" s="685">
        <v>1993</v>
      </c>
      <c r="AB5" s="795">
        <v>1996</v>
      </c>
      <c r="AC5" s="685"/>
      <c r="AD5" s="795"/>
      <c r="AE5" s="685"/>
      <c r="AF5" s="795"/>
      <c r="AG5" s="685">
        <v>1980</v>
      </c>
      <c r="AH5" s="795"/>
      <c r="AI5" s="685"/>
      <c r="AJ5" s="795"/>
      <c r="AK5" s="685"/>
      <c r="AL5" s="795"/>
      <c r="AM5" s="685">
        <v>1991</v>
      </c>
      <c r="AN5" s="795"/>
      <c r="AO5" s="685"/>
      <c r="AP5" s="795"/>
      <c r="AQ5" s="685"/>
      <c r="AR5" s="795"/>
      <c r="AS5" s="685"/>
      <c r="AT5" s="795"/>
      <c r="AU5" s="685"/>
      <c r="AV5" s="795"/>
      <c r="AW5" s="685"/>
      <c r="AX5" s="795"/>
      <c r="AY5" s="685"/>
      <c r="AZ5" s="795"/>
      <c r="BA5" s="685"/>
      <c r="BB5" s="795"/>
      <c r="BC5" s="685"/>
      <c r="BD5" s="795"/>
      <c r="BE5" s="685"/>
      <c r="BF5" s="795"/>
      <c r="BG5" s="685"/>
      <c r="BH5" s="795"/>
      <c r="BI5" s="685"/>
      <c r="BJ5" s="795"/>
      <c r="BK5" s="685"/>
      <c r="BL5" s="795"/>
      <c r="BM5" s="685"/>
      <c r="BN5" s="795"/>
      <c r="BO5" s="685"/>
      <c r="BP5" s="795"/>
      <c r="BQ5" s="685"/>
      <c r="BR5" s="795"/>
      <c r="BS5" s="685"/>
      <c r="BT5" s="795"/>
      <c r="BU5" s="685"/>
      <c r="BV5" s="795"/>
      <c r="BW5" s="685"/>
      <c r="BX5" s="795"/>
      <c r="BY5" s="685"/>
      <c r="BZ5" s="795"/>
      <c r="CA5" s="685"/>
      <c r="CB5" s="795"/>
      <c r="CC5" s="685"/>
      <c r="CD5" s="795"/>
      <c r="CE5" s="685"/>
      <c r="CF5" s="795"/>
      <c r="CG5" s="685"/>
      <c r="CH5" s="795"/>
      <c r="CI5" s="685"/>
      <c r="CJ5" s="795"/>
      <c r="CK5" s="685"/>
      <c r="CL5" s="795"/>
      <c r="CM5" s="685"/>
      <c r="CN5" s="795"/>
      <c r="CO5" s="685"/>
      <c r="CP5" s="795"/>
      <c r="CQ5" s="685"/>
      <c r="CR5" s="795"/>
      <c r="CS5" s="685"/>
      <c r="CT5" s="795"/>
      <c r="CU5" s="685"/>
      <c r="CV5" s="795"/>
      <c r="CW5" s="685"/>
      <c r="CX5" s="795"/>
      <c r="CY5" s="685"/>
      <c r="CZ5" s="795"/>
      <c r="DA5" s="685"/>
      <c r="DB5" s="795"/>
      <c r="DC5" s="685"/>
      <c r="DD5" s="795"/>
      <c r="DE5" s="685"/>
      <c r="DF5" s="795"/>
      <c r="DG5" s="685"/>
      <c r="DH5" s="795"/>
      <c r="DI5" s="685"/>
      <c r="DJ5" s="795"/>
    </row>
    <row r="6" spans="1:114" ht="15" customHeight="1">
      <c r="A6" s="797" t="s">
        <v>1732</v>
      </c>
      <c r="B6" s="380" t="s">
        <v>17</v>
      </c>
      <c r="C6" s="521" t="s">
        <v>441</v>
      </c>
      <c r="D6" s="794"/>
      <c r="E6" s="685"/>
      <c r="F6" s="795"/>
      <c r="G6" s="685"/>
      <c r="H6" s="795"/>
      <c r="I6" s="685"/>
      <c r="J6" s="803"/>
      <c r="K6" s="685"/>
      <c r="L6" s="795"/>
      <c r="M6" s="685"/>
      <c r="N6" s="795"/>
      <c r="O6" s="685"/>
      <c r="P6" s="795"/>
      <c r="Q6" s="685"/>
      <c r="R6" s="795"/>
      <c r="S6" s="685"/>
      <c r="T6" s="795"/>
      <c r="U6" s="685"/>
      <c r="V6" s="795"/>
      <c r="W6" s="685"/>
      <c r="X6" s="795"/>
      <c r="Y6" s="795"/>
      <c r="Z6" s="795"/>
      <c r="AA6" s="685"/>
      <c r="AB6" s="795"/>
      <c r="AC6" s="685"/>
      <c r="AD6" s="795"/>
      <c r="AE6" s="685"/>
      <c r="AF6" s="795"/>
      <c r="AG6" s="685"/>
      <c r="AH6" s="795"/>
      <c r="AI6" s="685"/>
      <c r="AJ6" s="795"/>
      <c r="AK6" s="685"/>
      <c r="AL6" s="795"/>
      <c r="AM6" s="685"/>
      <c r="AN6" s="795"/>
      <c r="AO6" s="685"/>
      <c r="AP6" s="795"/>
      <c r="AQ6" s="685"/>
      <c r="AR6" s="795"/>
      <c r="AS6" s="685"/>
      <c r="AT6" s="795"/>
      <c r="AU6" s="685"/>
      <c r="AV6" s="795"/>
      <c r="AW6" s="685"/>
      <c r="AX6" s="795"/>
      <c r="AY6" s="685"/>
      <c r="AZ6" s="795"/>
      <c r="BA6" s="685"/>
      <c r="BB6" s="795"/>
      <c r="BC6" s="685"/>
      <c r="BD6" s="795"/>
      <c r="BE6" s="685"/>
      <c r="BF6" s="795"/>
      <c r="BG6" s="685"/>
      <c r="BH6" s="795"/>
      <c r="BI6" s="685"/>
      <c r="BJ6" s="795"/>
      <c r="BK6" s="685"/>
      <c r="BL6" s="795"/>
      <c r="BM6" s="685"/>
      <c r="BN6" s="795"/>
      <c r="BO6" s="685"/>
      <c r="BP6" s="795"/>
      <c r="BQ6" s="685"/>
      <c r="BR6" s="795"/>
      <c r="BS6" s="685"/>
      <c r="BT6" s="795"/>
      <c r="BU6" s="685"/>
      <c r="BV6" s="795"/>
      <c r="BW6" s="685"/>
      <c r="BX6" s="795"/>
      <c r="BY6" s="685"/>
      <c r="BZ6" s="795"/>
      <c r="CA6" s="685"/>
      <c r="CB6" s="795"/>
      <c r="CC6" s="685"/>
      <c r="CD6" s="795"/>
      <c r="CE6" s="685"/>
      <c r="CF6" s="795"/>
      <c r="CG6" s="685"/>
      <c r="CH6" s="795"/>
      <c r="CI6" s="685"/>
      <c r="CJ6" s="795"/>
      <c r="CK6" s="685"/>
      <c r="CL6" s="795"/>
      <c r="CM6" s="685"/>
      <c r="CN6" s="795"/>
      <c r="CO6" s="685"/>
      <c r="CP6" s="795"/>
      <c r="CQ6" s="685"/>
      <c r="CR6" s="795"/>
      <c r="CS6" s="685"/>
      <c r="CT6" s="795"/>
      <c r="CU6" s="685"/>
      <c r="CV6" s="795"/>
      <c r="CW6" s="685"/>
      <c r="CX6" s="795"/>
      <c r="CY6" s="685"/>
      <c r="CZ6" s="795"/>
      <c r="DA6" s="685"/>
      <c r="DB6" s="795"/>
      <c r="DC6" s="685"/>
      <c r="DD6" s="795"/>
      <c r="DE6" s="685"/>
      <c r="DF6" s="795"/>
      <c r="DG6" s="685"/>
      <c r="DH6" s="795"/>
      <c r="DI6" s="685"/>
      <c r="DJ6" s="795"/>
    </row>
    <row r="7" spans="1:114" s="226" customFormat="1" ht="60" customHeight="1">
      <c r="A7" s="797" t="s">
        <v>900</v>
      </c>
      <c r="B7" s="380" t="s">
        <v>901</v>
      </c>
      <c r="C7" s="521" t="s">
        <v>900</v>
      </c>
      <c r="D7" s="599"/>
      <c r="E7" s="799" t="s">
        <v>1955</v>
      </c>
      <c r="F7" s="800" t="s">
        <v>1955</v>
      </c>
      <c r="G7" s="799" t="s">
        <v>1955</v>
      </c>
      <c r="H7" s="800" t="s">
        <v>1955</v>
      </c>
      <c r="I7" s="799" t="s">
        <v>1955</v>
      </c>
      <c r="J7" s="804"/>
      <c r="K7" s="799" t="s">
        <v>1955</v>
      </c>
      <c r="L7" s="800" t="s">
        <v>1955</v>
      </c>
      <c r="M7" s="799" t="s">
        <v>1955</v>
      </c>
      <c r="N7" s="800" t="s">
        <v>1956</v>
      </c>
      <c r="O7" s="799" t="s">
        <v>1957</v>
      </c>
      <c r="P7" s="800" t="s">
        <v>1958</v>
      </c>
      <c r="Q7" s="799" t="s">
        <v>1959</v>
      </c>
      <c r="R7" s="800" t="s">
        <v>1960</v>
      </c>
      <c r="S7" s="799" t="s">
        <v>1961</v>
      </c>
      <c r="T7" s="800" t="s">
        <v>1962</v>
      </c>
      <c r="U7" s="799" t="s">
        <v>1963</v>
      </c>
      <c r="V7" s="800" t="s">
        <v>1964</v>
      </c>
      <c r="W7" s="799" t="s">
        <v>1965</v>
      </c>
      <c r="X7" s="800" t="s">
        <v>1966</v>
      </c>
      <c r="Y7" s="800" t="s">
        <v>1967</v>
      </c>
      <c r="Z7" s="800"/>
      <c r="AA7" s="799" t="s">
        <v>1968</v>
      </c>
      <c r="AB7" s="800" t="s">
        <v>1969</v>
      </c>
      <c r="AC7" s="799"/>
      <c r="AD7" s="800"/>
      <c r="AE7" s="799"/>
      <c r="AF7" s="800"/>
      <c r="AG7" s="799" t="s">
        <v>1970</v>
      </c>
      <c r="AH7" s="800"/>
      <c r="AI7" s="799"/>
      <c r="AJ7" s="801"/>
      <c r="AK7" s="802"/>
      <c r="AL7" s="801"/>
      <c r="AM7" s="802" t="s">
        <v>1971</v>
      </c>
      <c r="AN7" s="801"/>
      <c r="AO7" s="802"/>
      <c r="AP7" s="801"/>
      <c r="AQ7" s="802"/>
      <c r="AR7" s="801"/>
      <c r="AS7" s="802"/>
      <c r="AT7" s="801"/>
      <c r="AU7" s="802"/>
      <c r="AV7" s="801"/>
      <c r="AW7" s="802"/>
      <c r="AX7" s="801"/>
      <c r="AY7" s="802"/>
      <c r="AZ7" s="801"/>
      <c r="BA7" s="802"/>
      <c r="BB7" s="801"/>
      <c r="BC7" s="802"/>
      <c r="BD7" s="801"/>
      <c r="BE7" s="802"/>
      <c r="BF7" s="801"/>
      <c r="BG7" s="802"/>
      <c r="BH7" s="801"/>
      <c r="BI7" s="802"/>
      <c r="BJ7" s="801"/>
      <c r="BK7" s="802"/>
      <c r="BL7" s="801"/>
      <c r="BM7" s="802"/>
      <c r="BN7" s="801"/>
      <c r="BO7" s="802"/>
      <c r="BP7" s="801"/>
      <c r="BQ7" s="802"/>
      <c r="BR7" s="801"/>
      <c r="BS7" s="802"/>
      <c r="BT7" s="801"/>
      <c r="BU7" s="802"/>
      <c r="BV7" s="801"/>
      <c r="BW7" s="802"/>
      <c r="BX7" s="801"/>
      <c r="BY7" s="802"/>
      <c r="BZ7" s="801"/>
      <c r="CA7" s="802"/>
      <c r="CB7" s="801"/>
      <c r="CC7" s="802"/>
      <c r="CD7" s="801"/>
      <c r="CE7" s="802"/>
      <c r="CF7" s="801"/>
      <c r="CG7" s="802"/>
      <c r="CH7" s="801"/>
      <c r="CI7" s="802"/>
      <c r="CJ7" s="801"/>
      <c r="CK7" s="802"/>
      <c r="CL7" s="801"/>
      <c r="CM7" s="802"/>
      <c r="CN7" s="801"/>
      <c r="CO7" s="802"/>
      <c r="CP7" s="801"/>
      <c r="CQ7" s="802"/>
      <c r="CR7" s="801"/>
      <c r="CS7" s="802"/>
      <c r="CT7" s="801"/>
      <c r="CU7" s="802"/>
      <c r="CV7" s="801"/>
      <c r="CW7" s="802"/>
      <c r="CX7" s="801"/>
      <c r="CY7" s="802"/>
      <c r="CZ7" s="801"/>
      <c r="DA7" s="802"/>
      <c r="DB7" s="801"/>
      <c r="DC7" s="802"/>
      <c r="DD7" s="801"/>
      <c r="DE7" s="802"/>
      <c r="DF7" s="801"/>
      <c r="DG7" s="802"/>
      <c r="DH7" s="801"/>
      <c r="DI7" s="802"/>
      <c r="DJ7" s="801"/>
    </row>
    <row r="8" spans="1:114" ht="15" customHeight="1">
      <c r="A8" s="797" t="s">
        <v>1795</v>
      </c>
      <c r="B8" s="380" t="s">
        <v>898</v>
      </c>
      <c r="C8" s="521" t="s">
        <v>1218</v>
      </c>
      <c r="D8" s="794"/>
      <c r="E8" s="685"/>
      <c r="F8" s="795"/>
      <c r="G8" s="685"/>
      <c r="H8" s="795"/>
      <c r="I8" s="685"/>
      <c r="J8" s="803"/>
      <c r="K8" s="685"/>
      <c r="L8" s="795"/>
      <c r="M8" s="685"/>
      <c r="N8" s="795"/>
      <c r="O8" s="685"/>
      <c r="P8" s="795"/>
      <c r="Q8" s="685"/>
      <c r="R8" s="795"/>
      <c r="S8" s="685"/>
      <c r="T8" s="795"/>
      <c r="U8" s="685"/>
      <c r="V8" s="795"/>
      <c r="W8" s="685"/>
      <c r="X8" s="795"/>
      <c r="Y8" s="795"/>
      <c r="Z8" s="795"/>
      <c r="AA8" s="685"/>
      <c r="AB8" s="795"/>
      <c r="AC8" s="685"/>
      <c r="AD8" s="795"/>
      <c r="AE8" s="685"/>
      <c r="AF8" s="795"/>
      <c r="AG8" s="685"/>
      <c r="AH8" s="795"/>
      <c r="AI8" s="685"/>
      <c r="AJ8" s="795"/>
      <c r="AK8" s="685"/>
      <c r="AL8" s="795"/>
      <c r="AM8" s="685"/>
      <c r="AN8" s="795"/>
      <c r="AO8" s="685"/>
      <c r="AP8" s="795"/>
      <c r="AQ8" s="685"/>
      <c r="AR8" s="795"/>
      <c r="AS8" s="685"/>
      <c r="AT8" s="795"/>
      <c r="AU8" s="685"/>
      <c r="AV8" s="795"/>
      <c r="AW8" s="685"/>
      <c r="AX8" s="795"/>
      <c r="AY8" s="685"/>
      <c r="AZ8" s="795"/>
      <c r="BA8" s="685"/>
      <c r="BB8" s="795"/>
      <c r="BC8" s="685"/>
      <c r="BD8" s="795"/>
      <c r="BE8" s="685"/>
      <c r="BF8" s="795"/>
      <c r="BG8" s="685"/>
      <c r="BH8" s="795"/>
      <c r="BI8" s="685"/>
      <c r="BJ8" s="795"/>
      <c r="BK8" s="685"/>
      <c r="BL8" s="795"/>
      <c r="BM8" s="685"/>
      <c r="BN8" s="795"/>
      <c r="BO8" s="685"/>
      <c r="BP8" s="795"/>
      <c r="BQ8" s="685"/>
      <c r="BR8" s="795"/>
      <c r="BS8" s="685"/>
      <c r="BT8" s="795"/>
      <c r="BU8" s="685"/>
      <c r="BV8" s="795"/>
      <c r="BW8" s="685"/>
      <c r="BX8" s="795"/>
      <c r="BY8" s="685"/>
      <c r="BZ8" s="795"/>
      <c r="CA8" s="685"/>
      <c r="CB8" s="795"/>
      <c r="CC8" s="685"/>
      <c r="CD8" s="795"/>
      <c r="CE8" s="685"/>
      <c r="CF8" s="795"/>
      <c r="CG8" s="685"/>
      <c r="CH8" s="795"/>
      <c r="CI8" s="685"/>
      <c r="CJ8" s="795"/>
      <c r="CK8" s="685"/>
      <c r="CL8" s="795"/>
      <c r="CM8" s="685"/>
      <c r="CN8" s="795"/>
      <c r="CO8" s="685"/>
      <c r="CP8" s="795"/>
      <c r="CQ8" s="685"/>
      <c r="CR8" s="795"/>
      <c r="CS8" s="685"/>
      <c r="CT8" s="795"/>
      <c r="CU8" s="685"/>
      <c r="CV8" s="795"/>
      <c r="CW8" s="685"/>
      <c r="CX8" s="795"/>
      <c r="CY8" s="685"/>
      <c r="CZ8" s="795"/>
      <c r="DA8" s="685"/>
      <c r="DB8" s="795"/>
      <c r="DC8" s="685"/>
      <c r="DD8" s="795"/>
      <c r="DE8" s="685"/>
      <c r="DF8" s="795"/>
      <c r="DG8" s="685"/>
      <c r="DH8" s="795"/>
      <c r="DI8" s="685"/>
      <c r="DJ8" s="795"/>
    </row>
    <row r="9" spans="1:114" ht="15" customHeight="1">
      <c r="A9" s="798" t="s">
        <v>1646</v>
      </c>
      <c r="B9" s="535"/>
      <c r="C9" s="520"/>
      <c r="D9" s="794"/>
      <c r="E9" s="796"/>
      <c r="F9" s="796"/>
      <c r="G9" s="796"/>
      <c r="H9" s="796"/>
      <c r="I9" s="796"/>
      <c r="J9" s="796"/>
      <c r="K9" s="796"/>
      <c r="L9" s="796"/>
      <c r="M9" s="796"/>
      <c r="N9" s="796"/>
      <c r="O9" s="796"/>
      <c r="P9" s="796"/>
      <c r="Q9" s="796"/>
      <c r="R9" s="796"/>
      <c r="S9" s="796"/>
      <c r="T9" s="796"/>
      <c r="U9" s="796"/>
      <c r="V9" s="796"/>
      <c r="W9" s="796"/>
      <c r="X9" s="796"/>
      <c r="Y9" s="796"/>
      <c r="Z9" s="796"/>
      <c r="AA9" s="796"/>
      <c r="AB9" s="796"/>
      <c r="AC9" s="796"/>
      <c r="AD9" s="796"/>
      <c r="AE9" s="796"/>
      <c r="AF9" s="796"/>
      <c r="AG9" s="796"/>
      <c r="AH9" s="796"/>
      <c r="AI9" s="796"/>
      <c r="AJ9" s="796"/>
      <c r="AK9" s="796"/>
      <c r="AL9" s="796"/>
      <c r="AM9" s="796"/>
      <c r="AN9" s="796"/>
      <c r="AO9" s="796"/>
      <c r="AP9" s="796"/>
      <c r="AQ9" s="796"/>
      <c r="AR9" s="796"/>
      <c r="AS9" s="796"/>
      <c r="AT9" s="796"/>
      <c r="AU9" s="796"/>
      <c r="AV9" s="796"/>
      <c r="AW9" s="796"/>
      <c r="AX9" s="796"/>
      <c r="AY9" s="796"/>
      <c r="AZ9" s="796"/>
      <c r="BA9" s="796"/>
      <c r="BB9" s="796"/>
      <c r="BC9" s="796"/>
      <c r="BD9" s="796"/>
      <c r="BE9" s="796"/>
      <c r="BF9" s="796"/>
      <c r="BG9" s="796"/>
      <c r="BH9" s="796"/>
      <c r="BI9" s="796"/>
      <c r="BJ9" s="796"/>
      <c r="BK9" s="796"/>
      <c r="BL9" s="796"/>
      <c r="BM9" s="796"/>
      <c r="BN9" s="796"/>
      <c r="BO9" s="796"/>
      <c r="BP9" s="796"/>
      <c r="BQ9" s="796"/>
      <c r="BR9" s="796"/>
      <c r="BS9" s="796"/>
      <c r="BT9" s="796"/>
      <c r="BU9" s="796"/>
      <c r="BV9" s="796"/>
      <c r="BW9" s="796"/>
      <c r="BX9" s="796"/>
      <c r="BY9" s="796"/>
      <c r="BZ9" s="796"/>
      <c r="CA9" s="796"/>
      <c r="CB9" s="796"/>
      <c r="CC9" s="796"/>
      <c r="CD9" s="796"/>
      <c r="CE9" s="796"/>
      <c r="CF9" s="796"/>
      <c r="CG9" s="796"/>
      <c r="CH9" s="796"/>
      <c r="CI9" s="796"/>
      <c r="CJ9" s="796"/>
      <c r="CK9" s="796"/>
      <c r="CL9" s="796"/>
      <c r="CM9" s="796"/>
      <c r="CN9" s="796"/>
      <c r="CO9" s="796"/>
      <c r="CP9" s="796"/>
      <c r="CQ9" s="796"/>
      <c r="CR9" s="796"/>
      <c r="CS9" s="796"/>
      <c r="CT9" s="796"/>
      <c r="CU9" s="796"/>
      <c r="CV9" s="796"/>
      <c r="CW9" s="796"/>
      <c r="CX9" s="796"/>
      <c r="CY9" s="796"/>
      <c r="CZ9" s="796"/>
      <c r="DA9" s="796"/>
      <c r="DB9" s="796"/>
      <c r="DC9" s="796"/>
      <c r="DD9" s="796"/>
      <c r="DE9" s="796"/>
      <c r="DF9" s="796"/>
      <c r="DG9" s="796"/>
      <c r="DH9" s="796"/>
      <c r="DI9" s="796"/>
      <c r="DJ9" s="796"/>
    </row>
    <row r="10" spans="1:114" ht="15" customHeight="1">
      <c r="A10" s="797" t="s">
        <v>1972</v>
      </c>
      <c r="B10" s="380" t="s">
        <v>1648</v>
      </c>
      <c r="C10" s="521" t="s">
        <v>1973</v>
      </c>
      <c r="D10" s="794"/>
      <c r="E10" s="685">
        <v>1556</v>
      </c>
      <c r="F10" s="795">
        <v>1697</v>
      </c>
      <c r="G10" s="685">
        <v>1718</v>
      </c>
      <c r="H10" s="795">
        <v>1876</v>
      </c>
      <c r="I10" s="685">
        <v>2148</v>
      </c>
      <c r="J10" s="803"/>
      <c r="K10" s="685">
        <v>1881</v>
      </c>
      <c r="L10" s="795">
        <v>2148</v>
      </c>
      <c r="M10" s="685">
        <v>2148</v>
      </c>
      <c r="N10" s="795">
        <v>3490</v>
      </c>
      <c r="O10" s="685">
        <v>3020</v>
      </c>
      <c r="P10" s="795"/>
      <c r="Q10" s="685">
        <v>875</v>
      </c>
      <c r="R10" s="795">
        <v>1566</v>
      </c>
      <c r="S10" s="685">
        <v>1687</v>
      </c>
      <c r="T10" s="795">
        <v>1687</v>
      </c>
      <c r="U10" s="685">
        <v>1866</v>
      </c>
      <c r="V10" s="795">
        <v>1958</v>
      </c>
      <c r="W10" s="685">
        <v>1866</v>
      </c>
      <c r="X10" s="795">
        <v>4095</v>
      </c>
      <c r="Y10" s="795">
        <v>1411</v>
      </c>
      <c r="Z10" s="795"/>
      <c r="AA10" s="685">
        <v>1702</v>
      </c>
      <c r="AB10" s="795">
        <v>1702</v>
      </c>
      <c r="AC10" s="685"/>
      <c r="AD10" s="795"/>
      <c r="AE10" s="685"/>
      <c r="AF10" s="795"/>
      <c r="AG10" s="685">
        <v>935</v>
      </c>
      <c r="AH10" s="795"/>
      <c r="AI10" s="685"/>
      <c r="AJ10" s="795"/>
      <c r="AK10" s="685"/>
      <c r="AL10" s="795"/>
      <c r="AM10" s="685">
        <v>1009</v>
      </c>
      <c r="AN10" s="795"/>
      <c r="AO10" s="685"/>
      <c r="AP10" s="795"/>
      <c r="AQ10" s="685"/>
      <c r="AR10" s="795"/>
      <c r="AS10" s="685"/>
      <c r="AT10" s="795"/>
      <c r="AU10" s="685"/>
      <c r="AV10" s="795"/>
      <c r="AW10" s="685"/>
      <c r="AX10" s="795"/>
      <c r="AY10" s="685"/>
      <c r="AZ10" s="795"/>
      <c r="BA10" s="685"/>
      <c r="BB10" s="795"/>
      <c r="BC10" s="685"/>
      <c r="BD10" s="795"/>
      <c r="BE10" s="685"/>
      <c r="BF10" s="795"/>
      <c r="BG10" s="685"/>
      <c r="BH10" s="795"/>
      <c r="BI10" s="685"/>
      <c r="BJ10" s="795"/>
      <c r="BK10" s="685"/>
      <c r="BL10" s="795"/>
      <c r="BM10" s="685"/>
      <c r="BN10" s="795"/>
      <c r="BO10" s="685"/>
      <c r="BP10" s="795"/>
      <c r="BQ10" s="685"/>
      <c r="BR10" s="795"/>
      <c r="BS10" s="685"/>
      <c r="BT10" s="795"/>
      <c r="BU10" s="685"/>
      <c r="BV10" s="795"/>
      <c r="BW10" s="685"/>
      <c r="BX10" s="795"/>
      <c r="BY10" s="685"/>
      <c r="BZ10" s="795"/>
      <c r="CA10" s="685"/>
      <c r="CB10" s="795"/>
      <c r="CC10" s="685"/>
      <c r="CD10" s="795"/>
      <c r="CE10" s="685"/>
      <c r="CF10" s="795"/>
      <c r="CG10" s="685"/>
      <c r="CH10" s="795"/>
      <c r="CI10" s="685"/>
      <c r="CJ10" s="795"/>
      <c r="CK10" s="685"/>
      <c r="CL10" s="795"/>
      <c r="CM10" s="685"/>
      <c r="CN10" s="795"/>
      <c r="CO10" s="685"/>
      <c r="CP10" s="795"/>
      <c r="CQ10" s="685"/>
      <c r="CR10" s="795"/>
      <c r="CS10" s="685"/>
      <c r="CT10" s="795"/>
      <c r="CU10" s="685"/>
      <c r="CV10" s="795"/>
      <c r="CW10" s="685"/>
      <c r="CX10" s="795"/>
      <c r="CY10" s="685"/>
      <c r="CZ10" s="795"/>
      <c r="DA10" s="685"/>
      <c r="DB10" s="795"/>
      <c r="DC10" s="685"/>
      <c r="DD10" s="795"/>
      <c r="DE10" s="685"/>
      <c r="DF10" s="795"/>
      <c r="DG10" s="685"/>
      <c r="DH10" s="795"/>
      <c r="DI10" s="685"/>
      <c r="DJ10" s="795"/>
    </row>
    <row r="11" spans="1:114" ht="15" customHeight="1">
      <c r="A11" s="797" t="s">
        <v>1796</v>
      </c>
      <c r="B11" s="380" t="s">
        <v>1648</v>
      </c>
      <c r="C11" s="521" t="s">
        <v>1974</v>
      </c>
      <c r="D11" s="794"/>
      <c r="E11" s="685">
        <v>1491</v>
      </c>
      <c r="F11" s="795">
        <v>1603</v>
      </c>
      <c r="G11" s="685">
        <v>1640</v>
      </c>
      <c r="H11" s="795">
        <v>1790</v>
      </c>
      <c r="I11" s="685">
        <v>2051</v>
      </c>
      <c r="J11" s="803"/>
      <c r="K11" s="685">
        <v>1790</v>
      </c>
      <c r="L11" s="795">
        <v>2051</v>
      </c>
      <c r="M11" s="685">
        <v>2051</v>
      </c>
      <c r="N11" s="795">
        <v>3257</v>
      </c>
      <c r="O11" s="685">
        <v>2800</v>
      </c>
      <c r="P11" s="795">
        <v>3458</v>
      </c>
      <c r="Q11" s="685">
        <v>835</v>
      </c>
      <c r="R11" s="795">
        <v>1491</v>
      </c>
      <c r="S11" s="685">
        <v>1603</v>
      </c>
      <c r="T11" s="795">
        <v>1603</v>
      </c>
      <c r="U11" s="685">
        <v>1775</v>
      </c>
      <c r="V11" s="795">
        <v>1864</v>
      </c>
      <c r="W11" s="685">
        <v>1775</v>
      </c>
      <c r="X11" s="795">
        <v>3781</v>
      </c>
      <c r="Y11" s="795">
        <v>1342</v>
      </c>
      <c r="Z11" s="795"/>
      <c r="AA11" s="685">
        <v>1626</v>
      </c>
      <c r="AB11" s="795">
        <v>1626</v>
      </c>
      <c r="AC11" s="685"/>
      <c r="AD11" s="795"/>
      <c r="AE11" s="685"/>
      <c r="AF11" s="795"/>
      <c r="AG11" s="685">
        <v>893</v>
      </c>
      <c r="AH11" s="795"/>
      <c r="AI11" s="685"/>
      <c r="AJ11" s="795"/>
      <c r="AK11" s="685"/>
      <c r="AL11" s="795"/>
      <c r="AM11" s="685">
        <v>954</v>
      </c>
      <c r="AN11" s="795"/>
      <c r="AO11" s="685"/>
      <c r="AP11" s="795"/>
      <c r="AQ11" s="685"/>
      <c r="AR11" s="795"/>
      <c r="AS11" s="685"/>
      <c r="AT11" s="795"/>
      <c r="AU11" s="685"/>
      <c r="AV11" s="795"/>
      <c r="AW11" s="685"/>
      <c r="AX11" s="795"/>
      <c r="AY11" s="685"/>
      <c r="AZ11" s="795"/>
      <c r="BA11" s="685"/>
      <c r="BB11" s="795"/>
      <c r="BC11" s="685"/>
      <c r="BD11" s="795"/>
      <c r="BE11" s="685"/>
      <c r="BF11" s="795"/>
      <c r="BG11" s="685"/>
      <c r="BH11" s="795"/>
      <c r="BI11" s="685"/>
      <c r="BJ11" s="795"/>
      <c r="BK11" s="685"/>
      <c r="BL11" s="795"/>
      <c r="BM11" s="685"/>
      <c r="BN11" s="795"/>
      <c r="BO11" s="685"/>
      <c r="BP11" s="795"/>
      <c r="BQ11" s="685"/>
      <c r="BR11" s="795"/>
      <c r="BS11" s="685"/>
      <c r="BT11" s="795"/>
      <c r="BU11" s="685"/>
      <c r="BV11" s="795"/>
      <c r="BW11" s="685"/>
      <c r="BX11" s="795"/>
      <c r="BY11" s="685"/>
      <c r="BZ11" s="795"/>
      <c r="CA11" s="685"/>
      <c r="CB11" s="795"/>
      <c r="CC11" s="685"/>
      <c r="CD11" s="795"/>
      <c r="CE11" s="685"/>
      <c r="CF11" s="795"/>
      <c r="CG11" s="685"/>
      <c r="CH11" s="795"/>
      <c r="CI11" s="685"/>
      <c r="CJ11" s="795"/>
      <c r="CK11" s="685"/>
      <c r="CL11" s="795"/>
      <c r="CM11" s="685"/>
      <c r="CN11" s="795"/>
      <c r="CO11" s="685"/>
      <c r="CP11" s="795"/>
      <c r="CQ11" s="685"/>
      <c r="CR11" s="795"/>
      <c r="CS11" s="685"/>
      <c r="CT11" s="795"/>
      <c r="CU11" s="685"/>
      <c r="CV11" s="795"/>
      <c r="CW11" s="685"/>
      <c r="CX11" s="795"/>
      <c r="CY11" s="685"/>
      <c r="CZ11" s="795"/>
      <c r="DA11" s="685"/>
      <c r="DB11" s="795"/>
      <c r="DC11" s="685"/>
      <c r="DD11" s="795"/>
      <c r="DE11" s="685"/>
      <c r="DF11" s="795"/>
      <c r="DG11" s="685"/>
      <c r="DH11" s="795"/>
      <c r="DI11" s="685"/>
      <c r="DJ11" s="795"/>
    </row>
    <row r="12" spans="1:114" ht="15" customHeight="1">
      <c r="A12" s="797" t="s">
        <v>1975</v>
      </c>
      <c r="B12" s="380" t="s">
        <v>1648</v>
      </c>
      <c r="C12" s="521" t="s">
        <v>1976</v>
      </c>
      <c r="D12" s="794"/>
      <c r="E12" s="685">
        <v>1332.5656710000001</v>
      </c>
      <c r="F12" s="795">
        <v>1524.210538</v>
      </c>
      <c r="G12" s="685">
        <v>1485.4341440000001</v>
      </c>
      <c r="H12" s="795">
        <v>1876.180877</v>
      </c>
      <c r="I12" s="685">
        <v>1952.9879636999999</v>
      </c>
      <c r="J12" s="803"/>
      <c r="K12" s="685">
        <v>1881</v>
      </c>
      <c r="L12" s="795">
        <v>1952.9879636999999</v>
      </c>
      <c r="M12" s="685">
        <v>1952.9879636999999</v>
      </c>
      <c r="N12" s="795">
        <v>3254.2339999999999</v>
      </c>
      <c r="O12" s="685">
        <v>2781.4609999999998</v>
      </c>
      <c r="P12" s="795"/>
      <c r="Q12" s="685"/>
      <c r="R12" s="795"/>
      <c r="S12" s="685"/>
      <c r="T12" s="795"/>
      <c r="U12" s="685"/>
      <c r="V12" s="795"/>
      <c r="W12" s="685"/>
      <c r="X12" s="795"/>
      <c r="Y12" s="795"/>
      <c r="Z12" s="795"/>
      <c r="AA12" s="685"/>
      <c r="AB12" s="795"/>
      <c r="AC12" s="685"/>
      <c r="AD12" s="795"/>
      <c r="AE12" s="685"/>
      <c r="AF12" s="795"/>
      <c r="AG12" s="685"/>
      <c r="AH12" s="795"/>
      <c r="AI12" s="685"/>
      <c r="AJ12" s="795"/>
      <c r="AK12" s="685"/>
      <c r="AL12" s="795"/>
      <c r="AM12" s="685"/>
      <c r="AN12" s="795"/>
      <c r="AO12" s="685"/>
      <c r="AP12" s="795"/>
      <c r="AQ12" s="685"/>
      <c r="AR12" s="795"/>
      <c r="AS12" s="685"/>
      <c r="AT12" s="795"/>
      <c r="AU12" s="685"/>
      <c r="AV12" s="795"/>
      <c r="AW12" s="685"/>
      <c r="AX12" s="795"/>
      <c r="AY12" s="685"/>
      <c r="AZ12" s="795"/>
      <c r="BA12" s="685"/>
      <c r="BB12" s="795"/>
      <c r="BC12" s="685"/>
      <c r="BD12" s="795"/>
      <c r="BE12" s="685"/>
      <c r="BF12" s="795"/>
      <c r="BG12" s="685"/>
      <c r="BH12" s="795"/>
      <c r="BI12" s="685"/>
      <c r="BJ12" s="795"/>
      <c r="BK12" s="685"/>
      <c r="BL12" s="795"/>
      <c r="BM12" s="685"/>
      <c r="BN12" s="795"/>
      <c r="BO12" s="685"/>
      <c r="BP12" s="795"/>
      <c r="BQ12" s="685"/>
      <c r="BR12" s="795"/>
      <c r="BS12" s="685"/>
      <c r="BT12" s="795"/>
      <c r="BU12" s="685"/>
      <c r="BV12" s="795"/>
      <c r="BW12" s="685"/>
      <c r="BX12" s="795"/>
      <c r="BY12" s="685"/>
      <c r="BZ12" s="795"/>
      <c r="CA12" s="685"/>
      <c r="CB12" s="795"/>
      <c r="CC12" s="685"/>
      <c r="CD12" s="795"/>
      <c r="CE12" s="685"/>
      <c r="CF12" s="795"/>
      <c r="CG12" s="685"/>
      <c r="CH12" s="795"/>
      <c r="CI12" s="685"/>
      <c r="CJ12" s="795"/>
      <c r="CK12" s="685"/>
      <c r="CL12" s="795"/>
      <c r="CM12" s="685"/>
      <c r="CN12" s="795"/>
      <c r="CO12" s="685"/>
      <c r="CP12" s="795"/>
      <c r="CQ12" s="685"/>
      <c r="CR12" s="795"/>
      <c r="CS12" s="685"/>
      <c r="CT12" s="795"/>
      <c r="CU12" s="685"/>
      <c r="CV12" s="795"/>
      <c r="CW12" s="685"/>
      <c r="CX12" s="795"/>
      <c r="CY12" s="685"/>
      <c r="CZ12" s="795"/>
      <c r="DA12" s="685"/>
      <c r="DB12" s="795"/>
      <c r="DC12" s="685"/>
      <c r="DD12" s="795"/>
      <c r="DE12" s="685"/>
      <c r="DF12" s="795"/>
      <c r="DG12" s="685"/>
      <c r="DH12" s="795"/>
      <c r="DI12" s="685"/>
      <c r="DJ12" s="795"/>
    </row>
    <row r="13" spans="1:114" ht="15" customHeight="1">
      <c r="A13" s="797" t="s">
        <v>1977</v>
      </c>
      <c r="B13" s="380" t="s">
        <v>1648</v>
      </c>
      <c r="C13" s="521" t="s">
        <v>1978</v>
      </c>
      <c r="D13" s="794"/>
      <c r="E13" s="685">
        <v>1268</v>
      </c>
      <c r="F13" s="795">
        <v>1454</v>
      </c>
      <c r="G13" s="685">
        <v>1417</v>
      </c>
      <c r="H13" s="795">
        <v>1790</v>
      </c>
      <c r="I13" s="685">
        <v>1864</v>
      </c>
      <c r="J13" s="803"/>
      <c r="K13" s="685">
        <v>1790</v>
      </c>
      <c r="L13" s="795">
        <v>1864</v>
      </c>
      <c r="M13" s="685">
        <v>1864</v>
      </c>
      <c r="N13" s="795">
        <v>3028.2869999999998</v>
      </c>
      <c r="O13" s="685">
        <v>2567.4450000000002</v>
      </c>
      <c r="P13" s="795"/>
      <c r="Q13" s="685"/>
      <c r="R13" s="795"/>
      <c r="S13" s="685"/>
      <c r="T13" s="795"/>
      <c r="U13" s="685"/>
      <c r="V13" s="795"/>
      <c r="W13" s="685"/>
      <c r="X13" s="795"/>
      <c r="Y13" s="795"/>
      <c r="Z13" s="795"/>
      <c r="AA13" s="685"/>
      <c r="AB13" s="795"/>
      <c r="AC13" s="685"/>
      <c r="AD13" s="795"/>
      <c r="AE13" s="685"/>
      <c r="AF13" s="795"/>
      <c r="AG13" s="685"/>
      <c r="AH13" s="795"/>
      <c r="AI13" s="685"/>
      <c r="AJ13" s="795"/>
      <c r="AK13" s="685"/>
      <c r="AL13" s="795"/>
      <c r="AM13" s="685"/>
      <c r="AN13" s="795"/>
      <c r="AO13" s="685"/>
      <c r="AP13" s="795"/>
      <c r="AQ13" s="685"/>
      <c r="AR13" s="795"/>
      <c r="AS13" s="685"/>
      <c r="AT13" s="795"/>
      <c r="AU13" s="685"/>
      <c r="AV13" s="795"/>
      <c r="AW13" s="685"/>
      <c r="AX13" s="795"/>
      <c r="AY13" s="685"/>
      <c r="AZ13" s="795"/>
      <c r="BA13" s="685"/>
      <c r="BB13" s="795"/>
      <c r="BC13" s="685"/>
      <c r="BD13" s="795"/>
      <c r="BE13" s="685"/>
      <c r="BF13" s="795"/>
      <c r="BG13" s="685"/>
      <c r="BH13" s="795"/>
      <c r="BI13" s="685"/>
      <c r="BJ13" s="795"/>
      <c r="BK13" s="685"/>
      <c r="BL13" s="795"/>
      <c r="BM13" s="685"/>
      <c r="BN13" s="795"/>
      <c r="BO13" s="685"/>
      <c r="BP13" s="795"/>
      <c r="BQ13" s="685"/>
      <c r="BR13" s="795"/>
      <c r="BS13" s="685"/>
      <c r="BT13" s="795"/>
      <c r="BU13" s="685"/>
      <c r="BV13" s="795"/>
      <c r="BW13" s="685"/>
      <c r="BX13" s="795"/>
      <c r="BY13" s="685"/>
      <c r="BZ13" s="795"/>
      <c r="CA13" s="685"/>
      <c r="CB13" s="795"/>
      <c r="CC13" s="685"/>
      <c r="CD13" s="795"/>
      <c r="CE13" s="685"/>
      <c r="CF13" s="795"/>
      <c r="CG13" s="685"/>
      <c r="CH13" s="795"/>
      <c r="CI13" s="685"/>
      <c r="CJ13" s="795"/>
      <c r="CK13" s="685"/>
      <c r="CL13" s="795"/>
      <c r="CM13" s="685"/>
      <c r="CN13" s="795"/>
      <c r="CO13" s="685"/>
      <c r="CP13" s="795"/>
      <c r="CQ13" s="685"/>
      <c r="CR13" s="795"/>
      <c r="CS13" s="685"/>
      <c r="CT13" s="795"/>
      <c r="CU13" s="685"/>
      <c r="CV13" s="795"/>
      <c r="CW13" s="685"/>
      <c r="CX13" s="795"/>
      <c r="CY13" s="685"/>
      <c r="CZ13" s="795"/>
      <c r="DA13" s="685"/>
      <c r="DB13" s="795"/>
      <c r="DC13" s="685"/>
      <c r="DD13" s="795"/>
      <c r="DE13" s="685"/>
      <c r="DF13" s="795"/>
      <c r="DG13" s="685"/>
      <c r="DH13" s="795"/>
      <c r="DI13" s="685"/>
      <c r="DJ13" s="795"/>
    </row>
    <row r="14" spans="1:114" ht="15" customHeight="1">
      <c r="A14" s="798" t="s">
        <v>1979</v>
      </c>
      <c r="B14" s="535"/>
      <c r="C14" s="520"/>
      <c r="D14" s="794"/>
      <c r="E14" s="796"/>
      <c r="F14" s="796"/>
      <c r="G14" s="796"/>
      <c r="H14" s="796"/>
      <c r="I14" s="796"/>
      <c r="J14" s="796"/>
      <c r="K14" s="796"/>
      <c r="L14" s="796"/>
      <c r="M14" s="796"/>
      <c r="N14" s="796"/>
      <c r="O14" s="796"/>
      <c r="P14" s="796"/>
      <c r="Q14" s="796"/>
      <c r="R14" s="796"/>
      <c r="S14" s="796"/>
      <c r="T14" s="796"/>
      <c r="U14" s="796"/>
      <c r="V14" s="796"/>
      <c r="W14" s="796"/>
      <c r="X14" s="796"/>
      <c r="Y14" s="796"/>
      <c r="Z14" s="796"/>
      <c r="AA14" s="796"/>
      <c r="AB14" s="796"/>
      <c r="AC14" s="796"/>
      <c r="AD14" s="796"/>
      <c r="AE14" s="796"/>
      <c r="AF14" s="796"/>
      <c r="AG14" s="796"/>
      <c r="AH14" s="796"/>
      <c r="AI14" s="796"/>
      <c r="AJ14" s="796"/>
      <c r="AK14" s="796"/>
      <c r="AL14" s="796"/>
      <c r="AM14" s="796"/>
      <c r="AN14" s="796"/>
      <c r="AO14" s="796"/>
      <c r="AP14" s="796"/>
      <c r="AQ14" s="796"/>
      <c r="AR14" s="796"/>
      <c r="AS14" s="796"/>
      <c r="AT14" s="796"/>
      <c r="AU14" s="796"/>
      <c r="AV14" s="796"/>
      <c r="AW14" s="796"/>
      <c r="AX14" s="796"/>
      <c r="AY14" s="796"/>
      <c r="AZ14" s="796"/>
      <c r="BA14" s="796"/>
      <c r="BB14" s="796"/>
      <c r="BC14" s="796"/>
      <c r="BD14" s="796"/>
      <c r="BE14" s="796"/>
      <c r="BF14" s="796"/>
      <c r="BG14" s="796"/>
      <c r="BH14" s="796"/>
      <c r="BI14" s="796"/>
      <c r="BJ14" s="796"/>
      <c r="BK14" s="796"/>
      <c r="BL14" s="796"/>
      <c r="BM14" s="796"/>
      <c r="BN14" s="796"/>
      <c r="BO14" s="796"/>
      <c r="BP14" s="796"/>
      <c r="BQ14" s="796"/>
      <c r="BR14" s="796"/>
      <c r="BS14" s="796"/>
      <c r="BT14" s="796"/>
      <c r="BU14" s="796"/>
      <c r="BV14" s="796"/>
      <c r="BW14" s="796"/>
      <c r="BX14" s="796"/>
      <c r="BY14" s="796"/>
      <c r="BZ14" s="796"/>
      <c r="CA14" s="796"/>
      <c r="CB14" s="796"/>
      <c r="CC14" s="796"/>
      <c r="CD14" s="796"/>
      <c r="CE14" s="796"/>
      <c r="CF14" s="796"/>
      <c r="CG14" s="796"/>
      <c r="CH14" s="796"/>
      <c r="CI14" s="796"/>
      <c r="CJ14" s="796"/>
      <c r="CK14" s="796"/>
      <c r="CL14" s="796"/>
      <c r="CM14" s="796"/>
      <c r="CN14" s="796"/>
      <c r="CO14" s="796"/>
      <c r="CP14" s="796"/>
      <c r="CQ14" s="796"/>
      <c r="CR14" s="796"/>
      <c r="CS14" s="796"/>
      <c r="CT14" s="796"/>
      <c r="CU14" s="796"/>
      <c r="CV14" s="796"/>
      <c r="CW14" s="796"/>
      <c r="CX14" s="796"/>
      <c r="CY14" s="796"/>
      <c r="CZ14" s="796"/>
      <c r="DA14" s="796"/>
      <c r="DB14" s="796"/>
      <c r="DC14" s="796"/>
      <c r="DD14" s="796"/>
      <c r="DE14" s="796"/>
      <c r="DF14" s="796"/>
      <c r="DG14" s="796"/>
      <c r="DH14" s="796"/>
      <c r="DI14" s="796"/>
      <c r="DJ14" s="796"/>
    </row>
    <row r="15" spans="1:114" ht="15" customHeight="1">
      <c r="A15" s="797" t="s">
        <v>1647</v>
      </c>
      <c r="B15" s="380" t="s">
        <v>1259</v>
      </c>
      <c r="C15" s="521" t="s">
        <v>1980</v>
      </c>
      <c r="D15" s="794"/>
      <c r="E15" s="685">
        <v>1112</v>
      </c>
      <c r="F15" s="795">
        <v>1134</v>
      </c>
      <c r="G15" s="685">
        <v>1157</v>
      </c>
      <c r="H15" s="795">
        <v>1286</v>
      </c>
      <c r="I15" s="685">
        <v>1446</v>
      </c>
      <c r="J15" s="803"/>
      <c r="K15" s="685">
        <v>1357</v>
      </c>
      <c r="L15" s="795">
        <v>1446</v>
      </c>
      <c r="M15" s="685">
        <v>1446</v>
      </c>
      <c r="N15" s="795">
        <v>3474</v>
      </c>
      <c r="O15" s="685">
        <v>3292</v>
      </c>
      <c r="P15" s="795"/>
      <c r="Q15" s="685">
        <v>605</v>
      </c>
      <c r="R15" s="795">
        <v>1134</v>
      </c>
      <c r="S15" s="685">
        <v>1246</v>
      </c>
      <c r="T15" s="795">
        <v>1246</v>
      </c>
      <c r="U15" s="685">
        <v>1352</v>
      </c>
      <c r="V15" s="795">
        <v>1401</v>
      </c>
      <c r="W15" s="685">
        <v>1352</v>
      </c>
      <c r="X15" s="795">
        <v>3750</v>
      </c>
      <c r="Y15" s="795">
        <v>1023</v>
      </c>
      <c r="Z15" s="795"/>
      <c r="AA15" s="685">
        <v>1139</v>
      </c>
      <c r="AB15" s="795">
        <v>1139</v>
      </c>
      <c r="AC15" s="685"/>
      <c r="AD15" s="795"/>
      <c r="AE15" s="685"/>
      <c r="AF15" s="795"/>
      <c r="AG15" s="685">
        <v>627</v>
      </c>
      <c r="AH15" s="795"/>
      <c r="AI15" s="685"/>
      <c r="AJ15" s="795"/>
      <c r="AK15" s="685"/>
      <c r="AL15" s="795"/>
      <c r="AM15" s="685">
        <v>827</v>
      </c>
      <c r="AN15" s="795"/>
      <c r="AO15" s="685"/>
      <c r="AP15" s="795"/>
      <c r="AQ15" s="685"/>
      <c r="AR15" s="795"/>
      <c r="AS15" s="685"/>
      <c r="AT15" s="795"/>
      <c r="AU15" s="685"/>
      <c r="AV15" s="795"/>
      <c r="AW15" s="685"/>
      <c r="AX15" s="795"/>
      <c r="AY15" s="685"/>
      <c r="AZ15" s="795"/>
      <c r="BA15" s="685"/>
      <c r="BB15" s="795"/>
      <c r="BC15" s="685"/>
      <c r="BD15" s="795"/>
      <c r="BE15" s="685"/>
      <c r="BF15" s="795"/>
      <c r="BG15" s="685"/>
      <c r="BH15" s="795"/>
      <c r="BI15" s="685"/>
      <c r="BJ15" s="795"/>
      <c r="BK15" s="685"/>
      <c r="BL15" s="795"/>
      <c r="BM15" s="685"/>
      <c r="BN15" s="795"/>
      <c r="BO15" s="685"/>
      <c r="BP15" s="795"/>
      <c r="BQ15" s="685"/>
      <c r="BR15" s="795"/>
      <c r="BS15" s="685"/>
      <c r="BT15" s="795"/>
      <c r="BU15" s="685"/>
      <c r="BV15" s="795"/>
      <c r="BW15" s="685"/>
      <c r="BX15" s="795"/>
      <c r="BY15" s="685"/>
      <c r="BZ15" s="795"/>
      <c r="CA15" s="685"/>
      <c r="CB15" s="795"/>
      <c r="CC15" s="685"/>
      <c r="CD15" s="795"/>
      <c r="CE15" s="685"/>
      <c r="CF15" s="795"/>
      <c r="CG15" s="685"/>
      <c r="CH15" s="795"/>
      <c r="CI15" s="685"/>
      <c r="CJ15" s="795"/>
      <c r="CK15" s="685"/>
      <c r="CL15" s="795"/>
      <c r="CM15" s="685"/>
      <c r="CN15" s="795"/>
      <c r="CO15" s="685"/>
      <c r="CP15" s="795"/>
      <c r="CQ15" s="685"/>
      <c r="CR15" s="795"/>
      <c r="CS15" s="685"/>
      <c r="CT15" s="795"/>
      <c r="CU15" s="685"/>
      <c r="CV15" s="795"/>
      <c r="CW15" s="685"/>
      <c r="CX15" s="795"/>
      <c r="CY15" s="685"/>
      <c r="CZ15" s="795"/>
      <c r="DA15" s="685"/>
      <c r="DB15" s="795"/>
      <c r="DC15" s="685"/>
      <c r="DD15" s="795"/>
      <c r="DE15" s="685"/>
      <c r="DF15" s="795"/>
      <c r="DG15" s="685"/>
      <c r="DH15" s="795"/>
      <c r="DI15" s="685"/>
      <c r="DJ15" s="795"/>
    </row>
    <row r="16" spans="1:114" ht="15" customHeight="1">
      <c r="A16" s="797" t="s">
        <v>1981</v>
      </c>
      <c r="B16" s="380" t="s">
        <v>1259</v>
      </c>
      <c r="C16" s="521" t="s">
        <v>1982</v>
      </c>
      <c r="D16" s="794"/>
      <c r="E16" s="685">
        <v>965.26400000000001</v>
      </c>
      <c r="F16" s="795">
        <v>965.26400000000001</v>
      </c>
      <c r="G16" s="685">
        <v>1023.090968</v>
      </c>
      <c r="H16" s="795">
        <v>1285.536042</v>
      </c>
      <c r="I16" s="685">
        <v>1330.02</v>
      </c>
      <c r="J16" s="803"/>
      <c r="K16" s="685">
        <v>1357</v>
      </c>
      <c r="L16" s="795">
        <v>1330.02</v>
      </c>
      <c r="M16" s="685">
        <v>1330.02</v>
      </c>
      <c r="N16" s="795">
        <v>3380.65</v>
      </c>
      <c r="O16" s="685">
        <v>3193.82</v>
      </c>
      <c r="P16" s="795"/>
      <c r="Q16" s="685"/>
      <c r="R16" s="795"/>
      <c r="S16" s="685"/>
      <c r="T16" s="795"/>
      <c r="U16" s="685"/>
      <c r="V16" s="795"/>
      <c r="W16" s="685"/>
      <c r="X16" s="795"/>
      <c r="Y16" s="795"/>
      <c r="Z16" s="795"/>
      <c r="AA16" s="685"/>
      <c r="AB16" s="795"/>
      <c r="AC16" s="685"/>
      <c r="AD16" s="795"/>
      <c r="AE16" s="685"/>
      <c r="AF16" s="795"/>
      <c r="AG16" s="685"/>
      <c r="AH16" s="795"/>
      <c r="AI16" s="685"/>
      <c r="AJ16" s="795"/>
      <c r="AK16" s="685"/>
      <c r="AL16" s="795"/>
      <c r="AM16" s="685"/>
      <c r="AN16" s="795"/>
      <c r="AO16" s="685"/>
      <c r="AP16" s="795"/>
      <c r="AQ16" s="685"/>
      <c r="AR16" s="795"/>
      <c r="AS16" s="685"/>
      <c r="AT16" s="795"/>
      <c r="AU16" s="685"/>
      <c r="AV16" s="795"/>
      <c r="AW16" s="685"/>
      <c r="AX16" s="795"/>
      <c r="AY16" s="685"/>
      <c r="AZ16" s="795"/>
      <c r="BA16" s="685"/>
      <c r="BB16" s="795"/>
      <c r="BC16" s="685"/>
      <c r="BD16" s="795"/>
      <c r="BE16" s="685"/>
      <c r="BF16" s="795"/>
      <c r="BG16" s="685"/>
      <c r="BH16" s="795"/>
      <c r="BI16" s="685"/>
      <c r="BJ16" s="795"/>
      <c r="BK16" s="685"/>
      <c r="BL16" s="795"/>
      <c r="BM16" s="685"/>
      <c r="BN16" s="795"/>
      <c r="BO16" s="685"/>
      <c r="BP16" s="795"/>
      <c r="BQ16" s="685"/>
      <c r="BR16" s="795"/>
      <c r="BS16" s="685"/>
      <c r="BT16" s="795"/>
      <c r="BU16" s="685"/>
      <c r="BV16" s="795"/>
      <c r="BW16" s="685"/>
      <c r="BX16" s="795"/>
      <c r="BY16" s="685"/>
      <c r="BZ16" s="795"/>
      <c r="CA16" s="685"/>
      <c r="CB16" s="795"/>
      <c r="CC16" s="685"/>
      <c r="CD16" s="795"/>
      <c r="CE16" s="685"/>
      <c r="CF16" s="795"/>
      <c r="CG16" s="685"/>
      <c r="CH16" s="795"/>
      <c r="CI16" s="685"/>
      <c r="CJ16" s="795"/>
      <c r="CK16" s="685"/>
      <c r="CL16" s="795"/>
      <c r="CM16" s="685"/>
      <c r="CN16" s="795"/>
      <c r="CO16" s="685"/>
      <c r="CP16" s="795"/>
      <c r="CQ16" s="685"/>
      <c r="CR16" s="795"/>
      <c r="CS16" s="685"/>
      <c r="CT16" s="795"/>
      <c r="CU16" s="685"/>
      <c r="CV16" s="795"/>
      <c r="CW16" s="685"/>
      <c r="CX16" s="795"/>
      <c r="CY16" s="685"/>
      <c r="CZ16" s="795"/>
      <c r="DA16" s="685"/>
      <c r="DB16" s="795"/>
      <c r="DC16" s="685"/>
      <c r="DD16" s="795"/>
      <c r="DE16" s="685"/>
      <c r="DF16" s="795"/>
      <c r="DG16" s="685"/>
      <c r="DH16" s="795"/>
      <c r="DI16" s="685"/>
      <c r="DJ16" s="795"/>
    </row>
    <row r="17" spans="1:114" ht="15" customHeight="1">
      <c r="A17" s="798" t="s">
        <v>1228</v>
      </c>
      <c r="B17" s="535"/>
      <c r="C17" s="520"/>
      <c r="D17" s="794"/>
      <c r="E17" s="796"/>
      <c r="F17" s="796"/>
      <c r="G17" s="796"/>
      <c r="H17" s="796"/>
      <c r="I17" s="796"/>
      <c r="J17" s="796"/>
      <c r="K17" s="796"/>
      <c r="L17" s="796"/>
      <c r="M17" s="796"/>
      <c r="N17" s="796"/>
      <c r="O17" s="796"/>
      <c r="P17" s="796"/>
      <c r="Q17" s="796"/>
      <c r="R17" s="796"/>
      <c r="S17" s="796"/>
      <c r="T17" s="796"/>
      <c r="U17" s="796"/>
      <c r="V17" s="796"/>
      <c r="W17" s="796"/>
      <c r="X17" s="796"/>
      <c r="Y17" s="796"/>
      <c r="Z17" s="796"/>
      <c r="AA17" s="796"/>
      <c r="AB17" s="796"/>
      <c r="AC17" s="796"/>
      <c r="AD17" s="796"/>
      <c r="AE17" s="796"/>
      <c r="AF17" s="796"/>
      <c r="AG17" s="796"/>
      <c r="AH17" s="796"/>
      <c r="AI17" s="796"/>
      <c r="AJ17" s="796"/>
      <c r="AK17" s="796"/>
      <c r="AL17" s="796"/>
      <c r="AM17" s="796"/>
      <c r="AN17" s="796"/>
      <c r="AO17" s="796"/>
      <c r="AP17" s="796"/>
      <c r="AQ17" s="796"/>
      <c r="AR17" s="796"/>
      <c r="AS17" s="796"/>
      <c r="AT17" s="796"/>
      <c r="AU17" s="796"/>
      <c r="AV17" s="796"/>
      <c r="AW17" s="796"/>
      <c r="AX17" s="796"/>
      <c r="AY17" s="796"/>
      <c r="AZ17" s="796"/>
      <c r="BA17" s="796"/>
      <c r="BB17" s="796"/>
      <c r="BC17" s="796"/>
      <c r="BD17" s="796"/>
      <c r="BE17" s="796"/>
      <c r="BF17" s="796"/>
      <c r="BG17" s="796"/>
      <c r="BH17" s="796"/>
      <c r="BI17" s="796"/>
      <c r="BJ17" s="796"/>
      <c r="BK17" s="796"/>
      <c r="BL17" s="796"/>
      <c r="BM17" s="796"/>
      <c r="BN17" s="796"/>
      <c r="BO17" s="796"/>
      <c r="BP17" s="796"/>
      <c r="BQ17" s="796"/>
      <c r="BR17" s="796"/>
      <c r="BS17" s="796"/>
      <c r="BT17" s="796"/>
      <c r="BU17" s="796"/>
      <c r="BV17" s="796"/>
      <c r="BW17" s="796"/>
      <c r="BX17" s="796"/>
      <c r="BY17" s="796"/>
      <c r="BZ17" s="796"/>
      <c r="CA17" s="796"/>
      <c r="CB17" s="796"/>
      <c r="CC17" s="796"/>
      <c r="CD17" s="796"/>
      <c r="CE17" s="796"/>
      <c r="CF17" s="796"/>
      <c r="CG17" s="796"/>
      <c r="CH17" s="796"/>
      <c r="CI17" s="796"/>
      <c r="CJ17" s="796"/>
      <c r="CK17" s="796"/>
      <c r="CL17" s="796"/>
      <c r="CM17" s="796"/>
      <c r="CN17" s="796"/>
      <c r="CO17" s="796"/>
      <c r="CP17" s="796"/>
      <c r="CQ17" s="796"/>
      <c r="CR17" s="796"/>
      <c r="CS17" s="796"/>
      <c r="CT17" s="796"/>
      <c r="CU17" s="796"/>
      <c r="CV17" s="796"/>
      <c r="CW17" s="796"/>
      <c r="CX17" s="796"/>
      <c r="CY17" s="796"/>
      <c r="CZ17" s="796"/>
      <c r="DA17" s="796"/>
      <c r="DB17" s="796"/>
      <c r="DC17" s="796"/>
      <c r="DD17" s="796"/>
      <c r="DE17" s="796"/>
      <c r="DF17" s="796"/>
      <c r="DG17" s="796"/>
      <c r="DH17" s="796"/>
      <c r="DI17" s="796"/>
      <c r="DJ17" s="796"/>
    </row>
    <row r="18" spans="1:114" ht="15" customHeight="1">
      <c r="A18" s="797" t="s">
        <v>1806</v>
      </c>
      <c r="B18" s="516" t="s">
        <v>1803</v>
      </c>
      <c r="C18" s="521" t="s">
        <v>1807</v>
      </c>
      <c r="D18" s="794"/>
      <c r="E18" s="685">
        <v>11.4</v>
      </c>
      <c r="F18" s="795">
        <v>11.8</v>
      </c>
      <c r="G18" s="685">
        <v>12</v>
      </c>
      <c r="H18" s="795">
        <v>14.7</v>
      </c>
      <c r="I18" s="685">
        <v>14.7</v>
      </c>
      <c r="J18" s="803"/>
      <c r="K18" s="685">
        <v>13.9</v>
      </c>
      <c r="L18" s="795">
        <v>14.7</v>
      </c>
      <c r="M18" s="685">
        <v>14.7</v>
      </c>
      <c r="N18" s="795">
        <v>9.5</v>
      </c>
      <c r="O18" s="685"/>
      <c r="P18" s="795">
        <v>16.600000000000001</v>
      </c>
      <c r="Q18" s="685"/>
      <c r="R18" s="795"/>
      <c r="S18" s="685">
        <v>13.9</v>
      </c>
      <c r="T18" s="795">
        <v>13.9</v>
      </c>
      <c r="U18" s="685">
        <v>13.8</v>
      </c>
      <c r="V18" s="795">
        <v>13.9</v>
      </c>
      <c r="W18" s="685">
        <v>13.9</v>
      </c>
      <c r="X18" s="795">
        <v>18</v>
      </c>
      <c r="Y18" s="795">
        <v>10.9</v>
      </c>
      <c r="Z18" s="795"/>
      <c r="AA18" s="685">
        <v>13.2</v>
      </c>
      <c r="AB18" s="795">
        <v>13.2</v>
      </c>
      <c r="AC18" s="685"/>
      <c r="AD18" s="795"/>
      <c r="AE18" s="685"/>
      <c r="AF18" s="795">
        <v>8.6999999999999993</v>
      </c>
      <c r="AG18" s="685">
        <v>8.6999999999999993</v>
      </c>
      <c r="AH18" s="795"/>
      <c r="AI18" s="685"/>
      <c r="AJ18" s="795"/>
      <c r="AK18" s="685"/>
      <c r="AL18" s="795"/>
      <c r="AM18" s="685">
        <v>10.8</v>
      </c>
      <c r="AN18" s="795"/>
      <c r="AO18" s="685"/>
      <c r="AP18" s="795"/>
      <c r="AQ18" s="685"/>
      <c r="AR18" s="795"/>
      <c r="AS18" s="685"/>
      <c r="AT18" s="795"/>
      <c r="AU18" s="685"/>
      <c r="AV18" s="795"/>
      <c r="AW18" s="685"/>
      <c r="AX18" s="795"/>
      <c r="AY18" s="685"/>
      <c r="AZ18" s="795"/>
      <c r="BA18" s="685"/>
      <c r="BB18" s="795"/>
      <c r="BC18" s="685"/>
      <c r="BD18" s="795"/>
      <c r="BE18" s="685"/>
      <c r="BF18" s="795"/>
      <c r="BG18" s="685"/>
      <c r="BH18" s="795"/>
      <c r="BI18" s="685"/>
      <c r="BJ18" s="795"/>
      <c r="BK18" s="685"/>
      <c r="BL18" s="795"/>
      <c r="BM18" s="685"/>
      <c r="BN18" s="795"/>
      <c r="BO18" s="685"/>
      <c r="BP18" s="795"/>
      <c r="BQ18" s="685"/>
      <c r="BR18" s="795"/>
      <c r="BS18" s="685"/>
      <c r="BT18" s="795"/>
      <c r="BU18" s="685"/>
      <c r="BV18" s="795"/>
      <c r="BW18" s="685"/>
      <c r="BX18" s="795"/>
      <c r="BY18" s="685"/>
      <c r="BZ18" s="795"/>
      <c r="CA18" s="685"/>
      <c r="CB18" s="795"/>
      <c r="CC18" s="685"/>
      <c r="CD18" s="795"/>
      <c r="CE18" s="685"/>
      <c r="CF18" s="795"/>
      <c r="CG18" s="685"/>
      <c r="CH18" s="795"/>
      <c r="CI18" s="685"/>
      <c r="CJ18" s="795"/>
      <c r="CK18" s="685"/>
      <c r="CL18" s="795"/>
      <c r="CM18" s="685"/>
      <c r="CN18" s="795"/>
      <c r="CO18" s="685"/>
      <c r="CP18" s="795"/>
      <c r="CQ18" s="685"/>
      <c r="CR18" s="795"/>
      <c r="CS18" s="685"/>
      <c r="CT18" s="795"/>
      <c r="CU18" s="685"/>
      <c r="CV18" s="795"/>
      <c r="CW18" s="685"/>
      <c r="CX18" s="795"/>
      <c r="CY18" s="685"/>
      <c r="CZ18" s="795"/>
      <c r="DA18" s="685"/>
      <c r="DB18" s="795"/>
      <c r="DC18" s="685"/>
      <c r="DD18" s="795"/>
      <c r="DE18" s="685"/>
      <c r="DF18" s="795"/>
      <c r="DG18" s="685"/>
      <c r="DH18" s="795"/>
      <c r="DI18" s="685"/>
      <c r="DJ18" s="795"/>
    </row>
    <row r="19" spans="1:114" ht="15" customHeight="1">
      <c r="A19" s="797" t="s">
        <v>1808</v>
      </c>
      <c r="B19" s="516" t="s">
        <v>1803</v>
      </c>
      <c r="C19" s="521" t="s">
        <v>1809</v>
      </c>
      <c r="D19" s="794"/>
      <c r="E19" s="685"/>
      <c r="F19" s="795"/>
      <c r="G19" s="685"/>
      <c r="H19" s="795"/>
      <c r="I19" s="685"/>
      <c r="J19" s="803"/>
      <c r="K19" s="685"/>
      <c r="L19" s="795"/>
      <c r="M19" s="685"/>
      <c r="N19" s="795"/>
      <c r="O19" s="685"/>
      <c r="P19" s="795"/>
      <c r="Q19" s="685"/>
      <c r="R19" s="795"/>
      <c r="S19" s="685"/>
      <c r="T19" s="795"/>
      <c r="U19" s="685"/>
      <c r="V19" s="795"/>
      <c r="W19" s="685"/>
      <c r="X19" s="795"/>
      <c r="Y19" s="795"/>
      <c r="Z19" s="795"/>
      <c r="AA19" s="685"/>
      <c r="AB19" s="795"/>
      <c r="AC19" s="685"/>
      <c r="AD19" s="795"/>
      <c r="AE19" s="685"/>
      <c r="AF19" s="795"/>
      <c r="AG19" s="685"/>
      <c r="AH19" s="795"/>
      <c r="AI19" s="685"/>
      <c r="AJ19" s="795"/>
      <c r="AK19" s="685"/>
      <c r="AL19" s="795"/>
      <c r="AM19" s="685"/>
      <c r="AN19" s="795"/>
      <c r="AO19" s="685"/>
      <c r="AP19" s="795"/>
      <c r="AQ19" s="685"/>
      <c r="AR19" s="795"/>
      <c r="AS19" s="685"/>
      <c r="AT19" s="795"/>
      <c r="AU19" s="685"/>
      <c r="AV19" s="795"/>
      <c r="AW19" s="685"/>
      <c r="AX19" s="795"/>
      <c r="AY19" s="685"/>
      <c r="AZ19" s="795"/>
      <c r="BA19" s="685"/>
      <c r="BB19" s="795"/>
      <c r="BC19" s="685"/>
      <c r="BD19" s="795"/>
      <c r="BE19" s="685"/>
      <c r="BF19" s="795"/>
      <c r="BG19" s="685"/>
      <c r="BH19" s="795"/>
      <c r="BI19" s="685"/>
      <c r="BJ19" s="795"/>
      <c r="BK19" s="685"/>
      <c r="BL19" s="795"/>
      <c r="BM19" s="685"/>
      <c r="BN19" s="795"/>
      <c r="BO19" s="685"/>
      <c r="BP19" s="795"/>
      <c r="BQ19" s="685"/>
      <c r="BR19" s="795"/>
      <c r="BS19" s="685"/>
      <c r="BT19" s="795"/>
      <c r="BU19" s="685"/>
      <c r="BV19" s="795"/>
      <c r="BW19" s="685"/>
      <c r="BX19" s="795"/>
      <c r="BY19" s="685"/>
      <c r="BZ19" s="795"/>
      <c r="CA19" s="685"/>
      <c r="CB19" s="795"/>
      <c r="CC19" s="685"/>
      <c r="CD19" s="795"/>
      <c r="CE19" s="685"/>
      <c r="CF19" s="795"/>
      <c r="CG19" s="685"/>
      <c r="CH19" s="795"/>
      <c r="CI19" s="685"/>
      <c r="CJ19" s="795"/>
      <c r="CK19" s="685"/>
      <c r="CL19" s="795"/>
      <c r="CM19" s="685"/>
      <c r="CN19" s="795"/>
      <c r="CO19" s="685"/>
      <c r="CP19" s="795"/>
      <c r="CQ19" s="685"/>
      <c r="CR19" s="795"/>
      <c r="CS19" s="685"/>
      <c r="CT19" s="795"/>
      <c r="CU19" s="685"/>
      <c r="CV19" s="795"/>
      <c r="CW19" s="685"/>
      <c r="CX19" s="795"/>
      <c r="CY19" s="685"/>
      <c r="CZ19" s="795"/>
      <c r="DA19" s="685"/>
      <c r="DB19" s="795"/>
      <c r="DC19" s="685"/>
      <c r="DD19" s="795"/>
      <c r="DE19" s="685"/>
      <c r="DF19" s="795"/>
      <c r="DG19" s="685"/>
      <c r="DH19" s="795"/>
      <c r="DI19" s="685"/>
      <c r="DJ19" s="795"/>
    </row>
    <row r="20" spans="1:114" ht="15" customHeight="1">
      <c r="A20" s="798" t="s">
        <v>1810</v>
      </c>
      <c r="B20" s="535"/>
      <c r="C20" s="520"/>
      <c r="D20" s="794"/>
      <c r="E20" s="796"/>
      <c r="F20" s="796"/>
      <c r="G20" s="796"/>
      <c r="H20" s="796"/>
      <c r="I20" s="796"/>
      <c r="J20" s="796"/>
      <c r="K20" s="796"/>
      <c r="L20" s="796"/>
      <c r="M20" s="796"/>
      <c r="N20" s="796"/>
      <c r="O20" s="796"/>
      <c r="P20" s="796"/>
      <c r="Q20" s="796"/>
      <c r="R20" s="796"/>
      <c r="S20" s="796"/>
      <c r="T20" s="796"/>
      <c r="U20" s="796"/>
      <c r="V20" s="796"/>
      <c r="W20" s="796"/>
      <c r="X20" s="796"/>
      <c r="Y20" s="796"/>
      <c r="Z20" s="796"/>
      <c r="AA20" s="796"/>
      <c r="AB20" s="796"/>
      <c r="AC20" s="796"/>
      <c r="AD20" s="796"/>
      <c r="AE20" s="796"/>
      <c r="AF20" s="796"/>
      <c r="AG20" s="796"/>
      <c r="AH20" s="796"/>
      <c r="AI20" s="796"/>
      <c r="AJ20" s="796"/>
      <c r="AK20" s="796"/>
      <c r="AL20" s="796"/>
      <c r="AM20" s="796"/>
      <c r="AN20" s="796"/>
      <c r="AO20" s="796"/>
      <c r="AP20" s="796"/>
      <c r="AQ20" s="796"/>
      <c r="AR20" s="796"/>
      <c r="AS20" s="796"/>
      <c r="AT20" s="796"/>
      <c r="AU20" s="796"/>
      <c r="AV20" s="796"/>
      <c r="AW20" s="796"/>
      <c r="AX20" s="796"/>
      <c r="AY20" s="796"/>
      <c r="AZ20" s="796"/>
      <c r="BA20" s="796"/>
      <c r="BB20" s="796"/>
      <c r="BC20" s="796"/>
      <c r="BD20" s="796"/>
      <c r="BE20" s="796"/>
      <c r="BF20" s="796"/>
      <c r="BG20" s="796"/>
      <c r="BH20" s="796"/>
      <c r="BI20" s="796"/>
      <c r="BJ20" s="796"/>
      <c r="BK20" s="796"/>
      <c r="BL20" s="796"/>
      <c r="BM20" s="796"/>
      <c r="BN20" s="796"/>
      <c r="BO20" s="796"/>
      <c r="BP20" s="796"/>
      <c r="BQ20" s="796"/>
      <c r="BR20" s="796"/>
      <c r="BS20" s="796"/>
      <c r="BT20" s="796"/>
      <c r="BU20" s="796"/>
      <c r="BV20" s="796"/>
      <c r="BW20" s="796"/>
      <c r="BX20" s="796"/>
      <c r="BY20" s="796"/>
      <c r="BZ20" s="796"/>
      <c r="CA20" s="796"/>
      <c r="CB20" s="796"/>
      <c r="CC20" s="796"/>
      <c r="CD20" s="796"/>
      <c r="CE20" s="796"/>
      <c r="CF20" s="796"/>
      <c r="CG20" s="796"/>
      <c r="CH20" s="796"/>
      <c r="CI20" s="796"/>
      <c r="CJ20" s="796"/>
      <c r="CK20" s="796"/>
      <c r="CL20" s="796"/>
      <c r="CM20" s="796"/>
      <c r="CN20" s="796"/>
      <c r="CO20" s="796"/>
      <c r="CP20" s="796"/>
      <c r="CQ20" s="796"/>
      <c r="CR20" s="796"/>
      <c r="CS20" s="796"/>
      <c r="CT20" s="796"/>
      <c r="CU20" s="796"/>
      <c r="CV20" s="796"/>
      <c r="CW20" s="796"/>
      <c r="CX20" s="796"/>
      <c r="CY20" s="796"/>
      <c r="CZ20" s="796"/>
      <c r="DA20" s="796"/>
      <c r="DB20" s="796"/>
      <c r="DC20" s="796"/>
      <c r="DD20" s="796"/>
      <c r="DE20" s="796"/>
      <c r="DF20" s="796"/>
      <c r="DG20" s="796"/>
      <c r="DH20" s="796"/>
      <c r="DI20" s="796"/>
      <c r="DJ20" s="796"/>
    </row>
    <row r="21" spans="1:114" ht="15" customHeight="1">
      <c r="A21" s="797" t="s">
        <v>1247</v>
      </c>
      <c r="B21" s="380" t="s">
        <v>1244</v>
      </c>
      <c r="C21" s="521" t="s">
        <v>1811</v>
      </c>
      <c r="D21" s="794"/>
      <c r="E21" s="685"/>
      <c r="F21" s="795"/>
      <c r="G21" s="685"/>
      <c r="H21" s="795"/>
      <c r="I21" s="685"/>
      <c r="J21" s="803"/>
      <c r="K21" s="685"/>
      <c r="L21" s="795"/>
      <c r="M21" s="685"/>
      <c r="N21" s="795"/>
      <c r="O21" s="685"/>
      <c r="P21" s="795"/>
      <c r="Q21" s="685"/>
      <c r="R21" s="795"/>
      <c r="S21" s="685"/>
      <c r="T21" s="795"/>
      <c r="U21" s="685"/>
      <c r="V21" s="795"/>
      <c r="W21" s="685"/>
      <c r="X21" s="795"/>
      <c r="Y21" s="795"/>
      <c r="Z21" s="795"/>
      <c r="AA21" s="685"/>
      <c r="AB21" s="795"/>
      <c r="AC21" s="685"/>
      <c r="AD21" s="795"/>
      <c r="AE21" s="685"/>
      <c r="AF21" s="795"/>
      <c r="AG21" s="685"/>
      <c r="AH21" s="795"/>
      <c r="AI21" s="685"/>
      <c r="AJ21" s="795"/>
      <c r="AK21" s="685"/>
      <c r="AL21" s="795"/>
      <c r="AM21" s="685"/>
      <c r="AN21" s="795"/>
      <c r="AO21" s="685"/>
      <c r="AP21" s="795"/>
      <c r="AQ21" s="685"/>
      <c r="AR21" s="795"/>
      <c r="AS21" s="685"/>
      <c r="AT21" s="795"/>
      <c r="AU21" s="685"/>
      <c r="AV21" s="795"/>
      <c r="AW21" s="685"/>
      <c r="AX21" s="795"/>
      <c r="AY21" s="685"/>
      <c r="AZ21" s="795"/>
      <c r="BA21" s="685"/>
      <c r="BB21" s="795"/>
      <c r="BC21" s="685"/>
      <c r="BD21" s="795"/>
      <c r="BE21" s="685"/>
      <c r="BF21" s="795"/>
      <c r="BG21" s="685"/>
      <c r="BH21" s="795"/>
      <c r="BI21" s="685"/>
      <c r="BJ21" s="795"/>
      <c r="BK21" s="685"/>
      <c r="BL21" s="795"/>
      <c r="BM21" s="685"/>
      <c r="BN21" s="795"/>
      <c r="BO21" s="685"/>
      <c r="BP21" s="795"/>
      <c r="BQ21" s="685"/>
      <c r="BR21" s="795"/>
      <c r="BS21" s="685"/>
      <c r="BT21" s="795"/>
      <c r="BU21" s="685"/>
      <c r="BV21" s="795"/>
      <c r="BW21" s="685"/>
      <c r="BX21" s="795"/>
      <c r="BY21" s="685"/>
      <c r="BZ21" s="795"/>
      <c r="CA21" s="685"/>
      <c r="CB21" s="795"/>
      <c r="CC21" s="685"/>
      <c r="CD21" s="795"/>
      <c r="CE21" s="685"/>
      <c r="CF21" s="795"/>
      <c r="CG21" s="685"/>
      <c r="CH21" s="795"/>
      <c r="CI21" s="685"/>
      <c r="CJ21" s="795"/>
      <c r="CK21" s="685"/>
      <c r="CL21" s="795"/>
      <c r="CM21" s="685"/>
      <c r="CN21" s="795"/>
      <c r="CO21" s="685"/>
      <c r="CP21" s="795"/>
      <c r="CQ21" s="685"/>
      <c r="CR21" s="795"/>
      <c r="CS21" s="685"/>
      <c r="CT21" s="795"/>
      <c r="CU21" s="685"/>
      <c r="CV21" s="795"/>
      <c r="CW21" s="685"/>
      <c r="CX21" s="795"/>
      <c r="CY21" s="685"/>
      <c r="CZ21" s="795"/>
      <c r="DA21" s="685"/>
      <c r="DB21" s="795"/>
      <c r="DC21" s="685"/>
      <c r="DD21" s="795"/>
      <c r="DE21" s="685"/>
      <c r="DF21" s="795"/>
      <c r="DG21" s="685"/>
      <c r="DH21" s="795"/>
      <c r="DI21" s="685"/>
      <c r="DJ21" s="795"/>
    </row>
    <row r="22" spans="1:114" ht="15" customHeight="1">
      <c r="A22" s="797" t="s">
        <v>1812</v>
      </c>
      <c r="B22" s="380" t="s">
        <v>1254</v>
      </c>
      <c r="C22" s="521" t="s">
        <v>1813</v>
      </c>
      <c r="D22" s="794"/>
      <c r="E22" s="685"/>
      <c r="F22" s="795"/>
      <c r="G22" s="685"/>
      <c r="H22" s="795"/>
      <c r="I22" s="685"/>
      <c r="J22" s="803"/>
      <c r="K22" s="685"/>
      <c r="L22" s="795"/>
      <c r="M22" s="685"/>
      <c r="N22" s="795"/>
      <c r="O22" s="685"/>
      <c r="P22" s="795"/>
      <c r="Q22" s="685"/>
      <c r="R22" s="795"/>
      <c r="S22" s="685"/>
      <c r="T22" s="795"/>
      <c r="U22" s="685"/>
      <c r="V22" s="795"/>
      <c r="W22" s="685"/>
      <c r="X22" s="795"/>
      <c r="Y22" s="795"/>
      <c r="Z22" s="795"/>
      <c r="AA22" s="685"/>
      <c r="AB22" s="795"/>
      <c r="AC22" s="685"/>
      <c r="AD22" s="795"/>
      <c r="AE22" s="685"/>
      <c r="AF22" s="795"/>
      <c r="AG22" s="685"/>
      <c r="AH22" s="795"/>
      <c r="AI22" s="685"/>
      <c r="AJ22" s="795"/>
      <c r="AK22" s="685"/>
      <c r="AL22" s="795"/>
      <c r="AM22" s="685"/>
      <c r="AN22" s="795"/>
      <c r="AO22" s="685"/>
      <c r="AP22" s="795"/>
      <c r="AQ22" s="685"/>
      <c r="AR22" s="795"/>
      <c r="AS22" s="685"/>
      <c r="AT22" s="795"/>
      <c r="AU22" s="685"/>
      <c r="AV22" s="795"/>
      <c r="AW22" s="685"/>
      <c r="AX22" s="795"/>
      <c r="AY22" s="685"/>
      <c r="AZ22" s="795"/>
      <c r="BA22" s="685"/>
      <c r="BB22" s="795"/>
      <c r="BC22" s="685"/>
      <c r="BD22" s="795"/>
      <c r="BE22" s="685"/>
      <c r="BF22" s="795"/>
      <c r="BG22" s="685"/>
      <c r="BH22" s="795"/>
      <c r="BI22" s="685"/>
      <c r="BJ22" s="795"/>
      <c r="BK22" s="685"/>
      <c r="BL22" s="795"/>
      <c r="BM22" s="685"/>
      <c r="BN22" s="795"/>
      <c r="BO22" s="685"/>
      <c r="BP22" s="795"/>
      <c r="BQ22" s="685"/>
      <c r="BR22" s="795"/>
      <c r="BS22" s="685"/>
      <c r="BT22" s="795"/>
      <c r="BU22" s="685"/>
      <c r="BV22" s="795"/>
      <c r="BW22" s="685"/>
      <c r="BX22" s="795"/>
      <c r="BY22" s="685"/>
      <c r="BZ22" s="795"/>
      <c r="CA22" s="685"/>
      <c r="CB22" s="795"/>
      <c r="CC22" s="685"/>
      <c r="CD22" s="795"/>
      <c r="CE22" s="685"/>
      <c r="CF22" s="795"/>
      <c r="CG22" s="685"/>
      <c r="CH22" s="795"/>
      <c r="CI22" s="685"/>
      <c r="CJ22" s="795"/>
      <c r="CK22" s="685"/>
      <c r="CL22" s="795"/>
      <c r="CM22" s="685"/>
      <c r="CN22" s="795"/>
      <c r="CO22" s="685"/>
      <c r="CP22" s="795"/>
      <c r="CQ22" s="685"/>
      <c r="CR22" s="795"/>
      <c r="CS22" s="685"/>
      <c r="CT22" s="795"/>
      <c r="CU22" s="685"/>
      <c r="CV22" s="795"/>
      <c r="CW22" s="685"/>
      <c r="CX22" s="795"/>
      <c r="CY22" s="685"/>
      <c r="CZ22" s="795"/>
      <c r="DA22" s="685"/>
      <c r="DB22" s="795"/>
      <c r="DC22" s="685"/>
      <c r="DD22" s="795"/>
      <c r="DE22" s="685"/>
      <c r="DF22" s="795"/>
      <c r="DG22" s="685"/>
      <c r="DH22" s="795"/>
      <c r="DI22" s="685"/>
      <c r="DJ22" s="795"/>
    </row>
    <row r="23" spans="1:114" ht="15" customHeight="1">
      <c r="A23" s="798" t="s">
        <v>1232</v>
      </c>
      <c r="B23" s="535"/>
      <c r="C23" s="520"/>
      <c r="D23" s="794"/>
      <c r="E23" s="796"/>
      <c r="F23" s="796"/>
      <c r="G23" s="796"/>
      <c r="H23" s="796"/>
      <c r="I23" s="796"/>
      <c r="J23" s="796"/>
      <c r="K23" s="796"/>
      <c r="L23" s="796"/>
      <c r="M23" s="796"/>
      <c r="N23" s="796"/>
      <c r="O23" s="796"/>
      <c r="P23" s="796"/>
      <c r="Q23" s="796"/>
      <c r="R23" s="796"/>
      <c r="S23" s="796"/>
      <c r="T23" s="796"/>
      <c r="U23" s="796"/>
      <c r="V23" s="796"/>
      <c r="W23" s="796"/>
      <c r="X23" s="796"/>
      <c r="Y23" s="796"/>
      <c r="Z23" s="796"/>
      <c r="AA23" s="796"/>
      <c r="AB23" s="796"/>
      <c r="AC23" s="796"/>
      <c r="AD23" s="796"/>
      <c r="AE23" s="796"/>
      <c r="AF23" s="796"/>
      <c r="AG23" s="796"/>
      <c r="AH23" s="796"/>
      <c r="AI23" s="796"/>
      <c r="AJ23" s="796"/>
      <c r="AK23" s="796"/>
      <c r="AL23" s="796"/>
      <c r="AM23" s="796"/>
      <c r="AN23" s="796"/>
      <c r="AO23" s="796"/>
      <c r="AP23" s="796"/>
      <c r="AQ23" s="796"/>
      <c r="AR23" s="796"/>
      <c r="AS23" s="796"/>
      <c r="AT23" s="796"/>
      <c r="AU23" s="796"/>
      <c r="AV23" s="796"/>
      <c r="AW23" s="796"/>
      <c r="AX23" s="796"/>
      <c r="AY23" s="796"/>
      <c r="AZ23" s="796"/>
      <c r="BA23" s="796"/>
      <c r="BB23" s="796"/>
      <c r="BC23" s="796"/>
      <c r="BD23" s="796"/>
      <c r="BE23" s="796"/>
      <c r="BF23" s="796"/>
      <c r="BG23" s="796"/>
      <c r="BH23" s="796"/>
      <c r="BI23" s="796"/>
      <c r="BJ23" s="796"/>
      <c r="BK23" s="796"/>
      <c r="BL23" s="796"/>
      <c r="BM23" s="796"/>
      <c r="BN23" s="796"/>
      <c r="BO23" s="796"/>
      <c r="BP23" s="796"/>
      <c r="BQ23" s="796"/>
      <c r="BR23" s="796"/>
      <c r="BS23" s="796"/>
      <c r="BT23" s="796"/>
      <c r="BU23" s="796"/>
      <c r="BV23" s="796"/>
      <c r="BW23" s="796"/>
      <c r="BX23" s="796"/>
      <c r="BY23" s="796"/>
      <c r="BZ23" s="796"/>
      <c r="CA23" s="796"/>
      <c r="CB23" s="796"/>
      <c r="CC23" s="796"/>
      <c r="CD23" s="796"/>
      <c r="CE23" s="796"/>
      <c r="CF23" s="796"/>
      <c r="CG23" s="796"/>
      <c r="CH23" s="796"/>
      <c r="CI23" s="796"/>
      <c r="CJ23" s="796"/>
      <c r="CK23" s="796"/>
      <c r="CL23" s="796"/>
      <c r="CM23" s="796"/>
      <c r="CN23" s="796"/>
      <c r="CO23" s="796"/>
      <c r="CP23" s="796"/>
      <c r="CQ23" s="796"/>
      <c r="CR23" s="796"/>
      <c r="CS23" s="796"/>
      <c r="CT23" s="796"/>
      <c r="CU23" s="796"/>
      <c r="CV23" s="796"/>
      <c r="CW23" s="796"/>
      <c r="CX23" s="796"/>
      <c r="CY23" s="796"/>
      <c r="CZ23" s="796"/>
      <c r="DA23" s="796"/>
      <c r="DB23" s="796"/>
      <c r="DC23" s="796"/>
      <c r="DD23" s="796"/>
      <c r="DE23" s="796"/>
      <c r="DF23" s="796"/>
      <c r="DG23" s="796"/>
      <c r="DH23" s="796"/>
      <c r="DI23" s="796"/>
      <c r="DJ23" s="796"/>
    </row>
    <row r="24" spans="1:114" ht="15" customHeight="1">
      <c r="A24" s="797" t="s">
        <v>1814</v>
      </c>
      <c r="B24" s="380" t="s">
        <v>1231</v>
      </c>
      <c r="C24" s="521" t="s">
        <v>1815</v>
      </c>
      <c r="D24" s="794"/>
      <c r="E24" s="685">
        <v>417.3</v>
      </c>
      <c r="F24" s="795">
        <v>423.2</v>
      </c>
      <c r="G24" s="685">
        <v>434</v>
      </c>
      <c r="H24" s="795">
        <v>480.8</v>
      </c>
      <c r="I24" s="685">
        <v>381.7</v>
      </c>
      <c r="J24" s="803"/>
      <c r="K24" s="685">
        <v>480.8</v>
      </c>
      <c r="L24" s="795">
        <v>480.8</v>
      </c>
      <c r="M24" s="685">
        <v>480.8</v>
      </c>
      <c r="N24" s="795">
        <v>838</v>
      </c>
      <c r="O24" s="685">
        <v>832</v>
      </c>
      <c r="P24" s="795">
        <v>789</v>
      </c>
      <c r="Q24" s="685">
        <v>282</v>
      </c>
      <c r="R24" s="795">
        <v>434</v>
      </c>
      <c r="S24" s="685">
        <v>454</v>
      </c>
      <c r="T24" s="795">
        <v>454</v>
      </c>
      <c r="U24" s="685">
        <v>454</v>
      </c>
      <c r="V24" s="795">
        <v>454</v>
      </c>
      <c r="W24" s="685">
        <v>454</v>
      </c>
      <c r="X24" s="795">
        <v>690</v>
      </c>
      <c r="Y24" s="795">
        <v>401</v>
      </c>
      <c r="Z24" s="795"/>
      <c r="AA24" s="685">
        <v>402</v>
      </c>
      <c r="AB24" s="795">
        <v>402</v>
      </c>
      <c r="AC24" s="685"/>
      <c r="AD24" s="795"/>
      <c r="AE24" s="685"/>
      <c r="AF24" s="795"/>
      <c r="AG24" s="685">
        <v>208</v>
      </c>
      <c r="AH24" s="795"/>
      <c r="AI24" s="685"/>
      <c r="AJ24" s="795"/>
      <c r="AK24" s="685"/>
      <c r="AL24" s="795"/>
      <c r="AM24" s="685">
        <v>234</v>
      </c>
      <c r="AN24" s="795"/>
      <c r="AO24" s="685"/>
      <c r="AP24" s="795"/>
      <c r="AQ24" s="685"/>
      <c r="AR24" s="795"/>
      <c r="AS24" s="685"/>
      <c r="AT24" s="795"/>
      <c r="AU24" s="685"/>
      <c r="AV24" s="795"/>
      <c r="AW24" s="685"/>
      <c r="AX24" s="795"/>
      <c r="AY24" s="685"/>
      <c r="AZ24" s="795"/>
      <c r="BA24" s="685"/>
      <c r="BB24" s="795"/>
      <c r="BC24" s="685"/>
      <c r="BD24" s="795"/>
      <c r="BE24" s="685"/>
      <c r="BF24" s="795"/>
      <c r="BG24" s="685"/>
      <c r="BH24" s="795"/>
      <c r="BI24" s="685"/>
      <c r="BJ24" s="795"/>
      <c r="BK24" s="685"/>
      <c r="BL24" s="795"/>
      <c r="BM24" s="685"/>
      <c r="BN24" s="795"/>
      <c r="BO24" s="685"/>
      <c r="BP24" s="795"/>
      <c r="BQ24" s="685"/>
      <c r="BR24" s="795"/>
      <c r="BS24" s="685"/>
      <c r="BT24" s="795"/>
      <c r="BU24" s="685"/>
      <c r="BV24" s="795"/>
      <c r="BW24" s="685"/>
      <c r="BX24" s="795"/>
      <c r="BY24" s="685"/>
      <c r="BZ24" s="795"/>
      <c r="CA24" s="685"/>
      <c r="CB24" s="795"/>
      <c r="CC24" s="685"/>
      <c r="CD24" s="795"/>
      <c r="CE24" s="685"/>
      <c r="CF24" s="795"/>
      <c r="CG24" s="685"/>
      <c r="CH24" s="795"/>
      <c r="CI24" s="685"/>
      <c r="CJ24" s="795"/>
      <c r="CK24" s="685"/>
      <c r="CL24" s="795"/>
      <c r="CM24" s="685"/>
      <c r="CN24" s="795"/>
      <c r="CO24" s="685"/>
      <c r="CP24" s="795"/>
      <c r="CQ24" s="685"/>
      <c r="CR24" s="795"/>
      <c r="CS24" s="685"/>
      <c r="CT24" s="795"/>
      <c r="CU24" s="685"/>
      <c r="CV24" s="795"/>
      <c r="CW24" s="685"/>
      <c r="CX24" s="795"/>
      <c r="CY24" s="685"/>
      <c r="CZ24" s="795"/>
      <c r="DA24" s="685"/>
      <c r="DB24" s="795"/>
      <c r="DC24" s="685"/>
      <c r="DD24" s="795"/>
      <c r="DE24" s="685"/>
      <c r="DF24" s="795"/>
      <c r="DG24" s="685"/>
      <c r="DH24" s="795"/>
      <c r="DI24" s="685"/>
      <c r="DJ24" s="795"/>
    </row>
    <row r="25" spans="1:114" ht="15" customHeight="1">
      <c r="A25" s="798" t="s">
        <v>1305</v>
      </c>
      <c r="B25" s="535"/>
      <c r="C25" s="520"/>
      <c r="D25" s="794"/>
      <c r="E25" s="796"/>
      <c r="F25" s="796"/>
      <c r="G25" s="796"/>
      <c r="H25" s="796"/>
      <c r="I25" s="796"/>
      <c r="J25" s="796"/>
      <c r="K25" s="796"/>
      <c r="L25" s="796"/>
      <c r="M25" s="796"/>
      <c r="N25" s="796"/>
      <c r="O25" s="796"/>
      <c r="P25" s="796"/>
      <c r="Q25" s="796"/>
      <c r="R25" s="796"/>
      <c r="S25" s="796"/>
      <c r="T25" s="796"/>
      <c r="U25" s="796"/>
      <c r="V25" s="796"/>
      <c r="W25" s="796"/>
      <c r="X25" s="796"/>
      <c r="Y25" s="796"/>
      <c r="Z25" s="796"/>
      <c r="AA25" s="796"/>
      <c r="AB25" s="796"/>
      <c r="AC25" s="796"/>
      <c r="AD25" s="796"/>
      <c r="AE25" s="796"/>
      <c r="AF25" s="796"/>
      <c r="AG25" s="796"/>
      <c r="AH25" s="796"/>
      <c r="AI25" s="796"/>
      <c r="AJ25" s="796"/>
      <c r="AK25" s="796"/>
      <c r="AL25" s="796"/>
      <c r="AM25" s="796"/>
      <c r="AN25" s="796"/>
      <c r="AO25" s="796"/>
      <c r="AP25" s="796"/>
      <c r="AQ25" s="796"/>
      <c r="AR25" s="796"/>
      <c r="AS25" s="796"/>
      <c r="AT25" s="796"/>
      <c r="AU25" s="796"/>
      <c r="AV25" s="796"/>
      <c r="AW25" s="796"/>
      <c r="AX25" s="796"/>
      <c r="AY25" s="796"/>
      <c r="AZ25" s="796"/>
      <c r="BA25" s="796"/>
      <c r="BB25" s="796"/>
      <c r="BC25" s="796"/>
      <c r="BD25" s="796"/>
      <c r="BE25" s="796"/>
      <c r="BF25" s="796"/>
      <c r="BG25" s="796"/>
      <c r="BH25" s="796"/>
      <c r="BI25" s="796"/>
      <c r="BJ25" s="796"/>
      <c r="BK25" s="796"/>
      <c r="BL25" s="796"/>
      <c r="BM25" s="796"/>
      <c r="BN25" s="796"/>
      <c r="BO25" s="796"/>
      <c r="BP25" s="796"/>
      <c r="BQ25" s="796"/>
      <c r="BR25" s="796"/>
      <c r="BS25" s="796"/>
      <c r="BT25" s="796"/>
      <c r="BU25" s="796"/>
      <c r="BV25" s="796"/>
      <c r="BW25" s="796"/>
      <c r="BX25" s="796"/>
      <c r="BY25" s="796"/>
      <c r="BZ25" s="796"/>
      <c r="CA25" s="796"/>
      <c r="CB25" s="796"/>
      <c r="CC25" s="796"/>
      <c r="CD25" s="796"/>
      <c r="CE25" s="796"/>
      <c r="CF25" s="796"/>
      <c r="CG25" s="796"/>
      <c r="CH25" s="796"/>
      <c r="CI25" s="796"/>
      <c r="CJ25" s="796"/>
      <c r="CK25" s="796"/>
      <c r="CL25" s="796"/>
      <c r="CM25" s="796"/>
      <c r="CN25" s="796"/>
      <c r="CO25" s="796"/>
      <c r="CP25" s="796"/>
      <c r="CQ25" s="796"/>
      <c r="CR25" s="796"/>
      <c r="CS25" s="796"/>
      <c r="CT25" s="796"/>
      <c r="CU25" s="796"/>
      <c r="CV25" s="796"/>
      <c r="CW25" s="796"/>
      <c r="CX25" s="796"/>
      <c r="CY25" s="796"/>
      <c r="CZ25" s="796"/>
      <c r="DA25" s="796"/>
      <c r="DB25" s="796"/>
      <c r="DC25" s="796"/>
      <c r="DD25" s="796"/>
      <c r="DE25" s="796"/>
      <c r="DF25" s="796"/>
      <c r="DG25" s="796"/>
      <c r="DH25" s="796"/>
      <c r="DI25" s="796"/>
      <c r="DJ25" s="796"/>
    </row>
    <row r="26" spans="1:114" ht="15" customHeight="1">
      <c r="A26" s="797" t="s">
        <v>1819</v>
      </c>
      <c r="B26" s="516" t="s">
        <v>1254</v>
      </c>
      <c r="C26" s="521" t="s">
        <v>1819</v>
      </c>
      <c r="D26" s="794"/>
      <c r="E26" s="685">
        <v>0.63500000000000001</v>
      </c>
      <c r="F26" s="795">
        <v>0.63500000000000001</v>
      </c>
      <c r="G26" s="685">
        <v>0.63500000000000001</v>
      </c>
      <c r="H26" s="795">
        <v>0.67900000000000005</v>
      </c>
      <c r="I26" s="685">
        <v>0.67900000000000005</v>
      </c>
      <c r="J26" s="803"/>
      <c r="K26" s="685">
        <v>0.67900000000000005</v>
      </c>
      <c r="L26" s="795">
        <v>0.67900000000000005</v>
      </c>
      <c r="M26" s="685">
        <v>0.67900000000000005</v>
      </c>
      <c r="N26" s="795">
        <v>0.69199999999999995</v>
      </c>
      <c r="O26" s="685">
        <v>0.69199999999999995</v>
      </c>
      <c r="P26" s="795">
        <v>0.72899999999999998</v>
      </c>
      <c r="Q26" s="685">
        <v>0.46400000000000002</v>
      </c>
      <c r="R26" s="795">
        <v>0.63500000000000001</v>
      </c>
      <c r="S26" s="685">
        <v>0.66</v>
      </c>
      <c r="T26" s="795">
        <v>0.66</v>
      </c>
      <c r="U26" s="685">
        <v>0.66</v>
      </c>
      <c r="V26" s="795">
        <v>0.66</v>
      </c>
      <c r="W26" s="685">
        <v>0.66</v>
      </c>
      <c r="X26" s="795">
        <v>0.76700000000000002</v>
      </c>
      <c r="Y26" s="795">
        <v>0.63500000000000001</v>
      </c>
      <c r="Z26" s="795"/>
      <c r="AA26" s="685">
        <v>0.63500000000000001</v>
      </c>
      <c r="AB26" s="795">
        <v>0.63500000000000001</v>
      </c>
      <c r="AC26" s="685"/>
      <c r="AD26" s="795"/>
      <c r="AE26" s="685"/>
      <c r="AF26" s="795"/>
      <c r="AG26" s="685">
        <v>0.46400000000000002</v>
      </c>
      <c r="AH26" s="795"/>
      <c r="AI26" s="685"/>
      <c r="AJ26" s="795"/>
      <c r="AK26" s="685"/>
      <c r="AL26" s="795"/>
      <c r="AM26" s="685">
        <v>0.46400000000000002</v>
      </c>
      <c r="AN26" s="795"/>
      <c r="AO26" s="685"/>
      <c r="AP26" s="795"/>
      <c r="AQ26" s="685"/>
      <c r="AR26" s="795"/>
      <c r="AS26" s="685"/>
      <c r="AT26" s="795"/>
      <c r="AU26" s="685"/>
      <c r="AV26" s="795"/>
      <c r="AW26" s="685"/>
      <c r="AX26" s="795"/>
      <c r="AY26" s="685"/>
      <c r="AZ26" s="795"/>
      <c r="BA26" s="685"/>
      <c r="BB26" s="795"/>
      <c r="BC26" s="685"/>
      <c r="BD26" s="795"/>
      <c r="BE26" s="685"/>
      <c r="BF26" s="795"/>
      <c r="BG26" s="685"/>
      <c r="BH26" s="795"/>
      <c r="BI26" s="685"/>
      <c r="BJ26" s="795"/>
      <c r="BK26" s="685"/>
      <c r="BL26" s="795"/>
      <c r="BM26" s="685"/>
      <c r="BN26" s="795"/>
      <c r="BO26" s="685"/>
      <c r="BP26" s="795"/>
      <c r="BQ26" s="685"/>
      <c r="BR26" s="795"/>
      <c r="BS26" s="685"/>
      <c r="BT26" s="795"/>
      <c r="BU26" s="685"/>
      <c r="BV26" s="795"/>
      <c r="BW26" s="685"/>
      <c r="BX26" s="795"/>
      <c r="BY26" s="685"/>
      <c r="BZ26" s="795"/>
      <c r="CA26" s="685"/>
      <c r="CB26" s="795"/>
      <c r="CC26" s="685"/>
      <c r="CD26" s="795"/>
      <c r="CE26" s="685"/>
      <c r="CF26" s="795"/>
      <c r="CG26" s="685"/>
      <c r="CH26" s="795"/>
      <c r="CI26" s="685"/>
      <c r="CJ26" s="795"/>
      <c r="CK26" s="685"/>
      <c r="CL26" s="795"/>
      <c r="CM26" s="685"/>
      <c r="CN26" s="795"/>
      <c r="CO26" s="685"/>
      <c r="CP26" s="795"/>
      <c r="CQ26" s="685"/>
      <c r="CR26" s="795"/>
      <c r="CS26" s="685"/>
      <c r="CT26" s="795"/>
      <c r="CU26" s="685"/>
      <c r="CV26" s="795"/>
      <c r="CW26" s="685"/>
      <c r="CX26" s="795"/>
      <c r="CY26" s="685"/>
      <c r="CZ26" s="795"/>
      <c r="DA26" s="685"/>
      <c r="DB26" s="795"/>
      <c r="DC26" s="685"/>
      <c r="DD26" s="795"/>
      <c r="DE26" s="685"/>
      <c r="DF26" s="795"/>
      <c r="DG26" s="685"/>
      <c r="DH26" s="795"/>
      <c r="DI26" s="685"/>
      <c r="DJ26" s="795"/>
    </row>
    <row r="27" spans="1:114" ht="15" customHeight="1">
      <c r="A27" s="797" t="s">
        <v>1311</v>
      </c>
      <c r="B27" s="516" t="s">
        <v>1254</v>
      </c>
      <c r="C27" s="521" t="s">
        <v>1311</v>
      </c>
      <c r="D27" s="794"/>
      <c r="E27" s="685">
        <v>0.78700000000000003</v>
      </c>
      <c r="F27" s="795">
        <v>0.78700000000000003</v>
      </c>
      <c r="G27" s="685">
        <v>0.78700000000000003</v>
      </c>
      <c r="H27" s="795">
        <v>0.83799999999999997</v>
      </c>
      <c r="I27" s="685">
        <v>0.83799999999999997</v>
      </c>
      <c r="J27" s="803"/>
      <c r="K27" s="685">
        <v>0.83799999999999997</v>
      </c>
      <c r="L27" s="795">
        <v>0.83799999999999997</v>
      </c>
      <c r="M27" s="685">
        <v>0.83799999999999997</v>
      </c>
      <c r="N27" s="795">
        <v>0.98</v>
      </c>
      <c r="O27" s="685">
        <v>0.98</v>
      </c>
      <c r="P27" s="795">
        <v>1.177</v>
      </c>
      <c r="Q27" s="685">
        <v>0.46400000000000002</v>
      </c>
      <c r="R27" s="795">
        <v>0.78700000000000003</v>
      </c>
      <c r="S27" s="685">
        <v>0.83799999999999997</v>
      </c>
      <c r="T27" s="795">
        <v>0.83799999999999997</v>
      </c>
      <c r="U27" s="685">
        <v>0.83799999999999997</v>
      </c>
      <c r="V27" s="795">
        <v>0.83799999999999997</v>
      </c>
      <c r="W27" s="685">
        <v>0.83799999999999997</v>
      </c>
      <c r="X27" s="795">
        <v>1.105</v>
      </c>
      <c r="Y27" s="795">
        <v>0.78700000000000003</v>
      </c>
      <c r="Z27" s="795"/>
      <c r="AA27" s="685">
        <v>0.78700000000000003</v>
      </c>
      <c r="AB27" s="795">
        <v>0.78700000000000003</v>
      </c>
      <c r="AC27" s="685"/>
      <c r="AD27" s="795"/>
      <c r="AE27" s="685"/>
      <c r="AF27" s="795"/>
      <c r="AG27" s="685">
        <v>0.46400000000000002</v>
      </c>
      <c r="AH27" s="795"/>
      <c r="AI27" s="685"/>
      <c r="AJ27" s="795"/>
      <c r="AK27" s="685"/>
      <c r="AL27" s="795"/>
      <c r="AM27" s="685">
        <v>0.46400000000000002</v>
      </c>
      <c r="AN27" s="795"/>
      <c r="AO27" s="685"/>
      <c r="AP27" s="795"/>
      <c r="AQ27" s="685"/>
      <c r="AR27" s="795"/>
      <c r="AS27" s="685"/>
      <c r="AT27" s="795"/>
      <c r="AU27" s="685"/>
      <c r="AV27" s="795"/>
      <c r="AW27" s="685"/>
      <c r="AX27" s="795"/>
      <c r="AY27" s="685"/>
      <c r="AZ27" s="795"/>
      <c r="BA27" s="685"/>
      <c r="BB27" s="795"/>
      <c r="BC27" s="685"/>
      <c r="BD27" s="795"/>
      <c r="BE27" s="685"/>
      <c r="BF27" s="795"/>
      <c r="BG27" s="685"/>
      <c r="BH27" s="795"/>
      <c r="BI27" s="685"/>
      <c r="BJ27" s="795"/>
      <c r="BK27" s="685"/>
      <c r="BL27" s="795"/>
      <c r="BM27" s="685"/>
      <c r="BN27" s="795"/>
      <c r="BO27" s="685"/>
      <c r="BP27" s="795"/>
      <c r="BQ27" s="685"/>
      <c r="BR27" s="795"/>
      <c r="BS27" s="685"/>
      <c r="BT27" s="795"/>
      <c r="BU27" s="685"/>
      <c r="BV27" s="795"/>
      <c r="BW27" s="685"/>
      <c r="BX27" s="795"/>
      <c r="BY27" s="685"/>
      <c r="BZ27" s="795"/>
      <c r="CA27" s="685"/>
      <c r="CB27" s="795"/>
      <c r="CC27" s="685"/>
      <c r="CD27" s="795"/>
      <c r="CE27" s="685"/>
      <c r="CF27" s="795"/>
      <c r="CG27" s="685"/>
      <c r="CH27" s="795"/>
      <c r="CI27" s="685"/>
      <c r="CJ27" s="795"/>
      <c r="CK27" s="685"/>
      <c r="CL27" s="795"/>
      <c r="CM27" s="685"/>
      <c r="CN27" s="795"/>
      <c r="CO27" s="685"/>
      <c r="CP27" s="795"/>
      <c r="CQ27" s="685"/>
      <c r="CR27" s="795"/>
      <c r="CS27" s="685"/>
      <c r="CT27" s="795"/>
      <c r="CU27" s="685"/>
      <c r="CV27" s="795"/>
      <c r="CW27" s="685"/>
      <c r="CX27" s="795"/>
      <c r="CY27" s="685"/>
      <c r="CZ27" s="795"/>
      <c r="DA27" s="685"/>
      <c r="DB27" s="795"/>
      <c r="DC27" s="685"/>
      <c r="DD27" s="795"/>
      <c r="DE27" s="685"/>
      <c r="DF27" s="795"/>
      <c r="DG27" s="685"/>
      <c r="DH27" s="795"/>
      <c r="DI27" s="685"/>
      <c r="DJ27" s="795"/>
    </row>
    <row r="28" spans="1:114" ht="15" customHeight="1">
      <c r="A28" s="797" t="s">
        <v>1310</v>
      </c>
      <c r="B28" s="516" t="s">
        <v>1254</v>
      </c>
      <c r="C28" s="521" t="s">
        <v>1310</v>
      </c>
      <c r="D28" s="794"/>
      <c r="E28" s="685">
        <v>2.13</v>
      </c>
      <c r="F28" s="795">
        <v>2.13</v>
      </c>
      <c r="G28" s="685">
        <v>2.13</v>
      </c>
      <c r="H28" s="795">
        <v>2.13</v>
      </c>
      <c r="I28" s="685">
        <v>2.13</v>
      </c>
      <c r="J28" s="803"/>
      <c r="K28" s="685">
        <v>2.13</v>
      </c>
      <c r="L28" s="795">
        <v>2.13</v>
      </c>
      <c r="M28" s="685">
        <v>2.13</v>
      </c>
      <c r="N28" s="795">
        <v>3.7080000000000002</v>
      </c>
      <c r="O28" s="685">
        <v>3.7080000000000002</v>
      </c>
      <c r="P28" s="795">
        <v>3.153</v>
      </c>
      <c r="Q28" s="685">
        <v>2.0289999999999999</v>
      </c>
      <c r="R28" s="795">
        <v>2.13</v>
      </c>
      <c r="S28" s="685">
        <v>2.13</v>
      </c>
      <c r="T28" s="795">
        <v>2.13</v>
      </c>
      <c r="U28" s="685">
        <v>2.13</v>
      </c>
      <c r="V28" s="795">
        <v>2.13</v>
      </c>
      <c r="W28" s="685">
        <v>2.13</v>
      </c>
      <c r="X28" s="795">
        <v>2.423</v>
      </c>
      <c r="Y28" s="795">
        <v>2.0459999999999998</v>
      </c>
      <c r="Z28" s="795"/>
      <c r="AA28" s="685">
        <v>2.0459999999999998</v>
      </c>
      <c r="AB28" s="795">
        <v>2.0459999999999998</v>
      </c>
      <c r="AC28" s="685"/>
      <c r="AD28" s="795"/>
      <c r="AE28" s="685"/>
      <c r="AF28" s="795"/>
      <c r="AG28" s="685">
        <v>1.845</v>
      </c>
      <c r="AH28" s="795"/>
      <c r="AI28" s="685"/>
      <c r="AJ28" s="795"/>
      <c r="AK28" s="685"/>
      <c r="AL28" s="795"/>
      <c r="AM28" s="685">
        <v>1.885</v>
      </c>
      <c r="AN28" s="795"/>
      <c r="AO28" s="685"/>
      <c r="AP28" s="795"/>
      <c r="AQ28" s="685"/>
      <c r="AR28" s="795"/>
      <c r="AS28" s="685"/>
      <c r="AT28" s="795"/>
      <c r="AU28" s="685"/>
      <c r="AV28" s="795"/>
      <c r="AW28" s="685"/>
      <c r="AX28" s="795"/>
      <c r="AY28" s="685"/>
      <c r="AZ28" s="795"/>
      <c r="BA28" s="685"/>
      <c r="BB28" s="795"/>
      <c r="BC28" s="685"/>
      <c r="BD28" s="795"/>
      <c r="BE28" s="685"/>
      <c r="BF28" s="795"/>
      <c r="BG28" s="685"/>
      <c r="BH28" s="795"/>
      <c r="BI28" s="685"/>
      <c r="BJ28" s="795"/>
      <c r="BK28" s="685"/>
      <c r="BL28" s="795"/>
      <c r="BM28" s="685"/>
      <c r="BN28" s="795"/>
      <c r="BO28" s="685"/>
      <c r="BP28" s="795"/>
      <c r="BQ28" s="685"/>
      <c r="BR28" s="795"/>
      <c r="BS28" s="685"/>
      <c r="BT28" s="795"/>
      <c r="BU28" s="685"/>
      <c r="BV28" s="795"/>
      <c r="BW28" s="685"/>
      <c r="BX28" s="795"/>
      <c r="BY28" s="685"/>
      <c r="BZ28" s="795"/>
      <c r="CA28" s="685"/>
      <c r="CB28" s="795"/>
      <c r="CC28" s="685"/>
      <c r="CD28" s="795"/>
      <c r="CE28" s="685"/>
      <c r="CF28" s="795"/>
      <c r="CG28" s="685"/>
      <c r="CH28" s="795"/>
      <c r="CI28" s="685"/>
      <c r="CJ28" s="795"/>
      <c r="CK28" s="685"/>
      <c r="CL28" s="795"/>
      <c r="CM28" s="685"/>
      <c r="CN28" s="795"/>
      <c r="CO28" s="685"/>
      <c r="CP28" s="795"/>
      <c r="CQ28" s="685"/>
      <c r="CR28" s="795"/>
      <c r="CS28" s="685"/>
      <c r="CT28" s="795"/>
      <c r="CU28" s="685"/>
      <c r="CV28" s="795"/>
      <c r="CW28" s="685"/>
      <c r="CX28" s="795"/>
      <c r="CY28" s="685"/>
      <c r="CZ28" s="795"/>
      <c r="DA28" s="685"/>
      <c r="DB28" s="795"/>
      <c r="DC28" s="685"/>
      <c r="DD28" s="795"/>
      <c r="DE28" s="685"/>
      <c r="DF28" s="795"/>
      <c r="DG28" s="685"/>
      <c r="DH28" s="795"/>
      <c r="DI28" s="685"/>
      <c r="DJ28" s="795"/>
    </row>
    <row r="29" spans="1:114" ht="15" customHeight="1">
      <c r="A29" s="798" t="s">
        <v>1820</v>
      </c>
      <c r="B29" s="535"/>
      <c r="C29" s="520"/>
      <c r="D29" s="794"/>
      <c r="E29" s="796"/>
      <c r="F29" s="796"/>
      <c r="G29" s="796"/>
      <c r="H29" s="796"/>
      <c r="I29" s="796"/>
      <c r="J29" s="796"/>
      <c r="K29" s="796"/>
      <c r="L29" s="796"/>
      <c r="M29" s="796"/>
      <c r="N29" s="796"/>
      <c r="O29" s="796"/>
      <c r="P29" s="796"/>
      <c r="Q29" s="796"/>
      <c r="R29" s="796"/>
      <c r="S29" s="796"/>
      <c r="T29" s="796"/>
      <c r="U29" s="796"/>
      <c r="V29" s="796"/>
      <c r="W29" s="796"/>
      <c r="X29" s="796"/>
      <c r="Y29" s="796"/>
      <c r="Z29" s="796"/>
      <c r="AA29" s="796"/>
      <c r="AB29" s="796"/>
      <c r="AC29" s="796"/>
      <c r="AD29" s="796"/>
      <c r="AE29" s="796"/>
      <c r="AF29" s="796"/>
      <c r="AG29" s="796"/>
      <c r="AH29" s="796"/>
      <c r="AI29" s="796"/>
      <c r="AJ29" s="796"/>
      <c r="AK29" s="796"/>
      <c r="AL29" s="796"/>
      <c r="AM29" s="796"/>
      <c r="AN29" s="796"/>
      <c r="AO29" s="796"/>
      <c r="AP29" s="796"/>
      <c r="AQ29" s="796"/>
      <c r="AR29" s="796"/>
      <c r="AS29" s="796"/>
      <c r="AT29" s="796"/>
      <c r="AU29" s="796"/>
      <c r="AV29" s="796"/>
      <c r="AW29" s="796"/>
      <c r="AX29" s="796"/>
      <c r="AY29" s="796"/>
      <c r="AZ29" s="796"/>
      <c r="BA29" s="796"/>
      <c r="BB29" s="796"/>
      <c r="BC29" s="796"/>
      <c r="BD29" s="796"/>
      <c r="BE29" s="796"/>
      <c r="BF29" s="796"/>
      <c r="BG29" s="796"/>
      <c r="BH29" s="796"/>
      <c r="BI29" s="796"/>
      <c r="BJ29" s="796"/>
      <c r="BK29" s="796"/>
      <c r="BL29" s="796"/>
      <c r="BM29" s="796"/>
      <c r="BN29" s="796"/>
      <c r="BO29" s="796"/>
      <c r="BP29" s="796"/>
      <c r="BQ29" s="796"/>
      <c r="BR29" s="796"/>
      <c r="BS29" s="796"/>
      <c r="BT29" s="796"/>
      <c r="BU29" s="796"/>
      <c r="BV29" s="796"/>
      <c r="BW29" s="796"/>
      <c r="BX29" s="796"/>
      <c r="BY29" s="796"/>
      <c r="BZ29" s="796"/>
      <c r="CA29" s="796"/>
      <c r="CB29" s="796"/>
      <c r="CC29" s="796"/>
      <c r="CD29" s="796"/>
      <c r="CE29" s="796"/>
      <c r="CF29" s="796"/>
      <c r="CG29" s="796"/>
      <c r="CH29" s="796"/>
      <c r="CI29" s="796"/>
      <c r="CJ29" s="796"/>
      <c r="CK29" s="796"/>
      <c r="CL29" s="796"/>
      <c r="CM29" s="796"/>
      <c r="CN29" s="796"/>
      <c r="CO29" s="796"/>
      <c r="CP29" s="796"/>
      <c r="CQ29" s="796"/>
      <c r="CR29" s="796"/>
      <c r="CS29" s="796"/>
      <c r="CT29" s="796"/>
      <c r="CU29" s="796"/>
      <c r="CV29" s="796"/>
      <c r="CW29" s="796"/>
      <c r="CX29" s="796"/>
      <c r="CY29" s="796"/>
      <c r="CZ29" s="796"/>
      <c r="DA29" s="796"/>
      <c r="DB29" s="796"/>
      <c r="DC29" s="796"/>
      <c r="DD29" s="796"/>
      <c r="DE29" s="796"/>
      <c r="DF29" s="796"/>
      <c r="DG29" s="796"/>
      <c r="DH29" s="796"/>
      <c r="DI29" s="796"/>
      <c r="DJ29" s="796"/>
    </row>
    <row r="30" spans="1:114" ht="15" customHeight="1">
      <c r="A30" s="797" t="s">
        <v>1261</v>
      </c>
      <c r="B30" s="380" t="s">
        <v>1983</v>
      </c>
      <c r="C30" s="521" t="s">
        <v>1984</v>
      </c>
      <c r="D30" s="794"/>
      <c r="E30" s="685">
        <v>0.48499999999999999</v>
      </c>
      <c r="F30" s="795">
        <v>0.47599999999999998</v>
      </c>
      <c r="G30" s="685">
        <v>0.47399999999999998</v>
      </c>
      <c r="H30" s="795">
        <v>0.47399999999999998</v>
      </c>
      <c r="I30" s="685">
        <v>0.45900000000000002</v>
      </c>
      <c r="J30" s="803"/>
      <c r="K30" s="685">
        <v>0.46800000000000003</v>
      </c>
      <c r="L30" s="795">
        <v>0.45900000000000002</v>
      </c>
      <c r="M30" s="685">
        <v>0.45900000000000002</v>
      </c>
      <c r="N30" s="795">
        <v>0.501</v>
      </c>
      <c r="O30" s="685">
        <v>0.52200000000000002</v>
      </c>
      <c r="P30" s="795">
        <v>0.42399999999999999</v>
      </c>
      <c r="Q30" s="685">
        <v>0.56000000000000005</v>
      </c>
      <c r="R30" s="795">
        <v>0.48499999999999999</v>
      </c>
      <c r="S30" s="685">
        <v>0.48299999999999998</v>
      </c>
      <c r="T30" s="795">
        <v>0.48299999999999998</v>
      </c>
      <c r="U30" s="685">
        <v>0.47</v>
      </c>
      <c r="V30" s="795">
        <v>0.46300000000000002</v>
      </c>
      <c r="W30" s="685">
        <v>0.47</v>
      </c>
      <c r="X30" s="795">
        <v>0.433</v>
      </c>
      <c r="Y30" s="795">
        <v>0.498</v>
      </c>
      <c r="Z30" s="795"/>
      <c r="AA30" s="685"/>
      <c r="AB30" s="795"/>
      <c r="AC30" s="685"/>
      <c r="AD30" s="795"/>
      <c r="AE30" s="685"/>
      <c r="AF30" s="795"/>
      <c r="AG30" s="685">
        <v>0.55300000000000005</v>
      </c>
      <c r="AH30" s="795"/>
      <c r="AI30" s="685"/>
      <c r="AJ30" s="795"/>
      <c r="AK30" s="685"/>
      <c r="AL30" s="795"/>
      <c r="AM30" s="685">
        <v>0.54600000000000004</v>
      </c>
      <c r="AN30" s="795"/>
      <c r="AO30" s="685"/>
      <c r="AP30" s="795"/>
      <c r="AQ30" s="685"/>
      <c r="AR30" s="795"/>
      <c r="AS30" s="685"/>
      <c r="AT30" s="795"/>
      <c r="AU30" s="685"/>
      <c r="AV30" s="795"/>
      <c r="AW30" s="685"/>
      <c r="AX30" s="795"/>
      <c r="AY30" s="685"/>
      <c r="AZ30" s="795"/>
      <c r="BA30" s="685"/>
      <c r="BB30" s="795"/>
      <c r="BC30" s="685"/>
      <c r="BD30" s="795"/>
      <c r="BE30" s="685"/>
      <c r="BF30" s="795"/>
      <c r="BG30" s="685"/>
      <c r="BH30" s="795"/>
      <c r="BI30" s="685"/>
      <c r="BJ30" s="795"/>
      <c r="BK30" s="685"/>
      <c r="BL30" s="795"/>
      <c r="BM30" s="685"/>
      <c r="BN30" s="795"/>
      <c r="BO30" s="685"/>
      <c r="BP30" s="795"/>
      <c r="BQ30" s="685"/>
      <c r="BR30" s="795"/>
      <c r="BS30" s="685"/>
      <c r="BT30" s="795"/>
      <c r="BU30" s="685"/>
      <c r="BV30" s="795"/>
      <c r="BW30" s="685"/>
      <c r="BX30" s="795"/>
      <c r="BY30" s="685"/>
      <c r="BZ30" s="795"/>
      <c r="CA30" s="685"/>
      <c r="CB30" s="795"/>
      <c r="CC30" s="685"/>
      <c r="CD30" s="795"/>
      <c r="CE30" s="685"/>
      <c r="CF30" s="795"/>
      <c r="CG30" s="685"/>
      <c r="CH30" s="795"/>
      <c r="CI30" s="685"/>
      <c r="CJ30" s="795"/>
      <c r="CK30" s="685"/>
      <c r="CL30" s="795"/>
      <c r="CM30" s="685"/>
      <c r="CN30" s="795"/>
      <c r="CO30" s="685"/>
      <c r="CP30" s="795"/>
      <c r="CQ30" s="685"/>
      <c r="CR30" s="795"/>
      <c r="CS30" s="685"/>
      <c r="CT30" s="795"/>
      <c r="CU30" s="685"/>
      <c r="CV30" s="795"/>
      <c r="CW30" s="685"/>
      <c r="CX30" s="795"/>
      <c r="CY30" s="685"/>
      <c r="CZ30" s="795"/>
      <c r="DA30" s="685"/>
      <c r="DB30" s="795"/>
      <c r="DC30" s="685"/>
      <c r="DD30" s="795"/>
      <c r="DE30" s="685"/>
      <c r="DF30" s="795"/>
      <c r="DG30" s="685"/>
      <c r="DH30" s="795"/>
      <c r="DI30" s="685"/>
      <c r="DJ30" s="795"/>
    </row>
    <row r="31" spans="1:114" ht="15" customHeight="1">
      <c r="A31" s="797" t="s">
        <v>1823</v>
      </c>
      <c r="B31" s="380" t="s">
        <v>1983</v>
      </c>
      <c r="C31" s="521" t="s">
        <v>1985</v>
      </c>
      <c r="D31" s="794"/>
      <c r="E31" s="685"/>
      <c r="F31" s="795"/>
      <c r="G31" s="685"/>
      <c r="H31" s="795"/>
      <c r="I31" s="685"/>
      <c r="J31" s="803"/>
      <c r="K31" s="685"/>
      <c r="L31" s="795"/>
      <c r="M31" s="685"/>
      <c r="N31" s="795"/>
      <c r="O31" s="685"/>
      <c r="P31" s="795"/>
      <c r="Q31" s="685"/>
      <c r="R31" s="795"/>
      <c r="S31" s="685"/>
      <c r="T31" s="795"/>
      <c r="U31" s="685"/>
      <c r="V31" s="795"/>
      <c r="W31" s="685"/>
      <c r="X31" s="795"/>
      <c r="Y31" s="795"/>
      <c r="Z31" s="795"/>
      <c r="AA31" s="685"/>
      <c r="AB31" s="795"/>
      <c r="AC31" s="685"/>
      <c r="AD31" s="795"/>
      <c r="AE31" s="685"/>
      <c r="AF31" s="795"/>
      <c r="AG31" s="685"/>
      <c r="AH31" s="795"/>
      <c r="AI31" s="685"/>
      <c r="AJ31" s="795"/>
      <c r="AK31" s="685"/>
      <c r="AL31" s="795"/>
      <c r="AM31" s="685"/>
      <c r="AN31" s="795"/>
      <c r="AO31" s="685"/>
      <c r="AP31" s="795"/>
      <c r="AQ31" s="685"/>
      <c r="AR31" s="795"/>
      <c r="AS31" s="685"/>
      <c r="AT31" s="795"/>
      <c r="AU31" s="685"/>
      <c r="AV31" s="795"/>
      <c r="AW31" s="685"/>
      <c r="AX31" s="795"/>
      <c r="AY31" s="685"/>
      <c r="AZ31" s="795"/>
      <c r="BA31" s="685"/>
      <c r="BB31" s="795"/>
      <c r="BC31" s="685"/>
      <c r="BD31" s="795"/>
      <c r="BE31" s="685"/>
      <c r="BF31" s="795"/>
      <c r="BG31" s="685"/>
      <c r="BH31" s="795"/>
      <c r="BI31" s="685"/>
      <c r="BJ31" s="795"/>
      <c r="BK31" s="685"/>
      <c r="BL31" s="795"/>
      <c r="BM31" s="685"/>
      <c r="BN31" s="795"/>
      <c r="BO31" s="685"/>
      <c r="BP31" s="795"/>
      <c r="BQ31" s="685"/>
      <c r="BR31" s="795"/>
      <c r="BS31" s="685"/>
      <c r="BT31" s="795"/>
      <c r="BU31" s="685"/>
      <c r="BV31" s="795"/>
      <c r="BW31" s="685"/>
      <c r="BX31" s="795"/>
      <c r="BY31" s="685"/>
      <c r="BZ31" s="795"/>
      <c r="CA31" s="685"/>
      <c r="CB31" s="795"/>
      <c r="CC31" s="685"/>
      <c r="CD31" s="795"/>
      <c r="CE31" s="685"/>
      <c r="CF31" s="795"/>
      <c r="CG31" s="685"/>
      <c r="CH31" s="795"/>
      <c r="CI31" s="685"/>
      <c r="CJ31" s="795"/>
      <c r="CK31" s="685"/>
      <c r="CL31" s="795"/>
      <c r="CM31" s="685"/>
      <c r="CN31" s="795"/>
      <c r="CO31" s="685"/>
      <c r="CP31" s="795"/>
      <c r="CQ31" s="685"/>
      <c r="CR31" s="795"/>
      <c r="CS31" s="685"/>
      <c r="CT31" s="795"/>
      <c r="CU31" s="685"/>
      <c r="CV31" s="795"/>
      <c r="CW31" s="685"/>
      <c r="CX31" s="795"/>
      <c r="CY31" s="685"/>
      <c r="CZ31" s="795"/>
      <c r="DA31" s="685"/>
      <c r="DB31" s="795"/>
      <c r="DC31" s="685"/>
      <c r="DD31" s="795"/>
      <c r="DE31" s="685"/>
      <c r="DF31" s="795"/>
      <c r="DG31" s="685"/>
      <c r="DH31" s="795"/>
      <c r="DI31" s="685"/>
      <c r="DJ31" s="795"/>
    </row>
    <row r="32" spans="1:114" ht="15" customHeight="1">
      <c r="A32" s="798" t="s">
        <v>1825</v>
      </c>
      <c r="B32" s="535"/>
      <c r="C32" s="520"/>
      <c r="D32" s="794"/>
      <c r="E32" s="796"/>
      <c r="F32" s="796"/>
      <c r="G32" s="796"/>
      <c r="H32" s="796"/>
      <c r="I32" s="796"/>
      <c r="J32" s="796"/>
      <c r="K32" s="796"/>
      <c r="L32" s="796"/>
      <c r="M32" s="796"/>
      <c r="N32" s="796"/>
      <c r="O32" s="796"/>
      <c r="P32" s="796"/>
      <c r="Q32" s="796"/>
      <c r="R32" s="796"/>
      <c r="S32" s="796"/>
      <c r="T32" s="796"/>
      <c r="U32" s="796"/>
      <c r="V32" s="796"/>
      <c r="W32" s="796"/>
      <c r="X32" s="796"/>
      <c r="Y32" s="796"/>
      <c r="Z32" s="796"/>
      <c r="AA32" s="796"/>
      <c r="AB32" s="796"/>
      <c r="AC32" s="796"/>
      <c r="AD32" s="796"/>
      <c r="AE32" s="796"/>
      <c r="AF32" s="796"/>
      <c r="AG32" s="796"/>
      <c r="AH32" s="796"/>
      <c r="AI32" s="796"/>
      <c r="AJ32" s="796"/>
      <c r="AK32" s="796"/>
      <c r="AL32" s="796"/>
      <c r="AM32" s="796"/>
      <c r="AN32" s="796"/>
      <c r="AO32" s="796"/>
      <c r="AP32" s="796"/>
      <c r="AQ32" s="796"/>
      <c r="AR32" s="796"/>
      <c r="AS32" s="796"/>
      <c r="AT32" s="796"/>
      <c r="AU32" s="796"/>
      <c r="AV32" s="796"/>
      <c r="AW32" s="796"/>
      <c r="AX32" s="796"/>
      <c r="AY32" s="796"/>
      <c r="AZ32" s="796"/>
      <c r="BA32" s="796"/>
      <c r="BB32" s="796"/>
      <c r="BC32" s="796"/>
      <c r="BD32" s="796"/>
      <c r="BE32" s="796"/>
      <c r="BF32" s="796"/>
      <c r="BG32" s="796"/>
      <c r="BH32" s="796"/>
      <c r="BI32" s="796"/>
      <c r="BJ32" s="796"/>
      <c r="BK32" s="796"/>
      <c r="BL32" s="796"/>
      <c r="BM32" s="796"/>
      <c r="BN32" s="796"/>
      <c r="BO32" s="796"/>
      <c r="BP32" s="796"/>
      <c r="BQ32" s="796"/>
      <c r="BR32" s="796"/>
      <c r="BS32" s="796"/>
      <c r="BT32" s="796"/>
      <c r="BU32" s="796"/>
      <c r="BV32" s="796"/>
      <c r="BW32" s="796"/>
      <c r="BX32" s="796"/>
      <c r="BY32" s="796"/>
      <c r="BZ32" s="796"/>
      <c r="CA32" s="796"/>
      <c r="CB32" s="796"/>
      <c r="CC32" s="796"/>
      <c r="CD32" s="796"/>
      <c r="CE32" s="796"/>
      <c r="CF32" s="796"/>
      <c r="CG32" s="796"/>
      <c r="CH32" s="796"/>
      <c r="CI32" s="796"/>
      <c r="CJ32" s="796"/>
      <c r="CK32" s="796"/>
      <c r="CL32" s="796"/>
      <c r="CM32" s="796"/>
      <c r="CN32" s="796"/>
      <c r="CO32" s="796"/>
      <c r="CP32" s="796"/>
      <c r="CQ32" s="796"/>
      <c r="CR32" s="796"/>
      <c r="CS32" s="796"/>
      <c r="CT32" s="796"/>
      <c r="CU32" s="796"/>
      <c r="CV32" s="796"/>
      <c r="CW32" s="796"/>
      <c r="CX32" s="796"/>
      <c r="CY32" s="796"/>
      <c r="CZ32" s="796"/>
      <c r="DA32" s="796"/>
      <c r="DB32" s="796"/>
      <c r="DC32" s="796"/>
      <c r="DD32" s="796"/>
      <c r="DE32" s="796"/>
      <c r="DF32" s="796"/>
      <c r="DG32" s="796"/>
      <c r="DH32" s="796"/>
      <c r="DI32" s="796"/>
      <c r="DJ32" s="796"/>
    </row>
    <row r="33" spans="1:114" ht="15" customHeight="1">
      <c r="A33" s="797" t="s">
        <v>1828</v>
      </c>
      <c r="B33" s="380" t="s">
        <v>898</v>
      </c>
      <c r="C33" s="521" t="s">
        <v>1829</v>
      </c>
      <c r="D33" s="794"/>
      <c r="E33" s="685">
        <v>1</v>
      </c>
      <c r="F33" s="795">
        <v>1</v>
      </c>
      <c r="G33" s="685">
        <v>1</v>
      </c>
      <c r="H33" s="795">
        <v>1</v>
      </c>
      <c r="I33" s="685">
        <v>1</v>
      </c>
      <c r="J33" s="803"/>
      <c r="K33" s="685">
        <v>1</v>
      </c>
      <c r="L33" s="795">
        <v>1</v>
      </c>
      <c r="M33" s="685">
        <v>1</v>
      </c>
      <c r="N33" s="795">
        <v>1</v>
      </c>
      <c r="O33" s="685">
        <v>1</v>
      </c>
      <c r="P33" s="795">
        <v>1</v>
      </c>
      <c r="Q33" s="685">
        <v>1</v>
      </c>
      <c r="R33" s="795">
        <v>0</v>
      </c>
      <c r="S33" s="685">
        <v>0</v>
      </c>
      <c r="T33" s="795">
        <v>0</v>
      </c>
      <c r="U33" s="685">
        <v>0</v>
      </c>
      <c r="V33" s="795">
        <v>0</v>
      </c>
      <c r="W33" s="685">
        <v>0</v>
      </c>
      <c r="X33" s="795">
        <v>0</v>
      </c>
      <c r="Y33" s="795">
        <v>0</v>
      </c>
      <c r="Z33" s="795"/>
      <c r="AA33" s="685">
        <v>0</v>
      </c>
      <c r="AB33" s="795">
        <v>0</v>
      </c>
      <c r="AC33" s="685"/>
      <c r="AD33" s="795"/>
      <c r="AE33" s="685"/>
      <c r="AF33" s="795"/>
      <c r="AG33" s="685">
        <v>0</v>
      </c>
      <c r="AH33" s="795"/>
      <c r="AI33" s="685"/>
      <c r="AJ33" s="795"/>
      <c r="AK33" s="685"/>
      <c r="AL33" s="795"/>
      <c r="AM33" s="685">
        <v>1</v>
      </c>
      <c r="AN33" s="795"/>
      <c r="AO33" s="685"/>
      <c r="AP33" s="795"/>
      <c r="AQ33" s="685"/>
      <c r="AR33" s="795"/>
      <c r="AS33" s="685"/>
      <c r="AT33" s="795"/>
      <c r="AU33" s="685"/>
      <c r="AV33" s="795"/>
      <c r="AW33" s="685"/>
      <c r="AX33" s="795"/>
      <c r="AY33" s="685"/>
      <c r="AZ33" s="795"/>
      <c r="BA33" s="685"/>
      <c r="BB33" s="795"/>
      <c r="BC33" s="685"/>
      <c r="BD33" s="795"/>
      <c r="BE33" s="685"/>
      <c r="BF33" s="795"/>
      <c r="BG33" s="685"/>
      <c r="BH33" s="795"/>
      <c r="BI33" s="685"/>
      <c r="BJ33" s="795"/>
      <c r="BK33" s="685"/>
      <c r="BL33" s="795"/>
      <c r="BM33" s="685"/>
      <c r="BN33" s="795"/>
      <c r="BO33" s="685"/>
      <c r="BP33" s="795"/>
      <c r="BQ33" s="685"/>
      <c r="BR33" s="795"/>
      <c r="BS33" s="685"/>
      <c r="BT33" s="795"/>
      <c r="BU33" s="685"/>
      <c r="BV33" s="795"/>
      <c r="BW33" s="685"/>
      <c r="BX33" s="795"/>
      <c r="BY33" s="685"/>
      <c r="BZ33" s="795"/>
      <c r="CA33" s="685"/>
      <c r="CB33" s="795"/>
      <c r="CC33" s="685"/>
      <c r="CD33" s="795"/>
      <c r="CE33" s="685"/>
      <c r="CF33" s="795"/>
      <c r="CG33" s="685"/>
      <c r="CH33" s="795"/>
      <c r="CI33" s="685"/>
      <c r="CJ33" s="795"/>
      <c r="CK33" s="685"/>
      <c r="CL33" s="795"/>
      <c r="CM33" s="685"/>
      <c r="CN33" s="795"/>
      <c r="CO33" s="685"/>
      <c r="CP33" s="795"/>
      <c r="CQ33" s="685"/>
      <c r="CR33" s="795"/>
      <c r="CS33" s="685"/>
      <c r="CT33" s="795"/>
      <c r="CU33" s="685"/>
      <c r="CV33" s="795"/>
      <c r="CW33" s="685"/>
      <c r="CX33" s="795"/>
      <c r="CY33" s="685"/>
      <c r="CZ33" s="795"/>
      <c r="DA33" s="685"/>
      <c r="DB33" s="795"/>
      <c r="DC33" s="685"/>
      <c r="DD33" s="795"/>
      <c r="DE33" s="685"/>
      <c r="DF33" s="795"/>
      <c r="DG33" s="685"/>
      <c r="DH33" s="795"/>
      <c r="DI33" s="685"/>
      <c r="DJ33" s="795"/>
    </row>
    <row r="34" spans="1:114" ht="15" customHeight="1">
      <c r="A34" s="797" t="s">
        <v>1830</v>
      </c>
      <c r="B34" s="380" t="s">
        <v>1803</v>
      </c>
      <c r="C34" s="521" t="s">
        <v>1831</v>
      </c>
      <c r="D34" s="794"/>
      <c r="E34" s="685"/>
      <c r="F34" s="795"/>
      <c r="G34" s="685"/>
      <c r="H34" s="795"/>
      <c r="I34" s="685"/>
      <c r="J34" s="803"/>
      <c r="K34" s="685"/>
      <c r="L34" s="795"/>
      <c r="M34" s="685"/>
      <c r="N34" s="795">
        <v>13.54</v>
      </c>
      <c r="O34" s="685">
        <v>13.54</v>
      </c>
      <c r="P34" s="795">
        <f>14267/1021</f>
        <v>13.973555337904015</v>
      </c>
      <c r="Q34" s="685"/>
      <c r="R34" s="795"/>
      <c r="S34" s="685"/>
      <c r="T34" s="795"/>
      <c r="U34" s="685"/>
      <c r="V34" s="795"/>
      <c r="W34" s="685"/>
      <c r="X34" s="795"/>
      <c r="Y34" s="795"/>
      <c r="Z34" s="795"/>
      <c r="AA34" s="685"/>
      <c r="AB34" s="795"/>
      <c r="AC34" s="685"/>
      <c r="AD34" s="795"/>
      <c r="AE34" s="685"/>
      <c r="AF34" s="795"/>
      <c r="AG34" s="685">
        <v>17.584705882352942</v>
      </c>
      <c r="AH34" s="795"/>
      <c r="AI34" s="685"/>
      <c r="AJ34" s="795"/>
      <c r="AK34" s="685"/>
      <c r="AL34" s="795"/>
      <c r="AM34" s="685">
        <f>AM45/AM43</f>
        <v>17.584705882352942</v>
      </c>
      <c r="AN34" s="795"/>
      <c r="AO34" s="685"/>
      <c r="AP34" s="795"/>
      <c r="AQ34" s="685"/>
      <c r="AR34" s="795"/>
      <c r="AS34" s="685"/>
      <c r="AT34" s="795"/>
      <c r="AU34" s="685"/>
      <c r="AV34" s="795"/>
      <c r="AW34" s="685"/>
      <c r="AX34" s="795"/>
      <c r="AY34" s="685"/>
      <c r="AZ34" s="795"/>
      <c r="BA34" s="685"/>
      <c r="BB34" s="795"/>
      <c r="BC34" s="685"/>
      <c r="BD34" s="795"/>
      <c r="BE34" s="685"/>
      <c r="BF34" s="795"/>
      <c r="BG34" s="685"/>
      <c r="BH34" s="795"/>
      <c r="BI34" s="685"/>
      <c r="BJ34" s="795"/>
      <c r="BK34" s="685"/>
      <c r="BL34" s="795"/>
      <c r="BM34" s="685"/>
      <c r="BN34" s="795"/>
      <c r="BO34" s="685"/>
      <c r="BP34" s="795"/>
      <c r="BQ34" s="685"/>
      <c r="BR34" s="795"/>
      <c r="BS34" s="685"/>
      <c r="BT34" s="795"/>
      <c r="BU34" s="685"/>
      <c r="BV34" s="795"/>
      <c r="BW34" s="685"/>
      <c r="BX34" s="795"/>
      <c r="BY34" s="685"/>
      <c r="BZ34" s="795"/>
      <c r="CA34" s="685"/>
      <c r="CB34" s="795"/>
      <c r="CC34" s="685"/>
      <c r="CD34" s="795"/>
      <c r="CE34" s="685"/>
      <c r="CF34" s="795"/>
      <c r="CG34" s="685"/>
      <c r="CH34" s="795"/>
      <c r="CI34" s="685"/>
      <c r="CJ34" s="795"/>
      <c r="CK34" s="685"/>
      <c r="CL34" s="795"/>
      <c r="CM34" s="685"/>
      <c r="CN34" s="795"/>
      <c r="CO34" s="685"/>
      <c r="CP34" s="795"/>
      <c r="CQ34" s="685"/>
      <c r="CR34" s="795"/>
      <c r="CS34" s="685"/>
      <c r="CT34" s="795"/>
      <c r="CU34" s="685"/>
      <c r="CV34" s="795"/>
      <c r="CW34" s="685"/>
      <c r="CX34" s="795"/>
      <c r="CY34" s="685"/>
      <c r="CZ34" s="795"/>
      <c r="DA34" s="685"/>
      <c r="DB34" s="795"/>
      <c r="DC34" s="685"/>
      <c r="DD34" s="795"/>
      <c r="DE34" s="685"/>
      <c r="DF34" s="795"/>
      <c r="DG34" s="685"/>
      <c r="DH34" s="795"/>
      <c r="DI34" s="685"/>
      <c r="DJ34" s="795"/>
    </row>
    <row r="35" spans="1:114" ht="29.25" customHeight="1">
      <c r="A35" s="797" t="s">
        <v>1986</v>
      </c>
      <c r="B35" s="380" t="s">
        <v>898</v>
      </c>
      <c r="C35" s="521" t="s">
        <v>1987</v>
      </c>
      <c r="D35" s="794"/>
      <c r="E35" s="685">
        <v>0</v>
      </c>
      <c r="F35" s="795">
        <v>0</v>
      </c>
      <c r="G35" s="685">
        <v>0</v>
      </c>
      <c r="H35" s="795">
        <v>0</v>
      </c>
      <c r="I35" s="685">
        <v>0</v>
      </c>
      <c r="J35" s="803"/>
      <c r="K35" s="685">
        <v>0</v>
      </c>
      <c r="L35" s="795">
        <v>0</v>
      </c>
      <c r="M35" s="685">
        <v>0</v>
      </c>
      <c r="N35" s="795">
        <v>0</v>
      </c>
      <c r="O35" s="685">
        <v>0</v>
      </c>
      <c r="P35" s="795">
        <v>0</v>
      </c>
      <c r="Q35" s="685">
        <v>0</v>
      </c>
      <c r="R35" s="795">
        <v>0</v>
      </c>
      <c r="S35" s="685">
        <v>0</v>
      </c>
      <c r="T35" s="795">
        <v>0</v>
      </c>
      <c r="U35" s="685">
        <v>0</v>
      </c>
      <c r="V35" s="795">
        <v>0</v>
      </c>
      <c r="W35" s="685">
        <v>0</v>
      </c>
      <c r="X35" s="795">
        <v>3</v>
      </c>
      <c r="Y35" s="795">
        <v>0</v>
      </c>
      <c r="Z35" s="795"/>
      <c r="AA35" s="685">
        <v>0</v>
      </c>
      <c r="AB35" s="795">
        <v>0</v>
      </c>
      <c r="AC35" s="685"/>
      <c r="AD35" s="795"/>
      <c r="AE35" s="685"/>
      <c r="AF35" s="795"/>
      <c r="AG35" s="685">
        <v>0</v>
      </c>
      <c r="AH35" s="795"/>
      <c r="AI35" s="685"/>
      <c r="AJ35" s="795"/>
      <c r="AK35" s="685"/>
      <c r="AL35" s="795"/>
      <c r="AM35" s="685"/>
      <c r="AN35" s="795"/>
      <c r="AO35" s="685"/>
      <c r="AP35" s="795"/>
      <c r="AQ35" s="685"/>
      <c r="AR35" s="795"/>
      <c r="AS35" s="685"/>
      <c r="AT35" s="795"/>
      <c r="AU35" s="685"/>
      <c r="AV35" s="795"/>
      <c r="AW35" s="685"/>
      <c r="AX35" s="795"/>
      <c r="AY35" s="685"/>
      <c r="AZ35" s="795"/>
      <c r="BA35" s="685"/>
      <c r="BB35" s="795"/>
      <c r="BC35" s="685"/>
      <c r="BD35" s="795"/>
      <c r="BE35" s="685"/>
      <c r="BF35" s="795"/>
      <c r="BG35" s="685"/>
      <c r="BH35" s="795"/>
      <c r="BI35" s="685"/>
      <c r="BJ35" s="795"/>
      <c r="BK35" s="685"/>
      <c r="BL35" s="795"/>
      <c r="BM35" s="685"/>
      <c r="BN35" s="795"/>
      <c r="BO35" s="685"/>
      <c r="BP35" s="795"/>
      <c r="BQ35" s="685"/>
      <c r="BR35" s="795"/>
      <c r="BS35" s="685"/>
      <c r="BT35" s="795"/>
      <c r="BU35" s="685"/>
      <c r="BV35" s="795"/>
      <c r="BW35" s="685"/>
      <c r="BX35" s="795"/>
      <c r="BY35" s="685"/>
      <c r="BZ35" s="795"/>
      <c r="CA35" s="685"/>
      <c r="CB35" s="795"/>
      <c r="CC35" s="685"/>
      <c r="CD35" s="795"/>
      <c r="CE35" s="685"/>
      <c r="CF35" s="795"/>
      <c r="CG35" s="685"/>
      <c r="CH35" s="795"/>
      <c r="CI35" s="685"/>
      <c r="CJ35" s="795"/>
      <c r="CK35" s="685"/>
      <c r="CL35" s="795"/>
      <c r="CM35" s="685"/>
      <c r="CN35" s="795"/>
      <c r="CO35" s="685"/>
      <c r="CP35" s="795"/>
      <c r="CQ35" s="685"/>
      <c r="CR35" s="795"/>
      <c r="CS35" s="685"/>
      <c r="CT35" s="795"/>
      <c r="CU35" s="685"/>
      <c r="CV35" s="795"/>
      <c r="CW35" s="685"/>
      <c r="CX35" s="795"/>
      <c r="CY35" s="685"/>
      <c r="CZ35" s="795"/>
      <c r="DA35" s="685"/>
      <c r="DB35" s="795"/>
      <c r="DC35" s="685"/>
      <c r="DD35" s="795"/>
      <c r="DE35" s="685"/>
      <c r="DF35" s="795"/>
      <c r="DG35" s="685"/>
      <c r="DH35" s="795"/>
      <c r="DI35" s="685"/>
      <c r="DJ35" s="795"/>
    </row>
    <row r="36" spans="1:114" ht="17.25" customHeight="1">
      <c r="A36" s="797" t="s">
        <v>1988</v>
      </c>
      <c r="B36" s="380" t="s">
        <v>898</v>
      </c>
      <c r="C36" s="521" t="s">
        <v>1989</v>
      </c>
      <c r="D36" s="794"/>
      <c r="E36" s="685">
        <v>1</v>
      </c>
      <c r="F36" s="795">
        <v>1</v>
      </c>
      <c r="G36" s="685">
        <v>1</v>
      </c>
      <c r="H36" s="795">
        <v>1</v>
      </c>
      <c r="I36" s="685">
        <v>1</v>
      </c>
      <c r="J36" s="803"/>
      <c r="K36" s="685">
        <v>1</v>
      </c>
      <c r="L36" s="795">
        <v>1</v>
      </c>
      <c r="M36" s="685">
        <v>1</v>
      </c>
      <c r="N36" s="795">
        <v>0</v>
      </c>
      <c r="O36" s="685">
        <v>0</v>
      </c>
      <c r="P36" s="795">
        <v>0</v>
      </c>
      <c r="Q36" s="685">
        <v>0</v>
      </c>
      <c r="R36" s="795">
        <v>1</v>
      </c>
      <c r="S36" s="685">
        <v>1</v>
      </c>
      <c r="T36" s="795">
        <v>1</v>
      </c>
      <c r="U36" s="685">
        <v>1</v>
      </c>
      <c r="V36" s="795">
        <v>1</v>
      </c>
      <c r="W36" s="685">
        <v>1</v>
      </c>
      <c r="X36" s="795">
        <v>0</v>
      </c>
      <c r="Y36" s="795">
        <v>1</v>
      </c>
      <c r="Z36" s="795"/>
      <c r="AA36" s="685">
        <v>1</v>
      </c>
      <c r="AB36" s="795">
        <v>1</v>
      </c>
      <c r="AC36" s="685"/>
      <c r="AD36" s="795"/>
      <c r="AE36" s="685"/>
      <c r="AF36" s="795"/>
      <c r="AG36" s="685">
        <v>0</v>
      </c>
      <c r="AH36" s="795"/>
      <c r="AI36" s="685"/>
      <c r="AJ36" s="795"/>
      <c r="AK36" s="685"/>
      <c r="AL36" s="795"/>
      <c r="AM36" s="685"/>
      <c r="AN36" s="795"/>
      <c r="AO36" s="685"/>
      <c r="AP36" s="795"/>
      <c r="AQ36" s="685"/>
      <c r="AR36" s="795"/>
      <c r="AS36" s="685"/>
      <c r="AT36" s="795"/>
      <c r="AU36" s="685"/>
      <c r="AV36" s="795"/>
      <c r="AW36" s="685"/>
      <c r="AX36" s="795"/>
      <c r="AY36" s="685"/>
      <c r="AZ36" s="795"/>
      <c r="BA36" s="685"/>
      <c r="BB36" s="795"/>
      <c r="BC36" s="685"/>
      <c r="BD36" s="795"/>
      <c r="BE36" s="685"/>
      <c r="BF36" s="795"/>
      <c r="BG36" s="685"/>
      <c r="BH36" s="795"/>
      <c r="BI36" s="685"/>
      <c r="BJ36" s="795"/>
      <c r="BK36" s="685"/>
      <c r="BL36" s="795"/>
      <c r="BM36" s="685"/>
      <c r="BN36" s="795"/>
      <c r="BO36" s="685"/>
      <c r="BP36" s="795"/>
      <c r="BQ36" s="685"/>
      <c r="BR36" s="795"/>
      <c r="BS36" s="685"/>
      <c r="BT36" s="795"/>
      <c r="BU36" s="685"/>
      <c r="BV36" s="795"/>
      <c r="BW36" s="685"/>
      <c r="BX36" s="795"/>
      <c r="BY36" s="685"/>
      <c r="BZ36" s="795"/>
      <c r="CA36" s="685"/>
      <c r="CB36" s="795"/>
      <c r="CC36" s="685"/>
      <c r="CD36" s="795"/>
      <c r="CE36" s="685"/>
      <c r="CF36" s="795"/>
      <c r="CG36" s="685"/>
      <c r="CH36" s="795"/>
      <c r="CI36" s="685"/>
      <c r="CJ36" s="795"/>
      <c r="CK36" s="685"/>
      <c r="CL36" s="795"/>
      <c r="CM36" s="685"/>
      <c r="CN36" s="795"/>
      <c r="CO36" s="685"/>
      <c r="CP36" s="795"/>
      <c r="CQ36" s="685"/>
      <c r="CR36" s="795"/>
      <c r="CS36" s="685"/>
      <c r="CT36" s="795"/>
      <c r="CU36" s="685"/>
      <c r="CV36" s="795"/>
      <c r="CW36" s="685"/>
      <c r="CX36" s="795"/>
      <c r="CY36" s="685"/>
      <c r="CZ36" s="795"/>
      <c r="DA36" s="685"/>
      <c r="DB36" s="795"/>
      <c r="DC36" s="685"/>
      <c r="DD36" s="795"/>
      <c r="DE36" s="685"/>
      <c r="DF36" s="795"/>
      <c r="DG36" s="685"/>
      <c r="DH36" s="795"/>
      <c r="DI36" s="685"/>
      <c r="DJ36" s="795"/>
    </row>
    <row r="37" spans="1:114" ht="15" customHeight="1">
      <c r="A37" s="529" t="s">
        <v>1990</v>
      </c>
      <c r="B37" s="380" t="s">
        <v>898</v>
      </c>
      <c r="C37" s="521" t="s">
        <v>1991</v>
      </c>
      <c r="D37" s="794"/>
      <c r="E37" s="685">
        <v>0</v>
      </c>
      <c r="F37" s="795">
        <v>0</v>
      </c>
      <c r="G37" s="685">
        <v>0</v>
      </c>
      <c r="H37" s="795">
        <v>0</v>
      </c>
      <c r="I37" s="685">
        <v>0</v>
      </c>
      <c r="J37" s="803"/>
      <c r="K37" s="685">
        <v>0</v>
      </c>
      <c r="L37" s="795">
        <v>0</v>
      </c>
      <c r="M37" s="685">
        <v>0</v>
      </c>
      <c r="N37" s="795">
        <v>14</v>
      </c>
      <c r="O37" s="685">
        <v>14</v>
      </c>
      <c r="P37" s="795">
        <v>14</v>
      </c>
      <c r="Q37" s="685">
        <v>3</v>
      </c>
      <c r="R37" s="795">
        <v>0</v>
      </c>
      <c r="S37" s="685">
        <v>0</v>
      </c>
      <c r="T37" s="795">
        <v>0</v>
      </c>
      <c r="U37" s="685">
        <v>0</v>
      </c>
      <c r="V37" s="795">
        <v>0</v>
      </c>
      <c r="W37" s="685">
        <v>0</v>
      </c>
      <c r="X37" s="795">
        <v>0</v>
      </c>
      <c r="Y37" s="795">
        <v>0</v>
      </c>
      <c r="Z37" s="795"/>
      <c r="AA37" s="685">
        <v>0</v>
      </c>
      <c r="AB37" s="795">
        <v>0</v>
      </c>
      <c r="AC37" s="685"/>
      <c r="AD37" s="795"/>
      <c r="AE37" s="685"/>
      <c r="AF37" s="795"/>
      <c r="AG37" s="685">
        <v>3</v>
      </c>
      <c r="AH37" s="795"/>
      <c r="AI37" s="685"/>
      <c r="AJ37" s="795"/>
      <c r="AK37" s="685"/>
      <c r="AL37" s="795"/>
      <c r="AM37" s="685">
        <v>4</v>
      </c>
      <c r="AN37" s="795"/>
      <c r="AO37" s="685"/>
      <c r="AP37" s="795"/>
      <c r="AQ37" s="685"/>
      <c r="AR37" s="795"/>
      <c r="AS37" s="685"/>
      <c r="AT37" s="795"/>
      <c r="AU37" s="685"/>
      <c r="AV37" s="795"/>
      <c r="AW37" s="685"/>
      <c r="AX37" s="795"/>
      <c r="AY37" s="685"/>
      <c r="AZ37" s="795"/>
      <c r="BA37" s="685"/>
      <c r="BB37" s="795"/>
      <c r="BC37" s="685"/>
      <c r="BD37" s="795"/>
      <c r="BE37" s="685"/>
      <c r="BF37" s="795"/>
      <c r="BG37" s="685"/>
      <c r="BH37" s="795"/>
      <c r="BI37" s="685"/>
      <c r="BJ37" s="795"/>
      <c r="BK37" s="685"/>
      <c r="BL37" s="795"/>
      <c r="BM37" s="685"/>
      <c r="BN37" s="795"/>
      <c r="BO37" s="685"/>
      <c r="BP37" s="795"/>
      <c r="BQ37" s="685"/>
      <c r="BR37" s="795"/>
      <c r="BS37" s="685"/>
      <c r="BT37" s="795"/>
      <c r="BU37" s="685"/>
      <c r="BV37" s="795"/>
      <c r="BW37" s="685"/>
      <c r="BX37" s="795"/>
      <c r="BY37" s="685"/>
      <c r="BZ37" s="795"/>
      <c r="CA37" s="685"/>
      <c r="CB37" s="795"/>
      <c r="CC37" s="685"/>
      <c r="CD37" s="795"/>
      <c r="CE37" s="685"/>
      <c r="CF37" s="795"/>
      <c r="CG37" s="685"/>
      <c r="CH37" s="795"/>
      <c r="CI37" s="685"/>
      <c r="CJ37" s="795"/>
      <c r="CK37" s="685"/>
      <c r="CL37" s="795"/>
      <c r="CM37" s="685"/>
      <c r="CN37" s="795"/>
      <c r="CO37" s="685"/>
      <c r="CP37" s="795"/>
      <c r="CQ37" s="685"/>
      <c r="CR37" s="795"/>
      <c r="CS37" s="685"/>
      <c r="CT37" s="795"/>
      <c r="CU37" s="685"/>
      <c r="CV37" s="795"/>
      <c r="CW37" s="685"/>
      <c r="CX37" s="795"/>
      <c r="CY37" s="685"/>
      <c r="CZ37" s="795"/>
      <c r="DA37" s="685"/>
      <c r="DB37" s="795"/>
      <c r="DC37" s="685"/>
      <c r="DD37" s="795"/>
      <c r="DE37" s="685"/>
      <c r="DF37" s="795"/>
      <c r="DG37" s="685"/>
      <c r="DH37" s="795"/>
      <c r="DI37" s="685"/>
      <c r="DJ37" s="795"/>
    </row>
    <row r="38" spans="1:114" ht="15" customHeight="1">
      <c r="A38" s="529" t="s">
        <v>1992</v>
      </c>
      <c r="B38" s="380" t="s">
        <v>898</v>
      </c>
      <c r="C38" s="521" t="s">
        <v>1993</v>
      </c>
      <c r="D38" s="794"/>
      <c r="E38" s="685">
        <v>1</v>
      </c>
      <c r="F38" s="795">
        <v>1</v>
      </c>
      <c r="G38" s="685">
        <v>1</v>
      </c>
      <c r="H38" s="795">
        <v>1</v>
      </c>
      <c r="I38" s="685">
        <v>1</v>
      </c>
      <c r="J38" s="803"/>
      <c r="K38" s="685">
        <v>1</v>
      </c>
      <c r="L38" s="795">
        <v>1</v>
      </c>
      <c r="M38" s="685">
        <v>1</v>
      </c>
      <c r="N38" s="795">
        <v>0</v>
      </c>
      <c r="O38" s="685">
        <v>0</v>
      </c>
      <c r="P38" s="795">
        <v>0</v>
      </c>
      <c r="Q38" s="685">
        <v>1</v>
      </c>
      <c r="R38" s="795">
        <v>1</v>
      </c>
      <c r="S38" s="685">
        <v>1</v>
      </c>
      <c r="T38" s="795">
        <v>1</v>
      </c>
      <c r="U38" s="685">
        <v>1</v>
      </c>
      <c r="V38" s="795">
        <v>1</v>
      </c>
      <c r="W38" s="685">
        <v>1</v>
      </c>
      <c r="X38" s="795">
        <v>1</v>
      </c>
      <c r="Y38" s="795">
        <v>1</v>
      </c>
      <c r="Z38" s="795"/>
      <c r="AA38" s="685">
        <v>1</v>
      </c>
      <c r="AB38" s="795">
        <v>1</v>
      </c>
      <c r="AC38" s="685"/>
      <c r="AD38" s="795"/>
      <c r="AE38" s="685"/>
      <c r="AF38" s="795"/>
      <c r="AG38" s="685">
        <v>1</v>
      </c>
      <c r="AH38" s="795"/>
      <c r="AI38" s="685"/>
      <c r="AJ38" s="795"/>
      <c r="AK38" s="685"/>
      <c r="AL38" s="795"/>
      <c r="AM38" s="685">
        <v>1</v>
      </c>
      <c r="AN38" s="795"/>
      <c r="AO38" s="685"/>
      <c r="AP38" s="795"/>
      <c r="AQ38" s="685"/>
      <c r="AR38" s="795"/>
      <c r="AS38" s="685"/>
      <c r="AT38" s="795"/>
      <c r="AU38" s="685"/>
      <c r="AV38" s="795"/>
      <c r="AW38" s="685"/>
      <c r="AX38" s="795"/>
      <c r="AY38" s="685"/>
      <c r="AZ38" s="795"/>
      <c r="BA38" s="685"/>
      <c r="BB38" s="795"/>
      <c r="BC38" s="685"/>
      <c r="BD38" s="795"/>
      <c r="BE38" s="685"/>
      <c r="BF38" s="795"/>
      <c r="BG38" s="685"/>
      <c r="BH38" s="795"/>
      <c r="BI38" s="685"/>
      <c r="BJ38" s="795"/>
      <c r="BK38" s="685"/>
      <c r="BL38" s="795"/>
      <c r="BM38" s="685"/>
      <c r="BN38" s="795"/>
      <c r="BO38" s="685"/>
      <c r="BP38" s="795"/>
      <c r="BQ38" s="685"/>
      <c r="BR38" s="795"/>
      <c r="BS38" s="685"/>
      <c r="BT38" s="795"/>
      <c r="BU38" s="685"/>
      <c r="BV38" s="795"/>
      <c r="BW38" s="685"/>
      <c r="BX38" s="795"/>
      <c r="BY38" s="685"/>
      <c r="BZ38" s="795"/>
      <c r="CA38" s="685"/>
      <c r="CB38" s="795"/>
      <c r="CC38" s="685"/>
      <c r="CD38" s="795"/>
      <c r="CE38" s="685"/>
      <c r="CF38" s="795"/>
      <c r="CG38" s="685"/>
      <c r="CH38" s="795"/>
      <c r="CI38" s="685"/>
      <c r="CJ38" s="795"/>
      <c r="CK38" s="685"/>
      <c r="CL38" s="795"/>
      <c r="CM38" s="685"/>
      <c r="CN38" s="795"/>
      <c r="CO38" s="685"/>
      <c r="CP38" s="795"/>
      <c r="CQ38" s="685"/>
      <c r="CR38" s="795"/>
      <c r="CS38" s="685"/>
      <c r="CT38" s="795"/>
      <c r="CU38" s="685"/>
      <c r="CV38" s="795"/>
      <c r="CW38" s="685"/>
      <c r="CX38" s="795"/>
      <c r="CY38" s="685"/>
      <c r="CZ38" s="795"/>
      <c r="DA38" s="685"/>
      <c r="DB38" s="795"/>
      <c r="DC38" s="685"/>
      <c r="DD38" s="795"/>
      <c r="DE38" s="685"/>
      <c r="DF38" s="795"/>
      <c r="DG38" s="685"/>
      <c r="DH38" s="795"/>
      <c r="DI38" s="685"/>
      <c r="DJ38" s="795"/>
    </row>
    <row r="39" spans="1:114" ht="15" customHeight="1">
      <c r="A39" s="529" t="s">
        <v>1840</v>
      </c>
      <c r="B39" s="380" t="s">
        <v>898</v>
      </c>
      <c r="C39" s="521" t="s">
        <v>1841</v>
      </c>
      <c r="D39" s="794"/>
      <c r="E39" s="685">
        <v>1</v>
      </c>
      <c r="F39" s="795">
        <v>1</v>
      </c>
      <c r="G39" s="685">
        <v>1</v>
      </c>
      <c r="H39" s="795">
        <v>1</v>
      </c>
      <c r="I39" s="685">
        <v>1</v>
      </c>
      <c r="J39" s="803"/>
      <c r="K39" s="685">
        <v>1</v>
      </c>
      <c r="L39" s="795">
        <v>1</v>
      </c>
      <c r="M39" s="685">
        <v>1</v>
      </c>
      <c r="N39" s="795">
        <v>4</v>
      </c>
      <c r="O39" s="685">
        <v>4</v>
      </c>
      <c r="P39" s="795">
        <v>2</v>
      </c>
      <c r="Q39" s="685">
        <v>1</v>
      </c>
      <c r="R39" s="795">
        <v>1</v>
      </c>
      <c r="S39" s="685">
        <v>1</v>
      </c>
      <c r="T39" s="795">
        <v>1</v>
      </c>
      <c r="U39" s="685">
        <v>1</v>
      </c>
      <c r="V39" s="795">
        <v>1</v>
      </c>
      <c r="W39" s="685">
        <v>1</v>
      </c>
      <c r="X39" s="795">
        <v>1</v>
      </c>
      <c r="Y39" s="795">
        <v>1</v>
      </c>
      <c r="Z39" s="795"/>
      <c r="AA39" s="685">
        <v>1</v>
      </c>
      <c r="AB39" s="795">
        <v>1</v>
      </c>
      <c r="AC39" s="685"/>
      <c r="AD39" s="795"/>
      <c r="AE39" s="685"/>
      <c r="AF39" s="795"/>
      <c r="AG39" s="685">
        <v>1</v>
      </c>
      <c r="AH39" s="795"/>
      <c r="AI39" s="685"/>
      <c r="AJ39" s="795"/>
      <c r="AK39" s="685"/>
      <c r="AL39" s="795"/>
      <c r="AM39" s="685">
        <v>1</v>
      </c>
      <c r="AN39" s="795"/>
      <c r="AO39" s="685"/>
      <c r="AP39" s="795"/>
      <c r="AQ39" s="685"/>
      <c r="AR39" s="795"/>
      <c r="AS39" s="685"/>
      <c r="AT39" s="795"/>
      <c r="AU39" s="685"/>
      <c r="AV39" s="795"/>
      <c r="AW39" s="685"/>
      <c r="AX39" s="795"/>
      <c r="AY39" s="685"/>
      <c r="AZ39" s="795"/>
      <c r="BA39" s="685"/>
      <c r="BB39" s="795"/>
      <c r="BC39" s="685"/>
      <c r="BD39" s="795"/>
      <c r="BE39" s="685"/>
      <c r="BF39" s="795"/>
      <c r="BG39" s="685"/>
      <c r="BH39" s="795"/>
      <c r="BI39" s="685"/>
      <c r="BJ39" s="795"/>
      <c r="BK39" s="685"/>
      <c r="BL39" s="795"/>
      <c r="BM39" s="685"/>
      <c r="BN39" s="795"/>
      <c r="BO39" s="685"/>
      <c r="BP39" s="795"/>
      <c r="BQ39" s="685"/>
      <c r="BR39" s="795"/>
      <c r="BS39" s="685"/>
      <c r="BT39" s="795"/>
      <c r="BU39" s="685"/>
      <c r="BV39" s="795"/>
      <c r="BW39" s="685"/>
      <c r="BX39" s="795"/>
      <c r="BY39" s="685"/>
      <c r="BZ39" s="795"/>
      <c r="CA39" s="685"/>
      <c r="CB39" s="795"/>
      <c r="CC39" s="685"/>
      <c r="CD39" s="795"/>
      <c r="CE39" s="685"/>
      <c r="CF39" s="795"/>
      <c r="CG39" s="685"/>
      <c r="CH39" s="795"/>
      <c r="CI39" s="685"/>
      <c r="CJ39" s="795"/>
      <c r="CK39" s="685"/>
      <c r="CL39" s="795"/>
      <c r="CM39" s="685"/>
      <c r="CN39" s="795"/>
      <c r="CO39" s="685"/>
      <c r="CP39" s="795"/>
      <c r="CQ39" s="685"/>
      <c r="CR39" s="795"/>
      <c r="CS39" s="685"/>
      <c r="CT39" s="795"/>
      <c r="CU39" s="685"/>
      <c r="CV39" s="795"/>
      <c r="CW39" s="685"/>
      <c r="CX39" s="795"/>
      <c r="CY39" s="685"/>
      <c r="CZ39" s="795"/>
      <c r="DA39" s="685"/>
      <c r="DB39" s="795"/>
      <c r="DC39" s="685"/>
      <c r="DD39" s="795"/>
      <c r="DE39" s="685"/>
      <c r="DF39" s="795"/>
      <c r="DG39" s="685"/>
      <c r="DH39" s="795"/>
      <c r="DI39" s="685"/>
      <c r="DJ39" s="795"/>
    </row>
    <row r="40" spans="1:114" ht="15" customHeight="1">
      <c r="A40" s="529" t="s">
        <v>1842</v>
      </c>
      <c r="B40" s="380" t="s">
        <v>898</v>
      </c>
      <c r="C40" s="521" t="s">
        <v>1843</v>
      </c>
      <c r="D40" s="794"/>
      <c r="E40" s="685">
        <v>1</v>
      </c>
      <c r="F40" s="795">
        <v>1</v>
      </c>
      <c r="G40" s="685">
        <v>1</v>
      </c>
      <c r="H40" s="795">
        <v>1</v>
      </c>
      <c r="I40" s="685">
        <v>1</v>
      </c>
      <c r="J40" s="803"/>
      <c r="K40" s="685">
        <v>1</v>
      </c>
      <c r="L40" s="795">
        <v>1</v>
      </c>
      <c r="M40" s="685">
        <v>1</v>
      </c>
      <c r="N40" s="795">
        <v>0</v>
      </c>
      <c r="O40" s="685">
        <v>0</v>
      </c>
      <c r="P40" s="795">
        <v>0</v>
      </c>
      <c r="Q40" s="685">
        <v>0</v>
      </c>
      <c r="R40" s="795">
        <v>1</v>
      </c>
      <c r="S40" s="685">
        <v>1</v>
      </c>
      <c r="T40" s="795">
        <v>1</v>
      </c>
      <c r="U40" s="685">
        <v>1</v>
      </c>
      <c r="V40" s="795">
        <v>1</v>
      </c>
      <c r="W40" s="685">
        <v>1</v>
      </c>
      <c r="X40" s="795">
        <v>1</v>
      </c>
      <c r="Y40" s="795">
        <v>1</v>
      </c>
      <c r="Z40" s="795"/>
      <c r="AA40" s="685">
        <v>1</v>
      </c>
      <c r="AB40" s="795">
        <v>1</v>
      </c>
      <c r="AC40" s="685"/>
      <c r="AD40" s="795"/>
      <c r="AE40" s="685"/>
      <c r="AF40" s="795"/>
      <c r="AG40" s="685">
        <v>0</v>
      </c>
      <c r="AH40" s="795"/>
      <c r="AI40" s="685"/>
      <c r="AJ40" s="795"/>
      <c r="AK40" s="685"/>
      <c r="AL40" s="795"/>
      <c r="AM40" s="685"/>
      <c r="AN40" s="795"/>
      <c r="AO40" s="685"/>
      <c r="AP40" s="795"/>
      <c r="AQ40" s="685"/>
      <c r="AR40" s="795"/>
      <c r="AS40" s="685"/>
      <c r="AT40" s="795"/>
      <c r="AU40" s="685"/>
      <c r="AV40" s="795"/>
      <c r="AW40" s="685"/>
      <c r="AX40" s="795"/>
      <c r="AY40" s="685"/>
      <c r="AZ40" s="795"/>
      <c r="BA40" s="685"/>
      <c r="BB40" s="795"/>
      <c r="BC40" s="685"/>
      <c r="BD40" s="795"/>
      <c r="BE40" s="685"/>
      <c r="BF40" s="795"/>
      <c r="BG40" s="685"/>
      <c r="BH40" s="795"/>
      <c r="BI40" s="685"/>
      <c r="BJ40" s="795"/>
      <c r="BK40" s="685"/>
      <c r="BL40" s="795"/>
      <c r="BM40" s="685"/>
      <c r="BN40" s="795"/>
      <c r="BO40" s="685"/>
      <c r="BP40" s="795"/>
      <c r="BQ40" s="685"/>
      <c r="BR40" s="795"/>
      <c r="BS40" s="685"/>
      <c r="BT40" s="795"/>
      <c r="BU40" s="685"/>
      <c r="BV40" s="795"/>
      <c r="BW40" s="685"/>
      <c r="BX40" s="795"/>
      <c r="BY40" s="685"/>
      <c r="BZ40" s="795"/>
      <c r="CA40" s="685"/>
      <c r="CB40" s="795"/>
      <c r="CC40" s="685"/>
      <c r="CD40" s="795"/>
      <c r="CE40" s="685"/>
      <c r="CF40" s="795"/>
      <c r="CG40" s="685"/>
      <c r="CH40" s="795"/>
      <c r="CI40" s="685"/>
      <c r="CJ40" s="795"/>
      <c r="CK40" s="685"/>
      <c r="CL40" s="795"/>
      <c r="CM40" s="685"/>
      <c r="CN40" s="795"/>
      <c r="CO40" s="685"/>
      <c r="CP40" s="795"/>
      <c r="CQ40" s="685"/>
      <c r="CR40" s="795"/>
      <c r="CS40" s="685"/>
      <c r="CT40" s="795"/>
      <c r="CU40" s="685"/>
      <c r="CV40" s="795"/>
      <c r="CW40" s="685"/>
      <c r="CX40" s="795"/>
      <c r="CY40" s="685"/>
      <c r="CZ40" s="795"/>
      <c r="DA40" s="685"/>
      <c r="DB40" s="795"/>
      <c r="DC40" s="685"/>
      <c r="DD40" s="795"/>
      <c r="DE40" s="685"/>
      <c r="DF40" s="795"/>
      <c r="DG40" s="685"/>
      <c r="DH40" s="795"/>
      <c r="DI40" s="685"/>
      <c r="DJ40" s="795"/>
    </row>
    <row r="41" spans="1:114" ht="15" customHeight="1">
      <c r="A41" s="529" t="s">
        <v>1994</v>
      </c>
      <c r="B41" s="380" t="s">
        <v>898</v>
      </c>
      <c r="C41" s="521" t="s">
        <v>1995</v>
      </c>
      <c r="D41" s="794"/>
      <c r="E41" s="685">
        <v>2</v>
      </c>
      <c r="F41" s="795">
        <v>2</v>
      </c>
      <c r="G41" s="685">
        <v>2</v>
      </c>
      <c r="H41" s="795">
        <v>2</v>
      </c>
      <c r="I41" s="685">
        <v>2</v>
      </c>
      <c r="J41" s="803"/>
      <c r="K41" s="685">
        <v>2</v>
      </c>
      <c r="L41" s="795">
        <v>2</v>
      </c>
      <c r="M41" s="685">
        <v>2</v>
      </c>
      <c r="N41" s="795">
        <v>0</v>
      </c>
      <c r="O41" s="685">
        <v>0</v>
      </c>
      <c r="P41" s="795">
        <v>2</v>
      </c>
      <c r="Q41" s="685">
        <v>2</v>
      </c>
      <c r="R41" s="795">
        <v>2</v>
      </c>
      <c r="S41" s="685">
        <v>2</v>
      </c>
      <c r="T41" s="795">
        <v>2</v>
      </c>
      <c r="U41" s="685">
        <v>2</v>
      </c>
      <c r="V41" s="795">
        <v>2</v>
      </c>
      <c r="W41" s="685">
        <v>2</v>
      </c>
      <c r="X41" s="795">
        <v>2</v>
      </c>
      <c r="Y41" s="795">
        <v>2</v>
      </c>
      <c r="Z41" s="795"/>
      <c r="AA41" s="685">
        <v>2</v>
      </c>
      <c r="AB41" s="795">
        <v>2</v>
      </c>
      <c r="AC41" s="685"/>
      <c r="AD41" s="795"/>
      <c r="AE41" s="685"/>
      <c r="AF41" s="795"/>
      <c r="AG41" s="685">
        <v>2</v>
      </c>
      <c r="AH41" s="795"/>
      <c r="AI41" s="685"/>
      <c r="AJ41" s="795"/>
      <c r="AK41" s="685"/>
      <c r="AL41" s="795"/>
      <c r="AM41" s="685">
        <v>2</v>
      </c>
      <c r="AN41" s="795"/>
      <c r="AO41" s="685"/>
      <c r="AP41" s="795"/>
      <c r="AQ41" s="685"/>
      <c r="AR41" s="795"/>
      <c r="AS41" s="685"/>
      <c r="AT41" s="795"/>
      <c r="AU41" s="685"/>
      <c r="AV41" s="795"/>
      <c r="AW41" s="685"/>
      <c r="AX41" s="795"/>
      <c r="AY41" s="685"/>
      <c r="AZ41" s="795"/>
      <c r="BA41" s="685"/>
      <c r="BB41" s="795"/>
      <c r="BC41" s="685"/>
      <c r="BD41" s="795"/>
      <c r="BE41" s="685"/>
      <c r="BF41" s="795"/>
      <c r="BG41" s="685"/>
      <c r="BH41" s="795"/>
      <c r="BI41" s="685"/>
      <c r="BJ41" s="795"/>
      <c r="BK41" s="685"/>
      <c r="BL41" s="795"/>
      <c r="BM41" s="685"/>
      <c r="BN41" s="795"/>
      <c r="BO41" s="685"/>
      <c r="BP41" s="795"/>
      <c r="BQ41" s="685"/>
      <c r="BR41" s="795"/>
      <c r="BS41" s="685"/>
      <c r="BT41" s="795"/>
      <c r="BU41" s="685"/>
      <c r="BV41" s="795"/>
      <c r="BW41" s="685"/>
      <c r="BX41" s="795"/>
      <c r="BY41" s="685"/>
      <c r="BZ41" s="795"/>
      <c r="CA41" s="685"/>
      <c r="CB41" s="795"/>
      <c r="CC41" s="685"/>
      <c r="CD41" s="795"/>
      <c r="CE41" s="685"/>
      <c r="CF41" s="795"/>
      <c r="CG41" s="685"/>
      <c r="CH41" s="795"/>
      <c r="CI41" s="685"/>
      <c r="CJ41" s="795"/>
      <c r="CK41" s="685"/>
      <c r="CL41" s="795"/>
      <c r="CM41" s="685"/>
      <c r="CN41" s="795"/>
      <c r="CO41" s="685"/>
      <c r="CP41" s="795"/>
      <c r="CQ41" s="685"/>
      <c r="CR41" s="795"/>
      <c r="CS41" s="685"/>
      <c r="CT41" s="795"/>
      <c r="CU41" s="685"/>
      <c r="CV41" s="795"/>
      <c r="CW41" s="685"/>
      <c r="CX41" s="795"/>
      <c r="CY41" s="685"/>
      <c r="CZ41" s="795"/>
      <c r="DA41" s="685"/>
      <c r="DB41" s="795"/>
      <c r="DC41" s="685"/>
      <c r="DD41" s="795"/>
      <c r="DE41" s="685"/>
      <c r="DF41" s="795"/>
      <c r="DG41" s="685"/>
      <c r="DH41" s="795"/>
      <c r="DI41" s="685"/>
      <c r="DJ41" s="795"/>
    </row>
    <row r="42" spans="1:114" ht="15" customHeight="1">
      <c r="A42" s="528" t="s">
        <v>1846</v>
      </c>
      <c r="B42" s="535"/>
      <c r="C42" s="520"/>
      <c r="D42" s="794"/>
      <c r="E42" s="796"/>
      <c r="F42" s="796"/>
      <c r="G42" s="796"/>
      <c r="H42" s="796"/>
      <c r="I42" s="796"/>
      <c r="J42" s="796"/>
      <c r="K42" s="796"/>
      <c r="L42" s="796"/>
      <c r="M42" s="796"/>
      <c r="N42" s="796"/>
      <c r="O42" s="796"/>
      <c r="P42" s="796"/>
      <c r="Q42" s="796"/>
      <c r="R42" s="796"/>
      <c r="S42" s="796"/>
      <c r="T42" s="796"/>
      <c r="U42" s="796"/>
      <c r="V42" s="796"/>
      <c r="W42" s="796"/>
      <c r="X42" s="796"/>
      <c r="Y42" s="796"/>
      <c r="Z42" s="796"/>
      <c r="AA42" s="796"/>
      <c r="AB42" s="796"/>
      <c r="AC42" s="796"/>
      <c r="AD42" s="796"/>
      <c r="AE42" s="796"/>
      <c r="AF42" s="796"/>
      <c r="AG42" s="796"/>
      <c r="AH42" s="796"/>
      <c r="AI42" s="796"/>
      <c r="AJ42" s="796"/>
      <c r="AK42" s="796"/>
      <c r="AL42" s="796"/>
      <c r="AM42" s="796"/>
      <c r="AN42" s="796"/>
      <c r="AO42" s="796"/>
      <c r="AP42" s="796"/>
      <c r="AQ42" s="796"/>
      <c r="AR42" s="796"/>
      <c r="AS42" s="796"/>
      <c r="AT42" s="796"/>
      <c r="AU42" s="796"/>
      <c r="AV42" s="796"/>
      <c r="AW42" s="796"/>
      <c r="AX42" s="796"/>
      <c r="AY42" s="796"/>
      <c r="AZ42" s="796"/>
      <c r="BA42" s="796"/>
      <c r="BB42" s="796"/>
      <c r="BC42" s="796"/>
      <c r="BD42" s="796"/>
      <c r="BE42" s="796"/>
      <c r="BF42" s="796"/>
      <c r="BG42" s="796"/>
      <c r="BH42" s="796"/>
      <c r="BI42" s="796"/>
      <c r="BJ42" s="796"/>
      <c r="BK42" s="796"/>
      <c r="BL42" s="796"/>
      <c r="BM42" s="796"/>
      <c r="BN42" s="796"/>
      <c r="BO42" s="796"/>
      <c r="BP42" s="796"/>
      <c r="BQ42" s="796"/>
      <c r="BR42" s="796"/>
      <c r="BS42" s="796"/>
      <c r="BT42" s="796"/>
      <c r="BU42" s="796"/>
      <c r="BV42" s="796"/>
      <c r="BW42" s="796"/>
      <c r="BX42" s="796"/>
      <c r="BY42" s="796"/>
      <c r="BZ42" s="796"/>
      <c r="CA42" s="796"/>
      <c r="CB42" s="796"/>
      <c r="CC42" s="796"/>
      <c r="CD42" s="796"/>
      <c r="CE42" s="796"/>
      <c r="CF42" s="796"/>
      <c r="CG42" s="796"/>
      <c r="CH42" s="796"/>
      <c r="CI42" s="796"/>
      <c r="CJ42" s="796"/>
      <c r="CK42" s="796"/>
      <c r="CL42" s="796"/>
      <c r="CM42" s="796"/>
      <c r="CN42" s="796"/>
      <c r="CO42" s="796"/>
      <c r="CP42" s="796"/>
      <c r="CQ42" s="796"/>
      <c r="CR42" s="796"/>
      <c r="CS42" s="796"/>
      <c r="CT42" s="796"/>
      <c r="CU42" s="796"/>
      <c r="CV42" s="796"/>
      <c r="CW42" s="796"/>
      <c r="CX42" s="796"/>
      <c r="CY42" s="796"/>
      <c r="CZ42" s="796"/>
      <c r="DA42" s="796"/>
      <c r="DB42" s="796"/>
      <c r="DC42" s="796"/>
      <c r="DD42" s="796"/>
      <c r="DE42" s="796"/>
      <c r="DF42" s="796"/>
      <c r="DG42" s="796"/>
      <c r="DH42" s="796"/>
      <c r="DI42" s="796"/>
      <c r="DJ42" s="796"/>
    </row>
    <row r="43" spans="1:114" ht="15" customHeight="1">
      <c r="A43" s="529" t="s">
        <v>1996</v>
      </c>
      <c r="B43" s="516" t="s">
        <v>1846</v>
      </c>
      <c r="C43" s="521" t="s">
        <v>1997</v>
      </c>
      <c r="D43" s="794"/>
      <c r="E43" s="685">
        <v>1212</v>
      </c>
      <c r="F43" s="795">
        <v>1212</v>
      </c>
      <c r="G43" s="685">
        <v>1212</v>
      </c>
      <c r="H43" s="795">
        <v>1212</v>
      </c>
      <c r="I43" s="685">
        <v>1212</v>
      </c>
      <c r="J43" s="803"/>
      <c r="K43" s="685">
        <v>1212</v>
      </c>
      <c r="L43" s="795">
        <v>1212</v>
      </c>
      <c r="M43" s="685">
        <v>1212</v>
      </c>
      <c r="N43" s="795">
        <f>N44/N34</f>
        <v>1020.6794682422452</v>
      </c>
      <c r="O43" s="685">
        <f>O44/O34</f>
        <v>1020.6794682422452</v>
      </c>
      <c r="P43" s="795">
        <v>1021</v>
      </c>
      <c r="Q43" s="685">
        <v>1210</v>
      </c>
      <c r="R43" s="795">
        <v>1212</v>
      </c>
      <c r="S43" s="685">
        <v>1212</v>
      </c>
      <c r="T43" s="795">
        <v>1212</v>
      </c>
      <c r="U43" s="685">
        <v>1212</v>
      </c>
      <c r="V43" s="795">
        <v>1212</v>
      </c>
      <c r="W43" s="685">
        <v>1212</v>
      </c>
      <c r="X43" s="795">
        <v>1020</v>
      </c>
      <c r="Y43" s="795">
        <v>1313</v>
      </c>
      <c r="Z43" s="795"/>
      <c r="AA43" s="685">
        <v>1339</v>
      </c>
      <c r="AB43" s="795">
        <v>1339</v>
      </c>
      <c r="AC43" s="685"/>
      <c r="AD43" s="795"/>
      <c r="AE43" s="685"/>
      <c r="AF43" s="795"/>
      <c r="AG43" s="685">
        <v>1700</v>
      </c>
      <c r="AH43" s="795"/>
      <c r="AI43" s="685"/>
      <c r="AJ43" s="795"/>
      <c r="AK43" s="685"/>
      <c r="AL43" s="795"/>
      <c r="AM43" s="685">
        <v>1700</v>
      </c>
      <c r="AN43" s="795"/>
      <c r="AO43" s="685"/>
      <c r="AP43" s="795"/>
      <c r="AQ43" s="685"/>
      <c r="AR43" s="795"/>
      <c r="AS43" s="685"/>
      <c r="AT43" s="795"/>
      <c r="AU43" s="685"/>
      <c r="AV43" s="795"/>
      <c r="AW43" s="685"/>
      <c r="AX43" s="795"/>
      <c r="AY43" s="685"/>
      <c r="AZ43" s="795"/>
      <c r="BA43" s="685"/>
      <c r="BB43" s="795"/>
      <c r="BC43" s="685"/>
      <c r="BD43" s="795"/>
      <c r="BE43" s="685"/>
      <c r="BF43" s="795"/>
      <c r="BG43" s="685"/>
      <c r="BH43" s="795"/>
      <c r="BI43" s="685"/>
      <c r="BJ43" s="795"/>
      <c r="BK43" s="685"/>
      <c r="BL43" s="795"/>
      <c r="BM43" s="685"/>
      <c r="BN43" s="795"/>
      <c r="BO43" s="685"/>
      <c r="BP43" s="795"/>
      <c r="BQ43" s="685"/>
      <c r="BR43" s="795"/>
      <c r="BS43" s="685"/>
      <c r="BT43" s="795"/>
      <c r="BU43" s="685"/>
      <c r="BV43" s="795"/>
      <c r="BW43" s="685"/>
      <c r="BX43" s="795"/>
      <c r="BY43" s="685"/>
      <c r="BZ43" s="795"/>
      <c r="CA43" s="685"/>
      <c r="CB43" s="795"/>
      <c r="CC43" s="685"/>
      <c r="CD43" s="795"/>
      <c r="CE43" s="685"/>
      <c r="CF43" s="795"/>
      <c r="CG43" s="685"/>
      <c r="CH43" s="795"/>
      <c r="CI43" s="685"/>
      <c r="CJ43" s="795"/>
      <c r="CK43" s="685"/>
      <c r="CL43" s="795"/>
      <c r="CM43" s="685"/>
      <c r="CN43" s="795"/>
      <c r="CO43" s="685"/>
      <c r="CP43" s="795"/>
      <c r="CQ43" s="685"/>
      <c r="CR43" s="795"/>
      <c r="CS43" s="685"/>
      <c r="CT43" s="795"/>
      <c r="CU43" s="685"/>
      <c r="CV43" s="795"/>
      <c r="CW43" s="685"/>
      <c r="CX43" s="795"/>
      <c r="CY43" s="685"/>
      <c r="CZ43" s="795"/>
      <c r="DA43" s="685"/>
      <c r="DB43" s="795"/>
      <c r="DC43" s="685"/>
      <c r="DD43" s="795"/>
      <c r="DE43" s="685"/>
      <c r="DF43" s="795"/>
      <c r="DG43" s="685"/>
      <c r="DH43" s="795"/>
      <c r="DI43" s="685"/>
      <c r="DJ43" s="795"/>
    </row>
    <row r="44" spans="1:114" ht="15" customHeight="1">
      <c r="A44" s="529" t="s">
        <v>1998</v>
      </c>
      <c r="B44" s="516" t="s">
        <v>1846</v>
      </c>
      <c r="C44" s="521" t="s">
        <v>1999</v>
      </c>
      <c r="D44" s="794"/>
      <c r="E44" s="685">
        <v>34350</v>
      </c>
      <c r="F44" s="795">
        <v>34350</v>
      </c>
      <c r="G44" s="685">
        <v>34380</v>
      </c>
      <c r="H44" s="795">
        <v>34360</v>
      </c>
      <c r="I44" s="685">
        <v>34360</v>
      </c>
      <c r="J44" s="803"/>
      <c r="K44" s="685">
        <v>34200</v>
      </c>
      <c r="L44" s="795">
        <v>34360</v>
      </c>
      <c r="M44" s="685">
        <v>34360</v>
      </c>
      <c r="N44" s="795">
        <v>13820</v>
      </c>
      <c r="O44" s="685">
        <v>13820</v>
      </c>
      <c r="P44" s="795">
        <v>15284</v>
      </c>
      <c r="Q44" s="685">
        <v>38500</v>
      </c>
      <c r="R44" s="795">
        <v>34380</v>
      </c>
      <c r="S44" s="685">
        <v>34200</v>
      </c>
      <c r="T44" s="795">
        <v>34200</v>
      </c>
      <c r="U44" s="685">
        <v>34200</v>
      </c>
      <c r="V44" s="795">
        <v>34200</v>
      </c>
      <c r="W44" s="685">
        <v>34200</v>
      </c>
      <c r="X44" s="795">
        <v>31150</v>
      </c>
      <c r="Y44" s="795">
        <v>33300</v>
      </c>
      <c r="Z44" s="795"/>
      <c r="AA44" s="685">
        <v>34200</v>
      </c>
      <c r="AB44" s="795">
        <v>34200</v>
      </c>
      <c r="AC44" s="685"/>
      <c r="AD44" s="795"/>
      <c r="AE44" s="685"/>
      <c r="AF44" s="795"/>
      <c r="AG44" s="685">
        <v>39000</v>
      </c>
      <c r="AH44" s="795"/>
      <c r="AI44" s="685"/>
      <c r="AJ44" s="795"/>
      <c r="AK44" s="685"/>
      <c r="AL44" s="795"/>
      <c r="AM44" s="685">
        <v>39000</v>
      </c>
      <c r="AN44" s="795"/>
      <c r="AO44" s="685"/>
      <c r="AP44" s="795"/>
      <c r="AQ44" s="685"/>
      <c r="AR44" s="795"/>
      <c r="AS44" s="685"/>
      <c r="AT44" s="795"/>
      <c r="AU44" s="685"/>
      <c r="AV44" s="795"/>
      <c r="AW44" s="685"/>
      <c r="AX44" s="795"/>
      <c r="AY44" s="685"/>
      <c r="AZ44" s="795"/>
      <c r="BA44" s="685"/>
      <c r="BB44" s="795"/>
      <c r="BC44" s="685"/>
      <c r="BD44" s="795"/>
      <c r="BE44" s="685"/>
      <c r="BF44" s="795"/>
      <c r="BG44" s="685"/>
      <c r="BH44" s="795"/>
      <c r="BI44" s="685"/>
      <c r="BJ44" s="795"/>
      <c r="BK44" s="685"/>
      <c r="BL44" s="795"/>
      <c r="BM44" s="685"/>
      <c r="BN44" s="795"/>
      <c r="BO44" s="685"/>
      <c r="BP44" s="795"/>
      <c r="BQ44" s="685"/>
      <c r="BR44" s="795"/>
      <c r="BS44" s="685"/>
      <c r="BT44" s="795"/>
      <c r="BU44" s="685"/>
      <c r="BV44" s="795"/>
      <c r="BW44" s="685"/>
      <c r="BX44" s="795"/>
      <c r="BY44" s="685"/>
      <c r="BZ44" s="795"/>
      <c r="CA44" s="685"/>
      <c r="CB44" s="795"/>
      <c r="CC44" s="685"/>
      <c r="CD44" s="795"/>
      <c r="CE44" s="685"/>
      <c r="CF44" s="795"/>
      <c r="CG44" s="685"/>
      <c r="CH44" s="795"/>
      <c r="CI44" s="685"/>
      <c r="CJ44" s="795"/>
      <c r="CK44" s="685"/>
      <c r="CL44" s="795"/>
      <c r="CM44" s="685"/>
      <c r="CN44" s="795"/>
      <c r="CO44" s="685"/>
      <c r="CP44" s="795"/>
      <c r="CQ44" s="685"/>
      <c r="CR44" s="795"/>
      <c r="CS44" s="685"/>
      <c r="CT44" s="795"/>
      <c r="CU44" s="685"/>
      <c r="CV44" s="795"/>
      <c r="CW44" s="685"/>
      <c r="CX44" s="795"/>
      <c r="CY44" s="685"/>
      <c r="CZ44" s="795"/>
      <c r="DA44" s="685"/>
      <c r="DB44" s="795"/>
      <c r="DC44" s="685"/>
      <c r="DD44" s="795"/>
      <c r="DE44" s="685"/>
      <c r="DF44" s="795"/>
      <c r="DG44" s="685"/>
      <c r="DH44" s="795"/>
      <c r="DI44" s="685"/>
      <c r="DJ44" s="795"/>
    </row>
    <row r="45" spans="1:114" ht="15" customHeight="1">
      <c r="A45" s="529" t="s">
        <v>2000</v>
      </c>
      <c r="B45" s="516" t="s">
        <v>1846</v>
      </c>
      <c r="C45" s="521" t="s">
        <v>2001</v>
      </c>
      <c r="D45" s="794"/>
      <c r="E45" s="685"/>
      <c r="F45" s="795"/>
      <c r="G45" s="685"/>
      <c r="H45" s="795">
        <v>28870</v>
      </c>
      <c r="I45" s="685">
        <v>28870</v>
      </c>
      <c r="J45" s="803"/>
      <c r="K45" s="685">
        <v>28800</v>
      </c>
      <c r="L45" s="795">
        <v>28870</v>
      </c>
      <c r="M45" s="685">
        <v>28870</v>
      </c>
      <c r="N45" s="795"/>
      <c r="O45" s="685"/>
      <c r="P45" s="795">
        <v>14267</v>
      </c>
      <c r="Q45" s="685"/>
      <c r="R45" s="795"/>
      <c r="S45" s="685">
        <v>28800</v>
      </c>
      <c r="T45" s="795">
        <v>28800</v>
      </c>
      <c r="U45" s="685">
        <v>28800</v>
      </c>
      <c r="V45" s="795">
        <v>28800</v>
      </c>
      <c r="W45" s="685">
        <v>28800</v>
      </c>
      <c r="X45" s="795">
        <v>27000</v>
      </c>
      <c r="Y45" s="795">
        <v>27700</v>
      </c>
      <c r="Z45" s="795"/>
      <c r="AA45" s="685">
        <v>28900</v>
      </c>
      <c r="AB45" s="795">
        <v>28900</v>
      </c>
      <c r="AC45" s="685"/>
      <c r="AD45" s="795"/>
      <c r="AE45" s="685"/>
      <c r="AF45" s="795"/>
      <c r="AG45" s="685">
        <v>29894</v>
      </c>
      <c r="AH45" s="795"/>
      <c r="AI45" s="685"/>
      <c r="AJ45" s="795"/>
      <c r="AK45" s="685"/>
      <c r="AL45" s="795"/>
      <c r="AM45" s="685">
        <v>29894</v>
      </c>
      <c r="AN45" s="795"/>
      <c r="AO45" s="685"/>
      <c r="AP45" s="795"/>
      <c r="AQ45" s="685"/>
      <c r="AR45" s="795"/>
      <c r="AS45" s="685"/>
      <c r="AT45" s="795"/>
      <c r="AU45" s="685"/>
      <c r="AV45" s="795"/>
      <c r="AW45" s="685"/>
      <c r="AX45" s="795"/>
      <c r="AY45" s="685"/>
      <c r="AZ45" s="795"/>
      <c r="BA45" s="685"/>
      <c r="BB45" s="795"/>
      <c r="BC45" s="685"/>
      <c r="BD45" s="795"/>
      <c r="BE45" s="685"/>
      <c r="BF45" s="795"/>
      <c r="BG45" s="685"/>
      <c r="BH45" s="795"/>
      <c r="BI45" s="685"/>
      <c r="BJ45" s="795"/>
      <c r="BK45" s="685"/>
      <c r="BL45" s="795"/>
      <c r="BM45" s="685"/>
      <c r="BN45" s="795"/>
      <c r="BO45" s="685"/>
      <c r="BP45" s="795"/>
      <c r="BQ45" s="685"/>
      <c r="BR45" s="795"/>
      <c r="BS45" s="685"/>
      <c r="BT45" s="795"/>
      <c r="BU45" s="685"/>
      <c r="BV45" s="795"/>
      <c r="BW45" s="685"/>
      <c r="BX45" s="795"/>
      <c r="BY45" s="685"/>
      <c r="BZ45" s="795"/>
      <c r="CA45" s="685"/>
      <c r="CB45" s="795"/>
      <c r="CC45" s="685"/>
      <c r="CD45" s="795"/>
      <c r="CE45" s="685"/>
      <c r="CF45" s="795"/>
      <c r="CG45" s="685"/>
      <c r="CH45" s="795"/>
      <c r="CI45" s="685"/>
      <c r="CJ45" s="795"/>
      <c r="CK45" s="685"/>
      <c r="CL45" s="795"/>
      <c r="CM45" s="685"/>
      <c r="CN45" s="795"/>
      <c r="CO45" s="685"/>
      <c r="CP45" s="795"/>
      <c r="CQ45" s="685"/>
      <c r="CR45" s="795"/>
      <c r="CS45" s="685"/>
      <c r="CT45" s="795"/>
      <c r="CU45" s="685"/>
      <c r="CV45" s="795"/>
      <c r="CW45" s="685"/>
      <c r="CX45" s="795"/>
      <c r="CY45" s="685"/>
      <c r="CZ45" s="795"/>
      <c r="DA45" s="685"/>
      <c r="DB45" s="795"/>
      <c r="DC45" s="685"/>
      <c r="DD45" s="795"/>
      <c r="DE45" s="685"/>
      <c r="DF45" s="795"/>
      <c r="DG45" s="685"/>
      <c r="DH45" s="795"/>
      <c r="DI45" s="685"/>
      <c r="DJ45" s="795"/>
    </row>
    <row r="46" spans="1:114" ht="15" customHeight="1">
      <c r="A46" s="529" t="s">
        <v>2002</v>
      </c>
      <c r="B46" s="516" t="s">
        <v>1846</v>
      </c>
      <c r="C46" s="521" t="s">
        <v>2003</v>
      </c>
      <c r="D46" s="794"/>
      <c r="E46" s="685">
        <v>1200</v>
      </c>
      <c r="F46" s="795">
        <v>1200</v>
      </c>
      <c r="G46" s="685">
        <v>1200</v>
      </c>
      <c r="H46" s="795">
        <v>1200</v>
      </c>
      <c r="I46" s="685">
        <v>1200</v>
      </c>
      <c r="J46" s="803"/>
      <c r="K46" s="685">
        <v>1200</v>
      </c>
      <c r="L46" s="795">
        <v>1200</v>
      </c>
      <c r="M46" s="685">
        <v>1200</v>
      </c>
      <c r="N46" s="795">
        <f>N47/N34</f>
        <v>1020.6794682422452</v>
      </c>
      <c r="O46" s="685">
        <f>O47/O34</f>
        <v>1020.6794682422452</v>
      </c>
      <c r="P46" s="795"/>
      <c r="Q46" s="685"/>
      <c r="R46" s="795">
        <v>1200</v>
      </c>
      <c r="S46" s="685">
        <v>1200</v>
      </c>
      <c r="T46" s="795">
        <v>1200</v>
      </c>
      <c r="U46" s="685">
        <v>1200</v>
      </c>
      <c r="V46" s="795">
        <v>1200</v>
      </c>
      <c r="W46" s="685">
        <v>1200</v>
      </c>
      <c r="X46" s="795"/>
      <c r="Y46" s="795">
        <v>1300</v>
      </c>
      <c r="Z46" s="795"/>
      <c r="AA46" s="685">
        <v>1300</v>
      </c>
      <c r="AB46" s="795">
        <v>1300</v>
      </c>
      <c r="AC46" s="685"/>
      <c r="AD46" s="795"/>
      <c r="AE46" s="685"/>
      <c r="AF46" s="795"/>
      <c r="AG46" s="685"/>
      <c r="AH46" s="795"/>
      <c r="AI46" s="685"/>
      <c r="AJ46" s="795"/>
      <c r="AK46" s="685"/>
      <c r="AL46" s="795"/>
      <c r="AM46" s="685"/>
      <c r="AN46" s="795"/>
      <c r="AO46" s="685"/>
      <c r="AP46" s="795"/>
      <c r="AQ46" s="685"/>
      <c r="AR46" s="795"/>
      <c r="AS46" s="685"/>
      <c r="AT46" s="795"/>
      <c r="AU46" s="685"/>
      <c r="AV46" s="795"/>
      <c r="AW46" s="685"/>
      <c r="AX46" s="795"/>
      <c r="AY46" s="685"/>
      <c r="AZ46" s="795"/>
      <c r="BA46" s="685"/>
      <c r="BB46" s="795"/>
      <c r="BC46" s="685"/>
      <c r="BD46" s="795"/>
      <c r="BE46" s="685"/>
      <c r="BF46" s="795"/>
      <c r="BG46" s="685"/>
      <c r="BH46" s="795"/>
      <c r="BI46" s="685"/>
      <c r="BJ46" s="795"/>
      <c r="BK46" s="685"/>
      <c r="BL46" s="795"/>
      <c r="BM46" s="685"/>
      <c r="BN46" s="795"/>
      <c r="BO46" s="685"/>
      <c r="BP46" s="795"/>
      <c r="BQ46" s="685"/>
      <c r="BR46" s="795"/>
      <c r="BS46" s="685"/>
      <c r="BT46" s="795"/>
      <c r="BU46" s="685"/>
      <c r="BV46" s="795"/>
      <c r="BW46" s="685"/>
      <c r="BX46" s="795"/>
      <c r="BY46" s="685"/>
      <c r="BZ46" s="795"/>
      <c r="CA46" s="685"/>
      <c r="CB46" s="795"/>
      <c r="CC46" s="685"/>
      <c r="CD46" s="795"/>
      <c r="CE46" s="685"/>
      <c r="CF46" s="795"/>
      <c r="CG46" s="685"/>
      <c r="CH46" s="795"/>
      <c r="CI46" s="685"/>
      <c r="CJ46" s="795"/>
      <c r="CK46" s="685"/>
      <c r="CL46" s="795"/>
      <c r="CM46" s="685"/>
      <c r="CN46" s="795"/>
      <c r="CO46" s="685"/>
      <c r="CP46" s="795"/>
      <c r="CQ46" s="685"/>
      <c r="CR46" s="795"/>
      <c r="CS46" s="685"/>
      <c r="CT46" s="795"/>
      <c r="CU46" s="685"/>
      <c r="CV46" s="795"/>
      <c r="CW46" s="685"/>
      <c r="CX46" s="795"/>
      <c r="CY46" s="685"/>
      <c r="CZ46" s="795"/>
      <c r="DA46" s="685"/>
      <c r="DB46" s="795"/>
      <c r="DC46" s="685"/>
      <c r="DD46" s="795"/>
      <c r="DE46" s="685"/>
      <c r="DF46" s="795"/>
      <c r="DG46" s="685"/>
      <c r="DH46" s="795"/>
      <c r="DI46" s="685"/>
      <c r="DJ46" s="795"/>
    </row>
    <row r="47" spans="1:114" ht="15" customHeight="1">
      <c r="A47" s="529" t="s">
        <v>2004</v>
      </c>
      <c r="B47" s="516" t="s">
        <v>1846</v>
      </c>
      <c r="C47" s="521" t="s">
        <v>2005</v>
      </c>
      <c r="D47" s="794"/>
      <c r="E47" s="685">
        <v>33300</v>
      </c>
      <c r="F47" s="795">
        <v>33300</v>
      </c>
      <c r="G47" s="685">
        <v>33300</v>
      </c>
      <c r="H47" s="795">
        <v>33300</v>
      </c>
      <c r="I47" s="685">
        <v>33300</v>
      </c>
      <c r="J47" s="803"/>
      <c r="K47" s="685">
        <v>33300</v>
      </c>
      <c r="L47" s="795">
        <v>33300</v>
      </c>
      <c r="M47" s="685">
        <v>33300</v>
      </c>
      <c r="N47" s="795">
        <v>13820</v>
      </c>
      <c r="O47" s="685">
        <v>13820</v>
      </c>
      <c r="P47" s="795"/>
      <c r="Q47" s="685"/>
      <c r="R47" s="795">
        <v>33300</v>
      </c>
      <c r="S47" s="685">
        <v>33300</v>
      </c>
      <c r="T47" s="795">
        <v>33300</v>
      </c>
      <c r="U47" s="685">
        <v>33300</v>
      </c>
      <c r="V47" s="795">
        <v>33300</v>
      </c>
      <c r="W47" s="685">
        <v>33300</v>
      </c>
      <c r="X47" s="795"/>
      <c r="Y47" s="795">
        <v>33300</v>
      </c>
      <c r="Z47" s="795"/>
      <c r="AA47" s="685">
        <v>33300</v>
      </c>
      <c r="AB47" s="795">
        <v>33300</v>
      </c>
      <c r="AC47" s="685"/>
      <c r="AD47" s="795"/>
      <c r="AE47" s="685"/>
      <c r="AF47" s="795"/>
      <c r="AG47" s="685"/>
      <c r="AH47" s="795"/>
      <c r="AI47" s="685"/>
      <c r="AJ47" s="795"/>
      <c r="AK47" s="685"/>
      <c r="AL47" s="795"/>
      <c r="AM47" s="685"/>
      <c r="AN47" s="795"/>
      <c r="AO47" s="685"/>
      <c r="AP47" s="795"/>
      <c r="AQ47" s="685"/>
      <c r="AR47" s="795"/>
      <c r="AS47" s="685"/>
      <c r="AT47" s="795"/>
      <c r="AU47" s="685"/>
      <c r="AV47" s="795"/>
      <c r="AW47" s="685"/>
      <c r="AX47" s="795"/>
      <c r="AY47" s="685"/>
      <c r="AZ47" s="795"/>
      <c r="BA47" s="685"/>
      <c r="BB47" s="795"/>
      <c r="BC47" s="685"/>
      <c r="BD47" s="795"/>
      <c r="BE47" s="685"/>
      <c r="BF47" s="795"/>
      <c r="BG47" s="685"/>
      <c r="BH47" s="795"/>
      <c r="BI47" s="685"/>
      <c r="BJ47" s="795"/>
      <c r="BK47" s="685"/>
      <c r="BL47" s="795"/>
      <c r="BM47" s="685"/>
      <c r="BN47" s="795"/>
      <c r="BO47" s="685"/>
      <c r="BP47" s="795"/>
      <c r="BQ47" s="685"/>
      <c r="BR47" s="795"/>
      <c r="BS47" s="685"/>
      <c r="BT47" s="795"/>
      <c r="BU47" s="685"/>
      <c r="BV47" s="795"/>
      <c r="BW47" s="685"/>
      <c r="BX47" s="795"/>
      <c r="BY47" s="685"/>
      <c r="BZ47" s="795"/>
      <c r="CA47" s="685"/>
      <c r="CB47" s="795"/>
      <c r="CC47" s="685"/>
      <c r="CD47" s="795"/>
      <c r="CE47" s="685"/>
      <c r="CF47" s="795"/>
      <c r="CG47" s="685"/>
      <c r="CH47" s="795"/>
      <c r="CI47" s="685"/>
      <c r="CJ47" s="795"/>
      <c r="CK47" s="685"/>
      <c r="CL47" s="795"/>
      <c r="CM47" s="685"/>
      <c r="CN47" s="795"/>
      <c r="CO47" s="685"/>
      <c r="CP47" s="795"/>
      <c r="CQ47" s="685"/>
      <c r="CR47" s="795"/>
      <c r="CS47" s="685"/>
      <c r="CT47" s="795"/>
      <c r="CU47" s="685"/>
      <c r="CV47" s="795"/>
      <c r="CW47" s="685"/>
      <c r="CX47" s="795"/>
      <c r="CY47" s="685"/>
      <c r="CZ47" s="795"/>
      <c r="DA47" s="685"/>
      <c r="DB47" s="795"/>
      <c r="DC47" s="685"/>
      <c r="DD47" s="795"/>
      <c r="DE47" s="685"/>
      <c r="DF47" s="795"/>
      <c r="DG47" s="685"/>
      <c r="DH47" s="795"/>
      <c r="DI47" s="685"/>
      <c r="DJ47" s="795"/>
    </row>
    <row r="48" spans="1:114" ht="15" customHeight="1">
      <c r="A48" s="529" t="s">
        <v>2006</v>
      </c>
      <c r="B48" s="516" t="s">
        <v>1846</v>
      </c>
      <c r="C48" s="521" t="s">
        <v>2007</v>
      </c>
      <c r="D48" s="794"/>
      <c r="E48" s="685"/>
      <c r="F48" s="795"/>
      <c r="G48" s="685"/>
      <c r="H48" s="795">
        <v>28870</v>
      </c>
      <c r="I48" s="685">
        <v>28870</v>
      </c>
      <c r="J48" s="803"/>
      <c r="K48" s="685">
        <v>28800</v>
      </c>
      <c r="L48" s="795">
        <v>28870</v>
      </c>
      <c r="M48" s="685">
        <v>28870</v>
      </c>
      <c r="N48" s="795"/>
      <c r="O48" s="685"/>
      <c r="P48" s="795"/>
      <c r="Q48" s="685"/>
      <c r="R48" s="795"/>
      <c r="S48" s="685"/>
      <c r="T48" s="795"/>
      <c r="U48" s="685"/>
      <c r="V48" s="795"/>
      <c r="W48" s="685"/>
      <c r="X48" s="795"/>
      <c r="Y48" s="795"/>
      <c r="Z48" s="795"/>
      <c r="AA48" s="685"/>
      <c r="AB48" s="795"/>
      <c r="AC48" s="685"/>
      <c r="AD48" s="795"/>
      <c r="AE48" s="685"/>
      <c r="AF48" s="795"/>
      <c r="AG48" s="685"/>
      <c r="AH48" s="795"/>
      <c r="AI48" s="685"/>
      <c r="AJ48" s="795"/>
      <c r="AK48" s="685"/>
      <c r="AL48" s="795"/>
      <c r="AM48" s="685"/>
      <c r="AN48" s="795"/>
      <c r="AO48" s="685"/>
      <c r="AP48" s="795"/>
      <c r="AQ48" s="685"/>
      <c r="AR48" s="795"/>
      <c r="AS48" s="685"/>
      <c r="AT48" s="795"/>
      <c r="AU48" s="685"/>
      <c r="AV48" s="795"/>
      <c r="AW48" s="685"/>
      <c r="AX48" s="795"/>
      <c r="AY48" s="685"/>
      <c r="AZ48" s="795"/>
      <c r="BA48" s="685"/>
      <c r="BB48" s="795"/>
      <c r="BC48" s="685"/>
      <c r="BD48" s="795"/>
      <c r="BE48" s="685"/>
      <c r="BF48" s="795"/>
      <c r="BG48" s="685"/>
      <c r="BH48" s="795"/>
      <c r="BI48" s="685"/>
      <c r="BJ48" s="795"/>
      <c r="BK48" s="685"/>
      <c r="BL48" s="795"/>
      <c r="BM48" s="685"/>
      <c r="BN48" s="795"/>
      <c r="BO48" s="685"/>
      <c r="BP48" s="795"/>
      <c r="BQ48" s="685"/>
      <c r="BR48" s="795"/>
      <c r="BS48" s="685"/>
      <c r="BT48" s="795"/>
      <c r="BU48" s="685"/>
      <c r="BV48" s="795"/>
      <c r="BW48" s="685"/>
      <c r="BX48" s="795"/>
      <c r="BY48" s="685"/>
      <c r="BZ48" s="795"/>
      <c r="CA48" s="685"/>
      <c r="CB48" s="795"/>
      <c r="CC48" s="685"/>
      <c r="CD48" s="795"/>
      <c r="CE48" s="685"/>
      <c r="CF48" s="795"/>
      <c r="CG48" s="685"/>
      <c r="CH48" s="795"/>
      <c r="CI48" s="685"/>
      <c r="CJ48" s="795"/>
      <c r="CK48" s="685"/>
      <c r="CL48" s="795"/>
      <c r="CM48" s="685"/>
      <c r="CN48" s="795"/>
      <c r="CO48" s="685"/>
      <c r="CP48" s="795"/>
      <c r="CQ48" s="685"/>
      <c r="CR48" s="795"/>
      <c r="CS48" s="685"/>
      <c r="CT48" s="795"/>
      <c r="CU48" s="685"/>
      <c r="CV48" s="795"/>
      <c r="CW48" s="685"/>
      <c r="CX48" s="795"/>
      <c r="CY48" s="685"/>
      <c r="CZ48" s="795"/>
      <c r="DA48" s="685"/>
      <c r="DB48" s="795"/>
      <c r="DC48" s="685"/>
      <c r="DD48" s="795"/>
      <c r="DE48" s="685"/>
      <c r="DF48" s="795"/>
      <c r="DG48" s="685"/>
      <c r="DH48" s="795"/>
      <c r="DI48" s="685"/>
      <c r="DJ48" s="795"/>
    </row>
    <row r="49" spans="1:114" ht="15" customHeight="1">
      <c r="A49" s="528" t="s">
        <v>2008</v>
      </c>
      <c r="B49" s="534"/>
      <c r="C49" s="520"/>
      <c r="D49" s="794"/>
      <c r="E49" s="796"/>
      <c r="F49" s="796"/>
      <c r="G49" s="796"/>
      <c r="H49" s="796"/>
      <c r="I49" s="796"/>
      <c r="J49" s="796"/>
      <c r="K49" s="796"/>
      <c r="L49" s="796"/>
      <c r="M49" s="796"/>
      <c r="N49" s="796"/>
      <c r="O49" s="796"/>
      <c r="P49" s="796"/>
      <c r="Q49" s="796"/>
      <c r="R49" s="796"/>
      <c r="S49" s="796"/>
      <c r="T49" s="796"/>
      <c r="U49" s="796"/>
      <c r="V49" s="796"/>
      <c r="W49" s="796"/>
      <c r="X49" s="796"/>
      <c r="Y49" s="796"/>
      <c r="Z49" s="796"/>
      <c r="AA49" s="796"/>
      <c r="AB49" s="796"/>
      <c r="AC49" s="796"/>
      <c r="AD49" s="796"/>
      <c r="AE49" s="796"/>
      <c r="AF49" s="796"/>
      <c r="AG49" s="796"/>
      <c r="AH49" s="796"/>
      <c r="AI49" s="796"/>
      <c r="AJ49" s="796"/>
      <c r="AK49" s="796"/>
      <c r="AL49" s="796"/>
      <c r="AM49" s="796"/>
      <c r="AN49" s="796"/>
      <c r="AO49" s="796"/>
      <c r="AP49" s="796"/>
      <c r="AQ49" s="796"/>
      <c r="AR49" s="796"/>
      <c r="AS49" s="796"/>
      <c r="AT49" s="796"/>
      <c r="AU49" s="796"/>
      <c r="AV49" s="796"/>
      <c r="AW49" s="796"/>
      <c r="AX49" s="796"/>
      <c r="AY49" s="796"/>
      <c r="AZ49" s="796"/>
      <c r="BA49" s="796"/>
      <c r="BB49" s="796"/>
      <c r="BC49" s="796"/>
      <c r="BD49" s="796"/>
      <c r="BE49" s="796"/>
      <c r="BF49" s="796"/>
      <c r="BG49" s="796"/>
      <c r="BH49" s="796"/>
      <c r="BI49" s="796"/>
      <c r="BJ49" s="796"/>
      <c r="BK49" s="796"/>
      <c r="BL49" s="796"/>
      <c r="BM49" s="796"/>
      <c r="BN49" s="796"/>
      <c r="BO49" s="796"/>
      <c r="BP49" s="796"/>
      <c r="BQ49" s="796"/>
      <c r="BR49" s="796"/>
      <c r="BS49" s="796"/>
      <c r="BT49" s="796"/>
      <c r="BU49" s="796"/>
      <c r="BV49" s="796"/>
      <c r="BW49" s="796"/>
      <c r="BX49" s="796"/>
      <c r="BY49" s="796"/>
      <c r="BZ49" s="796"/>
      <c r="CA49" s="796"/>
      <c r="CB49" s="796"/>
      <c r="CC49" s="796"/>
      <c r="CD49" s="796"/>
      <c r="CE49" s="796"/>
      <c r="CF49" s="796"/>
      <c r="CG49" s="796"/>
      <c r="CH49" s="796"/>
      <c r="CI49" s="796"/>
      <c r="CJ49" s="796"/>
      <c r="CK49" s="796"/>
      <c r="CL49" s="796"/>
      <c r="CM49" s="796"/>
      <c r="CN49" s="796"/>
      <c r="CO49" s="796"/>
      <c r="CP49" s="796"/>
      <c r="CQ49" s="796"/>
      <c r="CR49" s="796"/>
      <c r="CS49" s="796"/>
      <c r="CT49" s="796"/>
      <c r="CU49" s="796"/>
      <c r="CV49" s="796"/>
      <c r="CW49" s="796"/>
      <c r="CX49" s="796"/>
      <c r="CY49" s="796"/>
      <c r="CZ49" s="796"/>
      <c r="DA49" s="796"/>
      <c r="DB49" s="796"/>
      <c r="DC49" s="796"/>
      <c r="DD49" s="796"/>
      <c r="DE49" s="796"/>
      <c r="DF49" s="796"/>
      <c r="DG49" s="796"/>
      <c r="DH49" s="796"/>
      <c r="DI49" s="796"/>
      <c r="DJ49" s="796"/>
    </row>
    <row r="50" spans="1:114" ht="15" customHeight="1">
      <c r="A50" s="529" t="s">
        <v>2009</v>
      </c>
      <c r="B50" s="516" t="s">
        <v>2010</v>
      </c>
      <c r="C50" s="521" t="s">
        <v>2011</v>
      </c>
      <c r="D50" s="794"/>
      <c r="E50" s="685">
        <v>14913</v>
      </c>
      <c r="F50" s="795">
        <v>14913</v>
      </c>
      <c r="G50" s="685">
        <v>14913</v>
      </c>
      <c r="H50" s="795">
        <v>17354</v>
      </c>
      <c r="I50" s="685">
        <v>17354</v>
      </c>
      <c r="J50" s="803"/>
      <c r="K50" s="685">
        <v>15144</v>
      </c>
      <c r="L50" s="795">
        <v>17354</v>
      </c>
      <c r="M50" s="685">
        <v>17354</v>
      </c>
      <c r="N50" s="795"/>
      <c r="O50" s="685"/>
      <c r="P50" s="795"/>
      <c r="Q50" s="685"/>
      <c r="R50" s="795"/>
      <c r="S50" s="685"/>
      <c r="T50" s="795"/>
      <c r="U50" s="685"/>
      <c r="V50" s="795"/>
      <c r="W50" s="685"/>
      <c r="X50" s="795"/>
      <c r="Y50" s="795"/>
      <c r="Z50" s="795"/>
      <c r="AA50" s="685"/>
      <c r="AB50" s="795"/>
      <c r="AC50" s="685"/>
      <c r="AD50" s="795"/>
      <c r="AE50" s="685"/>
      <c r="AF50" s="795"/>
      <c r="AG50" s="685"/>
      <c r="AH50" s="795"/>
      <c r="AI50" s="685"/>
      <c r="AJ50" s="795"/>
      <c r="AK50" s="685"/>
      <c r="AL50" s="795"/>
      <c r="AM50" s="685"/>
      <c r="AN50" s="795"/>
      <c r="AO50" s="685"/>
      <c r="AP50" s="795"/>
      <c r="AQ50" s="685"/>
      <c r="AR50" s="795"/>
      <c r="AS50" s="685"/>
      <c r="AT50" s="795"/>
      <c r="AU50" s="685"/>
      <c r="AV50" s="795"/>
      <c r="AW50" s="685"/>
      <c r="AX50" s="795"/>
      <c r="AY50" s="685"/>
      <c r="AZ50" s="795"/>
      <c r="BA50" s="685"/>
      <c r="BB50" s="795"/>
      <c r="BC50" s="685"/>
      <c r="BD50" s="795"/>
      <c r="BE50" s="685"/>
      <c r="BF50" s="795"/>
      <c r="BG50" s="685"/>
      <c r="BH50" s="795"/>
      <c r="BI50" s="685"/>
      <c r="BJ50" s="795"/>
      <c r="BK50" s="685"/>
      <c r="BL50" s="795"/>
      <c r="BM50" s="685"/>
      <c r="BN50" s="795"/>
      <c r="BO50" s="685"/>
      <c r="BP50" s="795"/>
      <c r="BQ50" s="685"/>
      <c r="BR50" s="795"/>
      <c r="BS50" s="685"/>
      <c r="BT50" s="795"/>
      <c r="BU50" s="685"/>
      <c r="BV50" s="795"/>
      <c r="BW50" s="685"/>
      <c r="BX50" s="795"/>
      <c r="BY50" s="685"/>
      <c r="BZ50" s="795"/>
      <c r="CA50" s="685"/>
      <c r="CB50" s="795"/>
      <c r="CC50" s="685"/>
      <c r="CD50" s="795"/>
      <c r="CE50" s="685"/>
      <c r="CF50" s="795"/>
      <c r="CG50" s="685"/>
      <c r="CH50" s="795"/>
      <c r="CI50" s="685"/>
      <c r="CJ50" s="795"/>
      <c r="CK50" s="685"/>
      <c r="CL50" s="795"/>
      <c r="CM50" s="685"/>
      <c r="CN50" s="795"/>
      <c r="CO50" s="685"/>
      <c r="CP50" s="795"/>
      <c r="CQ50" s="685"/>
      <c r="CR50" s="795"/>
      <c r="CS50" s="685"/>
      <c r="CT50" s="795"/>
      <c r="CU50" s="685"/>
      <c r="CV50" s="795"/>
      <c r="CW50" s="685"/>
      <c r="CX50" s="795"/>
      <c r="CY50" s="685"/>
      <c r="CZ50" s="795"/>
      <c r="DA50" s="685"/>
      <c r="DB50" s="795"/>
      <c r="DC50" s="685"/>
      <c r="DD50" s="795"/>
      <c r="DE50" s="685"/>
      <c r="DF50" s="795"/>
      <c r="DG50" s="685"/>
      <c r="DH50" s="795"/>
      <c r="DI50" s="685"/>
      <c r="DJ50" s="795"/>
    </row>
    <row r="51" spans="1:114" ht="15" customHeight="1">
      <c r="A51" s="529" t="s">
        <v>1649</v>
      </c>
      <c r="B51" s="516" t="s">
        <v>2010</v>
      </c>
      <c r="C51" s="521" t="s">
        <v>2012</v>
      </c>
      <c r="D51" s="794"/>
      <c r="E51" s="685">
        <v>13557</v>
      </c>
      <c r="F51" s="795">
        <v>13557</v>
      </c>
      <c r="G51" s="685">
        <v>13557</v>
      </c>
      <c r="H51" s="795">
        <v>17354</v>
      </c>
      <c r="I51" s="685">
        <v>17354</v>
      </c>
      <c r="J51" s="803"/>
      <c r="K51" s="685">
        <v>14597</v>
      </c>
      <c r="L51" s="795">
        <v>17354</v>
      </c>
      <c r="M51" s="685">
        <v>17354</v>
      </c>
      <c r="N51" s="795"/>
      <c r="O51" s="685"/>
      <c r="P51" s="795"/>
      <c r="Q51" s="685"/>
      <c r="R51" s="795"/>
      <c r="S51" s="685"/>
      <c r="T51" s="795"/>
      <c r="U51" s="685"/>
      <c r="V51" s="795"/>
      <c r="W51" s="685"/>
      <c r="X51" s="795"/>
      <c r="Y51" s="795"/>
      <c r="Z51" s="795"/>
      <c r="AA51" s="685"/>
      <c r="AB51" s="795"/>
      <c r="AC51" s="685"/>
      <c r="AD51" s="795"/>
      <c r="AE51" s="685"/>
      <c r="AF51" s="795"/>
      <c r="AG51" s="685"/>
      <c r="AH51" s="795"/>
      <c r="AI51" s="685"/>
      <c r="AJ51" s="795"/>
      <c r="AK51" s="685"/>
      <c r="AL51" s="795"/>
      <c r="AM51" s="685"/>
      <c r="AN51" s="795"/>
      <c r="AO51" s="685"/>
      <c r="AP51" s="795"/>
      <c r="AQ51" s="685"/>
      <c r="AR51" s="795"/>
      <c r="AS51" s="685"/>
      <c r="AT51" s="795"/>
      <c r="AU51" s="685"/>
      <c r="AV51" s="795"/>
      <c r="AW51" s="685"/>
      <c r="AX51" s="795"/>
      <c r="AY51" s="685"/>
      <c r="AZ51" s="795"/>
      <c r="BA51" s="685"/>
      <c r="BB51" s="795"/>
      <c r="BC51" s="685"/>
      <c r="BD51" s="795"/>
      <c r="BE51" s="685"/>
      <c r="BF51" s="795"/>
      <c r="BG51" s="685"/>
      <c r="BH51" s="795"/>
      <c r="BI51" s="685"/>
      <c r="BJ51" s="795"/>
      <c r="BK51" s="685"/>
      <c r="BL51" s="795"/>
      <c r="BM51" s="685"/>
      <c r="BN51" s="795"/>
      <c r="BO51" s="685"/>
      <c r="BP51" s="795"/>
      <c r="BQ51" s="685"/>
      <c r="BR51" s="795"/>
      <c r="BS51" s="685"/>
      <c r="BT51" s="795"/>
      <c r="BU51" s="685"/>
      <c r="BV51" s="795"/>
      <c r="BW51" s="685"/>
      <c r="BX51" s="795"/>
      <c r="BY51" s="685"/>
      <c r="BZ51" s="795"/>
      <c r="CA51" s="685"/>
      <c r="CB51" s="795"/>
      <c r="CC51" s="685"/>
      <c r="CD51" s="795"/>
      <c r="CE51" s="685"/>
      <c r="CF51" s="795"/>
      <c r="CG51" s="685"/>
      <c r="CH51" s="795"/>
      <c r="CI51" s="685"/>
      <c r="CJ51" s="795"/>
      <c r="CK51" s="685"/>
      <c r="CL51" s="795"/>
      <c r="CM51" s="685"/>
      <c r="CN51" s="795"/>
      <c r="CO51" s="685"/>
      <c r="CP51" s="795"/>
      <c r="CQ51" s="685"/>
      <c r="CR51" s="795"/>
      <c r="CS51" s="685"/>
      <c r="CT51" s="795"/>
      <c r="CU51" s="685"/>
      <c r="CV51" s="795"/>
      <c r="CW51" s="685"/>
      <c r="CX51" s="795"/>
      <c r="CY51" s="685"/>
      <c r="CZ51" s="795"/>
      <c r="DA51" s="685"/>
      <c r="DB51" s="795"/>
      <c r="DC51" s="685"/>
      <c r="DD51" s="795"/>
      <c r="DE51" s="685"/>
      <c r="DF51" s="795"/>
      <c r="DG51" s="685"/>
      <c r="DH51" s="795"/>
      <c r="DI51" s="685"/>
      <c r="DJ51" s="795"/>
    </row>
    <row r="52" spans="1:114" ht="15" customHeight="1">
      <c r="A52" s="798" t="s">
        <v>1862</v>
      </c>
      <c r="B52" s="535"/>
      <c r="C52" s="520"/>
      <c r="D52" s="794"/>
      <c r="E52" s="796"/>
      <c r="F52" s="796"/>
      <c r="G52" s="796"/>
      <c r="H52" s="796"/>
      <c r="I52" s="796"/>
      <c r="J52" s="796"/>
      <c r="K52" s="796"/>
      <c r="L52" s="796"/>
      <c r="M52" s="796"/>
      <c r="N52" s="796"/>
      <c r="O52" s="796"/>
      <c r="P52" s="796"/>
      <c r="Q52" s="796"/>
      <c r="R52" s="796"/>
      <c r="S52" s="796"/>
      <c r="T52" s="796"/>
      <c r="U52" s="796"/>
      <c r="V52" s="796"/>
      <c r="W52" s="796"/>
      <c r="X52" s="796"/>
      <c r="Y52" s="796"/>
      <c r="Z52" s="796"/>
      <c r="AA52" s="796"/>
      <c r="AB52" s="796"/>
      <c r="AC52" s="796"/>
      <c r="AD52" s="796"/>
      <c r="AE52" s="796"/>
      <c r="AF52" s="796"/>
      <c r="AG52" s="796"/>
      <c r="AH52" s="796"/>
      <c r="AI52" s="796"/>
      <c r="AJ52" s="796"/>
      <c r="AK52" s="796"/>
      <c r="AL52" s="796"/>
      <c r="AM52" s="796"/>
      <c r="AN52" s="796"/>
      <c r="AO52" s="796"/>
      <c r="AP52" s="796"/>
      <c r="AQ52" s="796"/>
      <c r="AR52" s="796"/>
      <c r="AS52" s="796"/>
      <c r="AT52" s="796"/>
      <c r="AU52" s="796"/>
      <c r="AV52" s="796"/>
      <c r="AW52" s="796"/>
      <c r="AX52" s="796"/>
      <c r="AY52" s="796"/>
      <c r="AZ52" s="796"/>
      <c r="BA52" s="796"/>
      <c r="BB52" s="796"/>
      <c r="BC52" s="796"/>
      <c r="BD52" s="796"/>
      <c r="BE52" s="796"/>
      <c r="BF52" s="796"/>
      <c r="BG52" s="796"/>
      <c r="BH52" s="796"/>
      <c r="BI52" s="796"/>
      <c r="BJ52" s="796"/>
      <c r="BK52" s="796"/>
      <c r="BL52" s="796"/>
      <c r="BM52" s="796"/>
      <c r="BN52" s="796"/>
      <c r="BO52" s="796"/>
      <c r="BP52" s="796"/>
      <c r="BQ52" s="796"/>
      <c r="BR52" s="796"/>
      <c r="BS52" s="796"/>
      <c r="BT52" s="796"/>
      <c r="BU52" s="796"/>
      <c r="BV52" s="796"/>
      <c r="BW52" s="796"/>
      <c r="BX52" s="796"/>
      <c r="BY52" s="796"/>
      <c r="BZ52" s="796"/>
      <c r="CA52" s="796"/>
      <c r="CB52" s="796"/>
      <c r="CC52" s="796"/>
      <c r="CD52" s="796"/>
      <c r="CE52" s="796"/>
      <c r="CF52" s="796"/>
      <c r="CG52" s="796"/>
      <c r="CH52" s="796"/>
      <c r="CI52" s="796"/>
      <c r="CJ52" s="796"/>
      <c r="CK52" s="796"/>
      <c r="CL52" s="796"/>
      <c r="CM52" s="796"/>
      <c r="CN52" s="796"/>
      <c r="CO52" s="796"/>
      <c r="CP52" s="796"/>
      <c r="CQ52" s="796"/>
      <c r="CR52" s="796"/>
      <c r="CS52" s="796"/>
      <c r="CT52" s="796"/>
      <c r="CU52" s="796"/>
      <c r="CV52" s="796"/>
      <c r="CW52" s="796"/>
      <c r="CX52" s="796"/>
      <c r="CY52" s="796"/>
      <c r="CZ52" s="796"/>
      <c r="DA52" s="796"/>
      <c r="DB52" s="796"/>
      <c r="DC52" s="796"/>
      <c r="DD52" s="796"/>
      <c r="DE52" s="796"/>
      <c r="DF52" s="796"/>
      <c r="DG52" s="796"/>
      <c r="DH52" s="796"/>
      <c r="DI52" s="796"/>
      <c r="DJ52" s="796"/>
    </row>
    <row r="53" spans="1:114" ht="15" customHeight="1">
      <c r="A53" s="797" t="s">
        <v>1863</v>
      </c>
      <c r="B53" s="516" t="s">
        <v>1864</v>
      </c>
      <c r="C53" s="521" t="s">
        <v>1863</v>
      </c>
      <c r="D53" s="794"/>
      <c r="E53" s="685"/>
      <c r="F53" s="795"/>
      <c r="G53" s="685"/>
      <c r="H53" s="795"/>
      <c r="I53" s="685"/>
      <c r="J53" s="803"/>
      <c r="K53" s="685"/>
      <c r="L53" s="795"/>
      <c r="M53" s="685"/>
      <c r="N53" s="795">
        <v>15.15</v>
      </c>
      <c r="O53" s="685"/>
      <c r="P53" s="795">
        <v>16.329999999999998</v>
      </c>
      <c r="Q53" s="685"/>
      <c r="R53" s="795"/>
      <c r="S53" s="685"/>
      <c r="T53" s="795"/>
      <c r="U53" s="685"/>
      <c r="V53" s="795"/>
      <c r="W53" s="685"/>
      <c r="X53" s="795"/>
      <c r="Y53" s="795"/>
      <c r="Z53" s="795"/>
      <c r="AA53" s="685"/>
      <c r="AB53" s="795"/>
      <c r="AC53" s="685"/>
      <c r="AD53" s="795"/>
      <c r="AE53" s="685"/>
      <c r="AF53" s="795"/>
      <c r="AG53" s="685">
        <v>3.9</v>
      </c>
      <c r="AH53" s="795"/>
      <c r="AI53" s="685"/>
      <c r="AJ53" s="795"/>
      <c r="AK53" s="685"/>
      <c r="AL53" s="795"/>
      <c r="AM53" s="685"/>
      <c r="AN53" s="795"/>
      <c r="AO53" s="685"/>
      <c r="AP53" s="795"/>
      <c r="AQ53" s="685"/>
      <c r="AR53" s="795"/>
      <c r="AS53" s="685"/>
      <c r="AT53" s="795"/>
      <c r="AU53" s="685"/>
      <c r="AV53" s="795"/>
      <c r="AW53" s="685"/>
      <c r="AX53" s="795"/>
      <c r="AY53" s="685"/>
      <c r="AZ53" s="795"/>
      <c r="BA53" s="685"/>
      <c r="BB53" s="795"/>
      <c r="BC53" s="685"/>
      <c r="BD53" s="795"/>
      <c r="BE53" s="685"/>
      <c r="BF53" s="795"/>
      <c r="BG53" s="685"/>
      <c r="BH53" s="795"/>
      <c r="BI53" s="685"/>
      <c r="BJ53" s="795"/>
      <c r="BK53" s="685"/>
      <c r="BL53" s="795"/>
      <c r="BM53" s="685"/>
      <c r="BN53" s="795"/>
      <c r="BO53" s="685"/>
      <c r="BP53" s="795"/>
      <c r="BQ53" s="685"/>
      <c r="BR53" s="795"/>
      <c r="BS53" s="685"/>
      <c r="BT53" s="795"/>
      <c r="BU53" s="685"/>
      <c r="BV53" s="795"/>
      <c r="BW53" s="685"/>
      <c r="BX53" s="795"/>
      <c r="BY53" s="685"/>
      <c r="BZ53" s="795"/>
      <c r="CA53" s="685"/>
      <c r="CB53" s="795"/>
      <c r="CC53" s="685"/>
      <c r="CD53" s="795"/>
      <c r="CE53" s="685"/>
      <c r="CF53" s="795"/>
      <c r="CG53" s="685"/>
      <c r="CH53" s="795"/>
      <c r="CI53" s="685"/>
      <c r="CJ53" s="795"/>
      <c r="CK53" s="685"/>
      <c r="CL53" s="795"/>
      <c r="CM53" s="685"/>
      <c r="CN53" s="795"/>
      <c r="CO53" s="685"/>
      <c r="CP53" s="795"/>
      <c r="CQ53" s="685"/>
      <c r="CR53" s="795"/>
      <c r="CS53" s="685"/>
      <c r="CT53" s="795"/>
      <c r="CU53" s="685"/>
      <c r="CV53" s="795"/>
      <c r="CW53" s="685"/>
      <c r="CX53" s="795"/>
      <c r="CY53" s="685"/>
      <c r="CZ53" s="795"/>
      <c r="DA53" s="685"/>
      <c r="DB53" s="795"/>
      <c r="DC53" s="685"/>
      <c r="DD53" s="795"/>
      <c r="DE53" s="685"/>
      <c r="DF53" s="795"/>
      <c r="DG53" s="685"/>
      <c r="DH53" s="795"/>
      <c r="DI53" s="685"/>
      <c r="DJ53" s="795"/>
    </row>
    <row r="54" spans="1:114" ht="15" customHeight="1">
      <c r="A54" s="797" t="s">
        <v>1865</v>
      </c>
      <c r="B54" s="516" t="s">
        <v>1864</v>
      </c>
      <c r="C54" s="521" t="s">
        <v>1865</v>
      </c>
      <c r="D54" s="794"/>
      <c r="E54" s="685"/>
      <c r="F54" s="795"/>
      <c r="G54" s="685"/>
      <c r="H54" s="795"/>
      <c r="I54" s="685"/>
      <c r="J54" s="803"/>
      <c r="K54" s="685"/>
      <c r="L54" s="795"/>
      <c r="M54" s="685"/>
      <c r="N54" s="795"/>
      <c r="O54" s="685"/>
      <c r="P54" s="795"/>
      <c r="Q54" s="685"/>
      <c r="R54" s="795"/>
      <c r="S54" s="685"/>
      <c r="T54" s="795"/>
      <c r="U54" s="685"/>
      <c r="V54" s="795"/>
      <c r="W54" s="685"/>
      <c r="X54" s="795"/>
      <c r="Y54" s="795"/>
      <c r="Z54" s="795"/>
      <c r="AA54" s="685"/>
      <c r="AB54" s="795"/>
      <c r="AC54" s="685"/>
      <c r="AD54" s="795"/>
      <c r="AE54" s="685"/>
      <c r="AF54" s="795"/>
      <c r="AG54" s="685"/>
      <c r="AH54" s="795"/>
      <c r="AI54" s="685"/>
      <c r="AJ54" s="795"/>
      <c r="AK54" s="685"/>
      <c r="AL54" s="795"/>
      <c r="AM54" s="685"/>
      <c r="AN54" s="795"/>
      <c r="AO54" s="685"/>
      <c r="AP54" s="795"/>
      <c r="AQ54" s="685"/>
      <c r="AR54" s="795"/>
      <c r="AS54" s="685"/>
      <c r="AT54" s="795"/>
      <c r="AU54" s="685"/>
      <c r="AV54" s="795"/>
      <c r="AW54" s="685"/>
      <c r="AX54" s="795"/>
      <c r="AY54" s="685"/>
      <c r="AZ54" s="795"/>
      <c r="BA54" s="685"/>
      <c r="BB54" s="795"/>
      <c r="BC54" s="685"/>
      <c r="BD54" s="795"/>
      <c r="BE54" s="685"/>
      <c r="BF54" s="795"/>
      <c r="BG54" s="685"/>
      <c r="BH54" s="795"/>
      <c r="BI54" s="685"/>
      <c r="BJ54" s="795"/>
      <c r="BK54" s="685"/>
      <c r="BL54" s="795"/>
      <c r="BM54" s="685"/>
      <c r="BN54" s="795"/>
      <c r="BO54" s="685"/>
      <c r="BP54" s="795"/>
      <c r="BQ54" s="685"/>
      <c r="BR54" s="795"/>
      <c r="BS54" s="685"/>
      <c r="BT54" s="795"/>
      <c r="BU54" s="685"/>
      <c r="BV54" s="795"/>
      <c r="BW54" s="685"/>
      <c r="BX54" s="795"/>
      <c r="BY54" s="685"/>
      <c r="BZ54" s="795"/>
      <c r="CA54" s="685"/>
      <c r="CB54" s="795"/>
      <c r="CC54" s="685"/>
      <c r="CD54" s="795"/>
      <c r="CE54" s="685"/>
      <c r="CF54" s="795"/>
      <c r="CG54" s="685"/>
      <c r="CH54" s="795"/>
      <c r="CI54" s="685"/>
      <c r="CJ54" s="795"/>
      <c r="CK54" s="685"/>
      <c r="CL54" s="795"/>
      <c r="CM54" s="685"/>
      <c r="CN54" s="795"/>
      <c r="CO54" s="685"/>
      <c r="CP54" s="795"/>
      <c r="CQ54" s="685"/>
      <c r="CR54" s="795"/>
      <c r="CS54" s="685"/>
      <c r="CT54" s="795"/>
      <c r="CU54" s="685"/>
      <c r="CV54" s="795"/>
      <c r="CW54" s="685"/>
      <c r="CX54" s="795"/>
      <c r="CY54" s="685"/>
      <c r="CZ54" s="795"/>
      <c r="DA54" s="685"/>
      <c r="DB54" s="795"/>
      <c r="DC54" s="685"/>
      <c r="DD54" s="795"/>
      <c r="DE54" s="685"/>
      <c r="DF54" s="795"/>
      <c r="DG54" s="685"/>
      <c r="DH54" s="795"/>
      <c r="DI54" s="685"/>
      <c r="DJ54" s="795"/>
    </row>
    <row r="55" spans="1:114" ht="15" customHeight="1">
      <c r="A55" s="798" t="s">
        <v>1867</v>
      </c>
      <c r="B55" s="535"/>
      <c r="C55" s="520"/>
      <c r="D55" s="794"/>
      <c r="E55" s="796"/>
      <c r="F55" s="796"/>
      <c r="G55" s="796"/>
      <c r="H55" s="796"/>
      <c r="I55" s="796"/>
      <c r="J55" s="796"/>
      <c r="K55" s="796"/>
      <c r="L55" s="796"/>
      <c r="M55" s="796"/>
      <c r="N55" s="796"/>
      <c r="O55" s="796"/>
      <c r="P55" s="796"/>
      <c r="Q55" s="796"/>
      <c r="R55" s="796"/>
      <c r="S55" s="796"/>
      <c r="T55" s="796"/>
      <c r="U55" s="796"/>
      <c r="V55" s="796"/>
      <c r="W55" s="796"/>
      <c r="X55" s="796"/>
      <c r="Y55" s="796"/>
      <c r="Z55" s="796"/>
      <c r="AA55" s="796"/>
      <c r="AB55" s="796"/>
      <c r="AC55" s="796"/>
      <c r="AD55" s="796"/>
      <c r="AE55" s="796"/>
      <c r="AF55" s="796"/>
      <c r="AG55" s="796"/>
      <c r="AH55" s="796"/>
      <c r="AI55" s="796"/>
      <c r="AJ55" s="796"/>
      <c r="AK55" s="796"/>
      <c r="AL55" s="796"/>
      <c r="AM55" s="796"/>
      <c r="AN55" s="796"/>
      <c r="AO55" s="796"/>
      <c r="AP55" s="796"/>
      <c r="AQ55" s="796"/>
      <c r="AR55" s="796"/>
      <c r="AS55" s="796"/>
      <c r="AT55" s="796"/>
      <c r="AU55" s="796"/>
      <c r="AV55" s="796"/>
      <c r="AW55" s="796"/>
      <c r="AX55" s="796"/>
      <c r="AY55" s="796"/>
      <c r="AZ55" s="796"/>
      <c r="BA55" s="796"/>
      <c r="BB55" s="796"/>
      <c r="BC55" s="796"/>
      <c r="BD55" s="796"/>
      <c r="BE55" s="796"/>
      <c r="BF55" s="796"/>
      <c r="BG55" s="796"/>
      <c r="BH55" s="796"/>
      <c r="BI55" s="796"/>
      <c r="BJ55" s="796"/>
      <c r="BK55" s="796"/>
      <c r="BL55" s="796"/>
      <c r="BM55" s="796"/>
      <c r="BN55" s="796"/>
      <c r="BO55" s="796"/>
      <c r="BP55" s="796"/>
      <c r="BQ55" s="796"/>
      <c r="BR55" s="796"/>
      <c r="BS55" s="796"/>
      <c r="BT55" s="796"/>
      <c r="BU55" s="796"/>
      <c r="BV55" s="796"/>
      <c r="BW55" s="796"/>
      <c r="BX55" s="796"/>
      <c r="BY55" s="796"/>
      <c r="BZ55" s="796"/>
      <c r="CA55" s="796"/>
      <c r="CB55" s="796"/>
      <c r="CC55" s="796"/>
      <c r="CD55" s="796"/>
      <c r="CE55" s="796"/>
      <c r="CF55" s="796"/>
      <c r="CG55" s="796"/>
      <c r="CH55" s="796"/>
      <c r="CI55" s="796"/>
      <c r="CJ55" s="796"/>
      <c r="CK55" s="796"/>
      <c r="CL55" s="796"/>
      <c r="CM55" s="796"/>
      <c r="CN55" s="796"/>
      <c r="CO55" s="796"/>
      <c r="CP55" s="796"/>
      <c r="CQ55" s="796"/>
      <c r="CR55" s="796"/>
      <c r="CS55" s="796"/>
      <c r="CT55" s="796"/>
      <c r="CU55" s="796"/>
      <c r="CV55" s="796"/>
      <c r="CW55" s="796"/>
      <c r="CX55" s="796"/>
      <c r="CY55" s="796"/>
      <c r="CZ55" s="796"/>
      <c r="DA55" s="796"/>
      <c r="DB55" s="796"/>
      <c r="DC55" s="796"/>
      <c r="DD55" s="796"/>
      <c r="DE55" s="796"/>
      <c r="DF55" s="796"/>
      <c r="DG55" s="796"/>
      <c r="DH55" s="796"/>
      <c r="DI55" s="796"/>
      <c r="DJ55" s="796"/>
    </row>
    <row r="56" spans="1:114" ht="15" customHeight="1">
      <c r="A56" s="797" t="s">
        <v>2013</v>
      </c>
      <c r="B56" s="516" t="s">
        <v>1869</v>
      </c>
      <c r="C56" s="521" t="s">
        <v>2014</v>
      </c>
      <c r="D56" s="794"/>
      <c r="E56" s="685"/>
      <c r="F56" s="795"/>
      <c r="G56" s="685"/>
      <c r="H56" s="795" t="s">
        <v>2015</v>
      </c>
      <c r="I56" s="685"/>
      <c r="J56" s="803"/>
      <c r="K56" s="685"/>
      <c r="L56" s="795"/>
      <c r="M56" s="685"/>
      <c r="N56" s="795"/>
      <c r="O56" s="685"/>
      <c r="P56" s="795"/>
      <c r="Q56" s="685"/>
      <c r="R56" s="795"/>
      <c r="S56" s="685"/>
      <c r="T56" s="795"/>
      <c r="U56" s="685"/>
      <c r="V56" s="795"/>
      <c r="W56" s="685"/>
      <c r="X56" s="795"/>
      <c r="Y56" s="795"/>
      <c r="Z56" s="795"/>
      <c r="AA56" s="685"/>
      <c r="AB56" s="795"/>
      <c r="AC56" s="685"/>
      <c r="AD56" s="795"/>
      <c r="AE56" s="685"/>
      <c r="AF56" s="795"/>
      <c r="AG56" s="685"/>
      <c r="AH56" s="795"/>
      <c r="AI56" s="685"/>
      <c r="AJ56" s="795"/>
      <c r="AK56" s="685"/>
      <c r="AL56" s="795"/>
      <c r="AM56" s="685"/>
      <c r="AN56" s="795"/>
      <c r="AO56" s="685"/>
      <c r="AP56" s="795"/>
      <c r="AQ56" s="685"/>
      <c r="AR56" s="795"/>
      <c r="AS56" s="685"/>
      <c r="AT56" s="795"/>
      <c r="AU56" s="685"/>
      <c r="AV56" s="795"/>
      <c r="AW56" s="685"/>
      <c r="AX56" s="795"/>
      <c r="AY56" s="685"/>
      <c r="AZ56" s="795"/>
      <c r="BA56" s="685"/>
      <c r="BB56" s="795"/>
      <c r="BC56" s="685"/>
      <c r="BD56" s="795"/>
      <c r="BE56" s="685"/>
      <c r="BF56" s="795"/>
      <c r="BG56" s="685"/>
      <c r="BH56" s="795"/>
      <c r="BI56" s="685"/>
      <c r="BJ56" s="795"/>
      <c r="BK56" s="685"/>
      <c r="BL56" s="795"/>
      <c r="BM56" s="685"/>
      <c r="BN56" s="795"/>
      <c r="BO56" s="685"/>
      <c r="BP56" s="795"/>
      <c r="BQ56" s="685"/>
      <c r="BR56" s="795"/>
      <c r="BS56" s="685"/>
      <c r="BT56" s="795"/>
      <c r="BU56" s="685"/>
      <c r="BV56" s="795"/>
      <c r="BW56" s="685"/>
      <c r="BX56" s="795"/>
      <c r="BY56" s="685"/>
      <c r="BZ56" s="795"/>
      <c r="CA56" s="685"/>
      <c r="CB56" s="795"/>
      <c r="CC56" s="685"/>
      <c r="CD56" s="795"/>
      <c r="CE56" s="685"/>
      <c r="CF56" s="795"/>
      <c r="CG56" s="685"/>
      <c r="CH56" s="795"/>
      <c r="CI56" s="685"/>
      <c r="CJ56" s="795"/>
      <c r="CK56" s="685"/>
      <c r="CL56" s="795"/>
      <c r="CM56" s="685"/>
      <c r="CN56" s="795"/>
      <c r="CO56" s="685"/>
      <c r="CP56" s="795"/>
      <c r="CQ56" s="685"/>
      <c r="CR56" s="795"/>
      <c r="CS56" s="685"/>
      <c r="CT56" s="795"/>
      <c r="CU56" s="685"/>
      <c r="CV56" s="795"/>
      <c r="CW56" s="685"/>
      <c r="CX56" s="795"/>
      <c r="CY56" s="685"/>
      <c r="CZ56" s="795"/>
      <c r="DA56" s="685"/>
      <c r="DB56" s="795"/>
      <c r="DC56" s="685"/>
      <c r="DD56" s="795"/>
      <c r="DE56" s="685"/>
      <c r="DF56" s="795"/>
      <c r="DG56" s="685"/>
      <c r="DH56" s="795"/>
      <c r="DI56" s="685"/>
      <c r="DJ56" s="795"/>
    </row>
    <row r="57" spans="1:114" ht="15" customHeight="1">
      <c r="A57" s="797" t="s">
        <v>1871</v>
      </c>
      <c r="B57" s="516" t="s">
        <v>2016</v>
      </c>
      <c r="C57" s="521" t="s">
        <v>1873</v>
      </c>
      <c r="D57" s="794"/>
      <c r="E57" s="685">
        <v>1089.2</v>
      </c>
      <c r="F57" s="795">
        <v>1089.2</v>
      </c>
      <c r="G57" s="685">
        <v>1089.2</v>
      </c>
      <c r="H57" s="795">
        <v>1073.2</v>
      </c>
      <c r="I57" s="685">
        <v>1073.2</v>
      </c>
      <c r="J57" s="803"/>
      <c r="K57" s="685">
        <v>1073.2</v>
      </c>
      <c r="L57" s="795">
        <v>1073.2</v>
      </c>
      <c r="M57" s="685">
        <v>1073.2</v>
      </c>
      <c r="N57" s="795">
        <v>1350.2</v>
      </c>
      <c r="O57" s="685">
        <v>1250.2</v>
      </c>
      <c r="P57" s="795">
        <v>1082.2</v>
      </c>
      <c r="Q57" s="685">
        <v>1073.2</v>
      </c>
      <c r="R57" s="795">
        <v>1089.2</v>
      </c>
      <c r="S57" s="685">
        <v>1073.2</v>
      </c>
      <c r="T57" s="795">
        <v>1073.2</v>
      </c>
      <c r="U57" s="685">
        <v>1073.2</v>
      </c>
      <c r="V57" s="795">
        <v>1073.2</v>
      </c>
      <c r="W57" s="685">
        <v>1073.2</v>
      </c>
      <c r="X57" s="795">
        <v>1153.2</v>
      </c>
      <c r="Y57" s="795">
        <v>1089.2</v>
      </c>
      <c r="Z57" s="795"/>
      <c r="AA57" s="685">
        <v>1073.2</v>
      </c>
      <c r="AB57" s="795">
        <v>1073.2</v>
      </c>
      <c r="AC57" s="685"/>
      <c r="AD57" s="795"/>
      <c r="AE57" s="685"/>
      <c r="AF57" s="795"/>
      <c r="AG57" s="685">
        <v>1118.2</v>
      </c>
      <c r="AH57" s="795"/>
      <c r="AI57" s="685"/>
      <c r="AJ57" s="795"/>
      <c r="AK57" s="685"/>
      <c r="AL57" s="795"/>
      <c r="AM57" s="685">
        <v>1073.2</v>
      </c>
      <c r="AN57" s="795"/>
      <c r="AO57" s="685"/>
      <c r="AP57" s="795"/>
      <c r="AQ57" s="685"/>
      <c r="AR57" s="795"/>
      <c r="AS57" s="685"/>
      <c r="AT57" s="795"/>
      <c r="AU57" s="685"/>
      <c r="AV57" s="795"/>
      <c r="AW57" s="685"/>
      <c r="AX57" s="795"/>
      <c r="AY57" s="685"/>
      <c r="AZ57" s="795"/>
      <c r="BA57" s="685"/>
      <c r="BB57" s="795"/>
      <c r="BC57" s="685"/>
      <c r="BD57" s="795"/>
      <c r="BE57" s="685"/>
      <c r="BF57" s="795"/>
      <c r="BG57" s="685"/>
      <c r="BH57" s="795"/>
      <c r="BI57" s="685"/>
      <c r="BJ57" s="795"/>
      <c r="BK57" s="685"/>
      <c r="BL57" s="795"/>
      <c r="BM57" s="685"/>
      <c r="BN57" s="795"/>
      <c r="BO57" s="685"/>
      <c r="BP57" s="795"/>
      <c r="BQ57" s="685"/>
      <c r="BR57" s="795"/>
      <c r="BS57" s="685"/>
      <c r="BT57" s="795"/>
      <c r="BU57" s="685"/>
      <c r="BV57" s="795"/>
      <c r="BW57" s="685"/>
      <c r="BX57" s="795"/>
      <c r="BY57" s="685"/>
      <c r="BZ57" s="795"/>
      <c r="CA57" s="685"/>
      <c r="CB57" s="795"/>
      <c r="CC57" s="685"/>
      <c r="CD57" s="795"/>
      <c r="CE57" s="685"/>
      <c r="CF57" s="795"/>
      <c r="CG57" s="685"/>
      <c r="CH57" s="795"/>
      <c r="CI57" s="685"/>
      <c r="CJ57" s="795"/>
      <c r="CK57" s="685"/>
      <c r="CL57" s="795"/>
      <c r="CM57" s="685"/>
      <c r="CN57" s="795"/>
      <c r="CO57" s="685"/>
      <c r="CP57" s="795"/>
      <c r="CQ57" s="685"/>
      <c r="CR57" s="795"/>
      <c r="CS57" s="685"/>
      <c r="CT57" s="795"/>
      <c r="CU57" s="685"/>
      <c r="CV57" s="795"/>
      <c r="CW57" s="685"/>
      <c r="CX57" s="795"/>
      <c r="CY57" s="685"/>
      <c r="CZ57" s="795"/>
      <c r="DA57" s="685"/>
      <c r="DB57" s="795"/>
      <c r="DC57" s="685"/>
      <c r="DD57" s="795"/>
      <c r="DE57" s="685"/>
      <c r="DF57" s="795"/>
      <c r="DG57" s="685"/>
      <c r="DH57" s="795"/>
      <c r="DI57" s="685"/>
      <c r="DJ57" s="795"/>
    </row>
    <row r="58" spans="1:114" ht="15" customHeight="1">
      <c r="A58" s="798" t="s">
        <v>1330</v>
      </c>
      <c r="B58" s="535"/>
      <c r="C58" s="659"/>
      <c r="D58" s="794"/>
      <c r="E58" s="796"/>
      <c r="F58" s="796"/>
      <c r="G58" s="796"/>
      <c r="H58" s="796"/>
      <c r="I58" s="796"/>
      <c r="J58" s="796"/>
      <c r="K58" s="796"/>
      <c r="L58" s="796"/>
      <c r="M58" s="796"/>
      <c r="N58" s="796"/>
      <c r="O58" s="796"/>
      <c r="P58" s="796"/>
      <c r="Q58" s="796"/>
      <c r="R58" s="796"/>
      <c r="S58" s="796"/>
      <c r="T58" s="796"/>
      <c r="U58" s="796"/>
      <c r="V58" s="796"/>
      <c r="W58" s="796"/>
      <c r="X58" s="796"/>
      <c r="Y58" s="796"/>
      <c r="Z58" s="796"/>
      <c r="AA58" s="796"/>
      <c r="AB58" s="796"/>
      <c r="AC58" s="796"/>
      <c r="AD58" s="796"/>
      <c r="AE58" s="796"/>
      <c r="AF58" s="796"/>
      <c r="AG58" s="796"/>
      <c r="AH58" s="796"/>
      <c r="AI58" s="796"/>
      <c r="AJ58" s="796"/>
      <c r="AK58" s="796"/>
      <c r="AL58" s="796"/>
      <c r="AM58" s="796"/>
      <c r="AN58" s="796"/>
      <c r="AO58" s="796"/>
      <c r="AP58" s="796"/>
      <c r="AQ58" s="796"/>
      <c r="AR58" s="796"/>
      <c r="AS58" s="796"/>
      <c r="AT58" s="796"/>
      <c r="AU58" s="796"/>
      <c r="AV58" s="796"/>
      <c r="AW58" s="796"/>
      <c r="AX58" s="796"/>
      <c r="AY58" s="796"/>
      <c r="AZ58" s="796"/>
      <c r="BA58" s="796"/>
      <c r="BB58" s="796"/>
      <c r="BC58" s="796"/>
      <c r="BD58" s="796"/>
      <c r="BE58" s="796"/>
      <c r="BF58" s="796"/>
      <c r="BG58" s="796"/>
      <c r="BH58" s="796"/>
      <c r="BI58" s="796"/>
      <c r="BJ58" s="796"/>
      <c r="BK58" s="796"/>
      <c r="BL58" s="796"/>
      <c r="BM58" s="796"/>
      <c r="BN58" s="796"/>
      <c r="BO58" s="796"/>
      <c r="BP58" s="796"/>
      <c r="BQ58" s="796"/>
      <c r="BR58" s="796"/>
      <c r="BS58" s="796"/>
      <c r="BT58" s="796"/>
      <c r="BU58" s="796"/>
      <c r="BV58" s="796"/>
      <c r="BW58" s="796"/>
      <c r="BX58" s="796"/>
      <c r="BY58" s="796"/>
      <c r="BZ58" s="796"/>
      <c r="CA58" s="796"/>
      <c r="CB58" s="796"/>
      <c r="CC58" s="796"/>
      <c r="CD58" s="796"/>
      <c r="CE58" s="796"/>
      <c r="CF58" s="796"/>
      <c r="CG58" s="796"/>
      <c r="CH58" s="796"/>
      <c r="CI58" s="796"/>
      <c r="CJ58" s="796"/>
      <c r="CK58" s="796"/>
      <c r="CL58" s="796"/>
      <c r="CM58" s="796"/>
      <c r="CN58" s="796"/>
      <c r="CO58" s="796"/>
      <c r="CP58" s="796"/>
      <c r="CQ58" s="796"/>
      <c r="CR58" s="796"/>
      <c r="CS58" s="796"/>
      <c r="CT58" s="796"/>
      <c r="CU58" s="796"/>
      <c r="CV58" s="796"/>
      <c r="CW58" s="796"/>
      <c r="CX58" s="796"/>
      <c r="CY58" s="796"/>
      <c r="CZ58" s="796"/>
      <c r="DA58" s="796"/>
      <c r="DB58" s="796"/>
      <c r="DC58" s="796"/>
      <c r="DD58" s="796"/>
      <c r="DE58" s="796"/>
      <c r="DF58" s="796"/>
      <c r="DG58" s="796"/>
      <c r="DH58" s="796"/>
      <c r="DI58" s="796"/>
      <c r="DJ58" s="796"/>
    </row>
    <row r="59" spans="1:114" s="379" customFormat="1" ht="72.75" customHeight="1">
      <c r="A59" s="797" t="s">
        <v>1331</v>
      </c>
      <c r="B59" s="380" t="s">
        <v>901</v>
      </c>
      <c r="C59" s="521" t="s">
        <v>1332</v>
      </c>
      <c r="D59" s="541"/>
      <c r="E59" s="676" t="s">
        <v>2017</v>
      </c>
      <c r="F59" s="706" t="s">
        <v>2017</v>
      </c>
      <c r="G59" s="676" t="s">
        <v>2017</v>
      </c>
      <c r="H59" s="706" t="s">
        <v>2017</v>
      </c>
      <c r="I59" s="676" t="s">
        <v>2017</v>
      </c>
      <c r="J59" s="805"/>
      <c r="K59" s="676" t="s">
        <v>2017</v>
      </c>
      <c r="L59" s="706" t="s">
        <v>2017</v>
      </c>
      <c r="M59" s="676" t="s">
        <v>2017</v>
      </c>
      <c r="N59" s="706" t="s">
        <v>2018</v>
      </c>
      <c r="O59" s="676" t="s">
        <v>2018</v>
      </c>
      <c r="P59" s="706" t="s">
        <v>2019</v>
      </c>
      <c r="Q59" s="676"/>
      <c r="R59" s="706" t="s">
        <v>2020</v>
      </c>
      <c r="S59" s="676" t="s">
        <v>2020</v>
      </c>
      <c r="T59" s="706" t="s">
        <v>2020</v>
      </c>
      <c r="U59" s="676" t="s">
        <v>2020</v>
      </c>
      <c r="V59" s="706" t="s">
        <v>2020</v>
      </c>
      <c r="W59" s="676" t="s">
        <v>2020</v>
      </c>
      <c r="X59" s="706" t="s">
        <v>2021</v>
      </c>
      <c r="Y59" s="706" t="s">
        <v>2020</v>
      </c>
      <c r="Z59" s="706"/>
      <c r="AA59" s="676" t="s">
        <v>2020</v>
      </c>
      <c r="AB59" s="706" t="s">
        <v>2020</v>
      </c>
      <c r="AC59" s="676"/>
      <c r="AD59" s="706"/>
      <c r="AE59" s="676"/>
      <c r="AF59" s="706"/>
      <c r="AG59" s="676" t="s">
        <v>2022</v>
      </c>
      <c r="AH59" s="706"/>
      <c r="AI59" s="676"/>
      <c r="AJ59" s="706"/>
      <c r="AK59" s="676"/>
      <c r="AL59" s="706"/>
      <c r="AM59" s="676" t="s">
        <v>2019</v>
      </c>
      <c r="AN59" s="706"/>
      <c r="AO59" s="676"/>
      <c r="AP59" s="706"/>
      <c r="AQ59" s="676"/>
      <c r="AR59" s="706"/>
      <c r="AS59" s="676"/>
      <c r="AT59" s="706"/>
      <c r="AU59" s="676"/>
      <c r="AV59" s="706"/>
      <c r="AW59" s="676"/>
      <c r="AX59" s="706"/>
      <c r="AY59" s="676"/>
      <c r="AZ59" s="706"/>
      <c r="BA59" s="676"/>
      <c r="BB59" s="706"/>
      <c r="BC59" s="676"/>
      <c r="BD59" s="706"/>
      <c r="BE59" s="676"/>
      <c r="BF59" s="706"/>
      <c r="BG59" s="676"/>
      <c r="BH59" s="706"/>
      <c r="BI59" s="676"/>
      <c r="BJ59" s="706"/>
      <c r="BK59" s="676"/>
      <c r="BL59" s="706"/>
      <c r="BM59" s="676"/>
      <c r="BN59" s="706"/>
      <c r="BO59" s="676"/>
      <c r="BP59" s="706"/>
      <c r="BQ59" s="676"/>
      <c r="BR59" s="706"/>
      <c r="BS59" s="676"/>
      <c r="BT59" s="706"/>
      <c r="BU59" s="676"/>
      <c r="BV59" s="706"/>
      <c r="BW59" s="676"/>
      <c r="BX59" s="706"/>
      <c r="BY59" s="676"/>
      <c r="BZ59" s="706"/>
      <c r="CA59" s="676"/>
      <c r="CB59" s="706"/>
      <c r="CC59" s="676"/>
      <c r="CD59" s="706"/>
      <c r="CE59" s="676"/>
      <c r="CF59" s="706"/>
      <c r="CG59" s="676"/>
      <c r="CH59" s="706"/>
      <c r="CI59" s="676"/>
      <c r="CJ59" s="706"/>
      <c r="CK59" s="676"/>
      <c r="CL59" s="706"/>
      <c r="CM59" s="676"/>
      <c r="CN59" s="706"/>
      <c r="CO59" s="676"/>
      <c r="CP59" s="706"/>
      <c r="CQ59" s="676"/>
      <c r="CR59" s="706"/>
      <c r="CS59" s="676"/>
      <c r="CT59" s="706"/>
      <c r="CU59" s="676"/>
      <c r="CV59" s="706"/>
      <c r="CW59" s="676"/>
      <c r="CX59" s="706"/>
      <c r="CY59" s="676"/>
      <c r="CZ59" s="706"/>
      <c r="DA59" s="676"/>
      <c r="DB59" s="706"/>
      <c r="DC59" s="676"/>
      <c r="DD59" s="706"/>
      <c r="DE59" s="676"/>
      <c r="DF59" s="706"/>
      <c r="DG59" s="676"/>
      <c r="DH59" s="706"/>
      <c r="DI59" s="676"/>
      <c r="DJ59" s="706"/>
    </row>
    <row r="60" spans="1:114" ht="15" customHeight="1">
      <c r="A60" s="797"/>
      <c r="C60" s="521"/>
      <c r="D60" s="794"/>
      <c r="E60" s="685"/>
      <c r="F60" s="795"/>
      <c r="G60" s="685"/>
      <c r="H60" s="795"/>
      <c r="I60" s="685"/>
      <c r="J60" s="803"/>
      <c r="K60" s="685"/>
      <c r="L60" s="795"/>
      <c r="M60" s="685"/>
      <c r="N60" s="795"/>
      <c r="O60" s="685"/>
      <c r="P60" s="795"/>
      <c r="Q60" s="685"/>
      <c r="R60" s="795"/>
      <c r="S60" s="685"/>
      <c r="T60" s="795"/>
      <c r="U60" s="685"/>
      <c r="V60" s="795"/>
      <c r="W60" s="685"/>
      <c r="X60" s="795"/>
      <c r="Y60" s="795"/>
      <c r="Z60" s="795"/>
      <c r="AA60" s="685"/>
      <c r="AB60" s="795"/>
      <c r="AC60" s="685"/>
      <c r="AD60" s="795"/>
      <c r="AE60" s="685"/>
      <c r="AF60" s="795"/>
      <c r="AG60" s="685"/>
      <c r="AH60" s="795"/>
      <c r="AI60" s="685"/>
      <c r="AJ60" s="795"/>
      <c r="AK60" s="685"/>
      <c r="AL60" s="795"/>
      <c r="AM60" s="685"/>
      <c r="AN60" s="795"/>
      <c r="AO60" s="685"/>
      <c r="AP60" s="795"/>
      <c r="AQ60" s="685"/>
      <c r="AR60" s="795"/>
      <c r="AS60" s="685"/>
      <c r="AT60" s="795"/>
      <c r="AU60" s="685"/>
      <c r="AV60" s="795"/>
      <c r="AW60" s="685"/>
      <c r="AX60" s="795"/>
      <c r="AY60" s="685"/>
      <c r="AZ60" s="795"/>
      <c r="BA60" s="685"/>
      <c r="BB60" s="795"/>
      <c r="BC60" s="685"/>
      <c r="BD60" s="795"/>
      <c r="BE60" s="685"/>
      <c r="BF60" s="795"/>
      <c r="BG60" s="685"/>
      <c r="BH60" s="795"/>
      <c r="BI60" s="685"/>
      <c r="BJ60" s="795"/>
      <c r="BK60" s="685"/>
      <c r="BL60" s="795"/>
      <c r="BM60" s="685"/>
      <c r="BN60" s="795"/>
      <c r="BO60" s="685"/>
      <c r="BP60" s="795"/>
      <c r="BQ60" s="685"/>
      <c r="BR60" s="795"/>
      <c r="BS60" s="685"/>
      <c r="BT60" s="795"/>
      <c r="BU60" s="685"/>
      <c r="BV60" s="795"/>
      <c r="BW60" s="685"/>
      <c r="BX60" s="795"/>
      <c r="BY60" s="685"/>
      <c r="BZ60" s="795"/>
      <c r="CA60" s="685"/>
      <c r="CB60" s="795"/>
      <c r="CC60" s="685"/>
      <c r="CD60" s="795"/>
      <c r="CE60" s="685"/>
      <c r="CF60" s="795"/>
      <c r="CG60" s="685"/>
      <c r="CH60" s="795"/>
      <c r="CI60" s="685"/>
      <c r="CJ60" s="795"/>
      <c r="CK60" s="685"/>
      <c r="CL60" s="795"/>
      <c r="CM60" s="685"/>
      <c r="CN60" s="795"/>
      <c r="CO60" s="685"/>
      <c r="CP60" s="795"/>
      <c r="CQ60" s="685"/>
      <c r="CR60" s="795"/>
      <c r="CS60" s="685"/>
      <c r="CT60" s="795"/>
      <c r="CU60" s="685"/>
      <c r="CV60" s="795"/>
      <c r="CW60" s="685"/>
      <c r="CX60" s="795"/>
      <c r="CY60" s="685"/>
      <c r="CZ60" s="795"/>
      <c r="DA60" s="685"/>
      <c r="DB60" s="795"/>
      <c r="DC60" s="685"/>
      <c r="DD60" s="795"/>
      <c r="DE60" s="685"/>
      <c r="DF60" s="795"/>
      <c r="DG60" s="685"/>
      <c r="DH60" s="795"/>
      <c r="DI60" s="685"/>
      <c r="DJ60" s="795"/>
    </row>
    <row r="61" spans="1:114" ht="15" customHeight="1">
      <c r="A61" s="797"/>
      <c r="C61" s="521"/>
      <c r="D61" s="794"/>
      <c r="E61" s="685"/>
      <c r="F61" s="795"/>
      <c r="G61" s="685"/>
      <c r="H61" s="795"/>
      <c r="I61" s="685"/>
      <c r="J61" s="803"/>
      <c r="K61" s="685"/>
      <c r="L61" s="795"/>
      <c r="M61" s="685"/>
      <c r="N61" s="795"/>
      <c r="O61" s="685"/>
      <c r="P61" s="795"/>
      <c r="Q61" s="685"/>
      <c r="R61" s="795"/>
      <c r="S61" s="685"/>
      <c r="T61" s="795"/>
      <c r="U61" s="685"/>
      <c r="V61" s="795"/>
      <c r="W61" s="685"/>
      <c r="X61" s="795"/>
      <c r="Y61" s="795"/>
      <c r="Z61" s="795"/>
      <c r="AA61" s="685"/>
      <c r="AB61" s="795"/>
      <c r="AC61" s="685"/>
      <c r="AD61" s="795"/>
      <c r="AE61" s="685"/>
      <c r="AF61" s="795"/>
      <c r="AG61" s="685"/>
      <c r="AH61" s="795"/>
      <c r="AI61" s="685"/>
      <c r="AJ61" s="795"/>
      <c r="AK61" s="685"/>
      <c r="AL61" s="795"/>
      <c r="AM61" s="685"/>
      <c r="AN61" s="795"/>
      <c r="AO61" s="685"/>
      <c r="AP61" s="795"/>
      <c r="AQ61" s="685"/>
      <c r="AR61" s="795"/>
      <c r="AS61" s="685"/>
      <c r="AT61" s="795"/>
      <c r="AU61" s="685"/>
      <c r="AV61" s="795"/>
      <c r="AW61" s="685"/>
      <c r="AX61" s="795"/>
      <c r="AY61" s="685"/>
      <c r="AZ61" s="795"/>
      <c r="BA61" s="685"/>
      <c r="BB61" s="795"/>
      <c r="BC61" s="685"/>
      <c r="BD61" s="795"/>
      <c r="BE61" s="685"/>
      <c r="BF61" s="795"/>
      <c r="BG61" s="685"/>
      <c r="BH61" s="795"/>
      <c r="BI61" s="685"/>
      <c r="BJ61" s="795"/>
      <c r="BK61" s="685"/>
      <c r="BL61" s="795"/>
      <c r="BM61" s="685"/>
      <c r="BN61" s="795"/>
      <c r="BO61" s="685"/>
      <c r="BP61" s="795"/>
      <c r="BQ61" s="685"/>
      <c r="BR61" s="795"/>
      <c r="BS61" s="685"/>
      <c r="BT61" s="795"/>
      <c r="BU61" s="685"/>
      <c r="BV61" s="795"/>
      <c r="BW61" s="685"/>
      <c r="BX61" s="795"/>
      <c r="BY61" s="685"/>
      <c r="BZ61" s="795"/>
      <c r="CA61" s="685"/>
      <c r="CB61" s="795"/>
      <c r="CC61" s="685"/>
      <c r="CD61" s="795"/>
      <c r="CE61" s="685"/>
      <c r="CF61" s="795"/>
      <c r="CG61" s="685"/>
      <c r="CH61" s="795"/>
      <c r="CI61" s="685"/>
      <c r="CJ61" s="795"/>
      <c r="CK61" s="685"/>
      <c r="CL61" s="795"/>
      <c r="CM61" s="685"/>
      <c r="CN61" s="795"/>
      <c r="CO61" s="685"/>
      <c r="CP61" s="795"/>
      <c r="CQ61" s="685"/>
      <c r="CR61" s="795"/>
      <c r="CS61" s="685"/>
      <c r="CT61" s="795"/>
      <c r="CU61" s="685"/>
      <c r="CV61" s="795"/>
      <c r="CW61" s="685"/>
      <c r="CX61" s="795"/>
      <c r="CY61" s="685"/>
      <c r="CZ61" s="795"/>
      <c r="DA61" s="685"/>
      <c r="DB61" s="795"/>
      <c r="DC61" s="685"/>
      <c r="DD61" s="795"/>
      <c r="DE61" s="685"/>
      <c r="DF61" s="795"/>
      <c r="DG61" s="685"/>
      <c r="DH61" s="795"/>
      <c r="DI61" s="685"/>
      <c r="DJ61" s="795"/>
    </row>
    <row r="62" spans="1:114" ht="15" customHeight="1">
      <c r="A62" s="528"/>
      <c r="C62" s="521"/>
      <c r="D62" s="794"/>
      <c r="E62" s="685"/>
      <c r="F62" s="795"/>
      <c r="G62" s="685"/>
      <c r="H62" s="795"/>
      <c r="I62" s="685"/>
      <c r="J62" s="803"/>
      <c r="K62" s="685"/>
      <c r="L62" s="795"/>
      <c r="M62" s="685"/>
      <c r="N62" s="795"/>
      <c r="O62" s="685"/>
      <c r="P62" s="795"/>
      <c r="Q62" s="685"/>
      <c r="R62" s="795"/>
      <c r="S62" s="685"/>
      <c r="T62" s="795"/>
      <c r="U62" s="685"/>
      <c r="V62" s="795"/>
      <c r="W62" s="685"/>
      <c r="X62" s="795"/>
      <c r="Y62" s="795"/>
      <c r="Z62" s="795"/>
      <c r="AA62" s="685"/>
      <c r="AB62" s="795"/>
      <c r="AC62" s="685"/>
      <c r="AD62" s="795"/>
      <c r="AE62" s="685"/>
      <c r="AF62" s="795"/>
      <c r="AG62" s="685"/>
      <c r="AH62" s="795"/>
      <c r="AI62" s="685"/>
      <c r="AJ62" s="795"/>
      <c r="AK62" s="685"/>
      <c r="AL62" s="795"/>
      <c r="AM62" s="685"/>
      <c r="AN62" s="795"/>
      <c r="AO62" s="685"/>
      <c r="AP62" s="795"/>
      <c r="AQ62" s="685"/>
      <c r="AR62" s="795"/>
      <c r="AS62" s="685"/>
      <c r="AT62" s="795"/>
      <c r="AU62" s="685"/>
      <c r="AV62" s="795"/>
      <c r="AW62" s="685"/>
      <c r="AX62" s="795"/>
      <c r="AY62" s="685"/>
      <c r="AZ62" s="795"/>
      <c r="BA62" s="685"/>
      <c r="BB62" s="795"/>
      <c r="BC62" s="685"/>
      <c r="BD62" s="795"/>
      <c r="BE62" s="685"/>
      <c r="BF62" s="795"/>
      <c r="BG62" s="685"/>
      <c r="BH62" s="795"/>
      <c r="BI62" s="685"/>
      <c r="BJ62" s="795"/>
      <c r="BK62" s="685"/>
      <c r="BL62" s="795"/>
      <c r="BM62" s="685"/>
      <c r="BN62" s="795"/>
      <c r="BO62" s="685"/>
      <c r="BP62" s="795"/>
      <c r="BQ62" s="685"/>
      <c r="BR62" s="795"/>
      <c r="BS62" s="685"/>
      <c r="BT62" s="795"/>
      <c r="BU62" s="685"/>
      <c r="BV62" s="795"/>
      <c r="BW62" s="685"/>
      <c r="BX62" s="795"/>
      <c r="BY62" s="685"/>
      <c r="BZ62" s="795"/>
      <c r="CA62" s="685"/>
      <c r="CB62" s="795"/>
      <c r="CC62" s="685"/>
      <c r="CD62" s="795"/>
      <c r="CE62" s="685"/>
      <c r="CF62" s="795"/>
      <c r="CG62" s="685"/>
      <c r="CH62" s="795"/>
      <c r="CI62" s="685"/>
      <c r="CJ62" s="795"/>
      <c r="CK62" s="685"/>
      <c r="CL62" s="795"/>
      <c r="CM62" s="685"/>
      <c r="CN62" s="795"/>
      <c r="CO62" s="685"/>
      <c r="CP62" s="795"/>
      <c r="CQ62" s="685"/>
      <c r="CR62" s="795"/>
      <c r="CS62" s="685"/>
      <c r="CT62" s="795"/>
      <c r="CU62" s="685"/>
      <c r="CV62" s="795"/>
      <c r="CW62" s="685"/>
      <c r="CX62" s="795"/>
      <c r="CY62" s="685"/>
      <c r="CZ62" s="795"/>
      <c r="DA62" s="685"/>
      <c r="DB62" s="795"/>
      <c r="DC62" s="685"/>
      <c r="DD62" s="795"/>
      <c r="DE62" s="685"/>
      <c r="DF62" s="795"/>
      <c r="DG62" s="685"/>
      <c r="DH62" s="795"/>
      <c r="DI62" s="685"/>
      <c r="DJ62" s="795"/>
    </row>
    <row r="63" spans="1:114" ht="15" customHeight="1">
      <c r="A63" s="529"/>
      <c r="C63" s="521"/>
      <c r="D63" s="794"/>
      <c r="E63" s="685"/>
      <c r="F63" s="795"/>
      <c r="G63" s="685"/>
      <c r="H63" s="795"/>
      <c r="I63" s="685"/>
      <c r="J63" s="803"/>
      <c r="K63" s="685"/>
      <c r="L63" s="795"/>
      <c r="M63" s="685"/>
      <c r="N63" s="795"/>
      <c r="O63" s="685"/>
      <c r="P63" s="795"/>
      <c r="Q63" s="685"/>
      <c r="R63" s="795"/>
      <c r="S63" s="685"/>
      <c r="T63" s="795"/>
      <c r="U63" s="685"/>
      <c r="V63" s="795"/>
      <c r="W63" s="685"/>
      <c r="X63" s="795"/>
      <c r="Y63" s="795"/>
      <c r="Z63" s="795"/>
      <c r="AA63" s="685"/>
      <c r="AB63" s="795"/>
      <c r="AC63" s="685"/>
      <c r="AD63" s="795"/>
      <c r="AE63" s="685"/>
      <c r="AF63" s="795"/>
      <c r="AG63" s="685"/>
      <c r="AH63" s="795"/>
      <c r="AI63" s="685"/>
      <c r="AJ63" s="795"/>
      <c r="AK63" s="685"/>
      <c r="AL63" s="795"/>
      <c r="AM63" s="685"/>
      <c r="AN63" s="795"/>
      <c r="AO63" s="685"/>
      <c r="AP63" s="795"/>
      <c r="AQ63" s="685"/>
      <c r="AR63" s="795"/>
      <c r="AS63" s="685"/>
      <c r="AT63" s="795"/>
      <c r="AU63" s="685"/>
      <c r="AV63" s="795"/>
      <c r="AW63" s="685"/>
      <c r="AX63" s="795"/>
      <c r="AY63" s="685"/>
      <c r="AZ63" s="795"/>
      <c r="BA63" s="685"/>
      <c r="BB63" s="795"/>
      <c r="BC63" s="685"/>
      <c r="BD63" s="795"/>
      <c r="BE63" s="685"/>
      <c r="BF63" s="795"/>
      <c r="BG63" s="685"/>
      <c r="BH63" s="795"/>
      <c r="BI63" s="685"/>
      <c r="BJ63" s="795"/>
      <c r="BK63" s="685"/>
      <c r="BL63" s="795"/>
      <c r="BM63" s="685"/>
      <c r="BN63" s="795"/>
      <c r="BO63" s="685"/>
      <c r="BP63" s="795"/>
      <c r="BQ63" s="685"/>
      <c r="BR63" s="795"/>
      <c r="BS63" s="685"/>
      <c r="BT63" s="795"/>
      <c r="BU63" s="685"/>
      <c r="BV63" s="795"/>
      <c r="BW63" s="685"/>
      <c r="BX63" s="795"/>
      <c r="BY63" s="685"/>
      <c r="BZ63" s="795"/>
      <c r="CA63" s="685"/>
      <c r="CB63" s="795"/>
      <c r="CC63" s="685"/>
      <c r="CD63" s="795"/>
      <c r="CE63" s="685"/>
      <c r="CF63" s="795"/>
      <c r="CG63" s="685"/>
      <c r="CH63" s="795"/>
      <c r="CI63" s="685"/>
      <c r="CJ63" s="795"/>
      <c r="CK63" s="685"/>
      <c r="CL63" s="795"/>
      <c r="CM63" s="685"/>
      <c r="CN63" s="795"/>
      <c r="CO63" s="685"/>
      <c r="CP63" s="795"/>
      <c r="CQ63" s="685"/>
      <c r="CR63" s="795"/>
      <c r="CS63" s="685"/>
      <c r="CT63" s="795"/>
      <c r="CU63" s="685"/>
      <c r="CV63" s="795"/>
      <c r="CW63" s="685"/>
      <c r="CX63" s="795"/>
      <c r="CY63" s="685"/>
      <c r="CZ63" s="795"/>
      <c r="DA63" s="685"/>
      <c r="DB63" s="795"/>
      <c r="DC63" s="685"/>
      <c r="DD63" s="795"/>
      <c r="DE63" s="685"/>
      <c r="DF63" s="795"/>
      <c r="DG63" s="685"/>
      <c r="DH63" s="795"/>
      <c r="DI63" s="685"/>
      <c r="DJ63" s="795"/>
    </row>
    <row r="64" spans="1:114" ht="15" customHeight="1">
      <c r="A64" s="529"/>
      <c r="C64" s="521"/>
      <c r="D64" s="794"/>
      <c r="E64" s="685"/>
      <c r="F64" s="795"/>
      <c r="G64" s="685"/>
      <c r="H64" s="795"/>
      <c r="I64" s="685"/>
      <c r="J64" s="803"/>
      <c r="K64" s="685"/>
      <c r="L64" s="795"/>
      <c r="M64" s="685"/>
      <c r="N64" s="795"/>
      <c r="O64" s="685"/>
      <c r="P64" s="795"/>
      <c r="Q64" s="685"/>
      <c r="R64" s="795"/>
      <c r="S64" s="685"/>
      <c r="T64" s="795"/>
      <c r="U64" s="685"/>
      <c r="V64" s="795"/>
      <c r="W64" s="685"/>
      <c r="X64" s="795"/>
      <c r="Y64" s="795"/>
      <c r="Z64" s="795"/>
      <c r="AA64" s="685"/>
      <c r="AB64" s="795"/>
      <c r="AC64" s="685"/>
      <c r="AD64" s="795"/>
      <c r="AE64" s="685"/>
      <c r="AF64" s="795"/>
      <c r="AG64" s="685"/>
      <c r="AH64" s="795"/>
      <c r="AI64" s="685"/>
      <c r="AJ64" s="795"/>
      <c r="AK64" s="685"/>
      <c r="AL64" s="795"/>
      <c r="AM64" s="685"/>
      <c r="AN64" s="795"/>
      <c r="AO64" s="685"/>
      <c r="AP64" s="795"/>
      <c r="AQ64" s="685"/>
      <c r="AR64" s="795"/>
      <c r="AS64" s="685"/>
      <c r="AT64" s="795"/>
      <c r="AU64" s="685"/>
      <c r="AV64" s="795"/>
      <c r="AW64" s="685"/>
      <c r="AX64" s="795"/>
      <c r="AY64" s="685"/>
      <c r="AZ64" s="795"/>
      <c r="BA64" s="685"/>
      <c r="BB64" s="795"/>
      <c r="BC64" s="685"/>
      <c r="BD64" s="795"/>
      <c r="BE64" s="685"/>
      <c r="BF64" s="795"/>
      <c r="BG64" s="685"/>
      <c r="BH64" s="795"/>
      <c r="BI64" s="685"/>
      <c r="BJ64" s="795"/>
      <c r="BK64" s="685"/>
      <c r="BL64" s="795"/>
      <c r="BM64" s="685"/>
      <c r="BN64" s="795"/>
      <c r="BO64" s="685"/>
      <c r="BP64" s="795"/>
      <c r="BQ64" s="685"/>
      <c r="BR64" s="795"/>
      <c r="BS64" s="685"/>
      <c r="BT64" s="795"/>
      <c r="BU64" s="685"/>
      <c r="BV64" s="795"/>
      <c r="BW64" s="685"/>
      <c r="BX64" s="795"/>
      <c r="BY64" s="685"/>
      <c r="BZ64" s="795"/>
      <c r="CA64" s="685"/>
      <c r="CB64" s="795"/>
      <c r="CC64" s="685"/>
      <c r="CD64" s="795"/>
      <c r="CE64" s="685"/>
      <c r="CF64" s="795"/>
      <c r="CG64" s="685"/>
      <c r="CH64" s="795"/>
      <c r="CI64" s="685"/>
      <c r="CJ64" s="795"/>
      <c r="CK64" s="685"/>
      <c r="CL64" s="795"/>
      <c r="CM64" s="685"/>
      <c r="CN64" s="795"/>
      <c r="CO64" s="685"/>
      <c r="CP64" s="795"/>
      <c r="CQ64" s="685"/>
      <c r="CR64" s="795"/>
      <c r="CS64" s="685"/>
      <c r="CT64" s="795"/>
      <c r="CU64" s="685"/>
      <c r="CV64" s="795"/>
      <c r="CW64" s="685"/>
      <c r="CX64" s="795"/>
      <c r="CY64" s="685"/>
      <c r="CZ64" s="795"/>
      <c r="DA64" s="685"/>
      <c r="DB64" s="795"/>
      <c r="DC64" s="685"/>
      <c r="DD64" s="795"/>
      <c r="DE64" s="685"/>
      <c r="DF64" s="795"/>
      <c r="DG64" s="685"/>
      <c r="DH64" s="795"/>
      <c r="DI64" s="685"/>
      <c r="DJ64" s="795"/>
    </row>
    <row r="65" spans="1:114" ht="15" customHeight="1">
      <c r="A65" s="529"/>
      <c r="C65" s="521"/>
      <c r="D65" s="794"/>
      <c r="E65" s="685"/>
      <c r="F65" s="795"/>
      <c r="G65" s="685"/>
      <c r="H65" s="795"/>
      <c r="I65" s="685"/>
      <c r="J65" s="803"/>
      <c r="K65" s="685"/>
      <c r="L65" s="795"/>
      <c r="M65" s="685"/>
      <c r="N65" s="795"/>
      <c r="O65" s="685"/>
      <c r="P65" s="795"/>
      <c r="Q65" s="685"/>
      <c r="R65" s="795"/>
      <c r="S65" s="685"/>
      <c r="T65" s="795"/>
      <c r="U65" s="685"/>
      <c r="V65" s="795"/>
      <c r="W65" s="685"/>
      <c r="X65" s="795"/>
      <c r="Y65" s="795"/>
      <c r="Z65" s="795"/>
      <c r="AA65" s="685"/>
      <c r="AB65" s="795"/>
      <c r="AC65" s="685"/>
      <c r="AD65" s="795"/>
      <c r="AE65" s="685"/>
      <c r="AF65" s="795"/>
      <c r="AG65" s="685"/>
      <c r="AH65" s="795"/>
      <c r="AI65" s="685"/>
      <c r="AJ65" s="795"/>
      <c r="AK65" s="685"/>
      <c r="AL65" s="795"/>
      <c r="AM65" s="685"/>
      <c r="AN65" s="795"/>
      <c r="AO65" s="685"/>
      <c r="AP65" s="795"/>
      <c r="AQ65" s="685"/>
      <c r="AR65" s="795"/>
      <c r="AS65" s="685"/>
      <c r="AT65" s="795"/>
      <c r="AU65" s="685"/>
      <c r="AV65" s="795"/>
      <c r="AW65" s="685"/>
      <c r="AX65" s="795"/>
      <c r="AY65" s="685"/>
      <c r="AZ65" s="795"/>
      <c r="BA65" s="685"/>
      <c r="BB65" s="795"/>
      <c r="BC65" s="685"/>
      <c r="BD65" s="795"/>
      <c r="BE65" s="685"/>
      <c r="BF65" s="795"/>
      <c r="BG65" s="685"/>
      <c r="BH65" s="795"/>
      <c r="BI65" s="685"/>
      <c r="BJ65" s="795"/>
      <c r="BK65" s="685"/>
      <c r="BL65" s="795"/>
      <c r="BM65" s="685"/>
      <c r="BN65" s="795"/>
      <c r="BO65" s="685"/>
      <c r="BP65" s="795"/>
      <c r="BQ65" s="685"/>
      <c r="BR65" s="795"/>
      <c r="BS65" s="685"/>
      <c r="BT65" s="795"/>
      <c r="BU65" s="685"/>
      <c r="BV65" s="795"/>
      <c r="BW65" s="685"/>
      <c r="BX65" s="795"/>
      <c r="BY65" s="685"/>
      <c r="BZ65" s="795"/>
      <c r="CA65" s="685"/>
      <c r="CB65" s="795"/>
      <c r="CC65" s="685"/>
      <c r="CD65" s="795"/>
      <c r="CE65" s="685"/>
      <c r="CF65" s="795"/>
      <c r="CG65" s="685"/>
      <c r="CH65" s="795"/>
      <c r="CI65" s="685"/>
      <c r="CJ65" s="795"/>
      <c r="CK65" s="685"/>
      <c r="CL65" s="795"/>
      <c r="CM65" s="685"/>
      <c r="CN65" s="795"/>
      <c r="CO65" s="685"/>
      <c r="CP65" s="795"/>
      <c r="CQ65" s="685"/>
      <c r="CR65" s="795"/>
      <c r="CS65" s="685"/>
      <c r="CT65" s="795"/>
      <c r="CU65" s="685"/>
      <c r="CV65" s="795"/>
      <c r="CW65" s="685"/>
      <c r="CX65" s="795"/>
      <c r="CY65" s="685"/>
      <c r="CZ65" s="795"/>
      <c r="DA65" s="685"/>
      <c r="DB65" s="795"/>
      <c r="DC65" s="685"/>
      <c r="DD65" s="795"/>
      <c r="DE65" s="685"/>
      <c r="DF65" s="795"/>
      <c r="DG65" s="685"/>
      <c r="DH65" s="795"/>
      <c r="DI65" s="685"/>
      <c r="DJ65" s="795"/>
    </row>
    <row r="66" spans="1:114" ht="15" customHeight="1">
      <c r="A66" s="530"/>
      <c r="C66" s="521"/>
      <c r="D66" s="794"/>
      <c r="E66" s="685"/>
      <c r="F66" s="795"/>
      <c r="G66" s="685"/>
      <c r="H66" s="795"/>
      <c r="I66" s="685"/>
      <c r="J66" s="803"/>
      <c r="K66" s="685"/>
      <c r="L66" s="795"/>
      <c r="M66" s="685"/>
      <c r="N66" s="795"/>
      <c r="O66" s="685"/>
      <c r="P66" s="795"/>
      <c r="Q66" s="685"/>
      <c r="R66" s="795"/>
      <c r="S66" s="685"/>
      <c r="T66" s="795"/>
      <c r="U66" s="685"/>
      <c r="V66" s="795"/>
      <c r="W66" s="685"/>
      <c r="X66" s="795"/>
      <c r="Y66" s="795"/>
      <c r="Z66" s="795"/>
      <c r="AA66" s="685"/>
      <c r="AB66" s="795"/>
      <c r="AC66" s="685"/>
      <c r="AD66" s="795"/>
      <c r="AE66" s="685"/>
      <c r="AF66" s="795"/>
      <c r="AG66" s="685"/>
      <c r="AH66" s="795"/>
      <c r="AI66" s="685"/>
      <c r="AJ66" s="795"/>
      <c r="AK66" s="685"/>
      <c r="AL66" s="795"/>
      <c r="AM66" s="685"/>
      <c r="AN66" s="795"/>
      <c r="AO66" s="685"/>
      <c r="AP66" s="795"/>
      <c r="AQ66" s="685"/>
      <c r="AR66" s="795"/>
      <c r="AS66" s="685"/>
      <c r="AT66" s="795"/>
      <c r="AU66" s="685"/>
      <c r="AV66" s="795"/>
      <c r="AW66" s="685"/>
      <c r="AX66" s="795"/>
      <c r="AY66" s="685"/>
      <c r="AZ66" s="795"/>
      <c r="BA66" s="685"/>
      <c r="BB66" s="795"/>
      <c r="BC66" s="685"/>
      <c r="BD66" s="795"/>
      <c r="BE66" s="685"/>
      <c r="BF66" s="795"/>
      <c r="BG66" s="685"/>
      <c r="BH66" s="795"/>
      <c r="BI66" s="685"/>
      <c r="BJ66" s="795"/>
      <c r="BK66" s="685"/>
      <c r="BL66" s="795"/>
      <c r="BM66" s="685"/>
      <c r="BN66" s="795"/>
      <c r="BO66" s="685"/>
      <c r="BP66" s="795"/>
      <c r="BQ66" s="685"/>
      <c r="BR66" s="795"/>
      <c r="BS66" s="685"/>
      <c r="BT66" s="795"/>
      <c r="BU66" s="685"/>
      <c r="BV66" s="795"/>
      <c r="BW66" s="685"/>
      <c r="BX66" s="795"/>
      <c r="BY66" s="685"/>
      <c r="BZ66" s="795"/>
      <c r="CA66" s="685"/>
      <c r="CB66" s="795"/>
      <c r="CC66" s="685"/>
      <c r="CD66" s="795"/>
      <c r="CE66" s="685"/>
      <c r="CF66" s="795"/>
      <c r="CG66" s="685"/>
      <c r="CH66" s="795"/>
      <c r="CI66" s="685"/>
      <c r="CJ66" s="795"/>
      <c r="CK66" s="685"/>
      <c r="CL66" s="795"/>
      <c r="CM66" s="685"/>
      <c r="CN66" s="795"/>
      <c r="CO66" s="685"/>
      <c r="CP66" s="795"/>
      <c r="CQ66" s="685"/>
      <c r="CR66" s="795"/>
      <c r="CS66" s="685"/>
      <c r="CT66" s="795"/>
      <c r="CU66" s="685"/>
      <c r="CV66" s="795"/>
      <c r="CW66" s="685"/>
      <c r="CX66" s="795"/>
      <c r="CY66" s="685"/>
      <c r="CZ66" s="795"/>
      <c r="DA66" s="685"/>
      <c r="DB66" s="795"/>
      <c r="DC66" s="685"/>
      <c r="DD66" s="795"/>
      <c r="DE66" s="685"/>
      <c r="DF66" s="795"/>
      <c r="DG66" s="685"/>
      <c r="DH66" s="795"/>
      <c r="DI66" s="685"/>
      <c r="DJ66" s="795"/>
    </row>
    <row r="67" spans="1:114" ht="15" customHeight="1">
      <c r="A67" s="529"/>
      <c r="C67" s="521"/>
      <c r="D67" s="794"/>
      <c r="E67" s="685"/>
      <c r="F67" s="795"/>
      <c r="G67" s="685"/>
      <c r="H67" s="795"/>
      <c r="I67" s="685"/>
      <c r="J67" s="803"/>
      <c r="K67" s="685"/>
      <c r="L67" s="795"/>
      <c r="M67" s="685"/>
      <c r="N67" s="795"/>
      <c r="O67" s="685"/>
      <c r="P67" s="795"/>
      <c r="Q67" s="685"/>
      <c r="R67" s="795"/>
      <c r="S67" s="685"/>
      <c r="T67" s="795"/>
      <c r="U67" s="685"/>
      <c r="V67" s="795"/>
      <c r="W67" s="685"/>
      <c r="X67" s="795"/>
      <c r="Y67" s="795"/>
      <c r="Z67" s="795"/>
      <c r="AA67" s="685"/>
      <c r="AB67" s="795"/>
      <c r="AC67" s="685"/>
      <c r="AD67" s="795"/>
      <c r="AE67" s="685"/>
      <c r="AF67" s="795"/>
      <c r="AG67" s="685"/>
      <c r="AH67" s="795"/>
      <c r="AI67" s="685"/>
      <c r="AJ67" s="795"/>
      <c r="AK67" s="685"/>
      <c r="AL67" s="795"/>
      <c r="AM67" s="685"/>
      <c r="AN67" s="795"/>
      <c r="AO67" s="685"/>
      <c r="AP67" s="795"/>
      <c r="AQ67" s="685"/>
      <c r="AR67" s="795"/>
      <c r="AS67" s="685"/>
      <c r="AT67" s="795"/>
      <c r="AU67" s="685"/>
      <c r="AV67" s="795"/>
      <c r="AW67" s="685"/>
      <c r="AX67" s="795"/>
      <c r="AY67" s="685"/>
      <c r="AZ67" s="795"/>
      <c r="BA67" s="685"/>
      <c r="BB67" s="795"/>
      <c r="BC67" s="685"/>
      <c r="BD67" s="795"/>
      <c r="BE67" s="685"/>
      <c r="BF67" s="795"/>
      <c r="BG67" s="685"/>
      <c r="BH67" s="795"/>
      <c r="BI67" s="685"/>
      <c r="BJ67" s="795"/>
      <c r="BK67" s="685"/>
      <c r="BL67" s="795"/>
      <c r="BM67" s="685"/>
      <c r="BN67" s="795"/>
      <c r="BO67" s="685"/>
      <c r="BP67" s="795"/>
      <c r="BQ67" s="685"/>
      <c r="BR67" s="795"/>
      <c r="BS67" s="685"/>
      <c r="BT67" s="795"/>
      <c r="BU67" s="685"/>
      <c r="BV67" s="795"/>
      <c r="BW67" s="685"/>
      <c r="BX67" s="795"/>
      <c r="BY67" s="685"/>
      <c r="BZ67" s="795"/>
      <c r="CA67" s="685"/>
      <c r="CB67" s="795"/>
      <c r="CC67" s="685"/>
      <c r="CD67" s="795"/>
      <c r="CE67" s="685"/>
      <c r="CF67" s="795"/>
      <c r="CG67" s="685"/>
      <c r="CH67" s="795"/>
      <c r="CI67" s="685"/>
      <c r="CJ67" s="795"/>
      <c r="CK67" s="685"/>
      <c r="CL67" s="795"/>
      <c r="CM67" s="685"/>
      <c r="CN67" s="795"/>
      <c r="CO67" s="685"/>
      <c r="CP67" s="795"/>
      <c r="CQ67" s="685"/>
      <c r="CR67" s="795"/>
      <c r="CS67" s="685"/>
      <c r="CT67" s="795"/>
      <c r="CU67" s="685"/>
      <c r="CV67" s="795"/>
      <c r="CW67" s="685"/>
      <c r="CX67" s="795"/>
      <c r="CY67" s="685"/>
      <c r="CZ67" s="795"/>
      <c r="DA67" s="685"/>
      <c r="DB67" s="795"/>
      <c r="DC67" s="685"/>
      <c r="DD67" s="795"/>
      <c r="DE67" s="685"/>
      <c r="DF67" s="795"/>
      <c r="DG67" s="685"/>
      <c r="DH67" s="795"/>
      <c r="DI67" s="685"/>
      <c r="DJ67" s="795"/>
    </row>
    <row r="70" spans="1:114" ht="15" customHeight="1">
      <c r="A70" s="527" t="s">
        <v>1951</v>
      </c>
      <c r="E70" s="379" t="str">
        <f t="shared" ref="E70:AJ70" si="0">IF(E2=E77,"Good","Bad")</f>
        <v>Good</v>
      </c>
      <c r="F70" s="379" t="str">
        <f t="shared" si="0"/>
        <v>Good</v>
      </c>
      <c r="G70" s="379" t="str">
        <f t="shared" si="0"/>
        <v>Good</v>
      </c>
      <c r="H70" s="379" t="str">
        <f t="shared" si="0"/>
        <v>Good</v>
      </c>
      <c r="I70" s="379" t="str">
        <f t="shared" si="0"/>
        <v>Good</v>
      </c>
      <c r="J70" s="379" t="str">
        <f t="shared" si="0"/>
        <v>Bad</v>
      </c>
      <c r="K70" s="379" t="str">
        <f t="shared" si="0"/>
        <v>Good</v>
      </c>
      <c r="L70" s="379" t="str">
        <f t="shared" si="0"/>
        <v>Good</v>
      </c>
      <c r="M70" s="379" t="str">
        <f t="shared" si="0"/>
        <v>Good</v>
      </c>
      <c r="N70" s="379" t="str">
        <f t="shared" si="0"/>
        <v>Good</v>
      </c>
      <c r="O70" s="379" t="str">
        <f t="shared" si="0"/>
        <v>Good</v>
      </c>
      <c r="P70" s="379" t="str">
        <f t="shared" si="0"/>
        <v>Good</v>
      </c>
      <c r="Q70" s="379" t="str">
        <f t="shared" si="0"/>
        <v>Good</v>
      </c>
      <c r="R70" s="379" t="str">
        <f t="shared" si="0"/>
        <v>Good</v>
      </c>
      <c r="S70" s="379" t="str">
        <f t="shared" si="0"/>
        <v>Good</v>
      </c>
      <c r="T70" s="379" t="str">
        <f t="shared" si="0"/>
        <v>Good</v>
      </c>
      <c r="U70" s="379" t="str">
        <f t="shared" si="0"/>
        <v>Good</v>
      </c>
      <c r="V70" s="379" t="str">
        <f t="shared" si="0"/>
        <v>Good</v>
      </c>
      <c r="W70" s="379" t="str">
        <f t="shared" si="0"/>
        <v>Good</v>
      </c>
      <c r="X70" s="379" t="str">
        <f t="shared" si="0"/>
        <v>Good</v>
      </c>
      <c r="Y70" s="379" t="str">
        <f t="shared" si="0"/>
        <v>Good</v>
      </c>
      <c r="Z70" s="379" t="str">
        <f t="shared" si="0"/>
        <v>Good</v>
      </c>
      <c r="AA70" s="379" t="str">
        <f t="shared" si="0"/>
        <v>Good</v>
      </c>
      <c r="AB70" s="379" t="str">
        <f t="shared" si="0"/>
        <v>Good</v>
      </c>
      <c r="AC70" s="379" t="str">
        <f t="shared" si="0"/>
        <v>Good</v>
      </c>
      <c r="AD70" s="379" t="str">
        <f t="shared" si="0"/>
        <v>Good</v>
      </c>
      <c r="AE70" s="379" t="str">
        <f t="shared" si="0"/>
        <v>Good</v>
      </c>
      <c r="AF70" s="379" t="str">
        <f t="shared" si="0"/>
        <v>Good</v>
      </c>
      <c r="AG70" s="379" t="str">
        <f t="shared" si="0"/>
        <v>Good</v>
      </c>
      <c r="AH70" s="379" t="str">
        <f t="shared" si="0"/>
        <v>Good</v>
      </c>
      <c r="AI70" s="379" t="str">
        <f t="shared" si="0"/>
        <v>Good</v>
      </c>
      <c r="AJ70" s="379" t="str">
        <f t="shared" si="0"/>
        <v>Good</v>
      </c>
      <c r="AK70" s="379" t="str">
        <f t="shared" ref="AK70:BP70" si="1">IF(AK2=AK77,"Good","Bad")</f>
        <v>Good</v>
      </c>
      <c r="AL70" s="379" t="str">
        <f t="shared" si="1"/>
        <v>Good</v>
      </c>
      <c r="AM70" s="379" t="str">
        <f t="shared" si="1"/>
        <v>Good</v>
      </c>
      <c r="AN70" s="379" t="str">
        <f t="shared" si="1"/>
        <v>Good</v>
      </c>
      <c r="AO70" s="379" t="str">
        <f t="shared" si="1"/>
        <v>Good</v>
      </c>
      <c r="AP70" s="379" t="str">
        <f t="shared" si="1"/>
        <v>Good</v>
      </c>
      <c r="AQ70" s="379" t="str">
        <f t="shared" si="1"/>
        <v>Good</v>
      </c>
      <c r="AR70" s="379" t="str">
        <f t="shared" si="1"/>
        <v>Good</v>
      </c>
      <c r="AS70" s="379" t="str">
        <f t="shared" si="1"/>
        <v>Good</v>
      </c>
      <c r="AT70" s="379" t="str">
        <f t="shared" si="1"/>
        <v>Good</v>
      </c>
      <c r="AU70" s="379" t="str">
        <f t="shared" si="1"/>
        <v>Good</v>
      </c>
      <c r="AV70" s="379" t="str">
        <f t="shared" si="1"/>
        <v>Good</v>
      </c>
      <c r="AW70" s="379" t="str">
        <f t="shared" si="1"/>
        <v>Good</v>
      </c>
      <c r="AX70" s="379" t="str">
        <f t="shared" si="1"/>
        <v>Good</v>
      </c>
      <c r="AY70" s="379" t="str">
        <f t="shared" si="1"/>
        <v>Good</v>
      </c>
      <c r="AZ70" s="379" t="str">
        <f t="shared" si="1"/>
        <v>Good</v>
      </c>
      <c r="BA70" s="379" t="str">
        <f t="shared" si="1"/>
        <v>Good</v>
      </c>
      <c r="BB70" s="379" t="str">
        <f t="shared" si="1"/>
        <v>Good</v>
      </c>
      <c r="BC70" s="379" t="str">
        <f t="shared" si="1"/>
        <v>Good</v>
      </c>
      <c r="BD70" s="379" t="str">
        <f t="shared" si="1"/>
        <v>Good</v>
      </c>
      <c r="BE70" s="379" t="str">
        <f t="shared" si="1"/>
        <v>Good</v>
      </c>
      <c r="BF70" s="379" t="str">
        <f t="shared" si="1"/>
        <v>Good</v>
      </c>
      <c r="BG70" s="379" t="str">
        <f t="shared" si="1"/>
        <v>Good</v>
      </c>
      <c r="BH70" s="379" t="str">
        <f t="shared" si="1"/>
        <v>Good</v>
      </c>
      <c r="BI70" s="379" t="str">
        <f t="shared" si="1"/>
        <v>Good</v>
      </c>
      <c r="BJ70" s="379" t="str">
        <f t="shared" si="1"/>
        <v>Good</v>
      </c>
      <c r="BK70" s="379" t="str">
        <f t="shared" si="1"/>
        <v>Good</v>
      </c>
      <c r="BL70" s="379" t="str">
        <f t="shared" si="1"/>
        <v>Good</v>
      </c>
      <c r="BM70" s="379" t="str">
        <f t="shared" si="1"/>
        <v>Good</v>
      </c>
      <c r="BN70" s="379" t="str">
        <f t="shared" si="1"/>
        <v>Good</v>
      </c>
      <c r="BO70" s="379" t="str">
        <f t="shared" si="1"/>
        <v>Good</v>
      </c>
      <c r="BP70" s="379" t="str">
        <f t="shared" si="1"/>
        <v>Good</v>
      </c>
      <c r="BQ70" s="379" t="str">
        <f t="shared" ref="BQ70:CV70" si="2">IF(BQ2=BQ77,"Good","Bad")</f>
        <v>Good</v>
      </c>
      <c r="BR70" s="379" t="str">
        <f t="shared" si="2"/>
        <v>Good</v>
      </c>
      <c r="BS70" s="379" t="str">
        <f t="shared" si="2"/>
        <v>Good</v>
      </c>
      <c r="BT70" s="379" t="str">
        <f t="shared" si="2"/>
        <v>Good</v>
      </c>
      <c r="BU70" s="379" t="str">
        <f t="shared" si="2"/>
        <v>Good</v>
      </c>
      <c r="BV70" s="379" t="str">
        <f t="shared" si="2"/>
        <v>Good</v>
      </c>
      <c r="BW70" s="379" t="str">
        <f t="shared" si="2"/>
        <v>Good</v>
      </c>
      <c r="BX70" s="379" t="str">
        <f t="shared" si="2"/>
        <v>Good</v>
      </c>
      <c r="BY70" s="379" t="str">
        <f t="shared" si="2"/>
        <v>Good</v>
      </c>
      <c r="BZ70" s="379" t="str">
        <f t="shared" si="2"/>
        <v>Good</v>
      </c>
      <c r="CA70" s="379" t="str">
        <f t="shared" si="2"/>
        <v>Good</v>
      </c>
      <c r="CB70" s="379" t="str">
        <f t="shared" si="2"/>
        <v>Good</v>
      </c>
      <c r="CC70" s="379" t="str">
        <f t="shared" si="2"/>
        <v>Good</v>
      </c>
      <c r="CD70" s="379" t="str">
        <f t="shared" si="2"/>
        <v>Good</v>
      </c>
      <c r="CE70" s="379" t="str">
        <f t="shared" si="2"/>
        <v>Good</v>
      </c>
      <c r="CF70" s="379" t="str">
        <f t="shared" si="2"/>
        <v>Good</v>
      </c>
      <c r="CG70" s="379" t="str">
        <f t="shared" si="2"/>
        <v>Good</v>
      </c>
      <c r="CH70" s="379" t="str">
        <f t="shared" si="2"/>
        <v>Good</v>
      </c>
      <c r="CI70" s="379" t="str">
        <f t="shared" si="2"/>
        <v>Good</v>
      </c>
      <c r="CJ70" s="379" t="str">
        <f t="shared" si="2"/>
        <v>Good</v>
      </c>
      <c r="CK70" s="379" t="str">
        <f t="shared" si="2"/>
        <v>Good</v>
      </c>
      <c r="CL70" s="379" t="str">
        <f t="shared" si="2"/>
        <v>Good</v>
      </c>
      <c r="CM70" s="379" t="str">
        <f t="shared" si="2"/>
        <v>Good</v>
      </c>
      <c r="CN70" s="379" t="str">
        <f t="shared" si="2"/>
        <v>Good</v>
      </c>
      <c r="CO70" s="379" t="str">
        <f t="shared" si="2"/>
        <v>Good</v>
      </c>
      <c r="CP70" s="379" t="str">
        <f t="shared" si="2"/>
        <v>Good</v>
      </c>
      <c r="CQ70" s="379" t="str">
        <f t="shared" si="2"/>
        <v>Good</v>
      </c>
      <c r="CR70" s="379" t="str">
        <f t="shared" si="2"/>
        <v>Good</v>
      </c>
      <c r="CS70" s="379" t="str">
        <f t="shared" si="2"/>
        <v>Good</v>
      </c>
      <c r="CT70" s="379" t="str">
        <f t="shared" si="2"/>
        <v>Good</v>
      </c>
      <c r="CU70" s="379" t="str">
        <f t="shared" si="2"/>
        <v>Good</v>
      </c>
      <c r="CV70" s="379" t="str">
        <f t="shared" si="2"/>
        <v>Good</v>
      </c>
      <c r="CW70" s="379" t="str">
        <f t="shared" ref="CW70:DJ70" si="3">IF(CW2=CW77,"Good","Bad")</f>
        <v>Good</v>
      </c>
      <c r="CX70" s="379" t="str">
        <f t="shared" si="3"/>
        <v>Good</v>
      </c>
      <c r="CY70" s="379" t="str">
        <f t="shared" si="3"/>
        <v>Good</v>
      </c>
      <c r="CZ70" s="379" t="str">
        <f t="shared" si="3"/>
        <v>Good</v>
      </c>
      <c r="DA70" s="379" t="str">
        <f t="shared" si="3"/>
        <v>Good</v>
      </c>
      <c r="DB70" s="379" t="str">
        <f t="shared" si="3"/>
        <v>Good</v>
      </c>
      <c r="DC70" s="379" t="str">
        <f t="shared" si="3"/>
        <v>Good</v>
      </c>
      <c r="DD70" s="379" t="str">
        <f t="shared" si="3"/>
        <v>Good</v>
      </c>
      <c r="DE70" s="379" t="str">
        <f t="shared" si="3"/>
        <v>Good</v>
      </c>
      <c r="DF70" s="379" t="str">
        <f t="shared" si="3"/>
        <v>Good</v>
      </c>
      <c r="DG70" s="379" t="str">
        <f t="shared" si="3"/>
        <v>Good</v>
      </c>
      <c r="DH70" s="379" t="str">
        <f t="shared" si="3"/>
        <v>Good</v>
      </c>
      <c r="DI70" s="379" t="str">
        <f t="shared" si="3"/>
        <v>Good</v>
      </c>
      <c r="DJ70" s="379" t="str">
        <f t="shared" si="3"/>
        <v>Good</v>
      </c>
    </row>
    <row r="72" spans="1:114" ht="15" customHeight="1">
      <c r="A72" s="531"/>
    </row>
    <row r="73" spans="1:114" ht="15" customHeight="1">
      <c r="A73" s="527" t="s">
        <v>1952</v>
      </c>
    </row>
    <row r="77" spans="1:114" ht="15" customHeight="1">
      <c r="A77" s="527" t="s">
        <v>1953</v>
      </c>
      <c r="E77" s="379" t="str" cm="1">
        <f t="array" ref="E77:AM77">_xlfn.UNIQUE('Propeller Aircraft'!$H$8:$AAO$8,2)</f>
        <v>PW_120</v>
      </c>
      <c r="F77" t="str">
        <v>PW_121</v>
      </c>
      <c r="G77" t="str">
        <v>PW_121A</v>
      </c>
      <c r="H77" t="str">
        <v>PW_127E</v>
      </c>
      <c r="I77" t="str">
        <v>PW_127M</v>
      </c>
      <c r="J77">
        <v>0</v>
      </c>
      <c r="K77" t="str">
        <v>PW_124B</v>
      </c>
      <c r="L77" t="str">
        <v>PW_127</v>
      </c>
      <c r="M77" t="str">
        <v>PW_127F</v>
      </c>
      <c r="N77" t="str">
        <v>Allison_501_D22A</v>
      </c>
      <c r="O77" t="str">
        <v>Allison_501_D22</v>
      </c>
      <c r="P77" t="str">
        <v>AE2100_D3</v>
      </c>
      <c r="Q77" t="str">
        <v>PT6A_50</v>
      </c>
      <c r="R77" t="str">
        <v>PW_120A</v>
      </c>
      <c r="S77" t="str">
        <v>PW_123C</v>
      </c>
      <c r="T77" t="str">
        <v>PW_123D</v>
      </c>
      <c r="U77" t="str">
        <v>PW_123</v>
      </c>
      <c r="V77" t="str">
        <v>PW_123B</v>
      </c>
      <c r="W77" t="str">
        <v>PW_123E</v>
      </c>
      <c r="X77" t="str">
        <v>PW_150A</v>
      </c>
      <c r="Y77" t="str">
        <v>PW_118</v>
      </c>
      <c r="Z77" t="str">
        <v>PT6A_34</v>
      </c>
      <c r="AA77" t="str">
        <v>PW_119B</v>
      </c>
      <c r="AB77" t="str">
        <v>PW_119C</v>
      </c>
      <c r="AC77" t="str">
        <v>TPE_331_5_252D</v>
      </c>
      <c r="AD77" t="str">
        <v>TPE_331_10</v>
      </c>
      <c r="AE77" t="str">
        <v>TPE_331_3U_303G</v>
      </c>
      <c r="AF77" t="str">
        <v>TPE_331_llU_601G</v>
      </c>
      <c r="AG77" t="str">
        <v>PT6A_45R</v>
      </c>
      <c r="AH77" t="str">
        <v>TPE_331_12UA_701G</v>
      </c>
      <c r="AI77" t="str">
        <v>CT7_5A2</v>
      </c>
      <c r="AJ77" t="str">
        <v>CT7_9B</v>
      </c>
      <c r="AK77" t="str">
        <v>GE_T64_IHI_10J</v>
      </c>
      <c r="AL77" t="str">
        <v>PT6A_65B</v>
      </c>
      <c r="AM77" t="str">
        <v>PT6A_67D</v>
      </c>
    </row>
    <row r="78" spans="1:114" ht="15" customHeight="1">
      <c r="A78" s="531"/>
    </row>
    <row r="82" spans="1:2" ht="15" customHeight="1">
      <c r="A82" s="772"/>
      <c r="B82" s="790"/>
    </row>
    <row r="83" spans="1:2" ht="15" customHeight="1">
      <c r="A83" s="772"/>
      <c r="B83" s="790"/>
    </row>
    <row r="84" spans="1:2" ht="15" customHeight="1">
      <c r="A84" s="772"/>
      <c r="B84" s="790"/>
    </row>
    <row r="85" spans="1:2" ht="15" customHeight="1">
      <c r="A85" s="773"/>
      <c r="B85" s="778"/>
    </row>
    <row r="86" spans="1:2" ht="15" customHeight="1">
      <c r="A86" s="773"/>
      <c r="B86" s="778"/>
    </row>
    <row r="87" spans="1:2" ht="15" customHeight="1">
      <c r="A87" s="773"/>
      <c r="B87" s="778"/>
    </row>
    <row r="88" spans="1:2" ht="15" customHeight="1">
      <c r="A88" s="773"/>
      <c r="B88" s="778"/>
    </row>
    <row r="89" spans="1:2" ht="15" customHeight="1">
      <c r="A89" s="773"/>
      <c r="B89" s="778"/>
    </row>
    <row r="90" spans="1:2" ht="15" customHeight="1">
      <c r="A90" s="774"/>
      <c r="B90" s="778"/>
    </row>
    <row r="91" spans="1:2" ht="15" customHeight="1">
      <c r="A91" s="781"/>
      <c r="B91" s="778"/>
    </row>
    <row r="92" spans="1:2" ht="15" customHeight="1">
      <c r="A92" s="781"/>
      <c r="B92" s="778"/>
    </row>
    <row r="93" spans="1:2" ht="15" customHeight="1">
      <c r="A93" s="781"/>
      <c r="B93" s="778"/>
    </row>
    <row r="94" spans="1:2" ht="15" customHeight="1">
      <c r="A94" s="782"/>
      <c r="B94" s="778"/>
    </row>
    <row r="95" spans="1:2" ht="15" customHeight="1">
      <c r="A95" s="783"/>
      <c r="B95" s="778"/>
    </row>
    <row r="96" spans="1:2" ht="15" customHeight="1">
      <c r="A96" s="784"/>
      <c r="B96" s="778"/>
    </row>
    <row r="97" spans="1:2" ht="15" customHeight="1">
      <c r="A97" s="785"/>
      <c r="B97" s="778"/>
    </row>
    <row r="98" spans="1:2" ht="15" customHeight="1">
      <c r="A98" s="786"/>
      <c r="B98" s="778"/>
    </row>
    <row r="99" spans="1:2" ht="15" customHeight="1">
      <c r="A99" s="775"/>
      <c r="B99" s="778"/>
    </row>
    <row r="100" spans="1:2" ht="15" customHeight="1">
      <c r="A100" s="773"/>
      <c r="B100" s="778"/>
    </row>
    <row r="101" spans="1:2" ht="15" customHeight="1">
      <c r="A101" s="773"/>
      <c r="B101" s="778"/>
    </row>
    <row r="102" spans="1:2" ht="15" customHeight="1">
      <c r="A102" s="773"/>
      <c r="B102" s="778"/>
    </row>
    <row r="103" spans="1:2" ht="15" customHeight="1">
      <c r="A103" s="773"/>
      <c r="B103" s="778"/>
    </row>
    <row r="104" spans="1:2" ht="15" customHeight="1">
      <c r="A104" s="773"/>
      <c r="B104" s="778"/>
    </row>
    <row r="105" spans="1:2" ht="15" customHeight="1">
      <c r="A105" s="773"/>
      <c r="B105" s="778"/>
    </row>
    <row r="106" spans="1:2" ht="15" customHeight="1">
      <c r="A106" s="773"/>
      <c r="B106" s="778"/>
    </row>
    <row r="107" spans="1:2" ht="15" customHeight="1">
      <c r="A107" s="773"/>
      <c r="B107" s="778"/>
    </row>
    <row r="108" spans="1:2" ht="15" customHeight="1">
      <c r="A108" s="774"/>
      <c r="B108" s="776"/>
    </row>
    <row r="109" spans="1:2" ht="15" customHeight="1">
      <c r="A109" s="780"/>
      <c r="B109" s="778"/>
    </row>
    <row r="110" spans="1:2" ht="15" customHeight="1">
      <c r="A110" s="780"/>
      <c r="B110" s="778"/>
    </row>
    <row r="111" spans="1:2" ht="15" customHeight="1">
      <c r="A111" s="780"/>
      <c r="B111" s="778"/>
    </row>
    <row r="112" spans="1:2" ht="15" customHeight="1">
      <c r="A112" s="780"/>
      <c r="B112" s="778"/>
    </row>
    <row r="113" spans="1:2" ht="15" customHeight="1">
      <c r="A113" s="780"/>
      <c r="B113" s="778"/>
    </row>
    <row r="114" spans="1:2" ht="15" customHeight="1">
      <c r="A114" s="780"/>
      <c r="B114" s="778"/>
    </row>
    <row r="115" spans="1:2" ht="15" customHeight="1">
      <c r="A115" s="780"/>
      <c r="B115" s="778"/>
    </row>
    <row r="116" spans="1:2" ht="15" customHeight="1">
      <c r="A116" s="780"/>
      <c r="B116" s="778"/>
    </row>
    <row r="117" spans="1:2" ht="15" customHeight="1">
      <c r="A117" s="780"/>
      <c r="B117" s="778"/>
    </row>
    <row r="118" spans="1:2" ht="15" customHeight="1">
      <c r="A118" s="780"/>
      <c r="B118" s="778"/>
    </row>
    <row r="119" spans="1:2" ht="15" customHeight="1">
      <c r="A119" s="780"/>
      <c r="B119" s="778"/>
    </row>
    <row r="120" spans="1:2" ht="15" customHeight="1">
      <c r="A120" s="780"/>
      <c r="B120" s="778"/>
    </row>
    <row r="121" spans="1:2" ht="15" customHeight="1">
      <c r="A121" s="780"/>
      <c r="B121" s="778"/>
    </row>
    <row r="122" spans="1:2" ht="15" customHeight="1">
      <c r="A122" s="780"/>
      <c r="B122" s="778"/>
    </row>
    <row r="123" spans="1:2" ht="15" customHeight="1">
      <c r="A123" s="780"/>
      <c r="B123" s="778"/>
    </row>
    <row r="124" spans="1:2" ht="15" customHeight="1">
      <c r="A124" s="780"/>
      <c r="B124" s="778"/>
    </row>
    <row r="125" spans="1:2" ht="15" customHeight="1">
      <c r="A125" s="780"/>
      <c r="B125" s="778"/>
    </row>
    <row r="126" spans="1:2" ht="15" customHeight="1">
      <c r="A126" s="780"/>
      <c r="B126" s="778"/>
    </row>
    <row r="127" spans="1:2" ht="15" customHeight="1">
      <c r="A127" s="780"/>
      <c r="B127" s="778"/>
    </row>
    <row r="128" spans="1:2" ht="15" customHeight="1">
      <c r="A128" s="780"/>
      <c r="B128" s="778"/>
    </row>
    <row r="129" spans="1:2" ht="15" customHeight="1">
      <c r="A129" s="780"/>
      <c r="B129" s="778"/>
    </row>
    <row r="130" spans="1:2" ht="15" customHeight="1">
      <c r="A130" s="780"/>
      <c r="B130" s="778"/>
    </row>
    <row r="131" spans="1:2" ht="15" customHeight="1">
      <c r="A131" s="780"/>
      <c r="B131" s="778"/>
    </row>
    <row r="132" spans="1:2" ht="15" customHeight="1">
      <c r="A132" s="780"/>
      <c r="B132" s="778"/>
    </row>
    <row r="133" spans="1:2" ht="15" customHeight="1">
      <c r="A133" s="780"/>
      <c r="B133" s="778"/>
    </row>
    <row r="134" spans="1:2" ht="15" customHeight="1">
      <c r="A134" s="780"/>
      <c r="B134" s="778"/>
    </row>
    <row r="135" spans="1:2" ht="15" customHeight="1">
      <c r="A135" s="780"/>
      <c r="B135" s="778"/>
    </row>
    <row r="136" spans="1:2" ht="15" customHeight="1">
      <c r="A136" s="780"/>
      <c r="B136" s="778"/>
    </row>
    <row r="137" spans="1:2" ht="15" customHeight="1">
      <c r="A137" s="775"/>
      <c r="B137" s="777"/>
    </row>
    <row r="138" spans="1:2" ht="15" customHeight="1">
      <c r="A138" s="773"/>
      <c r="B138" s="778"/>
    </row>
    <row r="139" spans="1:2" ht="15" customHeight="1">
      <c r="A139" s="773"/>
      <c r="B139" s="778"/>
    </row>
    <row r="140" spans="1:2" ht="15" customHeight="1">
      <c r="A140" s="773"/>
      <c r="B140" s="778"/>
    </row>
    <row r="141" spans="1:2" ht="15" customHeight="1">
      <c r="A141" s="773"/>
      <c r="B141" s="778"/>
    </row>
    <row r="142" spans="1:2" ht="15" customHeight="1">
      <c r="A142" s="773"/>
      <c r="B142" s="778"/>
    </row>
    <row r="143" spans="1:2" ht="15" customHeight="1">
      <c r="A143" s="773"/>
      <c r="B143" s="778"/>
    </row>
    <row r="144" spans="1:2" ht="15" customHeight="1">
      <c r="A144" s="773"/>
      <c r="B144" s="778"/>
    </row>
    <row r="145" spans="1:2" ht="15" customHeight="1">
      <c r="A145" s="773"/>
      <c r="B145" s="778"/>
    </row>
    <row r="146" spans="1:2" ht="15" customHeight="1">
      <c r="A146" s="773"/>
      <c r="B146" s="778"/>
    </row>
    <row r="147" spans="1:2" ht="15" customHeight="1">
      <c r="A147" s="773"/>
      <c r="B147" s="778"/>
    </row>
    <row r="148" spans="1:2" ht="15" customHeight="1">
      <c r="A148" s="773"/>
      <c r="B148" s="778"/>
    </row>
    <row r="149" spans="1:2" ht="15" customHeight="1">
      <c r="A149" s="773"/>
      <c r="B149" s="778"/>
    </row>
    <row r="150" spans="1:2" ht="15" customHeight="1">
      <c r="A150" s="773"/>
      <c r="B150" s="778"/>
    </row>
    <row r="151" spans="1:2" ht="15" customHeight="1">
      <c r="A151" s="773"/>
      <c r="B151" s="778"/>
    </row>
    <row r="152" spans="1:2" ht="15" customHeight="1">
      <c r="A152" s="773"/>
      <c r="B152" s="778"/>
    </row>
    <row r="153" spans="1:2" ht="15" customHeight="1">
      <c r="A153" s="773"/>
      <c r="B153" s="778"/>
    </row>
    <row r="154" spans="1:2" ht="15" customHeight="1">
      <c r="A154" s="787"/>
      <c r="B154" s="778"/>
    </row>
    <row r="155" spans="1:2" ht="15" customHeight="1">
      <c r="A155" s="788"/>
      <c r="B155" s="778"/>
    </row>
    <row r="156" spans="1:2" ht="15" customHeight="1">
      <c r="A156" s="789"/>
      <c r="B156" s="778"/>
    </row>
    <row r="157" spans="1:2" ht="15" customHeight="1">
      <c r="A157" s="789"/>
      <c r="B157" s="778"/>
    </row>
    <row r="158" spans="1:2" ht="15" customHeight="1">
      <c r="A158" s="779"/>
      <c r="B158" s="778"/>
    </row>
    <row r="159" spans="1:2" ht="15" customHeight="1">
      <c r="A159" s="786"/>
      <c r="B159" s="778"/>
    </row>
    <row r="160" spans="1:2" ht="15" customHeight="1">
      <c r="A160" s="775"/>
      <c r="B160" s="778"/>
    </row>
    <row r="161" spans="1:2" ht="15" customHeight="1">
      <c r="A161" s="773"/>
      <c r="B161" s="778"/>
    </row>
    <row r="162" spans="1:2" ht="15" customHeight="1">
      <c r="A162" s="787"/>
      <c r="B162" s="778"/>
    </row>
    <row r="163" spans="1:2" ht="15" customHeight="1">
      <c r="A163" s="775"/>
      <c r="B163" s="778"/>
    </row>
    <row r="164" spans="1:2" ht="15" customHeight="1">
      <c r="A164" s="773"/>
      <c r="B164" s="778"/>
    </row>
    <row r="165" spans="1:2" ht="15" customHeight="1">
      <c r="A165" s="773"/>
      <c r="B165" s="778"/>
    </row>
    <row r="166" spans="1:2" ht="15" customHeight="1">
      <c r="A166" s="773"/>
      <c r="B166" s="778"/>
    </row>
    <row r="167" spans="1:2" ht="15" customHeight="1">
      <c r="A167" s="773"/>
      <c r="B167" s="778"/>
    </row>
    <row r="168" spans="1:2" ht="15" customHeight="1">
      <c r="A168" s="773"/>
      <c r="B168" s="778"/>
    </row>
    <row r="169" spans="1:2" ht="15" customHeight="1">
      <c r="A169" s="773"/>
      <c r="B169" s="778"/>
    </row>
    <row r="170" spans="1:2" ht="15" customHeight="1">
      <c r="A170" s="773"/>
      <c r="B170" s="778"/>
    </row>
    <row r="171" spans="1:2" ht="15" customHeight="1">
      <c r="A171" s="772"/>
      <c r="B171" s="791"/>
    </row>
    <row r="172" spans="1:2" ht="15" customHeight="1">
      <c r="A172" s="772"/>
      <c r="B172" s="791"/>
    </row>
    <row r="173" spans="1:2" ht="15" customHeight="1">
      <c r="A173" s="772"/>
    </row>
    <row r="174" spans="1:2" ht="15" customHeight="1">
      <c r="A174" s="772"/>
    </row>
    <row r="175" spans="1:2" ht="15" customHeight="1">
      <c r="A175" s="772"/>
    </row>
    <row r="176" spans="1:2" ht="15" customHeight="1">
      <c r="A176" s="772"/>
    </row>
    <row r="177" spans="1:1" ht="15" customHeight="1">
      <c r="A177" s="772"/>
    </row>
    <row r="178" spans="1:1" ht="15" customHeight="1">
      <c r="A178" s="772"/>
    </row>
    <row r="179" spans="1:1" ht="15" customHeight="1">
      <c r="A179" s="772"/>
    </row>
    <row r="180" spans="1:1" ht="15" customHeight="1">
      <c r="A180" s="772"/>
    </row>
  </sheetData>
  <conditionalFormatting sqref="A50:B69 C50:C659 B70:B77 A78:B81">
    <cfRule type="expression" dxfId="7" priority="5">
      <formula>_xlfn.ISFORMULA(A50)</formula>
    </cfRule>
  </conditionalFormatting>
  <conditionalFormatting sqref="A1:C49 A85:B659">
    <cfRule type="expression" dxfId="6" priority="6">
      <formula>_xlfn.ISFORMULA(A1)</formula>
    </cfRule>
  </conditionalFormatting>
  <conditionalFormatting sqref="E77">
    <cfRule type="expression" dxfId="5" priority="2">
      <formula>_xlfn.ISFORMULA(E77)</formula>
    </cfRule>
  </conditionalFormatting>
  <conditionalFormatting sqref="E70:DJ70 A70:A75">
    <cfRule type="expression" dxfId="4" priority="3">
      <formula>_xlfn.ISFORMULA(A70)</formula>
    </cfRule>
  </conditionalFormatting>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F9B89-3594-4712-830D-8B79D455DEF8}">
  <dimension ref="A1"/>
  <sheetViews>
    <sheetView workbookViewId="0"/>
  </sheetViews>
  <sheetFormatPr defaultColWidth="8.7109375" defaultRowHeight="1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FF15F-9AFF-4090-B326-1D8117D1906F}">
  <dimension ref="A1"/>
  <sheetViews>
    <sheetView workbookViewId="0"/>
  </sheetViews>
  <sheetFormatPr defaultColWidth="8.7109375"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52DFC-E014-46CA-8E43-E3B2FBDC8C08}">
  <sheetPr>
    <tabColor rgb="FF92D050"/>
  </sheetPr>
  <dimension ref="A1:JK58"/>
  <sheetViews>
    <sheetView zoomScaleNormal="100" workbookViewId="0">
      <pane xSplit="1" ySplit="5" topLeftCell="BG6" activePane="bottomRight" state="frozen"/>
      <selection pane="topRight" activeCell="B1" sqref="B1"/>
      <selection pane="bottomLeft" activeCell="A6" sqref="A6"/>
      <selection pane="bottomRight" activeCell="BN1" sqref="BN1"/>
    </sheetView>
  </sheetViews>
  <sheetFormatPr defaultColWidth="16.7109375" defaultRowHeight="15"/>
  <cols>
    <col min="1" max="1" width="26.7109375" customWidth="1"/>
    <col min="2" max="199" width="16.7109375" customWidth="1"/>
  </cols>
  <sheetData>
    <row r="1" spans="1:271" ht="29.25" customHeight="1">
      <c r="A1" s="237" t="s">
        <v>2023</v>
      </c>
      <c r="B1" s="236" t="s">
        <v>2024</v>
      </c>
      <c r="C1" s="236" t="s">
        <v>2025</v>
      </c>
      <c r="D1" s="236" t="s">
        <v>2026</v>
      </c>
      <c r="E1" s="236" t="s">
        <v>2027</v>
      </c>
      <c r="F1" s="236" t="s">
        <v>2028</v>
      </c>
      <c r="G1" s="236" t="s">
        <v>2029</v>
      </c>
      <c r="H1" s="238" t="s">
        <v>2030</v>
      </c>
      <c r="I1" s="238" t="s">
        <v>2031</v>
      </c>
      <c r="J1" s="238" t="s">
        <v>2032</v>
      </c>
      <c r="K1" s="238" t="s">
        <v>2033</v>
      </c>
      <c r="L1" s="238" t="s">
        <v>2034</v>
      </c>
      <c r="M1" s="238" t="s">
        <v>2035</v>
      </c>
      <c r="N1" s="238" t="s">
        <v>2036</v>
      </c>
      <c r="O1" s="238" t="s">
        <v>2037</v>
      </c>
      <c r="P1" s="238" t="s">
        <v>2038</v>
      </c>
      <c r="Q1" s="238" t="s">
        <v>2039</v>
      </c>
      <c r="R1" s="238" t="s">
        <v>2040</v>
      </c>
      <c r="S1" s="238" t="s">
        <v>2041</v>
      </c>
      <c r="T1" s="238" t="s">
        <v>2042</v>
      </c>
      <c r="U1" s="238" t="s">
        <v>2043</v>
      </c>
      <c r="V1" s="238" t="s">
        <v>2044</v>
      </c>
      <c r="W1" s="238" t="s">
        <v>2045</v>
      </c>
      <c r="X1" s="238" t="s">
        <v>2046</v>
      </c>
      <c r="Y1" s="238" t="s">
        <v>2047</v>
      </c>
      <c r="Z1" s="238" t="s">
        <v>2048</v>
      </c>
      <c r="AA1" s="238" t="s">
        <v>2049</v>
      </c>
      <c r="AB1" s="238" t="s">
        <v>2050</v>
      </c>
      <c r="AC1" s="238" t="s">
        <v>2051</v>
      </c>
      <c r="AD1" s="238" t="s">
        <v>2052</v>
      </c>
      <c r="AE1" s="238" t="s">
        <v>2053</v>
      </c>
      <c r="AF1" s="238" t="s">
        <v>2054</v>
      </c>
      <c r="AG1" s="239" t="s">
        <v>2055</v>
      </c>
      <c r="AH1" s="239" t="s">
        <v>2056</v>
      </c>
      <c r="AI1" s="238" t="s">
        <v>2057</v>
      </c>
      <c r="AJ1" s="238" t="s">
        <v>2058</v>
      </c>
      <c r="AK1" s="238" t="s">
        <v>2059</v>
      </c>
      <c r="AL1" s="238" t="s">
        <v>2060</v>
      </c>
      <c r="AM1" s="238" t="s">
        <v>2061</v>
      </c>
      <c r="AN1" s="238" t="s">
        <v>2062</v>
      </c>
      <c r="AO1" s="238" t="s">
        <v>2063</v>
      </c>
      <c r="AP1" s="238" t="s">
        <v>2064</v>
      </c>
      <c r="AQ1" s="238" t="s">
        <v>2065</v>
      </c>
      <c r="AR1" s="238" t="s">
        <v>2066</v>
      </c>
      <c r="AS1" s="238" t="s">
        <v>2067</v>
      </c>
      <c r="AT1" s="238" t="s">
        <v>2068</v>
      </c>
      <c r="AU1" s="240" t="s">
        <v>2069</v>
      </c>
      <c r="AV1" s="241" t="s">
        <v>2070</v>
      </c>
      <c r="AW1" s="238" t="s">
        <v>2071</v>
      </c>
      <c r="AX1" s="238" t="s">
        <v>2072</v>
      </c>
      <c r="AY1" s="238" t="s">
        <v>2073</v>
      </c>
      <c r="AZ1" s="239" t="s">
        <v>2074</v>
      </c>
      <c r="BA1" s="239" t="s">
        <v>2075</v>
      </c>
      <c r="BB1" s="239" t="s">
        <v>2076</v>
      </c>
      <c r="BC1" s="239" t="s">
        <v>2077</v>
      </c>
      <c r="BD1" s="239" t="s">
        <v>2078</v>
      </c>
      <c r="BE1" s="236" t="s">
        <v>2079</v>
      </c>
      <c r="BF1" s="238" t="s">
        <v>2080</v>
      </c>
      <c r="BG1" s="238" t="s">
        <v>2081</v>
      </c>
      <c r="BH1" s="238" t="s">
        <v>2082</v>
      </c>
      <c r="BI1" s="238" t="s">
        <v>2083</v>
      </c>
      <c r="BJ1" s="238" t="s">
        <v>2084</v>
      </c>
      <c r="BK1" s="238" t="s">
        <v>2085</v>
      </c>
      <c r="BL1" s="238" t="s">
        <v>2086</v>
      </c>
      <c r="BM1" s="238" t="s">
        <v>2087</v>
      </c>
      <c r="BN1" s="238" t="s">
        <v>2088</v>
      </c>
      <c r="BO1" s="238" t="s">
        <v>2089</v>
      </c>
      <c r="BP1" s="238" t="s">
        <v>2090</v>
      </c>
      <c r="BQ1" s="242" t="s">
        <v>2091</v>
      </c>
      <c r="BR1" s="238" t="s">
        <v>2092</v>
      </c>
      <c r="BS1" s="236" t="s">
        <v>2093</v>
      </c>
      <c r="BT1" s="236" t="s">
        <v>2094</v>
      </c>
      <c r="BU1" s="236" t="s">
        <v>2095</v>
      </c>
      <c r="BV1" s="243" t="s">
        <v>2096</v>
      </c>
      <c r="BW1" s="243" t="s">
        <v>2097</v>
      </c>
      <c r="BX1" s="238" t="s">
        <v>2098</v>
      </c>
      <c r="BY1" s="243" t="s">
        <v>2099</v>
      </c>
      <c r="BZ1" s="243" t="s">
        <v>2100</v>
      </c>
      <c r="CA1" s="243" t="s">
        <v>2101</v>
      </c>
      <c r="CB1" s="243" t="s">
        <v>2102</v>
      </c>
      <c r="CC1" s="236" t="s">
        <v>1436</v>
      </c>
      <c r="CD1" s="238" t="s">
        <v>1431</v>
      </c>
      <c r="CE1" s="238" t="s">
        <v>1432</v>
      </c>
      <c r="CF1" s="238" t="s">
        <v>1435</v>
      </c>
      <c r="CG1" s="238" t="s">
        <v>1434</v>
      </c>
      <c r="CH1" s="236" t="s">
        <v>1441</v>
      </c>
      <c r="CI1" s="238" t="s">
        <v>1440</v>
      </c>
      <c r="CJ1" s="238" t="s">
        <v>1437</v>
      </c>
      <c r="CK1" s="238" t="s">
        <v>1439</v>
      </c>
      <c r="CL1" s="242" t="s">
        <v>2103</v>
      </c>
      <c r="CM1" s="242" t="s">
        <v>2104</v>
      </c>
      <c r="CN1" s="238" t="s">
        <v>2105</v>
      </c>
      <c r="CO1" s="242" t="s">
        <v>2106</v>
      </c>
      <c r="CP1" s="238" t="s">
        <v>2107</v>
      </c>
      <c r="CQ1" s="243" t="s">
        <v>2108</v>
      </c>
      <c r="CR1" s="243" t="s">
        <v>2109</v>
      </c>
      <c r="CS1" s="243" t="s">
        <v>2110</v>
      </c>
      <c r="CT1" s="243" t="s">
        <v>2111</v>
      </c>
      <c r="CU1" s="243" t="s">
        <v>2112</v>
      </c>
      <c r="CV1" s="243" t="s">
        <v>2113</v>
      </c>
      <c r="CW1" s="243" t="s">
        <v>2114</v>
      </c>
      <c r="CX1" s="243" t="s">
        <v>2115</v>
      </c>
      <c r="CY1" s="243" t="s">
        <v>2116</v>
      </c>
      <c r="CZ1" s="238" t="s">
        <v>2117</v>
      </c>
      <c r="DA1" s="238" t="s">
        <v>2118</v>
      </c>
      <c r="DB1" s="243" t="s">
        <v>2119</v>
      </c>
      <c r="DC1" s="243" t="s">
        <v>2120</v>
      </c>
      <c r="DD1" s="243" t="s">
        <v>2121</v>
      </c>
      <c r="DE1" s="243" t="s">
        <v>2122</v>
      </c>
      <c r="DF1" s="243" t="s">
        <v>2123</v>
      </c>
      <c r="DG1" s="243" t="s">
        <v>2124</v>
      </c>
      <c r="DH1" s="243" t="s">
        <v>2125</v>
      </c>
      <c r="DI1" s="243" t="s">
        <v>2126</v>
      </c>
      <c r="DJ1" s="243" t="s">
        <v>2127</v>
      </c>
      <c r="DK1" s="243" t="s">
        <v>2128</v>
      </c>
      <c r="DL1" s="243" t="s">
        <v>2129</v>
      </c>
      <c r="DM1" s="243" t="s">
        <v>2130</v>
      </c>
      <c r="DN1" s="238" t="s">
        <v>2131</v>
      </c>
      <c r="DO1" s="243" t="s">
        <v>2132</v>
      </c>
      <c r="DP1" s="243" t="s">
        <v>2133</v>
      </c>
      <c r="DQ1" s="243" t="s">
        <v>2134</v>
      </c>
      <c r="DR1" s="244" t="s">
        <v>2135</v>
      </c>
      <c r="DS1" s="244" t="s">
        <v>2136</v>
      </c>
      <c r="DT1" s="244" t="s">
        <v>2137</v>
      </c>
      <c r="DU1" s="244" t="s">
        <v>2138</v>
      </c>
      <c r="DV1" s="244" t="s">
        <v>2139</v>
      </c>
      <c r="DW1" s="244" t="s">
        <v>2140</v>
      </c>
      <c r="DX1" s="244" t="s">
        <v>2141</v>
      </c>
      <c r="DY1" s="244" t="s">
        <v>2142</v>
      </c>
      <c r="DZ1" s="244" t="s">
        <v>2143</v>
      </c>
      <c r="EA1" s="244" t="s">
        <v>2144</v>
      </c>
      <c r="EB1" s="244" t="s">
        <v>2145</v>
      </c>
      <c r="EC1" s="244" t="s">
        <v>2146</v>
      </c>
      <c r="ED1" s="244" t="s">
        <v>2147</v>
      </c>
      <c r="EE1" s="244" t="s">
        <v>2148</v>
      </c>
      <c r="EF1" s="244" t="s">
        <v>2149</v>
      </c>
      <c r="EG1" s="244" t="s">
        <v>2150</v>
      </c>
      <c r="EH1" s="244" t="s">
        <v>2151</v>
      </c>
      <c r="EI1" s="244" t="s">
        <v>2152</v>
      </c>
      <c r="EJ1" s="244" t="s">
        <v>2153</v>
      </c>
      <c r="EK1" s="244" t="s">
        <v>2154</v>
      </c>
      <c r="EL1" s="244" t="s">
        <v>2155</v>
      </c>
      <c r="EM1" s="244" t="s">
        <v>2156</v>
      </c>
      <c r="EN1" s="244" t="s">
        <v>2157</v>
      </c>
      <c r="EO1" s="244" t="s">
        <v>2158</v>
      </c>
      <c r="EP1" s="244" t="s">
        <v>2159</v>
      </c>
      <c r="EQ1" s="244" t="s">
        <v>2160</v>
      </c>
      <c r="ER1" s="244" t="s">
        <v>2161</v>
      </c>
      <c r="ES1" s="244" t="s">
        <v>2162</v>
      </c>
      <c r="ET1" s="244" t="s">
        <v>2163</v>
      </c>
      <c r="EU1" s="245" t="s">
        <v>2164</v>
      </c>
      <c r="EV1" s="245" t="s">
        <v>2165</v>
      </c>
      <c r="EW1" s="245" t="s">
        <v>2166</v>
      </c>
      <c r="EX1" s="245" t="s">
        <v>2167</v>
      </c>
      <c r="EY1" s="245" t="s">
        <v>2168</v>
      </c>
      <c r="EZ1" s="245" t="s">
        <v>2169</v>
      </c>
      <c r="FA1" s="246" t="s">
        <v>2170</v>
      </c>
      <c r="FB1" s="245" t="s">
        <v>2171</v>
      </c>
      <c r="FC1" s="244" t="s">
        <v>2172</v>
      </c>
      <c r="FD1" s="244" t="s">
        <v>2173</v>
      </c>
      <c r="FE1" s="244" t="s">
        <v>2174</v>
      </c>
      <c r="FF1" s="244" t="s">
        <v>2175</v>
      </c>
      <c r="FG1" s="244" t="s">
        <v>2176</v>
      </c>
      <c r="FH1" s="244" t="s">
        <v>2177</v>
      </c>
      <c r="FI1" s="244" t="s">
        <v>2178</v>
      </c>
      <c r="FJ1" s="244" t="s">
        <v>2179</v>
      </c>
      <c r="FK1" s="244" t="s">
        <v>2180</v>
      </c>
      <c r="FL1" s="247" t="s">
        <v>2181</v>
      </c>
      <c r="FM1" s="244" t="s">
        <v>2182</v>
      </c>
      <c r="FN1" s="244" t="s">
        <v>2183</v>
      </c>
      <c r="FO1" s="244" t="s">
        <v>2184</v>
      </c>
      <c r="FP1" s="244" t="s">
        <v>2185</v>
      </c>
      <c r="FQ1" s="244" t="s">
        <v>2186</v>
      </c>
      <c r="FR1" s="244" t="s">
        <v>2187</v>
      </c>
      <c r="FS1" s="244" t="s">
        <v>2188</v>
      </c>
      <c r="FT1" s="244" t="s">
        <v>2189</v>
      </c>
      <c r="FU1" s="244" t="s">
        <v>2190</v>
      </c>
      <c r="FV1" s="244" t="s">
        <v>2191</v>
      </c>
      <c r="FW1" s="244" t="s">
        <v>2192</v>
      </c>
      <c r="FX1" s="244" t="s">
        <v>2193</v>
      </c>
      <c r="FY1" s="244" t="s">
        <v>2194</v>
      </c>
      <c r="FZ1" s="244" t="s">
        <v>2195</v>
      </c>
      <c r="GA1" s="244" t="s">
        <v>2196</v>
      </c>
      <c r="GB1" s="244" t="s">
        <v>2197</v>
      </c>
      <c r="GC1" s="244" t="s">
        <v>2198</v>
      </c>
      <c r="GD1" s="244" t="s">
        <v>2199</v>
      </c>
      <c r="GE1" s="244" t="s">
        <v>2200</v>
      </c>
      <c r="GF1" s="244" t="s">
        <v>2201</v>
      </c>
      <c r="GG1" s="244" t="s">
        <v>2202</v>
      </c>
      <c r="GH1" s="244" t="s">
        <v>2203</v>
      </c>
      <c r="GI1" s="244" t="s">
        <v>2204</v>
      </c>
      <c r="GJ1" s="244" t="s">
        <v>2205</v>
      </c>
      <c r="GK1" s="244" t="s">
        <v>2206</v>
      </c>
      <c r="GL1" s="244" t="s">
        <v>2207</v>
      </c>
      <c r="GM1" s="244" t="s">
        <v>2208</v>
      </c>
      <c r="GN1" s="244" t="s">
        <v>2209</v>
      </c>
      <c r="GO1" s="248" t="s">
        <v>2210</v>
      </c>
      <c r="GP1" s="244" t="s">
        <v>2211</v>
      </c>
      <c r="GQ1" s="244" t="s">
        <v>2212</v>
      </c>
      <c r="GR1" s="244" t="s">
        <v>2213</v>
      </c>
      <c r="GS1" s="244" t="s">
        <v>2214</v>
      </c>
      <c r="GT1" s="244" t="s">
        <v>2215</v>
      </c>
      <c r="GU1" s="248" t="s">
        <v>2216</v>
      </c>
      <c r="GV1" s="249" t="s">
        <v>2217</v>
      </c>
      <c r="GW1" s="244" t="s">
        <v>2218</v>
      </c>
      <c r="GX1" s="244" t="s">
        <v>2219</v>
      </c>
      <c r="GY1" s="244" t="s">
        <v>2220</v>
      </c>
      <c r="GZ1" s="248" t="s">
        <v>2221</v>
      </c>
      <c r="HA1" s="244" t="s">
        <v>2222</v>
      </c>
      <c r="HB1" s="244" t="s">
        <v>2223</v>
      </c>
      <c r="HC1" s="244" t="s">
        <v>2224</v>
      </c>
      <c r="HD1" s="244" t="s">
        <v>2225</v>
      </c>
      <c r="HE1" s="244" t="s">
        <v>2226</v>
      </c>
      <c r="HF1" s="244" t="s">
        <v>2227</v>
      </c>
      <c r="HG1" s="244" t="s">
        <v>2228</v>
      </c>
      <c r="HH1" s="244" t="s">
        <v>2229</v>
      </c>
      <c r="HI1" s="244" t="s">
        <v>2230</v>
      </c>
      <c r="HJ1" s="244" t="s">
        <v>2231</v>
      </c>
      <c r="HK1" s="244" t="s">
        <v>2232</v>
      </c>
      <c r="HL1" s="249" t="s">
        <v>2233</v>
      </c>
      <c r="HM1" s="249" t="s">
        <v>2234</v>
      </c>
      <c r="HN1" s="244" t="s">
        <v>2235</v>
      </c>
      <c r="HO1" s="244" t="s">
        <v>2236</v>
      </c>
      <c r="HP1" s="244" t="s">
        <v>2237</v>
      </c>
      <c r="HQ1" s="244" t="s">
        <v>2238</v>
      </c>
      <c r="HR1" s="244" t="s">
        <v>2239</v>
      </c>
      <c r="HS1" s="244" t="s">
        <v>2240</v>
      </c>
      <c r="HT1" s="244" t="s">
        <v>2241</v>
      </c>
      <c r="HU1" s="244" t="s">
        <v>2242</v>
      </c>
      <c r="HV1" s="244" t="s">
        <v>2243</v>
      </c>
      <c r="HW1" s="244" t="s">
        <v>2244</v>
      </c>
      <c r="HX1" s="244" t="s">
        <v>2245</v>
      </c>
      <c r="HY1" s="244" t="s">
        <v>2246</v>
      </c>
      <c r="HZ1" s="244" t="s">
        <v>2247</v>
      </c>
      <c r="IA1" s="244" t="s">
        <v>2248</v>
      </c>
      <c r="IB1" s="244" t="s">
        <v>2249</v>
      </c>
      <c r="IC1" s="244" t="s">
        <v>2250</v>
      </c>
      <c r="ID1" s="244" t="s">
        <v>2251</v>
      </c>
      <c r="IE1" s="244" t="s">
        <v>2252</v>
      </c>
      <c r="IF1" s="244" t="s">
        <v>2253</v>
      </c>
      <c r="IG1" s="244" t="s">
        <v>2254</v>
      </c>
      <c r="IH1" s="244" t="s">
        <v>2255</v>
      </c>
      <c r="II1" s="244" t="s">
        <v>2256</v>
      </c>
      <c r="IJ1" s="244" t="s">
        <v>2257</v>
      </c>
      <c r="IK1" s="244" t="s">
        <v>2258</v>
      </c>
      <c r="IL1" s="244" t="s">
        <v>2259</v>
      </c>
      <c r="IM1" s="244" t="s">
        <v>2260</v>
      </c>
      <c r="IN1" s="244" t="s">
        <v>2261</v>
      </c>
      <c r="IO1" s="244" t="s">
        <v>2262</v>
      </c>
      <c r="IP1" s="244" t="s">
        <v>2263</v>
      </c>
      <c r="IQ1" s="244" t="s">
        <v>2264</v>
      </c>
      <c r="IR1" s="244" t="s">
        <v>2265</v>
      </c>
      <c r="IS1" s="244" t="s">
        <v>2266</v>
      </c>
      <c r="IT1" s="250" t="s">
        <v>2267</v>
      </c>
      <c r="IU1" s="244" t="s">
        <v>2268</v>
      </c>
      <c r="IV1" s="244" t="s">
        <v>2269</v>
      </c>
      <c r="IW1" s="244" t="s">
        <v>2270</v>
      </c>
      <c r="IX1" s="244" t="s">
        <v>2271</v>
      </c>
      <c r="IY1" s="244" t="s">
        <v>2272</v>
      </c>
      <c r="IZ1" s="244" t="s">
        <v>2273</v>
      </c>
      <c r="JA1" s="244" t="s">
        <v>2274</v>
      </c>
      <c r="JB1" s="244" t="s">
        <v>2275</v>
      </c>
      <c r="JC1" s="244" t="s">
        <v>248</v>
      </c>
      <c r="JD1" s="244" t="s">
        <v>2276</v>
      </c>
      <c r="JE1" s="244" t="s">
        <v>2277</v>
      </c>
      <c r="JF1" s="244" t="s">
        <v>2278</v>
      </c>
      <c r="JG1" s="244" t="s">
        <v>2279</v>
      </c>
      <c r="JH1" s="244" t="s">
        <v>2280</v>
      </c>
      <c r="JI1" s="244" t="s">
        <v>2281</v>
      </c>
      <c r="JJ1" s="244" t="s">
        <v>2282</v>
      </c>
      <c r="JK1" s="244" t="s">
        <v>2283</v>
      </c>
    </row>
    <row r="2" spans="1:271">
      <c r="A2" s="251" t="s">
        <v>1332</v>
      </c>
      <c r="B2" s="236" t="s">
        <v>2284</v>
      </c>
      <c r="C2" s="236" t="s">
        <v>2284</v>
      </c>
      <c r="D2" s="236" t="s">
        <v>2284</v>
      </c>
      <c r="E2" s="236" t="s">
        <v>2284</v>
      </c>
      <c r="F2" s="236" t="s">
        <v>2285</v>
      </c>
      <c r="G2" s="236" t="s">
        <v>2285</v>
      </c>
      <c r="H2" s="236" t="s">
        <v>2285</v>
      </c>
      <c r="I2" s="236" t="s">
        <v>2284</v>
      </c>
      <c r="J2" s="236" t="s">
        <v>2284</v>
      </c>
      <c r="K2" s="236" t="s">
        <v>2285</v>
      </c>
      <c r="L2" s="236" t="s">
        <v>2284</v>
      </c>
      <c r="M2" s="236" t="s">
        <v>2284</v>
      </c>
      <c r="N2" s="236" t="s">
        <v>2285</v>
      </c>
      <c r="O2" s="236" t="s">
        <v>2284</v>
      </c>
      <c r="P2" s="236" t="s">
        <v>2284</v>
      </c>
      <c r="Q2" s="236" t="s">
        <v>2284</v>
      </c>
      <c r="R2" s="236" t="s">
        <v>2284</v>
      </c>
      <c r="S2" s="236" t="s">
        <v>2284</v>
      </c>
      <c r="T2" s="236" t="s">
        <v>2284</v>
      </c>
      <c r="U2" s="236" t="s">
        <v>2284</v>
      </c>
      <c r="V2" s="236" t="s">
        <v>2284</v>
      </c>
      <c r="W2" s="236" t="s">
        <v>2284</v>
      </c>
      <c r="X2" s="236" t="s">
        <v>2284</v>
      </c>
      <c r="Y2" s="236" t="s">
        <v>2285</v>
      </c>
      <c r="Z2" s="236" t="s">
        <v>2285</v>
      </c>
      <c r="AA2" s="236" t="s">
        <v>2284</v>
      </c>
      <c r="AB2" s="236" t="s">
        <v>2284</v>
      </c>
      <c r="AC2" s="236" t="s">
        <v>2284</v>
      </c>
      <c r="AD2" s="236" t="s">
        <v>2284</v>
      </c>
      <c r="AE2" s="236" t="s">
        <v>2284</v>
      </c>
      <c r="AF2" s="236" t="s">
        <v>2284</v>
      </c>
      <c r="AG2" s="236" t="s">
        <v>2284</v>
      </c>
      <c r="AH2" s="236" t="s">
        <v>2284</v>
      </c>
      <c r="AI2" s="236" t="s">
        <v>2284</v>
      </c>
      <c r="AJ2" s="236" t="s">
        <v>2285</v>
      </c>
      <c r="AK2" s="236" t="s">
        <v>2284</v>
      </c>
      <c r="AL2" s="236" t="s">
        <v>2284</v>
      </c>
      <c r="AM2" s="236" t="s">
        <v>2284</v>
      </c>
      <c r="AN2" s="236" t="s">
        <v>2284</v>
      </c>
      <c r="AO2" s="236" t="s">
        <v>2284</v>
      </c>
      <c r="AP2" s="236" t="s">
        <v>2284</v>
      </c>
      <c r="AQ2" s="236" t="s">
        <v>2284</v>
      </c>
      <c r="AR2" s="236" t="s">
        <v>2284</v>
      </c>
      <c r="AS2" s="236" t="s">
        <v>2284</v>
      </c>
      <c r="AT2" s="236" t="s">
        <v>2284</v>
      </c>
      <c r="AU2" s="252" t="s">
        <v>2284</v>
      </c>
      <c r="AV2" s="253" t="s">
        <v>2284</v>
      </c>
      <c r="AW2" s="236" t="s">
        <v>2284</v>
      </c>
      <c r="AX2" s="236" t="s">
        <v>2284</v>
      </c>
      <c r="AY2" s="236" t="s">
        <v>2284</v>
      </c>
      <c r="AZ2" s="236" t="s">
        <v>2284</v>
      </c>
      <c r="BA2" s="236" t="s">
        <v>2284</v>
      </c>
      <c r="BB2" s="236" t="s">
        <v>2284</v>
      </c>
      <c r="BC2" s="236" t="s">
        <v>2285</v>
      </c>
      <c r="BD2" s="236" t="s">
        <v>2284</v>
      </c>
      <c r="BE2" s="236" t="s">
        <v>2284</v>
      </c>
      <c r="BF2" s="236" t="s">
        <v>2284</v>
      </c>
      <c r="BG2" s="236" t="s">
        <v>2284</v>
      </c>
      <c r="BH2" s="236" t="s">
        <v>2284</v>
      </c>
      <c r="BI2" s="236" t="s">
        <v>2285</v>
      </c>
      <c r="BJ2" s="236" t="s">
        <v>2285</v>
      </c>
      <c r="BK2" s="236" t="s">
        <v>2285</v>
      </c>
      <c r="BL2" s="236" t="s">
        <v>2284</v>
      </c>
      <c r="BM2" s="236" t="s">
        <v>2284</v>
      </c>
      <c r="BN2" s="236" t="s">
        <v>2284</v>
      </c>
      <c r="BO2" s="236" t="s">
        <v>2284</v>
      </c>
      <c r="BP2" s="236" t="s">
        <v>2285</v>
      </c>
      <c r="BQ2" s="236" t="s">
        <v>2284</v>
      </c>
      <c r="BR2" s="236" t="s">
        <v>2285</v>
      </c>
      <c r="BS2" s="236" t="s">
        <v>2284</v>
      </c>
      <c r="BT2" s="236" t="s">
        <v>2285</v>
      </c>
      <c r="BU2" s="236" t="s">
        <v>2284</v>
      </c>
      <c r="BV2" s="236" t="s">
        <v>2285</v>
      </c>
      <c r="BW2" s="236" t="s">
        <v>2285</v>
      </c>
      <c r="BX2" s="236" t="s">
        <v>2284</v>
      </c>
      <c r="BY2" s="236" t="s">
        <v>2284</v>
      </c>
      <c r="BZ2" s="236" t="s">
        <v>2284</v>
      </c>
      <c r="CA2" s="236" t="s">
        <v>2284</v>
      </c>
      <c r="CB2" s="236" t="s">
        <v>2284</v>
      </c>
      <c r="CC2" s="236" t="s">
        <v>2284</v>
      </c>
      <c r="CD2" s="236" t="s">
        <v>2284</v>
      </c>
      <c r="CE2" s="236" t="s">
        <v>2285</v>
      </c>
      <c r="CF2" s="236" t="s">
        <v>2284</v>
      </c>
      <c r="CG2" s="236" t="s">
        <v>2284</v>
      </c>
      <c r="CH2" s="236" t="s">
        <v>2284</v>
      </c>
      <c r="CI2" s="236" t="s">
        <v>2284</v>
      </c>
      <c r="CJ2" s="236" t="s">
        <v>2284</v>
      </c>
      <c r="CK2" s="236" t="s">
        <v>2284</v>
      </c>
      <c r="CL2" s="254" t="s">
        <v>2284</v>
      </c>
      <c r="CM2" s="236" t="s">
        <v>2284</v>
      </c>
      <c r="CN2" s="236" t="s">
        <v>2284</v>
      </c>
      <c r="CO2" s="236" t="s">
        <v>2285</v>
      </c>
      <c r="CP2" s="236" t="s">
        <v>2284</v>
      </c>
      <c r="CQ2" s="236" t="s">
        <v>2284</v>
      </c>
      <c r="CR2" s="236" t="s">
        <v>2284</v>
      </c>
      <c r="CS2" s="236" t="s">
        <v>2284</v>
      </c>
      <c r="CT2" s="236" t="s">
        <v>2284</v>
      </c>
      <c r="CU2" s="236" t="s">
        <v>2284</v>
      </c>
      <c r="CV2" s="236" t="s">
        <v>2284</v>
      </c>
      <c r="CW2" s="236" t="s">
        <v>2284</v>
      </c>
      <c r="CX2" s="236" t="s">
        <v>2284</v>
      </c>
      <c r="CY2" s="236" t="s">
        <v>2284</v>
      </c>
      <c r="CZ2" s="236" t="s">
        <v>2284</v>
      </c>
      <c r="DA2" s="236" t="s">
        <v>2284</v>
      </c>
      <c r="DB2" s="236" t="s">
        <v>2284</v>
      </c>
      <c r="DC2" s="236" t="s">
        <v>2284</v>
      </c>
      <c r="DD2" s="236" t="s">
        <v>2284</v>
      </c>
      <c r="DE2" s="236" t="s">
        <v>2284</v>
      </c>
      <c r="DF2" s="236" t="s">
        <v>2284</v>
      </c>
      <c r="DG2" s="236" t="s">
        <v>2284</v>
      </c>
      <c r="DH2" s="236" t="s">
        <v>2284</v>
      </c>
      <c r="DI2" s="236" t="s">
        <v>2284</v>
      </c>
      <c r="DJ2" s="236" t="s">
        <v>2284</v>
      </c>
      <c r="DK2" s="236" t="s">
        <v>2284</v>
      </c>
      <c r="DL2" s="236" t="s">
        <v>2284</v>
      </c>
      <c r="DM2" s="236" t="s">
        <v>2284</v>
      </c>
      <c r="DN2" s="236" t="s">
        <v>2284</v>
      </c>
      <c r="DO2" s="236" t="s">
        <v>2284</v>
      </c>
      <c r="DP2" s="236" t="s">
        <v>2284</v>
      </c>
      <c r="DQ2" s="236" t="s">
        <v>2284</v>
      </c>
      <c r="DR2" s="255" t="s">
        <v>2286</v>
      </c>
      <c r="DS2" s="255" t="s">
        <v>2286</v>
      </c>
      <c r="DT2" s="255" t="s">
        <v>2286</v>
      </c>
      <c r="DU2" s="255" t="s">
        <v>2286</v>
      </c>
      <c r="DV2" s="255" t="s">
        <v>2286</v>
      </c>
      <c r="DW2" s="255" t="s">
        <v>2286</v>
      </c>
      <c r="DX2" s="255" t="s">
        <v>2286</v>
      </c>
      <c r="DY2" s="255" t="s">
        <v>2286</v>
      </c>
      <c r="DZ2" s="255" t="s">
        <v>2286</v>
      </c>
      <c r="EA2" s="255" t="s">
        <v>2286</v>
      </c>
      <c r="EB2" s="255" t="s">
        <v>2286</v>
      </c>
      <c r="EC2" s="256" t="s">
        <v>2286</v>
      </c>
      <c r="ED2" s="256" t="s">
        <v>2286</v>
      </c>
      <c r="EE2" s="256" t="s">
        <v>2286</v>
      </c>
      <c r="EF2" s="256" t="s">
        <v>2286</v>
      </c>
      <c r="EG2" s="256" t="s">
        <v>2286</v>
      </c>
      <c r="EH2" s="256" t="s">
        <v>2286</v>
      </c>
      <c r="EI2" s="256" t="s">
        <v>2286</v>
      </c>
      <c r="EJ2" s="256" t="s">
        <v>2286</v>
      </c>
      <c r="EK2" s="256" t="s">
        <v>2286</v>
      </c>
      <c r="EL2" s="256" t="s">
        <v>2286</v>
      </c>
      <c r="EM2" s="256" t="s">
        <v>2286</v>
      </c>
      <c r="EN2" s="256" t="s">
        <v>2286</v>
      </c>
      <c r="EO2" s="256" t="s">
        <v>2286</v>
      </c>
      <c r="EP2" s="256" t="s">
        <v>2286</v>
      </c>
      <c r="EQ2" s="256" t="s">
        <v>2286</v>
      </c>
      <c r="ER2" s="256" t="s">
        <v>2286</v>
      </c>
      <c r="ES2" s="256" t="s">
        <v>2286</v>
      </c>
      <c r="ET2" s="256" t="s">
        <v>2286</v>
      </c>
      <c r="EU2" s="256" t="s">
        <v>2286</v>
      </c>
      <c r="EV2" s="256" t="s">
        <v>2286</v>
      </c>
      <c r="EW2" s="256" t="s">
        <v>2286</v>
      </c>
      <c r="EX2" s="256" t="s">
        <v>2286</v>
      </c>
      <c r="EY2" s="256" t="s">
        <v>2286</v>
      </c>
      <c r="EZ2" s="256" t="s">
        <v>2286</v>
      </c>
      <c r="FA2" s="256" t="s">
        <v>2286</v>
      </c>
      <c r="FB2" s="256" t="s">
        <v>2286</v>
      </c>
      <c r="FC2" s="256" t="s">
        <v>2286</v>
      </c>
      <c r="FD2" s="256" t="s">
        <v>2286</v>
      </c>
      <c r="FE2" s="256" t="s">
        <v>2286</v>
      </c>
      <c r="FF2" s="256" t="s">
        <v>2286</v>
      </c>
      <c r="FG2" s="256" t="s">
        <v>2286</v>
      </c>
      <c r="FH2" s="256" t="s">
        <v>2286</v>
      </c>
      <c r="FI2" s="256" t="s">
        <v>2286</v>
      </c>
      <c r="FJ2" s="256" t="s">
        <v>2286</v>
      </c>
      <c r="FK2" s="256" t="s">
        <v>2286</v>
      </c>
      <c r="FL2" s="256" t="s">
        <v>2286</v>
      </c>
      <c r="FM2" s="256" t="s">
        <v>2286</v>
      </c>
      <c r="FN2" s="256" t="s">
        <v>2286</v>
      </c>
      <c r="FO2" s="256" t="s">
        <v>2286</v>
      </c>
      <c r="FP2" s="256" t="s">
        <v>2286</v>
      </c>
      <c r="FQ2" s="256" t="s">
        <v>2286</v>
      </c>
      <c r="FR2" s="256" t="s">
        <v>2286</v>
      </c>
      <c r="FS2" s="256" t="s">
        <v>2286</v>
      </c>
      <c r="FT2" s="256" t="s">
        <v>2286</v>
      </c>
      <c r="FU2" s="256" t="s">
        <v>2286</v>
      </c>
      <c r="FV2" s="256" t="s">
        <v>2286</v>
      </c>
      <c r="FW2" s="256" t="s">
        <v>2286</v>
      </c>
      <c r="FX2" s="256" t="s">
        <v>2286</v>
      </c>
      <c r="FY2" s="256" t="s">
        <v>2286</v>
      </c>
      <c r="FZ2" s="256" t="s">
        <v>2286</v>
      </c>
      <c r="GA2" s="256" t="s">
        <v>2286</v>
      </c>
      <c r="GB2" s="256" t="s">
        <v>2286</v>
      </c>
      <c r="GC2" s="256" t="s">
        <v>2286</v>
      </c>
      <c r="GD2" s="256" t="s">
        <v>2286</v>
      </c>
      <c r="GE2" s="256" t="s">
        <v>2286</v>
      </c>
      <c r="GF2" s="256" t="s">
        <v>2286</v>
      </c>
      <c r="GG2" s="256" t="s">
        <v>2286</v>
      </c>
      <c r="GH2" s="256" t="s">
        <v>2286</v>
      </c>
      <c r="GI2" s="256" t="s">
        <v>2286</v>
      </c>
      <c r="GJ2" s="256" t="s">
        <v>2286</v>
      </c>
      <c r="GK2" s="256" t="s">
        <v>2286</v>
      </c>
      <c r="GL2" s="256" t="s">
        <v>2286</v>
      </c>
      <c r="GM2" s="256" t="s">
        <v>2286</v>
      </c>
      <c r="GN2" s="256" t="s">
        <v>2286</v>
      </c>
      <c r="GO2" s="256" t="s">
        <v>2286</v>
      </c>
      <c r="GP2" s="257" t="s">
        <v>2286</v>
      </c>
      <c r="GQ2" s="257" t="s">
        <v>2286</v>
      </c>
      <c r="GR2" s="257" t="s">
        <v>2286</v>
      </c>
      <c r="GS2" s="257" t="s">
        <v>2286</v>
      </c>
      <c r="GT2" s="257" t="s">
        <v>2286</v>
      </c>
      <c r="GU2" s="257" t="s">
        <v>2286</v>
      </c>
      <c r="GV2" s="257" t="s">
        <v>2286</v>
      </c>
      <c r="GW2" s="257" t="s">
        <v>2286</v>
      </c>
      <c r="GX2" s="257" t="s">
        <v>2286</v>
      </c>
      <c r="GY2" s="257" t="s">
        <v>2286</v>
      </c>
      <c r="GZ2" s="257" t="s">
        <v>2286</v>
      </c>
      <c r="HA2" s="257" t="s">
        <v>2286</v>
      </c>
      <c r="HB2" s="257" t="s">
        <v>2286</v>
      </c>
      <c r="HC2" s="257" t="s">
        <v>2286</v>
      </c>
      <c r="HD2" s="257" t="s">
        <v>2286</v>
      </c>
      <c r="HE2" s="257" t="s">
        <v>2286</v>
      </c>
      <c r="HF2" s="257" t="s">
        <v>2286</v>
      </c>
      <c r="HG2" s="257" t="s">
        <v>2286</v>
      </c>
      <c r="HH2" s="257" t="s">
        <v>2286</v>
      </c>
      <c r="HI2" s="257" t="s">
        <v>2286</v>
      </c>
      <c r="HJ2" s="257" t="s">
        <v>2286</v>
      </c>
      <c r="HK2" s="257" t="s">
        <v>2286</v>
      </c>
      <c r="HL2" s="257" t="s">
        <v>2286</v>
      </c>
      <c r="HM2" s="257" t="s">
        <v>2286</v>
      </c>
      <c r="HN2" s="257" t="s">
        <v>2286</v>
      </c>
      <c r="HO2" s="257" t="s">
        <v>2286</v>
      </c>
      <c r="HP2" s="257" t="s">
        <v>2286</v>
      </c>
      <c r="HQ2" s="257" t="s">
        <v>2286</v>
      </c>
      <c r="HR2" s="257" t="s">
        <v>2286</v>
      </c>
      <c r="HS2" s="257" t="s">
        <v>2286</v>
      </c>
      <c r="HT2" s="257" t="s">
        <v>2286</v>
      </c>
      <c r="HU2" s="257" t="s">
        <v>2286</v>
      </c>
      <c r="HV2" s="257" t="s">
        <v>2286</v>
      </c>
      <c r="HW2" s="257" t="s">
        <v>2286</v>
      </c>
      <c r="HX2" s="257" t="s">
        <v>2286</v>
      </c>
      <c r="HY2" s="257" t="s">
        <v>2286</v>
      </c>
      <c r="HZ2" s="257" t="s">
        <v>2286</v>
      </c>
      <c r="IA2" s="257" t="s">
        <v>2286</v>
      </c>
      <c r="IB2" s="257" t="s">
        <v>2286</v>
      </c>
      <c r="IC2" s="257" t="s">
        <v>2286</v>
      </c>
      <c r="ID2" s="257" t="s">
        <v>2286</v>
      </c>
      <c r="IE2" s="257" t="s">
        <v>2286</v>
      </c>
      <c r="IF2" s="257" t="s">
        <v>2286</v>
      </c>
      <c r="IG2" s="244" t="s">
        <v>2286</v>
      </c>
      <c r="IH2" s="244" t="s">
        <v>2286</v>
      </c>
      <c r="II2" s="244" t="s">
        <v>2286</v>
      </c>
      <c r="IJ2" s="244" t="s">
        <v>2286</v>
      </c>
      <c r="IK2" s="244" t="s">
        <v>2286</v>
      </c>
      <c r="IL2" s="244" t="s">
        <v>2286</v>
      </c>
      <c r="IM2" s="244" t="s">
        <v>2286</v>
      </c>
      <c r="IN2" s="244" t="s">
        <v>2286</v>
      </c>
      <c r="IO2" s="244" t="s">
        <v>2286</v>
      </c>
      <c r="IP2" s="244" t="s">
        <v>2286</v>
      </c>
      <c r="IQ2" s="244" t="s">
        <v>2286</v>
      </c>
      <c r="IR2" s="244" t="s">
        <v>2286</v>
      </c>
      <c r="IS2" s="244" t="s">
        <v>2286</v>
      </c>
      <c r="IT2" s="244" t="s">
        <v>2286</v>
      </c>
      <c r="IU2" s="244" t="s">
        <v>2286</v>
      </c>
      <c r="IV2" s="244" t="s">
        <v>2286</v>
      </c>
      <c r="IW2" s="244" t="s">
        <v>2286</v>
      </c>
      <c r="IX2" s="244" t="s">
        <v>2286</v>
      </c>
      <c r="IY2" s="244" t="s">
        <v>2286</v>
      </c>
      <c r="IZ2" s="244" t="s">
        <v>2286</v>
      </c>
      <c r="JA2" s="244" t="s">
        <v>2286</v>
      </c>
      <c r="JB2" s="244" t="s">
        <v>2286</v>
      </c>
      <c r="JC2" s="244" t="s">
        <v>2286</v>
      </c>
      <c r="JD2" s="244" t="s">
        <v>2286</v>
      </c>
      <c r="JE2" s="244" t="s">
        <v>2286</v>
      </c>
      <c r="JF2" s="244" t="s">
        <v>2286</v>
      </c>
      <c r="JG2" s="244" t="s">
        <v>2286</v>
      </c>
      <c r="JH2" s="244" t="s">
        <v>2286</v>
      </c>
      <c r="JI2" s="244" t="s">
        <v>2286</v>
      </c>
      <c r="JJ2" s="244" t="s">
        <v>2286</v>
      </c>
      <c r="JK2" s="244" t="s">
        <v>2286</v>
      </c>
    </row>
    <row r="3" spans="1:271" ht="25.5">
      <c r="A3" s="251" t="s">
        <v>2287</v>
      </c>
      <c r="B3" s="258">
        <v>1967</v>
      </c>
      <c r="C3" s="258">
        <v>1967</v>
      </c>
      <c r="D3" s="258" t="s">
        <v>2288</v>
      </c>
      <c r="E3" s="258" t="s">
        <v>2289</v>
      </c>
      <c r="F3" s="258" t="s">
        <v>2290</v>
      </c>
      <c r="G3" s="258" t="s">
        <v>2291</v>
      </c>
      <c r="H3" s="258" t="s">
        <v>2292</v>
      </c>
      <c r="I3" s="258" t="s">
        <v>2293</v>
      </c>
      <c r="J3" s="258" t="s">
        <v>2293</v>
      </c>
      <c r="K3" s="258" t="s">
        <v>2294</v>
      </c>
      <c r="L3" s="258" t="s">
        <v>2295</v>
      </c>
      <c r="M3" s="258" t="s">
        <v>2296</v>
      </c>
      <c r="N3" s="258" t="s">
        <v>2297</v>
      </c>
      <c r="O3" s="258" t="s">
        <v>2298</v>
      </c>
      <c r="P3" s="258" t="s">
        <v>2299</v>
      </c>
      <c r="Q3" s="258" t="s">
        <v>2300</v>
      </c>
      <c r="R3" s="258" t="s">
        <v>2301</v>
      </c>
      <c r="S3" s="258" t="s">
        <v>2301</v>
      </c>
      <c r="T3" s="258" t="s">
        <v>2302</v>
      </c>
      <c r="U3" s="258" t="s">
        <v>2302</v>
      </c>
      <c r="V3" s="258" t="s">
        <v>2303</v>
      </c>
      <c r="W3" s="258" t="s">
        <v>2304</v>
      </c>
      <c r="X3" s="258" t="s">
        <v>2305</v>
      </c>
      <c r="Y3" s="258" t="s">
        <v>2306</v>
      </c>
      <c r="Z3" s="258" t="s">
        <v>2307</v>
      </c>
      <c r="AA3" s="258">
        <v>2006</v>
      </c>
      <c r="AB3" s="258" t="s">
        <v>2308</v>
      </c>
      <c r="AC3" s="258" t="s">
        <v>2308</v>
      </c>
      <c r="AD3" s="258" t="s">
        <v>2309</v>
      </c>
      <c r="AE3" s="258">
        <v>2022</v>
      </c>
      <c r="AF3" s="258">
        <v>2022</v>
      </c>
      <c r="AG3" s="258">
        <v>2022</v>
      </c>
      <c r="AH3" s="258">
        <v>2022</v>
      </c>
      <c r="AI3" s="258">
        <v>2019</v>
      </c>
      <c r="AJ3" s="258" t="s">
        <v>2310</v>
      </c>
      <c r="AK3" s="258">
        <v>2022</v>
      </c>
      <c r="AL3" s="258" t="s">
        <v>2311</v>
      </c>
      <c r="AM3" s="258" t="s">
        <v>2312</v>
      </c>
      <c r="AN3" s="258" t="s">
        <v>2313</v>
      </c>
      <c r="AO3" s="258" t="s">
        <v>2314</v>
      </c>
      <c r="AP3" s="258" t="s">
        <v>2315</v>
      </c>
      <c r="AQ3" s="258" t="s">
        <v>2316</v>
      </c>
      <c r="AR3" s="258" t="s">
        <v>2317</v>
      </c>
      <c r="AS3" s="258">
        <v>1976</v>
      </c>
      <c r="AT3" s="258">
        <v>1976</v>
      </c>
      <c r="AU3" s="259">
        <v>2006</v>
      </c>
      <c r="AV3" s="260">
        <v>2005</v>
      </c>
      <c r="AW3" s="258" t="s">
        <v>2318</v>
      </c>
      <c r="AX3" s="258" t="s">
        <v>2319</v>
      </c>
      <c r="AY3" s="258" t="s">
        <v>2320</v>
      </c>
      <c r="AZ3" s="258" t="s">
        <v>2321</v>
      </c>
      <c r="BA3" s="258" t="s">
        <v>2322</v>
      </c>
      <c r="BB3" s="258" t="s">
        <v>2323</v>
      </c>
      <c r="BC3" s="258" t="s">
        <v>2324</v>
      </c>
      <c r="BD3" s="258" t="s">
        <v>2325</v>
      </c>
      <c r="BE3" s="258" t="s">
        <v>2326</v>
      </c>
      <c r="BF3" s="258" t="s">
        <v>2327</v>
      </c>
      <c r="BG3" s="258" t="s">
        <v>2328</v>
      </c>
      <c r="BH3" s="258">
        <v>2022</v>
      </c>
      <c r="BI3" s="258" t="s">
        <v>2329</v>
      </c>
      <c r="BJ3" s="258" t="s">
        <v>2330</v>
      </c>
      <c r="BK3" s="258" t="s">
        <v>2331</v>
      </c>
      <c r="BL3" s="258">
        <v>2022</v>
      </c>
      <c r="BM3" s="258">
        <v>2022</v>
      </c>
      <c r="BN3" s="258" t="s">
        <v>2332</v>
      </c>
      <c r="BO3" s="258" t="s">
        <v>2333</v>
      </c>
      <c r="BP3" s="258" t="s">
        <v>2334</v>
      </c>
      <c r="BQ3" s="258" t="s">
        <v>2335</v>
      </c>
      <c r="BR3" s="258" t="s">
        <v>2336</v>
      </c>
      <c r="BS3" s="258" t="s">
        <v>2337</v>
      </c>
      <c r="BT3" s="258" t="s">
        <v>2338</v>
      </c>
      <c r="BU3" s="258" t="s">
        <v>2339</v>
      </c>
      <c r="BV3" s="258" t="s">
        <v>2340</v>
      </c>
      <c r="BW3" s="258" t="s">
        <v>2340</v>
      </c>
      <c r="BX3" s="258" t="s">
        <v>2341</v>
      </c>
      <c r="BY3" s="258" t="s">
        <v>2342</v>
      </c>
      <c r="BZ3" s="258" t="s">
        <v>2342</v>
      </c>
      <c r="CA3" s="258" t="s">
        <v>2342</v>
      </c>
      <c r="CB3" s="258" t="s">
        <v>2342</v>
      </c>
      <c r="CC3" s="258" t="s">
        <v>2343</v>
      </c>
      <c r="CD3" s="258" t="s">
        <v>2344</v>
      </c>
      <c r="CE3" s="258" t="s">
        <v>2345</v>
      </c>
      <c r="CF3" s="258" t="s">
        <v>2346</v>
      </c>
      <c r="CG3" s="258" t="s">
        <v>2347</v>
      </c>
      <c r="CH3" s="258" t="s">
        <v>2348</v>
      </c>
      <c r="CI3" s="258" t="s">
        <v>2349</v>
      </c>
      <c r="CJ3" s="258" t="s">
        <v>2345</v>
      </c>
      <c r="CK3" s="258" t="s">
        <v>2344</v>
      </c>
      <c r="CL3" s="258" t="s">
        <v>2350</v>
      </c>
      <c r="CM3" s="258" t="s">
        <v>2351</v>
      </c>
      <c r="CN3" s="258" t="s">
        <v>2352</v>
      </c>
      <c r="CO3" s="258" t="s">
        <v>2331</v>
      </c>
      <c r="CP3" s="258" t="s">
        <v>2353</v>
      </c>
      <c r="CQ3" s="258" t="s">
        <v>2354</v>
      </c>
      <c r="CR3" s="258" t="s">
        <v>2354</v>
      </c>
      <c r="CS3" s="258" t="s">
        <v>2354</v>
      </c>
      <c r="CT3" s="258" t="s">
        <v>2354</v>
      </c>
      <c r="CU3" s="258" t="s">
        <v>2354</v>
      </c>
      <c r="CV3" s="258" t="s">
        <v>2354</v>
      </c>
      <c r="CW3" s="258" t="s">
        <v>2355</v>
      </c>
      <c r="CX3" s="258" t="s">
        <v>2356</v>
      </c>
      <c r="CY3" s="258" t="s">
        <v>2357</v>
      </c>
      <c r="CZ3" s="261" t="s">
        <v>2358</v>
      </c>
      <c r="DA3" s="258" t="s">
        <v>2359</v>
      </c>
      <c r="DB3" s="258" t="s">
        <v>2360</v>
      </c>
      <c r="DC3" s="258" t="s">
        <v>2361</v>
      </c>
      <c r="DD3" s="258" t="s">
        <v>2362</v>
      </c>
      <c r="DE3" s="258" t="s">
        <v>2362</v>
      </c>
      <c r="DF3" s="258" t="s">
        <v>2363</v>
      </c>
      <c r="DG3" s="258" t="s">
        <v>2310</v>
      </c>
      <c r="DH3" s="258">
        <v>2004</v>
      </c>
      <c r="DI3" s="258">
        <v>2004</v>
      </c>
      <c r="DJ3" s="258">
        <v>2004</v>
      </c>
      <c r="DK3" s="258">
        <v>2004</v>
      </c>
      <c r="DL3" s="258">
        <v>2004</v>
      </c>
      <c r="DM3" s="258">
        <v>2004</v>
      </c>
      <c r="DN3" s="258" t="s">
        <v>2364</v>
      </c>
      <c r="DO3" s="236" t="s">
        <v>2365</v>
      </c>
      <c r="DP3" s="236" t="s">
        <v>2366</v>
      </c>
      <c r="DQ3" s="236" t="s">
        <v>2367</v>
      </c>
      <c r="DR3" s="262">
        <v>1989</v>
      </c>
      <c r="DS3" s="262">
        <v>1989</v>
      </c>
      <c r="DT3" s="262">
        <v>1989</v>
      </c>
      <c r="DU3" s="262">
        <v>1989</v>
      </c>
      <c r="DV3" s="262">
        <v>1989</v>
      </c>
      <c r="DW3" s="262">
        <v>1989</v>
      </c>
      <c r="DX3" s="262">
        <v>1989</v>
      </c>
      <c r="DY3" s="262">
        <v>1989</v>
      </c>
      <c r="DZ3" s="262">
        <v>1989</v>
      </c>
      <c r="EA3" s="262">
        <v>1989</v>
      </c>
      <c r="EB3" s="262">
        <v>1989</v>
      </c>
      <c r="EC3" s="262">
        <v>2011</v>
      </c>
      <c r="ED3" s="262">
        <v>2011</v>
      </c>
      <c r="EE3" s="262">
        <v>2011</v>
      </c>
      <c r="EF3" s="262">
        <v>2011</v>
      </c>
      <c r="EG3" s="262">
        <v>2011</v>
      </c>
      <c r="EH3" s="262">
        <v>2011</v>
      </c>
      <c r="EI3" s="262">
        <v>2011</v>
      </c>
      <c r="EJ3" s="262">
        <v>2014</v>
      </c>
      <c r="EK3" s="262">
        <v>2014</v>
      </c>
      <c r="EL3" s="262">
        <v>1985</v>
      </c>
      <c r="EM3" s="262">
        <v>1985</v>
      </c>
      <c r="EN3" s="262">
        <v>1985</v>
      </c>
      <c r="EO3" s="262">
        <v>1985</v>
      </c>
      <c r="EP3" s="262">
        <v>1985</v>
      </c>
      <c r="EQ3" s="262">
        <v>1985</v>
      </c>
      <c r="ER3" s="262">
        <v>1985</v>
      </c>
      <c r="ES3" s="262">
        <v>1985</v>
      </c>
      <c r="ET3" s="244">
        <v>2021</v>
      </c>
      <c r="EU3" s="244">
        <v>2021</v>
      </c>
      <c r="EV3" s="244">
        <v>2021</v>
      </c>
      <c r="EW3" s="244">
        <v>2021</v>
      </c>
      <c r="EX3" s="244">
        <v>2021</v>
      </c>
      <c r="EY3" s="244">
        <v>2021</v>
      </c>
      <c r="EZ3" s="244">
        <v>2021</v>
      </c>
      <c r="FA3" s="244">
        <v>2021</v>
      </c>
      <c r="FB3" s="244">
        <v>2021</v>
      </c>
      <c r="FC3" s="244">
        <v>2021</v>
      </c>
      <c r="FD3" s="244">
        <v>2021</v>
      </c>
      <c r="FE3" s="244">
        <v>2021</v>
      </c>
      <c r="FF3" s="244">
        <v>2021</v>
      </c>
      <c r="FG3" s="244">
        <v>2021</v>
      </c>
      <c r="FH3" s="244">
        <v>2021</v>
      </c>
      <c r="FI3" s="244">
        <v>2021</v>
      </c>
      <c r="FJ3" s="244">
        <v>2021</v>
      </c>
      <c r="FK3" s="244">
        <v>2021</v>
      </c>
      <c r="FL3" s="244">
        <v>2021</v>
      </c>
      <c r="FM3" s="244">
        <v>2021</v>
      </c>
      <c r="FN3" s="244">
        <v>2021</v>
      </c>
      <c r="FO3" s="263">
        <v>2022</v>
      </c>
      <c r="FP3" s="263">
        <v>2022</v>
      </c>
      <c r="FQ3" s="263">
        <v>2022</v>
      </c>
      <c r="FR3" s="263">
        <v>2022</v>
      </c>
      <c r="FS3" s="263">
        <v>2022</v>
      </c>
      <c r="FT3" s="263">
        <v>2022</v>
      </c>
      <c r="FU3" s="263">
        <v>2022</v>
      </c>
      <c r="FV3" s="244" t="s">
        <v>2368</v>
      </c>
      <c r="FW3" s="244" t="s">
        <v>2368</v>
      </c>
      <c r="FX3" s="244" t="s">
        <v>2368</v>
      </c>
      <c r="FY3" s="244" t="s">
        <v>2368</v>
      </c>
      <c r="FZ3" s="244" t="s">
        <v>2368</v>
      </c>
      <c r="GA3" s="244" t="s">
        <v>2368</v>
      </c>
      <c r="GB3" s="244" t="s">
        <v>2368</v>
      </c>
      <c r="GC3" s="244" t="s">
        <v>2368</v>
      </c>
      <c r="GD3" s="244" t="s">
        <v>2368</v>
      </c>
      <c r="GE3" s="244" t="s">
        <v>2368</v>
      </c>
      <c r="GF3" s="244">
        <v>2021</v>
      </c>
      <c r="GG3" s="244">
        <v>2021</v>
      </c>
      <c r="GH3" s="244">
        <v>2021</v>
      </c>
      <c r="GI3" s="244">
        <v>2021</v>
      </c>
      <c r="GJ3" s="244">
        <v>2021</v>
      </c>
      <c r="GK3" s="244">
        <v>2021</v>
      </c>
      <c r="GL3" s="244">
        <v>2021</v>
      </c>
      <c r="GM3" s="244">
        <v>2021</v>
      </c>
      <c r="GN3" s="244">
        <v>2021</v>
      </c>
      <c r="GO3" s="244">
        <v>2021</v>
      </c>
      <c r="GP3" s="262">
        <v>2009</v>
      </c>
      <c r="GQ3" s="262">
        <v>2009</v>
      </c>
      <c r="GR3" s="262">
        <v>2009</v>
      </c>
      <c r="GS3" s="262">
        <v>2009</v>
      </c>
      <c r="GT3" s="262">
        <v>2009</v>
      </c>
      <c r="GU3" s="262">
        <v>2009</v>
      </c>
      <c r="GV3" s="262">
        <v>2009</v>
      </c>
      <c r="GW3" s="262">
        <v>2009</v>
      </c>
      <c r="GX3" s="262">
        <v>2009</v>
      </c>
      <c r="GY3" s="262">
        <v>2022</v>
      </c>
      <c r="GZ3" s="262">
        <v>2022</v>
      </c>
      <c r="HA3" s="262">
        <v>2022</v>
      </c>
      <c r="HB3" s="262">
        <v>2022</v>
      </c>
      <c r="HC3" s="262">
        <v>2022</v>
      </c>
      <c r="HD3" s="262">
        <v>2022</v>
      </c>
      <c r="HE3" s="262">
        <v>2022</v>
      </c>
      <c r="HF3" s="262">
        <v>2022</v>
      </c>
      <c r="HG3" s="262">
        <v>2022</v>
      </c>
      <c r="HH3" s="262">
        <v>2022</v>
      </c>
      <c r="HI3" s="262">
        <v>2022</v>
      </c>
      <c r="HJ3" s="262">
        <v>2022</v>
      </c>
      <c r="HK3" s="262">
        <v>2022</v>
      </c>
      <c r="HL3" s="262">
        <v>2022</v>
      </c>
      <c r="HM3" s="262">
        <v>2022</v>
      </c>
      <c r="HN3" s="262">
        <v>2022</v>
      </c>
      <c r="HO3" s="262">
        <v>2022</v>
      </c>
      <c r="HP3" s="262">
        <v>2022</v>
      </c>
      <c r="HQ3" s="262">
        <v>2022</v>
      </c>
      <c r="HR3" s="262">
        <v>2022</v>
      </c>
      <c r="HS3" s="262">
        <v>2022</v>
      </c>
      <c r="HT3" s="262">
        <v>2022</v>
      </c>
      <c r="HU3" s="262">
        <v>2022</v>
      </c>
      <c r="HV3" s="244">
        <v>2022</v>
      </c>
      <c r="HW3" s="244">
        <v>2022</v>
      </c>
      <c r="HX3" s="244">
        <v>2022</v>
      </c>
      <c r="HY3" s="244">
        <v>2022</v>
      </c>
      <c r="HZ3" s="244">
        <v>2022</v>
      </c>
      <c r="IA3" s="244">
        <v>2022</v>
      </c>
      <c r="IB3" s="244">
        <v>2022</v>
      </c>
      <c r="IC3" s="244">
        <v>2022</v>
      </c>
      <c r="ID3" s="244">
        <v>2022</v>
      </c>
      <c r="IE3" s="244">
        <v>2022</v>
      </c>
      <c r="IF3" s="244">
        <v>2022</v>
      </c>
      <c r="IG3" s="244">
        <v>2015</v>
      </c>
      <c r="IH3" s="244">
        <v>2015</v>
      </c>
      <c r="II3" s="244">
        <v>2015</v>
      </c>
      <c r="IJ3" s="244">
        <v>2015</v>
      </c>
      <c r="IK3" s="244">
        <v>2015</v>
      </c>
      <c r="IL3" s="244">
        <v>2015</v>
      </c>
      <c r="IM3" s="244">
        <v>2015</v>
      </c>
      <c r="IN3" s="244">
        <v>2015</v>
      </c>
      <c r="IO3" s="244">
        <v>2015</v>
      </c>
      <c r="IP3" s="244">
        <v>2015</v>
      </c>
      <c r="IQ3" s="244">
        <v>2015</v>
      </c>
      <c r="IR3" s="244">
        <v>2015</v>
      </c>
      <c r="IS3" s="244">
        <v>2005</v>
      </c>
      <c r="IT3" s="244">
        <v>2005</v>
      </c>
      <c r="IU3" s="244">
        <v>2005</v>
      </c>
      <c r="IV3" s="244">
        <v>2005</v>
      </c>
      <c r="IW3" s="244">
        <v>2005</v>
      </c>
      <c r="IX3" s="244">
        <v>2005</v>
      </c>
      <c r="IY3" s="244">
        <v>2022</v>
      </c>
      <c r="IZ3" s="244">
        <v>2022</v>
      </c>
      <c r="JA3" s="244">
        <v>2022</v>
      </c>
      <c r="JB3" s="244">
        <v>2022</v>
      </c>
      <c r="JC3" s="244">
        <v>2016</v>
      </c>
      <c r="JD3" s="244">
        <v>2016</v>
      </c>
      <c r="JE3" s="244">
        <v>2016</v>
      </c>
      <c r="JF3" s="244">
        <v>2016</v>
      </c>
      <c r="JG3" s="244">
        <v>2016</v>
      </c>
      <c r="JH3" s="244">
        <v>2015</v>
      </c>
      <c r="JI3" s="244">
        <v>2015</v>
      </c>
      <c r="JJ3" s="244">
        <v>2015</v>
      </c>
      <c r="JK3" s="244">
        <v>2010</v>
      </c>
    </row>
    <row r="4" spans="1:271">
      <c r="A4" s="264" t="s">
        <v>2369</v>
      </c>
      <c r="B4" s="236">
        <v>1965</v>
      </c>
      <c r="C4" s="236">
        <v>1965</v>
      </c>
      <c r="D4" s="236">
        <v>1981</v>
      </c>
      <c r="E4" s="265">
        <v>1998</v>
      </c>
      <c r="F4" s="236">
        <v>1996</v>
      </c>
      <c r="G4" s="236">
        <v>2005</v>
      </c>
      <c r="H4" s="236">
        <v>1978</v>
      </c>
      <c r="I4" s="236">
        <v>1973</v>
      </c>
      <c r="J4" s="236">
        <v>1973</v>
      </c>
      <c r="K4" s="236">
        <v>1957</v>
      </c>
      <c r="L4" s="236">
        <v>1957</v>
      </c>
      <c r="M4" s="236">
        <v>1980</v>
      </c>
      <c r="N4" s="236">
        <v>1982</v>
      </c>
      <c r="O4" s="236">
        <v>1962</v>
      </c>
      <c r="P4" s="236">
        <v>1966</v>
      </c>
      <c r="Q4" s="236">
        <v>1976</v>
      </c>
      <c r="R4" s="236">
        <v>1961</v>
      </c>
      <c r="S4" s="236">
        <v>1961</v>
      </c>
      <c r="T4" s="236">
        <v>1957</v>
      </c>
      <c r="U4" s="236">
        <v>1957</v>
      </c>
      <c r="V4" s="236">
        <v>1979</v>
      </c>
      <c r="W4" s="236">
        <v>1998</v>
      </c>
      <c r="X4" s="236">
        <v>1956</v>
      </c>
      <c r="Y4" s="236">
        <v>2006</v>
      </c>
      <c r="Z4" s="236">
        <v>1978</v>
      </c>
      <c r="AA4" s="236">
        <v>2006</v>
      </c>
      <c r="AB4" s="236">
        <v>1995</v>
      </c>
      <c r="AC4" s="236">
        <v>2001</v>
      </c>
      <c r="AD4" s="236">
        <v>2010</v>
      </c>
      <c r="AE4" s="236">
        <v>1991</v>
      </c>
      <c r="AF4" s="236">
        <v>2007</v>
      </c>
      <c r="AG4" s="236">
        <v>1997</v>
      </c>
      <c r="AH4" s="236">
        <v>1999</v>
      </c>
      <c r="AI4" s="236">
        <v>1996</v>
      </c>
      <c r="AJ4" s="236">
        <v>2016</v>
      </c>
      <c r="AK4" s="236">
        <v>1991</v>
      </c>
      <c r="AL4" s="236">
        <v>2015</v>
      </c>
      <c r="AM4" s="236">
        <v>1977</v>
      </c>
      <c r="AN4" s="236">
        <v>2007</v>
      </c>
      <c r="AO4" s="236">
        <v>2008</v>
      </c>
      <c r="AP4" s="236">
        <v>1976</v>
      </c>
      <c r="AQ4" s="236">
        <v>1964</v>
      </c>
      <c r="AR4" s="236">
        <v>1975</v>
      </c>
      <c r="AS4" s="236">
        <v>1979</v>
      </c>
      <c r="AT4" s="236">
        <v>1979</v>
      </c>
      <c r="AU4" s="236">
        <v>1965</v>
      </c>
      <c r="AV4" s="236">
        <v>1965</v>
      </c>
      <c r="AW4" s="236">
        <v>1961</v>
      </c>
      <c r="AX4" s="236">
        <v>1971</v>
      </c>
      <c r="AY4" s="236">
        <v>1971</v>
      </c>
      <c r="AZ4" s="236">
        <v>2000</v>
      </c>
      <c r="BA4" s="236">
        <v>1985</v>
      </c>
      <c r="BB4" s="236">
        <v>1978</v>
      </c>
      <c r="BC4" s="236">
        <v>1979</v>
      </c>
      <c r="BD4" s="236">
        <v>2015</v>
      </c>
      <c r="BE4" s="236">
        <v>1966</v>
      </c>
      <c r="BF4" s="236">
        <v>1990</v>
      </c>
      <c r="BG4" s="236">
        <v>2007</v>
      </c>
      <c r="BH4" s="236">
        <v>1996</v>
      </c>
      <c r="BI4" s="236">
        <v>1969</v>
      </c>
      <c r="BJ4" s="236">
        <v>1979</v>
      </c>
      <c r="BK4" s="236">
        <v>2020</v>
      </c>
      <c r="BL4" s="236">
        <v>2020</v>
      </c>
      <c r="BM4" s="236">
        <v>2021</v>
      </c>
      <c r="BN4" s="236">
        <v>2015</v>
      </c>
      <c r="BO4" s="236">
        <v>2007</v>
      </c>
      <c r="BP4" s="236">
        <v>2004</v>
      </c>
      <c r="BQ4" s="236">
        <v>2005</v>
      </c>
      <c r="BR4" s="236">
        <v>1999</v>
      </c>
      <c r="BS4" s="236">
        <v>1997</v>
      </c>
      <c r="BT4" s="236">
        <v>1990</v>
      </c>
      <c r="BU4" s="236">
        <v>2000</v>
      </c>
      <c r="BV4" s="236">
        <v>1988</v>
      </c>
      <c r="BW4" s="236">
        <v>1985</v>
      </c>
      <c r="BX4" s="236">
        <v>1985</v>
      </c>
      <c r="BY4" s="236">
        <v>1986</v>
      </c>
      <c r="BZ4" s="236">
        <v>1986</v>
      </c>
      <c r="CA4" s="236">
        <v>1988</v>
      </c>
      <c r="CB4" s="236">
        <v>1988</v>
      </c>
      <c r="CC4" s="236">
        <v>2012</v>
      </c>
      <c r="CD4" s="236">
        <v>1985</v>
      </c>
      <c r="CE4" s="236">
        <v>1985</v>
      </c>
      <c r="CF4" s="236">
        <v>1995</v>
      </c>
      <c r="CG4" s="236">
        <v>1995</v>
      </c>
      <c r="CH4" s="236">
        <v>2007</v>
      </c>
      <c r="CI4" s="236">
        <v>1997</v>
      </c>
      <c r="CJ4" s="236">
        <v>1988</v>
      </c>
      <c r="CK4" s="236">
        <v>1988</v>
      </c>
      <c r="CL4" s="236">
        <v>1995</v>
      </c>
      <c r="CM4" s="236">
        <v>1997</v>
      </c>
      <c r="CN4" s="236">
        <v>2006</v>
      </c>
      <c r="CO4" s="236">
        <v>2004</v>
      </c>
      <c r="CP4" s="236">
        <v>2002</v>
      </c>
      <c r="CQ4" s="236">
        <v>1993</v>
      </c>
      <c r="CR4" s="236">
        <v>1993</v>
      </c>
      <c r="CS4" s="236">
        <v>1994</v>
      </c>
      <c r="CT4" s="236">
        <v>1994</v>
      </c>
      <c r="CU4" s="236">
        <v>1993</v>
      </c>
      <c r="CV4" s="236">
        <v>1993</v>
      </c>
      <c r="CW4" s="236">
        <v>1993</v>
      </c>
      <c r="CX4" s="236">
        <v>1997</v>
      </c>
      <c r="CY4" s="236">
        <v>1989</v>
      </c>
      <c r="CZ4" s="236">
        <v>1994</v>
      </c>
      <c r="DA4" s="236">
        <v>2005</v>
      </c>
      <c r="DB4" s="236">
        <v>1998</v>
      </c>
      <c r="DC4" s="236">
        <v>1993</v>
      </c>
      <c r="DD4" s="236">
        <v>1998</v>
      </c>
      <c r="DE4" s="236">
        <v>2000</v>
      </c>
      <c r="DF4" s="236">
        <v>2014</v>
      </c>
      <c r="DG4" s="236">
        <v>2017</v>
      </c>
      <c r="DH4" s="236">
        <v>1971</v>
      </c>
      <c r="DI4" s="236">
        <v>1971</v>
      </c>
      <c r="DJ4" s="236">
        <v>1972</v>
      </c>
      <c r="DK4" s="236">
        <v>1972</v>
      </c>
      <c r="DL4" s="236">
        <v>1972</v>
      </c>
      <c r="DM4" s="236">
        <v>1974</v>
      </c>
      <c r="DN4" s="236">
        <v>2006</v>
      </c>
      <c r="DO4" s="266">
        <v>1998</v>
      </c>
      <c r="DP4" s="267">
        <v>1998</v>
      </c>
      <c r="DQ4" s="267">
        <v>2002</v>
      </c>
      <c r="DR4" s="262">
        <v>1959</v>
      </c>
      <c r="DS4" s="262"/>
      <c r="DT4" s="262">
        <v>1960</v>
      </c>
      <c r="DU4" s="262"/>
      <c r="DV4" s="262"/>
      <c r="DW4" s="262">
        <v>1966</v>
      </c>
      <c r="DX4" s="262">
        <v>1967</v>
      </c>
      <c r="DY4" s="262"/>
      <c r="DZ4" s="262"/>
      <c r="EA4" s="262"/>
      <c r="EB4" s="262"/>
      <c r="EC4" s="262">
        <v>1960</v>
      </c>
      <c r="ED4" s="262">
        <v>1960</v>
      </c>
      <c r="EE4" s="262"/>
      <c r="EF4" s="262"/>
      <c r="EG4" s="262"/>
      <c r="EH4" s="262"/>
      <c r="EI4" s="262"/>
      <c r="EJ4" s="262"/>
      <c r="EK4" s="262"/>
      <c r="EL4" s="262">
        <v>1966</v>
      </c>
      <c r="EM4" s="262">
        <v>1967</v>
      </c>
      <c r="EN4" s="262">
        <v>1966</v>
      </c>
      <c r="EO4" s="262">
        <v>1967</v>
      </c>
      <c r="EP4" s="262">
        <v>1967</v>
      </c>
      <c r="EQ4" s="262">
        <v>1971</v>
      </c>
      <c r="ER4" s="262">
        <v>1974</v>
      </c>
      <c r="ES4" s="262">
        <v>1974</v>
      </c>
      <c r="ET4" s="262">
        <v>1966</v>
      </c>
      <c r="EU4" s="262">
        <v>1967</v>
      </c>
      <c r="EV4" s="262">
        <v>1967</v>
      </c>
      <c r="EW4" s="262">
        <v>1971</v>
      </c>
      <c r="EX4" s="262">
        <v>1971</v>
      </c>
      <c r="EY4" s="262">
        <v>1974</v>
      </c>
      <c r="EZ4" s="262">
        <v>1974</v>
      </c>
      <c r="FA4" s="262">
        <v>1974</v>
      </c>
      <c r="FB4" s="262">
        <v>1974</v>
      </c>
      <c r="FC4" s="262">
        <v>1984</v>
      </c>
      <c r="FD4" s="262">
        <v>1984</v>
      </c>
      <c r="FE4" s="262">
        <v>1984</v>
      </c>
      <c r="FF4" s="262">
        <v>1986</v>
      </c>
      <c r="FG4" s="262">
        <v>1984</v>
      </c>
      <c r="FH4" s="262"/>
      <c r="FI4" s="262">
        <v>1996</v>
      </c>
      <c r="FJ4" s="262">
        <v>1996</v>
      </c>
      <c r="FK4" s="262">
        <v>1996</v>
      </c>
      <c r="FL4" s="262">
        <v>1996</v>
      </c>
      <c r="FM4" s="262">
        <v>1996</v>
      </c>
      <c r="FN4" s="262">
        <v>1996</v>
      </c>
      <c r="FO4" s="262">
        <v>2017</v>
      </c>
      <c r="FP4" s="262">
        <v>2017</v>
      </c>
      <c r="FQ4" s="262">
        <v>2017</v>
      </c>
      <c r="FR4" s="262">
        <v>2017</v>
      </c>
      <c r="FS4" s="262">
        <v>2017</v>
      </c>
      <c r="FT4" s="262">
        <v>2018</v>
      </c>
      <c r="FU4" s="262">
        <v>2018</v>
      </c>
      <c r="FV4" s="262"/>
      <c r="FW4" s="262"/>
      <c r="FX4" s="262"/>
      <c r="FY4" s="262"/>
      <c r="FZ4" s="262"/>
      <c r="GA4" s="262"/>
      <c r="GB4" s="262"/>
      <c r="GC4" s="262"/>
      <c r="GD4" s="262">
        <v>1989</v>
      </c>
      <c r="GE4" s="262">
        <v>1989</v>
      </c>
      <c r="GF4" s="262">
        <v>1980</v>
      </c>
      <c r="GG4" s="262">
        <v>1993</v>
      </c>
      <c r="GH4" s="262">
        <v>1981</v>
      </c>
      <c r="GI4" s="262">
        <v>1993</v>
      </c>
      <c r="GJ4" s="262">
        <v>2004</v>
      </c>
      <c r="GK4" s="262">
        <v>1987</v>
      </c>
      <c r="GL4" s="262">
        <v>1987</v>
      </c>
      <c r="GM4" s="262">
        <v>1987</v>
      </c>
      <c r="GN4" s="262">
        <v>1989</v>
      </c>
      <c r="GO4" s="262">
        <v>1989</v>
      </c>
      <c r="GP4" s="262">
        <v>1982</v>
      </c>
      <c r="GQ4" s="262">
        <v>1981</v>
      </c>
      <c r="GR4" s="262">
        <v>1982</v>
      </c>
      <c r="GS4" s="262">
        <v>1982</v>
      </c>
      <c r="GT4" s="262">
        <v>1981</v>
      </c>
      <c r="GU4" s="262">
        <v>1986</v>
      </c>
      <c r="GV4" s="262">
        <v>1981</v>
      </c>
      <c r="GW4" s="262">
        <v>1991</v>
      </c>
      <c r="GX4" s="262">
        <v>1986</v>
      </c>
      <c r="GY4" s="262">
        <v>2002</v>
      </c>
      <c r="GZ4" s="262">
        <v>2004</v>
      </c>
      <c r="HA4" s="262">
        <v>2002</v>
      </c>
      <c r="HB4" s="262">
        <v>2004</v>
      </c>
      <c r="HC4" s="262">
        <v>1996</v>
      </c>
      <c r="HD4" s="262">
        <v>1996</v>
      </c>
      <c r="HE4" s="262">
        <v>1999</v>
      </c>
      <c r="HF4" s="262">
        <v>1996</v>
      </c>
      <c r="HG4" s="262">
        <v>1999</v>
      </c>
      <c r="HH4" s="262">
        <v>2016</v>
      </c>
      <c r="HI4" s="262">
        <v>2016</v>
      </c>
      <c r="HJ4" s="262"/>
      <c r="HK4" s="262"/>
      <c r="HL4" s="262">
        <v>1990</v>
      </c>
      <c r="HM4" s="262">
        <v>1994</v>
      </c>
      <c r="HN4" s="262">
        <v>1998</v>
      </c>
      <c r="HO4" s="262">
        <v>1992</v>
      </c>
      <c r="HP4" s="262">
        <v>2016</v>
      </c>
      <c r="HQ4" s="262">
        <v>2016</v>
      </c>
      <c r="HR4" s="262"/>
      <c r="HS4" s="262"/>
      <c r="HT4" s="262">
        <v>2018</v>
      </c>
      <c r="HU4" s="262"/>
      <c r="HV4" s="262">
        <v>1994</v>
      </c>
      <c r="HW4" s="262">
        <v>1992</v>
      </c>
      <c r="HX4" s="262">
        <v>1993</v>
      </c>
      <c r="HY4" s="262">
        <v>1996</v>
      </c>
      <c r="HZ4" s="262">
        <v>1996</v>
      </c>
      <c r="IA4" s="262">
        <v>2016</v>
      </c>
      <c r="IB4" s="262">
        <v>2016</v>
      </c>
      <c r="IC4" s="262">
        <v>2016</v>
      </c>
      <c r="ID4" s="262">
        <v>2016</v>
      </c>
      <c r="IE4" s="262"/>
      <c r="IF4" s="262">
        <v>2016</v>
      </c>
      <c r="IG4" s="262">
        <v>2002</v>
      </c>
      <c r="IH4" s="262">
        <v>2002</v>
      </c>
      <c r="II4" s="262">
        <v>2002</v>
      </c>
      <c r="IJ4" s="262">
        <v>2002</v>
      </c>
      <c r="IK4" s="262">
        <v>2002</v>
      </c>
      <c r="IL4" s="262">
        <v>2006</v>
      </c>
      <c r="IM4" s="262">
        <v>2006</v>
      </c>
      <c r="IN4" s="262">
        <v>2006</v>
      </c>
      <c r="IO4" s="262">
        <v>2006</v>
      </c>
      <c r="IP4" s="262">
        <v>2006</v>
      </c>
      <c r="IQ4" s="262">
        <v>2006</v>
      </c>
      <c r="IR4" s="262">
        <v>2006</v>
      </c>
      <c r="IS4" s="262">
        <v>1999</v>
      </c>
      <c r="IT4" s="262">
        <v>1999</v>
      </c>
      <c r="IU4" s="262">
        <v>1999</v>
      </c>
      <c r="IV4" s="262">
        <v>1998</v>
      </c>
      <c r="IW4" s="262">
        <v>1998</v>
      </c>
      <c r="IX4" s="262">
        <v>2003</v>
      </c>
      <c r="IY4" s="262"/>
      <c r="IZ4" s="262">
        <v>2018</v>
      </c>
      <c r="JA4" s="262">
        <v>2018</v>
      </c>
      <c r="JB4" s="262">
        <v>2018</v>
      </c>
      <c r="JC4" s="262">
        <v>1992</v>
      </c>
      <c r="JD4" s="262">
        <v>1992</v>
      </c>
      <c r="JE4" s="262">
        <v>1992</v>
      </c>
      <c r="JF4" s="262">
        <v>1995</v>
      </c>
      <c r="JG4" s="262">
        <v>1995</v>
      </c>
      <c r="JH4" s="262">
        <v>2002</v>
      </c>
      <c r="JI4" s="262">
        <v>2002</v>
      </c>
      <c r="JJ4" s="262">
        <v>2002</v>
      </c>
      <c r="JK4" s="262">
        <v>2002</v>
      </c>
    </row>
    <row r="5" spans="1:271">
      <c r="A5" s="251" t="s">
        <v>2370</v>
      </c>
      <c r="B5" s="268" t="s">
        <v>2371</v>
      </c>
      <c r="C5" s="268" t="s">
        <v>2371</v>
      </c>
      <c r="D5" s="268" t="s">
        <v>2371</v>
      </c>
      <c r="E5" s="268" t="s">
        <v>2371</v>
      </c>
      <c r="F5" s="268" t="s">
        <v>2371</v>
      </c>
      <c r="G5" s="268" t="s">
        <v>2371</v>
      </c>
      <c r="H5" s="268" t="s">
        <v>2371</v>
      </c>
      <c r="I5" s="268" t="s">
        <v>2371</v>
      </c>
      <c r="J5" s="268" t="s">
        <v>2371</v>
      </c>
      <c r="K5" s="268" t="s">
        <v>2371</v>
      </c>
      <c r="L5" s="268" t="s">
        <v>2371</v>
      </c>
      <c r="M5" s="268" t="s">
        <v>2371</v>
      </c>
      <c r="N5" s="268" t="s">
        <v>2372</v>
      </c>
      <c r="O5" s="268" t="s">
        <v>2371</v>
      </c>
      <c r="P5" s="268" t="s">
        <v>2371</v>
      </c>
      <c r="Q5" s="268" t="s">
        <v>2371</v>
      </c>
      <c r="R5" s="268" t="s">
        <v>2371</v>
      </c>
      <c r="S5" s="268" t="s">
        <v>2371</v>
      </c>
      <c r="T5" s="268" t="s">
        <v>2371</v>
      </c>
      <c r="U5" s="268" t="s">
        <v>2371</v>
      </c>
      <c r="V5" s="268" t="s">
        <v>2371</v>
      </c>
      <c r="W5" s="268" t="s">
        <v>2371</v>
      </c>
      <c r="X5" s="268" t="s">
        <v>2371</v>
      </c>
      <c r="Y5" s="268" t="s">
        <v>2371</v>
      </c>
      <c r="Z5" s="268" t="s">
        <v>2372</v>
      </c>
      <c r="AA5" s="268" t="s">
        <v>2371</v>
      </c>
      <c r="AB5" s="268" t="s">
        <v>2371</v>
      </c>
      <c r="AC5" s="268" t="s">
        <v>2371</v>
      </c>
      <c r="AD5" s="268" t="s">
        <v>2371</v>
      </c>
      <c r="AE5" s="268" t="s">
        <v>2371</v>
      </c>
      <c r="AF5" s="268" t="s">
        <v>2371</v>
      </c>
      <c r="AG5" s="268" t="s">
        <v>2371</v>
      </c>
      <c r="AH5" s="268" t="s">
        <v>2371</v>
      </c>
      <c r="AI5" s="268" t="s">
        <v>2371</v>
      </c>
      <c r="AJ5" s="268" t="s">
        <v>2371</v>
      </c>
      <c r="AK5" s="268" t="s">
        <v>2372</v>
      </c>
      <c r="AL5" s="268" t="s">
        <v>2371</v>
      </c>
      <c r="AM5" s="268" t="s">
        <v>2371</v>
      </c>
      <c r="AN5" s="268" t="s">
        <v>2372</v>
      </c>
      <c r="AO5" s="268" t="s">
        <v>2371</v>
      </c>
      <c r="AP5" s="268" t="s">
        <v>2371</v>
      </c>
      <c r="AQ5" s="268" t="s">
        <v>2371</v>
      </c>
      <c r="AR5" s="268" t="s">
        <v>2371</v>
      </c>
      <c r="AS5" s="268" t="s">
        <v>2371</v>
      </c>
      <c r="AT5" s="268" t="s">
        <v>2371</v>
      </c>
      <c r="AU5" s="269" t="s">
        <v>2371</v>
      </c>
      <c r="AV5" s="270" t="s">
        <v>2371</v>
      </c>
      <c r="AW5" s="268" t="s">
        <v>2371</v>
      </c>
      <c r="AX5" s="268" t="s">
        <v>2371</v>
      </c>
      <c r="AY5" s="268" t="s">
        <v>2371</v>
      </c>
      <c r="AZ5" s="268" t="s">
        <v>2372</v>
      </c>
      <c r="BA5" s="268" t="s">
        <v>2372</v>
      </c>
      <c r="BB5" s="268" t="s">
        <v>2371</v>
      </c>
      <c r="BC5" s="268" t="s">
        <v>2371</v>
      </c>
      <c r="BD5" s="268" t="s">
        <v>2371</v>
      </c>
      <c r="BE5" s="268" t="s">
        <v>2372</v>
      </c>
      <c r="BF5" s="268" t="s">
        <v>2372</v>
      </c>
      <c r="BG5" s="268" t="s">
        <v>2372</v>
      </c>
      <c r="BH5" s="268" t="s">
        <v>2371</v>
      </c>
      <c r="BI5" s="268" t="s">
        <v>2371</v>
      </c>
      <c r="BJ5" s="268" t="s">
        <v>2371</v>
      </c>
      <c r="BK5" s="268" t="s">
        <v>2372</v>
      </c>
      <c r="BL5" s="268" t="s">
        <v>2372</v>
      </c>
      <c r="BM5" s="268" t="s">
        <v>2372</v>
      </c>
      <c r="BN5" s="268" t="s">
        <v>2372</v>
      </c>
      <c r="BO5" s="268" t="s">
        <v>2372</v>
      </c>
      <c r="BP5" s="268" t="s">
        <v>2372</v>
      </c>
      <c r="BQ5" s="268" t="s">
        <v>2371</v>
      </c>
      <c r="BR5" s="268" t="s">
        <v>2373</v>
      </c>
      <c r="BS5" s="268" t="s">
        <v>2373</v>
      </c>
      <c r="BT5" s="268" t="s">
        <v>2373</v>
      </c>
      <c r="BU5" s="268" t="s">
        <v>2373</v>
      </c>
      <c r="BV5" s="268" t="s">
        <v>2373</v>
      </c>
      <c r="BW5" s="268" t="s">
        <v>2373</v>
      </c>
      <c r="BX5" s="268" t="s">
        <v>2373</v>
      </c>
      <c r="BY5" s="268" t="s">
        <v>2373</v>
      </c>
      <c r="BZ5" s="268" t="s">
        <v>2373</v>
      </c>
      <c r="CA5" s="268" t="s">
        <v>2373</v>
      </c>
      <c r="CB5" s="268" t="s">
        <v>2373</v>
      </c>
      <c r="CC5" s="268" t="s">
        <v>2373</v>
      </c>
      <c r="CD5" s="268" t="s">
        <v>2373</v>
      </c>
      <c r="CE5" s="268" t="s">
        <v>2373</v>
      </c>
      <c r="CF5" s="268" t="s">
        <v>2373</v>
      </c>
      <c r="CG5" s="268" t="s">
        <v>2373</v>
      </c>
      <c r="CH5" s="268" t="s">
        <v>2373</v>
      </c>
      <c r="CI5" s="268" t="s">
        <v>2373</v>
      </c>
      <c r="CJ5" s="268" t="s">
        <v>2373</v>
      </c>
      <c r="CK5" s="268" t="s">
        <v>2373</v>
      </c>
      <c r="CL5" s="268" t="s">
        <v>2374</v>
      </c>
      <c r="CM5" s="268" t="s">
        <v>2374</v>
      </c>
      <c r="CN5" s="268" t="s">
        <v>2374</v>
      </c>
      <c r="CO5" s="268" t="s">
        <v>2374</v>
      </c>
      <c r="CP5" s="268" t="s">
        <v>2374</v>
      </c>
      <c r="CQ5" s="268" t="s">
        <v>2374</v>
      </c>
      <c r="CR5" s="268" t="s">
        <v>2374</v>
      </c>
      <c r="CS5" s="268" t="s">
        <v>2374</v>
      </c>
      <c r="CT5" s="268" t="s">
        <v>2374</v>
      </c>
      <c r="CU5" s="268" t="s">
        <v>2374</v>
      </c>
      <c r="CV5" s="268" t="s">
        <v>2374</v>
      </c>
      <c r="CW5" s="268" t="s">
        <v>2374</v>
      </c>
      <c r="CX5" s="268" t="s">
        <v>2374</v>
      </c>
      <c r="CY5" s="268" t="s">
        <v>2374</v>
      </c>
      <c r="CZ5" s="268" t="s">
        <v>2374</v>
      </c>
      <c r="DA5" s="268" t="s">
        <v>2374</v>
      </c>
      <c r="DB5" s="268" t="s">
        <v>2374</v>
      </c>
      <c r="DC5" s="268" t="s">
        <v>2374</v>
      </c>
      <c r="DD5" s="268" t="s">
        <v>2374</v>
      </c>
      <c r="DE5" s="268" t="s">
        <v>2374</v>
      </c>
      <c r="DF5" s="268" t="s">
        <v>2374</v>
      </c>
      <c r="DG5" s="268" t="s">
        <v>2374</v>
      </c>
      <c r="DH5" s="268" t="s">
        <v>2374</v>
      </c>
      <c r="DI5" s="268" t="s">
        <v>2374</v>
      </c>
      <c r="DJ5" s="268" t="s">
        <v>2374</v>
      </c>
      <c r="DK5" s="268" t="s">
        <v>2374</v>
      </c>
      <c r="DL5" s="268" t="s">
        <v>2374</v>
      </c>
      <c r="DM5" s="268" t="s">
        <v>2374</v>
      </c>
      <c r="DN5" s="268" t="s">
        <v>2374</v>
      </c>
      <c r="DO5" s="236" t="s">
        <v>2374</v>
      </c>
      <c r="DP5" s="236" t="s">
        <v>2374</v>
      </c>
      <c r="DQ5" s="236" t="s">
        <v>2374</v>
      </c>
      <c r="DR5" s="271" t="s">
        <v>2375</v>
      </c>
      <c r="DS5" s="271" t="s">
        <v>2375</v>
      </c>
      <c r="DT5" s="271" t="s">
        <v>2375</v>
      </c>
      <c r="DU5" s="271" t="s">
        <v>2375</v>
      </c>
      <c r="DV5" s="271" t="s">
        <v>2375</v>
      </c>
      <c r="DW5" s="271" t="s">
        <v>2375</v>
      </c>
      <c r="DX5" s="271" t="s">
        <v>2375</v>
      </c>
      <c r="DY5" s="271" t="s">
        <v>2375</v>
      </c>
      <c r="DZ5" s="271" t="s">
        <v>2375</v>
      </c>
      <c r="EA5" s="271" t="s">
        <v>2375</v>
      </c>
      <c r="EB5" s="271" t="s">
        <v>2375</v>
      </c>
      <c r="EC5" s="271" t="s">
        <v>2375</v>
      </c>
      <c r="ED5" s="271" t="s">
        <v>2375</v>
      </c>
      <c r="EE5" s="271" t="s">
        <v>2375</v>
      </c>
      <c r="EF5" s="271" t="s">
        <v>2375</v>
      </c>
      <c r="EG5" s="271" t="s">
        <v>2375</v>
      </c>
      <c r="EH5" s="271" t="s">
        <v>2375</v>
      </c>
      <c r="EI5" s="271" t="s">
        <v>2375</v>
      </c>
      <c r="EJ5" s="271" t="s">
        <v>2375</v>
      </c>
      <c r="EK5" s="271" t="s">
        <v>2375</v>
      </c>
      <c r="EL5" s="271" t="s">
        <v>2375</v>
      </c>
      <c r="EM5" s="271" t="s">
        <v>2375</v>
      </c>
      <c r="EN5" s="271" t="s">
        <v>2375</v>
      </c>
      <c r="EO5" s="271" t="s">
        <v>2375</v>
      </c>
      <c r="EP5" s="271" t="s">
        <v>2375</v>
      </c>
      <c r="EQ5" s="271" t="s">
        <v>2375</v>
      </c>
      <c r="ER5" s="271" t="s">
        <v>2375</v>
      </c>
      <c r="ES5" s="271" t="s">
        <v>2375</v>
      </c>
      <c r="ET5" s="255" t="s">
        <v>2376</v>
      </c>
      <c r="EU5" s="255" t="s">
        <v>2376</v>
      </c>
      <c r="EV5" s="271" t="s">
        <v>2375</v>
      </c>
      <c r="EW5" s="272" t="s">
        <v>2376</v>
      </c>
      <c r="EX5" s="271" t="s">
        <v>2375</v>
      </c>
      <c r="EY5" s="272" t="s">
        <v>2376</v>
      </c>
      <c r="EZ5" s="271" t="s">
        <v>2375</v>
      </c>
      <c r="FA5" s="272" t="s">
        <v>2376</v>
      </c>
      <c r="FB5" s="271" t="s">
        <v>2375</v>
      </c>
      <c r="FC5" s="271" t="s">
        <v>2375</v>
      </c>
      <c r="FD5" s="271" t="s">
        <v>2375</v>
      </c>
      <c r="FE5" s="271" t="s">
        <v>2375</v>
      </c>
      <c r="FF5" s="271" t="s">
        <v>2375</v>
      </c>
      <c r="FG5" s="271" t="s">
        <v>2375</v>
      </c>
      <c r="FH5" s="271" t="s">
        <v>2375</v>
      </c>
      <c r="FI5" s="271" t="s">
        <v>2375</v>
      </c>
      <c r="FJ5" s="271" t="s">
        <v>2375</v>
      </c>
      <c r="FK5" s="271" t="s">
        <v>2375</v>
      </c>
      <c r="FL5" s="271" t="s">
        <v>2375</v>
      </c>
      <c r="FM5" s="273" t="s">
        <v>2375</v>
      </c>
      <c r="FN5" s="273" t="s">
        <v>2375</v>
      </c>
      <c r="FO5" s="271" t="s">
        <v>2375</v>
      </c>
      <c r="FP5" s="271" t="s">
        <v>2375</v>
      </c>
      <c r="FQ5" s="271" t="s">
        <v>2375</v>
      </c>
      <c r="FR5" s="271" t="s">
        <v>2375</v>
      </c>
      <c r="FS5" s="271" t="s">
        <v>2375</v>
      </c>
      <c r="FT5" s="273" t="s">
        <v>2375</v>
      </c>
      <c r="FU5" s="273" t="s">
        <v>2375</v>
      </c>
      <c r="FV5" s="271" t="s">
        <v>2375</v>
      </c>
      <c r="FW5" s="271" t="s">
        <v>2375</v>
      </c>
      <c r="FX5" s="271" t="s">
        <v>2375</v>
      </c>
      <c r="FY5" s="271" t="s">
        <v>2375</v>
      </c>
      <c r="FZ5" s="271" t="s">
        <v>2375</v>
      </c>
      <c r="GA5" s="271" t="s">
        <v>2375</v>
      </c>
      <c r="GB5" s="271" t="s">
        <v>2375</v>
      </c>
      <c r="GC5" s="271" t="s">
        <v>2375</v>
      </c>
      <c r="GD5" s="271" t="s">
        <v>2375</v>
      </c>
      <c r="GE5" s="271" t="s">
        <v>2375</v>
      </c>
      <c r="GF5" s="271" t="s">
        <v>2375</v>
      </c>
      <c r="GG5" s="271" t="s">
        <v>2375</v>
      </c>
      <c r="GH5" s="271" t="s">
        <v>2375</v>
      </c>
      <c r="GI5" s="271" t="s">
        <v>2375</v>
      </c>
      <c r="GJ5" s="271" t="s">
        <v>2375</v>
      </c>
      <c r="GK5" s="271" t="s">
        <v>2375</v>
      </c>
      <c r="GL5" s="271" t="s">
        <v>2375</v>
      </c>
      <c r="GM5" s="271" t="s">
        <v>2375</v>
      </c>
      <c r="GN5" s="271" t="s">
        <v>2375</v>
      </c>
      <c r="GO5" s="271" t="s">
        <v>2375</v>
      </c>
      <c r="GP5" s="271" t="s">
        <v>2375</v>
      </c>
      <c r="GQ5" s="271" t="s">
        <v>2375</v>
      </c>
      <c r="GR5" s="271" t="s">
        <v>2375</v>
      </c>
      <c r="GS5" s="271" t="s">
        <v>2375</v>
      </c>
      <c r="GT5" s="271" t="s">
        <v>2375</v>
      </c>
      <c r="GU5" s="271" t="s">
        <v>2375</v>
      </c>
      <c r="GV5" s="271" t="s">
        <v>2375</v>
      </c>
      <c r="GW5" s="271" t="s">
        <v>2375</v>
      </c>
      <c r="GX5" s="271" t="s">
        <v>2375</v>
      </c>
      <c r="GY5" s="271" t="s">
        <v>2375</v>
      </c>
      <c r="GZ5" s="271" t="s">
        <v>2375</v>
      </c>
      <c r="HA5" s="271" t="s">
        <v>2375</v>
      </c>
      <c r="HB5" s="271" t="s">
        <v>2375</v>
      </c>
      <c r="HC5" s="271" t="s">
        <v>2375</v>
      </c>
      <c r="HD5" s="271" t="s">
        <v>2375</v>
      </c>
      <c r="HE5" s="271" t="s">
        <v>2375</v>
      </c>
      <c r="HF5" s="271" t="s">
        <v>2375</v>
      </c>
      <c r="HG5" s="271" t="s">
        <v>2375</v>
      </c>
      <c r="HH5" s="271" t="s">
        <v>2375</v>
      </c>
      <c r="HI5" s="271" t="s">
        <v>2375</v>
      </c>
      <c r="HJ5" s="271" t="s">
        <v>2375</v>
      </c>
      <c r="HK5" s="271" t="s">
        <v>2375</v>
      </c>
      <c r="HL5" s="271" t="s">
        <v>2375</v>
      </c>
      <c r="HM5" s="271" t="s">
        <v>2375</v>
      </c>
      <c r="HN5" s="271" t="s">
        <v>2375</v>
      </c>
      <c r="HO5" s="271" t="s">
        <v>2375</v>
      </c>
      <c r="HP5" s="271" t="s">
        <v>2375</v>
      </c>
      <c r="HQ5" s="271" t="s">
        <v>2375</v>
      </c>
      <c r="HR5" s="271" t="s">
        <v>2375</v>
      </c>
      <c r="HS5" s="271" t="s">
        <v>2375</v>
      </c>
      <c r="HT5" s="271" t="s">
        <v>2375</v>
      </c>
      <c r="HU5" s="271" t="s">
        <v>2375</v>
      </c>
      <c r="HV5" s="271" t="s">
        <v>2375</v>
      </c>
      <c r="HW5" s="271" t="s">
        <v>2375</v>
      </c>
      <c r="HX5" s="271" t="s">
        <v>2375</v>
      </c>
      <c r="HY5" s="271" t="s">
        <v>2375</v>
      </c>
      <c r="HZ5" s="271" t="s">
        <v>2375</v>
      </c>
      <c r="IA5" s="271" t="s">
        <v>2375</v>
      </c>
      <c r="IB5" s="271" t="s">
        <v>2375</v>
      </c>
      <c r="IC5" s="271" t="s">
        <v>2375</v>
      </c>
      <c r="ID5" s="271" t="s">
        <v>2375</v>
      </c>
      <c r="IE5" s="271" t="s">
        <v>2375</v>
      </c>
      <c r="IF5" s="271" t="s">
        <v>2375</v>
      </c>
      <c r="IG5" s="255" t="s">
        <v>2376</v>
      </c>
      <c r="IH5" s="255" t="s">
        <v>2376</v>
      </c>
      <c r="II5" s="255" t="s">
        <v>2376</v>
      </c>
      <c r="IJ5" s="255" t="s">
        <v>2376</v>
      </c>
      <c r="IK5" s="255" t="s">
        <v>2376</v>
      </c>
      <c r="IL5" s="255" t="s">
        <v>2376</v>
      </c>
      <c r="IM5" s="255" t="s">
        <v>2376</v>
      </c>
      <c r="IN5" s="255" t="s">
        <v>2376</v>
      </c>
      <c r="IO5" s="255" t="s">
        <v>2376</v>
      </c>
      <c r="IP5" s="271" t="s">
        <v>2375</v>
      </c>
      <c r="IQ5" s="271" t="s">
        <v>2375</v>
      </c>
      <c r="IR5" s="271" t="s">
        <v>2375</v>
      </c>
      <c r="IS5" s="255" t="s">
        <v>2376</v>
      </c>
      <c r="IT5" s="255" t="s">
        <v>2376</v>
      </c>
      <c r="IU5" s="255" t="s">
        <v>2376</v>
      </c>
      <c r="IV5" s="255" t="s">
        <v>2376</v>
      </c>
      <c r="IW5" s="255" t="s">
        <v>2376</v>
      </c>
      <c r="IX5" s="255" t="s">
        <v>2376</v>
      </c>
      <c r="IY5" s="255" t="s">
        <v>2376</v>
      </c>
      <c r="IZ5" s="255" t="s">
        <v>2376</v>
      </c>
      <c r="JA5" s="271" t="s">
        <v>2375</v>
      </c>
      <c r="JB5" s="271" t="s">
        <v>2375</v>
      </c>
      <c r="JC5" s="255" t="s">
        <v>2376</v>
      </c>
      <c r="JD5" s="255" t="s">
        <v>2376</v>
      </c>
      <c r="JE5" s="255" t="s">
        <v>2376</v>
      </c>
      <c r="JF5" s="255" t="s">
        <v>2376</v>
      </c>
      <c r="JG5" s="255" t="s">
        <v>2376</v>
      </c>
      <c r="JH5" s="255" t="s">
        <v>2376</v>
      </c>
      <c r="JI5" s="255" t="s">
        <v>2376</v>
      </c>
      <c r="JJ5" s="255" t="s">
        <v>2376</v>
      </c>
      <c r="JK5" s="271" t="s">
        <v>2375</v>
      </c>
    </row>
    <row r="6" spans="1:271">
      <c r="A6" s="251" t="s">
        <v>2377</v>
      </c>
      <c r="B6" s="236"/>
      <c r="C6" s="236"/>
      <c r="D6" s="236"/>
      <c r="E6" s="236"/>
      <c r="F6" s="236"/>
      <c r="G6" s="236"/>
      <c r="H6" s="236"/>
      <c r="I6" s="236"/>
      <c r="J6" s="236"/>
      <c r="K6" s="236"/>
      <c r="L6" s="236"/>
      <c r="M6" s="236"/>
      <c r="N6" s="236"/>
      <c r="O6" s="236"/>
      <c r="P6" s="236"/>
      <c r="Q6" s="236"/>
      <c r="R6" s="236"/>
      <c r="S6" s="236"/>
      <c r="T6" s="236"/>
      <c r="U6" s="236"/>
      <c r="V6" s="236"/>
      <c r="W6" s="236"/>
      <c r="X6" s="236"/>
      <c r="Y6" s="236"/>
      <c r="Z6" s="236"/>
      <c r="AA6" s="236"/>
      <c r="AB6" s="236"/>
      <c r="AC6" s="236"/>
      <c r="AD6" s="236"/>
      <c r="AE6" s="236"/>
      <c r="AF6" s="236"/>
      <c r="AG6" s="236"/>
      <c r="AH6" s="236"/>
      <c r="AI6" s="236"/>
      <c r="AJ6" s="236"/>
      <c r="AK6" s="236"/>
      <c r="AL6" s="236"/>
      <c r="AM6" s="236"/>
      <c r="AN6" s="236"/>
      <c r="AO6" s="236"/>
      <c r="AP6" s="236"/>
      <c r="AQ6" s="236"/>
      <c r="AR6" s="236"/>
      <c r="AS6" s="236"/>
      <c r="AT6" s="236"/>
      <c r="AU6" s="236"/>
      <c r="AV6" s="236"/>
      <c r="AW6" s="236"/>
      <c r="AX6" s="236"/>
      <c r="AY6" s="236"/>
      <c r="AZ6" s="236"/>
      <c r="BA6" s="236"/>
      <c r="BB6" s="236"/>
      <c r="BC6" s="236"/>
      <c r="BD6" s="236"/>
      <c r="BE6" s="236"/>
      <c r="BF6" s="236"/>
      <c r="BG6" s="236"/>
      <c r="BH6" s="236"/>
      <c r="BI6" s="236"/>
      <c r="BJ6" s="236"/>
      <c r="BK6" s="236"/>
      <c r="BL6" s="236"/>
      <c r="BM6" s="236"/>
      <c r="BN6" s="236"/>
      <c r="BO6" s="236"/>
      <c r="BP6" s="236"/>
      <c r="BQ6" s="236"/>
      <c r="BR6" s="236">
        <v>31</v>
      </c>
      <c r="BS6" s="236"/>
      <c r="BT6" s="236"/>
      <c r="BU6" s="236"/>
      <c r="BV6" s="236"/>
      <c r="BW6" s="236"/>
      <c r="BX6" s="236"/>
      <c r="BY6" s="274"/>
      <c r="BZ6" s="274"/>
      <c r="CA6" s="274"/>
      <c r="CB6" s="274"/>
      <c r="CC6" s="236"/>
      <c r="CD6" s="236"/>
      <c r="CE6" s="236"/>
      <c r="CF6" s="236"/>
      <c r="CG6" s="236"/>
      <c r="CH6" s="236"/>
      <c r="CI6" s="236"/>
      <c r="CJ6" s="236"/>
      <c r="CK6" s="236"/>
      <c r="CL6" s="236">
        <v>375</v>
      </c>
      <c r="CM6" s="236">
        <v>375</v>
      </c>
      <c r="CN6" s="236">
        <v>301</v>
      </c>
      <c r="CO6" s="236">
        <v>359</v>
      </c>
      <c r="CP6" s="236">
        <v>283</v>
      </c>
      <c r="CQ6" s="236">
        <v>335</v>
      </c>
      <c r="CR6" s="236">
        <v>335</v>
      </c>
      <c r="CS6" s="236">
        <v>335</v>
      </c>
      <c r="CT6" s="236">
        <v>303</v>
      </c>
      <c r="CU6" s="236">
        <v>303</v>
      </c>
      <c r="CV6" s="236">
        <v>303</v>
      </c>
      <c r="CW6" s="236">
        <v>420</v>
      </c>
      <c r="CX6" s="236">
        <v>420</v>
      </c>
      <c r="CY6" s="236">
        <v>420</v>
      </c>
      <c r="CZ6" s="236">
        <v>300</v>
      </c>
      <c r="DA6" s="236">
        <v>237</v>
      </c>
      <c r="DB6" s="236">
        <v>237</v>
      </c>
      <c r="DC6" s="236">
        <v>237</v>
      </c>
      <c r="DD6" s="236">
        <v>296</v>
      </c>
      <c r="DE6" s="236">
        <v>296</v>
      </c>
      <c r="DF6" s="236">
        <v>315</v>
      </c>
      <c r="DG6" s="236">
        <v>369</v>
      </c>
      <c r="DH6" s="236">
        <v>255</v>
      </c>
      <c r="DI6" s="236">
        <v>255</v>
      </c>
      <c r="DJ6" s="236">
        <v>255</v>
      </c>
      <c r="DK6" s="236">
        <v>255</v>
      </c>
      <c r="DL6" s="236">
        <v>255</v>
      </c>
      <c r="DM6" s="236">
        <v>255</v>
      </c>
      <c r="DN6" s="236">
        <v>0</v>
      </c>
      <c r="DO6" s="236">
        <v>524</v>
      </c>
      <c r="DP6" s="236">
        <v>524</v>
      </c>
      <c r="DQ6" s="236">
        <v>524</v>
      </c>
      <c r="DR6" s="262"/>
      <c r="DS6" s="262"/>
      <c r="DT6" s="262"/>
      <c r="DU6" s="244"/>
      <c r="DV6" s="244"/>
      <c r="DW6" s="244"/>
      <c r="DX6" s="244"/>
      <c r="DY6" s="244"/>
      <c r="DZ6" s="244"/>
      <c r="EA6" s="244"/>
      <c r="EB6" s="244"/>
      <c r="EC6" s="262">
        <v>131</v>
      </c>
      <c r="ED6" s="262">
        <v>131</v>
      </c>
      <c r="EE6" s="262">
        <v>137</v>
      </c>
      <c r="EF6" s="262">
        <v>141</v>
      </c>
      <c r="EG6" s="262">
        <v>141</v>
      </c>
      <c r="EH6" s="262">
        <v>141</v>
      </c>
      <c r="EI6" s="262"/>
      <c r="EJ6" s="262">
        <v>106</v>
      </c>
      <c r="EK6" s="262">
        <v>106</v>
      </c>
      <c r="EL6" s="262">
        <v>106</v>
      </c>
      <c r="EM6" s="262">
        <v>106</v>
      </c>
      <c r="EN6" s="262">
        <v>106</v>
      </c>
      <c r="EO6" s="262">
        <v>106</v>
      </c>
      <c r="EP6" s="262">
        <v>134</v>
      </c>
      <c r="EQ6" s="262">
        <v>134</v>
      </c>
      <c r="ER6" s="262">
        <v>134</v>
      </c>
      <c r="ES6" s="262">
        <v>134</v>
      </c>
      <c r="ET6" s="244">
        <v>85</v>
      </c>
      <c r="EU6" s="244"/>
      <c r="EV6" s="244">
        <v>97</v>
      </c>
      <c r="EW6" s="244"/>
      <c r="EX6" s="244">
        <v>102</v>
      </c>
      <c r="EY6" s="244"/>
      <c r="EZ6" s="244">
        <v>102</v>
      </c>
      <c r="FA6" s="244"/>
      <c r="FB6" s="244">
        <v>102</v>
      </c>
      <c r="FC6" s="244">
        <v>128</v>
      </c>
      <c r="FD6" s="244">
        <v>128</v>
      </c>
      <c r="FE6" s="244">
        <v>146</v>
      </c>
      <c r="FF6" s="244">
        <v>146</v>
      </c>
      <c r="FG6" s="244">
        <v>108</v>
      </c>
      <c r="FH6" s="244">
        <v>108</v>
      </c>
      <c r="FI6" s="244">
        <v>128</v>
      </c>
      <c r="FJ6" s="244">
        <v>160</v>
      </c>
      <c r="FK6" s="244">
        <v>177</v>
      </c>
      <c r="FL6" s="244">
        <v>177</v>
      </c>
      <c r="FM6" s="275"/>
      <c r="FN6" s="275"/>
      <c r="FO6" s="244">
        <v>153</v>
      </c>
      <c r="FP6" s="244">
        <v>178</v>
      </c>
      <c r="FQ6" s="244"/>
      <c r="FR6" s="244">
        <v>193</v>
      </c>
      <c r="FS6" s="244">
        <v>204</v>
      </c>
      <c r="FT6" s="275"/>
      <c r="FU6" s="275"/>
      <c r="FV6" s="244">
        <v>186</v>
      </c>
      <c r="FW6" s="244">
        <v>186</v>
      </c>
      <c r="FX6" s="244">
        <v>186</v>
      </c>
      <c r="FY6" s="244">
        <v>186</v>
      </c>
      <c r="FZ6" s="275"/>
      <c r="GA6" s="275"/>
      <c r="GB6" s="244">
        <v>243</v>
      </c>
      <c r="GC6" s="244">
        <v>243</v>
      </c>
      <c r="GD6" s="244">
        <v>243</v>
      </c>
      <c r="GE6" s="244">
        <v>243</v>
      </c>
      <c r="GF6" s="244">
        <v>216</v>
      </c>
      <c r="GG6" s="244">
        <v>216</v>
      </c>
      <c r="GH6" s="244">
        <v>216</v>
      </c>
      <c r="GI6" s="244">
        <v>216</v>
      </c>
      <c r="GJ6" s="244">
        <v>216</v>
      </c>
      <c r="GK6" s="244">
        <v>216</v>
      </c>
      <c r="GL6" s="244">
        <v>216</v>
      </c>
      <c r="GM6" s="244">
        <v>216</v>
      </c>
      <c r="GN6" s="244">
        <v>216</v>
      </c>
      <c r="GO6" s="244">
        <v>216</v>
      </c>
      <c r="GP6" s="262"/>
      <c r="GQ6" s="262"/>
      <c r="GR6" s="262"/>
      <c r="GS6" s="262"/>
      <c r="GT6" s="262"/>
      <c r="GU6" s="262"/>
      <c r="GV6" s="262"/>
      <c r="GW6" s="262"/>
      <c r="GX6" s="262"/>
      <c r="GY6" s="262">
        <v>107</v>
      </c>
      <c r="GZ6" s="262">
        <v>107</v>
      </c>
      <c r="HA6" s="262">
        <v>107</v>
      </c>
      <c r="HB6" s="262">
        <v>107</v>
      </c>
      <c r="HC6" s="262">
        <v>124</v>
      </c>
      <c r="HD6" s="262">
        <v>124</v>
      </c>
      <c r="HE6" s="262">
        <v>124</v>
      </c>
      <c r="HF6" s="262">
        <v>124</v>
      </c>
      <c r="HG6" s="262">
        <v>124</v>
      </c>
      <c r="HH6" s="262">
        <v>140</v>
      </c>
      <c r="HI6" s="262">
        <v>140</v>
      </c>
      <c r="HJ6" s="262">
        <v>140</v>
      </c>
      <c r="HK6" s="262">
        <v>150</v>
      </c>
      <c r="HL6" s="262">
        <v>150</v>
      </c>
      <c r="HM6" s="262">
        <v>150</v>
      </c>
      <c r="HN6" s="262">
        <v>150</v>
      </c>
      <c r="HO6" s="262">
        <v>150</v>
      </c>
      <c r="HP6" s="262">
        <v>165</v>
      </c>
      <c r="HQ6" s="262">
        <v>165</v>
      </c>
      <c r="HR6" s="262">
        <v>165</v>
      </c>
      <c r="HS6" s="262">
        <v>165</v>
      </c>
      <c r="HT6" s="262">
        <v>165</v>
      </c>
      <c r="HU6" s="262">
        <v>165</v>
      </c>
      <c r="HV6" s="262">
        <v>185</v>
      </c>
      <c r="HW6" s="262">
        <v>185</v>
      </c>
      <c r="HX6" s="262">
        <v>185</v>
      </c>
      <c r="HY6" s="262">
        <v>185</v>
      </c>
      <c r="HZ6" s="262">
        <v>185</v>
      </c>
      <c r="IA6" s="262">
        <v>190</v>
      </c>
      <c r="IB6" s="262">
        <v>190</v>
      </c>
      <c r="IC6" s="262">
        <v>190</v>
      </c>
      <c r="ID6" s="262">
        <v>190</v>
      </c>
      <c r="IE6" s="262">
        <v>206</v>
      </c>
      <c r="IF6" s="262">
        <v>206</v>
      </c>
      <c r="IG6" s="244">
        <v>66</v>
      </c>
      <c r="IH6" s="244">
        <v>66</v>
      </c>
      <c r="II6" s="244">
        <v>66</v>
      </c>
      <c r="IJ6" s="244">
        <v>76</v>
      </c>
      <c r="IK6" s="244">
        <v>76</v>
      </c>
      <c r="IL6" s="244">
        <v>76</v>
      </c>
      <c r="IM6" s="244">
        <v>96</v>
      </c>
      <c r="IN6" s="244">
        <v>96</v>
      </c>
      <c r="IO6" s="244">
        <v>96</v>
      </c>
      <c r="IP6" s="244">
        <v>100</v>
      </c>
      <c r="IQ6" s="244">
        <v>100</v>
      </c>
      <c r="IR6" s="244">
        <v>100</v>
      </c>
      <c r="IS6" s="244"/>
      <c r="IT6" s="244"/>
      <c r="IU6" s="244"/>
      <c r="IV6" s="244"/>
      <c r="IW6" s="244"/>
      <c r="IX6" s="244"/>
      <c r="IY6" s="244">
        <v>80</v>
      </c>
      <c r="IZ6" s="244">
        <v>97</v>
      </c>
      <c r="JA6" s="244">
        <v>97</v>
      </c>
      <c r="JB6" s="244">
        <v>120</v>
      </c>
      <c r="JC6" s="244"/>
      <c r="JD6" s="244"/>
      <c r="JE6" s="244"/>
      <c r="JF6" s="244"/>
      <c r="JG6" s="244"/>
      <c r="JH6" s="244"/>
      <c r="JI6" s="244"/>
      <c r="JJ6" s="244"/>
      <c r="JK6" s="244"/>
    </row>
    <row r="7" spans="1:271">
      <c r="A7" s="251" t="s">
        <v>2378</v>
      </c>
      <c r="B7" s="276">
        <v>4</v>
      </c>
      <c r="C7" s="276">
        <v>4</v>
      </c>
      <c r="D7" s="276">
        <v>4</v>
      </c>
      <c r="E7" s="276">
        <v>4</v>
      </c>
      <c r="F7" s="276">
        <v>4</v>
      </c>
      <c r="G7" s="276">
        <v>4</v>
      </c>
      <c r="H7" s="276">
        <v>4</v>
      </c>
      <c r="I7" s="276">
        <v>6</v>
      </c>
      <c r="J7" s="276">
        <v>4</v>
      </c>
      <c r="K7" s="276">
        <v>2</v>
      </c>
      <c r="L7" s="276">
        <v>2</v>
      </c>
      <c r="M7" s="276">
        <v>6</v>
      </c>
      <c r="N7" s="276">
        <v>13</v>
      </c>
      <c r="O7" s="276">
        <v>6</v>
      </c>
      <c r="P7" s="276">
        <v>5</v>
      </c>
      <c r="Q7" s="276">
        <v>6</v>
      </c>
      <c r="R7" s="276">
        <v>5</v>
      </c>
      <c r="S7" s="276">
        <v>5</v>
      </c>
      <c r="T7" s="276">
        <v>6</v>
      </c>
      <c r="U7" s="276">
        <v>6</v>
      </c>
      <c r="V7" s="276">
        <v>6</v>
      </c>
      <c r="W7" s="276">
        <v>6</v>
      </c>
      <c r="X7" s="276">
        <v>4</v>
      </c>
      <c r="Y7" s="276">
        <v>2</v>
      </c>
      <c r="Z7" s="276">
        <v>8</v>
      </c>
      <c r="AA7" s="276">
        <v>2</v>
      </c>
      <c r="AB7" s="276">
        <v>4</v>
      </c>
      <c r="AC7" s="276">
        <v>4</v>
      </c>
      <c r="AD7" s="276">
        <v>4</v>
      </c>
      <c r="AE7" s="276">
        <v>2</v>
      </c>
      <c r="AF7" s="276">
        <v>5</v>
      </c>
      <c r="AG7" s="276">
        <v>4</v>
      </c>
      <c r="AH7" s="276">
        <v>4</v>
      </c>
      <c r="AI7" s="276">
        <v>2</v>
      </c>
      <c r="AJ7" s="276">
        <v>1</v>
      </c>
      <c r="AK7" s="277">
        <v>6</v>
      </c>
      <c r="AL7" s="277">
        <v>6</v>
      </c>
      <c r="AM7" s="236">
        <v>2</v>
      </c>
      <c r="AN7" s="236">
        <v>10</v>
      </c>
      <c r="AO7" s="276">
        <v>2</v>
      </c>
      <c r="AP7" s="276">
        <v>4</v>
      </c>
      <c r="AQ7" s="276">
        <v>4</v>
      </c>
      <c r="AR7" s="276">
        <v>4</v>
      </c>
      <c r="AS7" s="276">
        <v>6</v>
      </c>
      <c r="AT7" s="276">
        <v>6</v>
      </c>
      <c r="AU7" s="278">
        <v>6</v>
      </c>
      <c r="AV7" s="279">
        <v>6</v>
      </c>
      <c r="AW7" s="276">
        <v>6</v>
      </c>
      <c r="AX7" s="276">
        <v>5</v>
      </c>
      <c r="AY7" s="276">
        <v>5</v>
      </c>
      <c r="AZ7" s="276">
        <v>6</v>
      </c>
      <c r="BA7" s="276">
        <v>11</v>
      </c>
      <c r="BB7" s="276">
        <v>4</v>
      </c>
      <c r="BC7" s="276">
        <v>4</v>
      </c>
      <c r="BD7" s="276">
        <v>5</v>
      </c>
      <c r="BE7" s="236">
        <v>19</v>
      </c>
      <c r="BF7" s="276">
        <v>6</v>
      </c>
      <c r="BG7" s="276">
        <v>9</v>
      </c>
      <c r="BH7" s="276">
        <v>6</v>
      </c>
      <c r="BI7" s="276">
        <v>6</v>
      </c>
      <c r="BJ7" s="276">
        <v>2</v>
      </c>
      <c r="BK7" s="276">
        <v>11</v>
      </c>
      <c r="BL7" s="276">
        <v>15</v>
      </c>
      <c r="BM7" s="276">
        <v>9</v>
      </c>
      <c r="BN7" s="276">
        <v>9</v>
      </c>
      <c r="BO7" s="276">
        <v>15</v>
      </c>
      <c r="BP7" s="276">
        <v>8</v>
      </c>
      <c r="BQ7" s="236">
        <v>6</v>
      </c>
      <c r="BR7" s="236">
        <v>32</v>
      </c>
      <c r="BS7" s="236">
        <v>40</v>
      </c>
      <c r="BT7" s="236">
        <v>56</v>
      </c>
      <c r="BU7" s="236">
        <v>78</v>
      </c>
      <c r="BV7" s="236">
        <v>39</v>
      </c>
      <c r="BW7" s="236">
        <v>39</v>
      </c>
      <c r="BX7" s="236">
        <v>34</v>
      </c>
      <c r="BY7" s="236">
        <v>30</v>
      </c>
      <c r="BZ7" s="236">
        <v>30</v>
      </c>
      <c r="CA7" s="236">
        <v>30</v>
      </c>
      <c r="CB7" s="236">
        <v>30</v>
      </c>
      <c r="CC7" s="236">
        <v>30</v>
      </c>
      <c r="CD7" s="236">
        <v>48</v>
      </c>
      <c r="CE7" s="236">
        <v>48</v>
      </c>
      <c r="CF7" s="236">
        <v>48</v>
      </c>
      <c r="CG7" s="236">
        <v>48</v>
      </c>
      <c r="CH7" s="236">
        <v>78</v>
      </c>
      <c r="CI7" s="236">
        <v>68</v>
      </c>
      <c r="CJ7" s="236">
        <v>66</v>
      </c>
      <c r="CK7" s="236">
        <v>66</v>
      </c>
      <c r="CL7" s="236">
        <v>0</v>
      </c>
      <c r="CM7" s="236">
        <v>0</v>
      </c>
      <c r="CN7" s="236">
        <v>370</v>
      </c>
      <c r="CO7" s="236">
        <v>440</v>
      </c>
      <c r="CP7" s="236">
        <v>475</v>
      </c>
      <c r="CQ7" s="236">
        <v>440</v>
      </c>
      <c r="CR7" s="236">
        <v>440</v>
      </c>
      <c r="CS7" s="236">
        <v>440</v>
      </c>
      <c r="CT7" s="236">
        <v>420</v>
      </c>
      <c r="CU7" s="236">
        <v>420</v>
      </c>
      <c r="CV7" s="236">
        <v>420</v>
      </c>
      <c r="CW7" s="236">
        <v>496</v>
      </c>
      <c r="CX7" s="236">
        <v>496</v>
      </c>
      <c r="CY7" s="236">
        <v>496</v>
      </c>
      <c r="CZ7" s="236">
        <v>440</v>
      </c>
      <c r="DA7" s="236">
        <v>290</v>
      </c>
      <c r="DB7" s="236">
        <v>290</v>
      </c>
      <c r="DC7" s="236">
        <v>290</v>
      </c>
      <c r="DD7" s="236">
        <v>243</v>
      </c>
      <c r="DE7" s="236">
        <v>243</v>
      </c>
      <c r="DF7" s="236">
        <v>440</v>
      </c>
      <c r="DG7" s="236">
        <v>480</v>
      </c>
      <c r="DH7" s="236">
        <v>399</v>
      </c>
      <c r="DI7" s="236">
        <v>399</v>
      </c>
      <c r="DJ7" s="236">
        <v>399</v>
      </c>
      <c r="DK7" s="236">
        <v>399</v>
      </c>
      <c r="DL7" s="236">
        <v>399</v>
      </c>
      <c r="DM7" s="236">
        <v>399</v>
      </c>
      <c r="DN7" s="236">
        <v>555</v>
      </c>
      <c r="DO7" s="236">
        <v>624</v>
      </c>
      <c r="DP7" s="236">
        <v>624</v>
      </c>
      <c r="DQ7" s="236">
        <v>624</v>
      </c>
      <c r="DR7" s="262">
        <v>177</v>
      </c>
      <c r="DS7" s="262">
        <v>177</v>
      </c>
      <c r="DT7" s="262">
        <v>177</v>
      </c>
      <c r="DU7" s="262">
        <v>177</v>
      </c>
      <c r="DV7" s="262">
        <v>189</v>
      </c>
      <c r="DW7" s="280">
        <v>259</v>
      </c>
      <c r="DX7" s="262">
        <v>189</v>
      </c>
      <c r="DY7" s="280">
        <v>259</v>
      </c>
      <c r="DZ7" s="280">
        <v>259</v>
      </c>
      <c r="EA7" s="262">
        <v>189</v>
      </c>
      <c r="EB7" s="280">
        <v>259</v>
      </c>
      <c r="EC7" s="262">
        <v>149</v>
      </c>
      <c r="ED7" s="262">
        <v>156</v>
      </c>
      <c r="EE7" s="262">
        <v>174</v>
      </c>
      <c r="EF7" s="262">
        <v>189</v>
      </c>
      <c r="EG7" s="262">
        <v>189</v>
      </c>
      <c r="EH7" s="262">
        <v>189</v>
      </c>
      <c r="EI7" s="262">
        <v>194</v>
      </c>
      <c r="EJ7" s="262">
        <v>117</v>
      </c>
      <c r="EK7" s="262">
        <v>117</v>
      </c>
      <c r="EL7" s="262">
        <v>125</v>
      </c>
      <c r="EM7" s="262">
        <v>125</v>
      </c>
      <c r="EN7" s="262">
        <v>125</v>
      </c>
      <c r="EO7" s="262">
        <v>125</v>
      </c>
      <c r="EP7" s="262">
        <v>155</v>
      </c>
      <c r="EQ7" s="262">
        <v>155</v>
      </c>
      <c r="ER7" s="262">
        <v>155</v>
      </c>
      <c r="ES7" s="262">
        <v>155</v>
      </c>
      <c r="ET7" s="244">
        <v>96</v>
      </c>
      <c r="EU7" s="244">
        <v>90</v>
      </c>
      <c r="EV7" s="244">
        <v>124</v>
      </c>
      <c r="EW7" s="244">
        <v>90</v>
      </c>
      <c r="EX7" s="244">
        <v>130</v>
      </c>
      <c r="EY7" s="244">
        <v>93</v>
      </c>
      <c r="EZ7" s="244">
        <v>130</v>
      </c>
      <c r="FA7" s="244">
        <v>93</v>
      </c>
      <c r="FB7" s="244">
        <v>130</v>
      </c>
      <c r="FC7" s="244">
        <v>134</v>
      </c>
      <c r="FD7" s="244">
        <v>134</v>
      </c>
      <c r="FE7" s="244">
        <v>159</v>
      </c>
      <c r="FF7" s="244">
        <v>159</v>
      </c>
      <c r="FG7" s="244">
        <v>122</v>
      </c>
      <c r="FH7" s="244">
        <v>130</v>
      </c>
      <c r="FI7" s="244">
        <v>148</v>
      </c>
      <c r="FJ7" s="244">
        <v>184</v>
      </c>
      <c r="FK7" s="244">
        <v>189</v>
      </c>
      <c r="FL7" s="244">
        <v>186</v>
      </c>
      <c r="FM7" s="275"/>
      <c r="FN7" s="275"/>
      <c r="FO7" s="244">
        <v>172</v>
      </c>
      <c r="FP7" s="244">
        <v>189</v>
      </c>
      <c r="FQ7" s="244">
        <v>202</v>
      </c>
      <c r="FR7" s="244">
        <v>220</v>
      </c>
      <c r="FS7" s="244">
        <v>230</v>
      </c>
      <c r="FT7" s="275"/>
      <c r="FU7" s="275"/>
      <c r="FV7" s="244">
        <v>224</v>
      </c>
      <c r="FW7" s="244">
        <v>239</v>
      </c>
      <c r="FX7" s="244">
        <v>224</v>
      </c>
      <c r="FY7" s="244">
        <v>239</v>
      </c>
      <c r="FZ7" s="275"/>
      <c r="GA7" s="275"/>
      <c r="GB7" s="245">
        <v>279</v>
      </c>
      <c r="GC7" s="245">
        <v>279</v>
      </c>
      <c r="GD7" s="245">
        <v>279</v>
      </c>
      <c r="GE7" s="245">
        <v>279</v>
      </c>
      <c r="GF7" s="244">
        <v>242</v>
      </c>
      <c r="GG7" s="244">
        <v>242</v>
      </c>
      <c r="GH7" s="244">
        <v>242</v>
      </c>
      <c r="GI7" s="244">
        <v>242</v>
      </c>
      <c r="GJ7" s="244">
        <v>242</v>
      </c>
      <c r="GK7" s="244">
        <v>242</v>
      </c>
      <c r="GL7" s="244">
        <v>245</v>
      </c>
      <c r="GM7" s="244">
        <v>245</v>
      </c>
      <c r="GN7" s="244">
        <v>245</v>
      </c>
      <c r="GO7" s="244">
        <v>245</v>
      </c>
      <c r="GP7" s="262">
        <v>237</v>
      </c>
      <c r="GQ7" s="262">
        <v>237</v>
      </c>
      <c r="GR7" s="262">
        <v>237</v>
      </c>
      <c r="GS7" s="262">
        <v>237</v>
      </c>
      <c r="GT7" s="262">
        <v>237</v>
      </c>
      <c r="GU7" s="262">
        <v>243</v>
      </c>
      <c r="GV7" s="262">
        <v>243</v>
      </c>
      <c r="GW7" s="262">
        <v>240</v>
      </c>
      <c r="GX7" s="262">
        <v>240</v>
      </c>
      <c r="GY7" s="262">
        <v>132</v>
      </c>
      <c r="GZ7" s="262">
        <v>132</v>
      </c>
      <c r="HA7" s="262">
        <v>132</v>
      </c>
      <c r="HB7" s="262">
        <v>132</v>
      </c>
      <c r="HC7" s="262">
        <v>156</v>
      </c>
      <c r="HD7" s="262">
        <v>156</v>
      </c>
      <c r="HE7" s="262">
        <v>156</v>
      </c>
      <c r="HF7" s="262">
        <v>156</v>
      </c>
      <c r="HG7" s="262">
        <v>156</v>
      </c>
      <c r="HH7" s="262">
        <v>156</v>
      </c>
      <c r="HI7" s="262">
        <v>156</v>
      </c>
      <c r="HJ7" s="262">
        <v>156</v>
      </c>
      <c r="HK7" s="262">
        <v>180</v>
      </c>
      <c r="HL7" s="262">
        <v>180</v>
      </c>
      <c r="HM7" s="262">
        <v>180</v>
      </c>
      <c r="HN7" s="262">
        <v>180</v>
      </c>
      <c r="HO7" s="262">
        <v>180</v>
      </c>
      <c r="HP7" s="262">
        <v>180</v>
      </c>
      <c r="HQ7" s="262">
        <v>180</v>
      </c>
      <c r="HR7" s="262">
        <v>180</v>
      </c>
      <c r="HS7" s="262">
        <v>180</v>
      </c>
      <c r="HT7" s="262">
        <v>180</v>
      </c>
      <c r="HU7" s="262">
        <v>180</v>
      </c>
      <c r="HV7" s="262">
        <v>244</v>
      </c>
      <c r="HW7" s="262">
        <v>244</v>
      </c>
      <c r="HX7" s="262">
        <v>244</v>
      </c>
      <c r="HY7" s="262">
        <v>244</v>
      </c>
      <c r="HZ7" s="262">
        <v>244</v>
      </c>
      <c r="IA7" s="262">
        <v>244</v>
      </c>
      <c r="IB7" s="262">
        <v>244</v>
      </c>
      <c r="IC7" s="262">
        <v>244</v>
      </c>
      <c r="ID7" s="262">
        <v>244</v>
      </c>
      <c r="IE7" s="262">
        <v>244</v>
      </c>
      <c r="IF7" s="262">
        <v>244</v>
      </c>
      <c r="IG7" s="244">
        <v>78</v>
      </c>
      <c r="IH7" s="244">
        <v>78</v>
      </c>
      <c r="II7" s="244">
        <v>78</v>
      </c>
      <c r="IJ7" s="244">
        <v>78</v>
      </c>
      <c r="IK7" s="244">
        <v>78</v>
      </c>
      <c r="IL7" s="244">
        <v>78</v>
      </c>
      <c r="IM7" s="244">
        <v>100</v>
      </c>
      <c r="IN7" s="244">
        <v>100</v>
      </c>
      <c r="IO7" s="244">
        <v>100</v>
      </c>
      <c r="IP7" s="244">
        <v>124</v>
      </c>
      <c r="IQ7" s="244">
        <v>124</v>
      </c>
      <c r="IR7" s="244">
        <v>124</v>
      </c>
      <c r="IS7" s="244">
        <v>30</v>
      </c>
      <c r="IT7" s="244">
        <v>37</v>
      </c>
      <c r="IU7" s="244">
        <v>44</v>
      </c>
      <c r="IV7" s="244">
        <v>50</v>
      </c>
      <c r="IW7" s="244">
        <v>50</v>
      </c>
      <c r="IX7" s="244">
        <v>50</v>
      </c>
      <c r="IY7" s="244">
        <v>88</v>
      </c>
      <c r="IZ7" s="244">
        <v>106</v>
      </c>
      <c r="JA7" s="244">
        <v>106</v>
      </c>
      <c r="JB7" s="244">
        <v>132</v>
      </c>
      <c r="JC7" s="244">
        <v>50</v>
      </c>
      <c r="JD7" s="244">
        <v>50</v>
      </c>
      <c r="JE7" s="244">
        <v>50</v>
      </c>
      <c r="JF7" s="244">
        <v>50</v>
      </c>
      <c r="JG7" s="244">
        <v>50</v>
      </c>
      <c r="JH7" s="244">
        <v>70</v>
      </c>
      <c r="JI7" s="244">
        <v>86</v>
      </c>
      <c r="JJ7" s="244">
        <v>75</v>
      </c>
      <c r="JK7" s="244">
        <v>104</v>
      </c>
    </row>
    <row r="8" spans="1:271">
      <c r="A8" s="251" t="s">
        <v>2379</v>
      </c>
      <c r="B8" s="242">
        <v>893.2</v>
      </c>
      <c r="C8" s="242">
        <v>885.1</v>
      </c>
      <c r="D8" s="242">
        <v>814</v>
      </c>
      <c r="E8" s="242">
        <v>959.33600000000001</v>
      </c>
      <c r="F8" s="242">
        <v>1074.1600000000001</v>
      </c>
      <c r="G8" s="242">
        <v>2315</v>
      </c>
      <c r="H8" s="242">
        <v>1648.28</v>
      </c>
      <c r="I8" s="242">
        <v>989.53499999999997</v>
      </c>
      <c r="J8" s="242">
        <v>997.58</v>
      </c>
      <c r="K8" s="242">
        <v>772.32</v>
      </c>
      <c r="L8" s="242">
        <v>764.27499999999998</v>
      </c>
      <c r="M8" s="242">
        <v>555.6</v>
      </c>
      <c r="N8" s="242">
        <v>1596.424</v>
      </c>
      <c r="O8" s="242">
        <v>1174.57</v>
      </c>
      <c r="P8" s="242">
        <v>1250.193</v>
      </c>
      <c r="Q8" s="242">
        <v>914.88800000000003</v>
      </c>
      <c r="R8" s="242">
        <v>1214.7950000000001</v>
      </c>
      <c r="S8" s="242">
        <v>1230.885</v>
      </c>
      <c r="T8" s="242">
        <v>1230.885</v>
      </c>
      <c r="U8" s="242">
        <v>1246.9749999999999</v>
      </c>
      <c r="V8" s="242">
        <v>1259.3599999999999</v>
      </c>
      <c r="W8" s="236">
        <v>1051.9360000000001</v>
      </c>
      <c r="X8" s="236">
        <v>1431.596</v>
      </c>
      <c r="Y8" s="236">
        <v>622.27200000000005</v>
      </c>
      <c r="Z8" s="236">
        <v>1930.8</v>
      </c>
      <c r="AA8" s="236">
        <v>890</v>
      </c>
      <c r="AB8" s="236">
        <v>1453.82</v>
      </c>
      <c r="AC8" s="236">
        <v>1618.654</v>
      </c>
      <c r="AD8" s="236">
        <v>1726.0640000000001</v>
      </c>
      <c r="AE8" s="236">
        <v>1007.4880000000001</v>
      </c>
      <c r="AF8" s="281">
        <v>1389</v>
      </c>
      <c r="AG8" s="282">
        <v>1822.3680000000002</v>
      </c>
      <c r="AH8" s="282">
        <v>1453.8200000000002</v>
      </c>
      <c r="AI8" s="236">
        <v>650</v>
      </c>
      <c r="AJ8" s="236">
        <v>650</v>
      </c>
      <c r="AK8" s="236">
        <v>1285.288</v>
      </c>
      <c r="AL8" s="282">
        <v>2487</v>
      </c>
      <c r="AM8" s="236">
        <v>1304</v>
      </c>
      <c r="AN8" s="236">
        <v>2096.5</v>
      </c>
      <c r="AO8" s="236">
        <v>1850.7</v>
      </c>
      <c r="AP8" s="236">
        <v>889</v>
      </c>
      <c r="AQ8" s="236">
        <v>1159</v>
      </c>
      <c r="AR8" s="236">
        <v>819.51</v>
      </c>
      <c r="AS8" s="236">
        <v>1255.29</v>
      </c>
      <c r="AT8" s="236">
        <v>1253.68</v>
      </c>
      <c r="AU8" s="252">
        <v>1610</v>
      </c>
      <c r="AV8" s="253">
        <v>1352</v>
      </c>
      <c r="AW8" s="236">
        <v>1268.6199999999999</v>
      </c>
      <c r="AX8" s="236">
        <v>1424.27</v>
      </c>
      <c r="AY8" s="236">
        <v>1157.5</v>
      </c>
      <c r="AZ8" s="236">
        <v>439.2944</v>
      </c>
      <c r="BA8" s="236">
        <v>1846</v>
      </c>
      <c r="BB8" s="236">
        <v>1426</v>
      </c>
      <c r="BC8" s="236">
        <v>1352</v>
      </c>
      <c r="BD8" s="236">
        <v>988.9</v>
      </c>
      <c r="BE8" s="236">
        <v>1300</v>
      </c>
      <c r="BF8" s="236">
        <v>1852</v>
      </c>
      <c r="BG8" s="236">
        <v>2696.5120000000002</v>
      </c>
      <c r="BH8" s="236">
        <v>2740.96</v>
      </c>
      <c r="BI8" s="236">
        <v>1977.9359999999999</v>
      </c>
      <c r="BJ8" s="236">
        <v>763.024</v>
      </c>
      <c r="BK8" s="236">
        <v>3344.712</v>
      </c>
      <c r="BL8" s="236">
        <v>4702.2280000000001</v>
      </c>
      <c r="BM8" s="236">
        <v>3185.44</v>
      </c>
      <c r="BN8" s="282">
        <v>2037</v>
      </c>
      <c r="BO8" s="277">
        <v>4789.2719999999999</v>
      </c>
      <c r="BP8" s="277">
        <v>2919</v>
      </c>
      <c r="BQ8" s="236">
        <v>1704</v>
      </c>
      <c r="BR8" s="236">
        <v>1666</v>
      </c>
      <c r="BS8" s="236">
        <v>1574.2</v>
      </c>
      <c r="BT8" s="236">
        <v>1558</v>
      </c>
      <c r="BU8" s="236">
        <v>2222.4</v>
      </c>
      <c r="BV8" s="236">
        <v>2083.5</v>
      </c>
      <c r="BW8" s="236">
        <v>2083.5</v>
      </c>
      <c r="BX8" s="236">
        <v>815</v>
      </c>
      <c r="BY8" s="236">
        <v>1333.44</v>
      </c>
      <c r="BZ8" s="236">
        <v>1481.6000000000001</v>
      </c>
      <c r="CA8" s="236">
        <v>1296.4000000000001</v>
      </c>
      <c r="CB8" s="236">
        <v>1314.92</v>
      </c>
      <c r="CC8" s="236">
        <v>1345</v>
      </c>
      <c r="CD8" s="236">
        <v>831.548</v>
      </c>
      <c r="CE8" s="236">
        <v>835.25200000000007</v>
      </c>
      <c r="CF8" s="236">
        <v>1326.0320000000002</v>
      </c>
      <c r="CG8" s="236">
        <v>1470.4880000000001</v>
      </c>
      <c r="CH8" s="236">
        <v>1370.5</v>
      </c>
      <c r="CI8" s="236">
        <v>1429.7440000000001</v>
      </c>
      <c r="CJ8" s="236">
        <v>1596.424</v>
      </c>
      <c r="CK8" s="236">
        <v>1464.932</v>
      </c>
      <c r="CL8" s="236">
        <v>9389</v>
      </c>
      <c r="CM8" s="236">
        <v>13080</v>
      </c>
      <c r="CN8" s="236">
        <v>17038</v>
      </c>
      <c r="CO8" s="236">
        <v>16670</v>
      </c>
      <c r="CP8" s="236">
        <v>13890</v>
      </c>
      <c r="CQ8" s="236">
        <v>12501</v>
      </c>
      <c r="CR8" s="236">
        <v>12732.5</v>
      </c>
      <c r="CS8" s="236">
        <v>12500</v>
      </c>
      <c r="CT8" s="236">
        <v>14075.2</v>
      </c>
      <c r="CU8" s="236">
        <v>12732.5</v>
      </c>
      <c r="CV8" s="236">
        <v>13797.400000000001</v>
      </c>
      <c r="CW8" s="236">
        <v>13334.400000000001</v>
      </c>
      <c r="CX8" s="236">
        <v>13334.400000000001</v>
      </c>
      <c r="CY8" s="236">
        <v>13334.400000000001</v>
      </c>
      <c r="CZ8" s="236">
        <v>10880.5</v>
      </c>
      <c r="DA8" s="236">
        <v>7408</v>
      </c>
      <c r="DB8" s="236">
        <v>10649</v>
      </c>
      <c r="DC8" s="236">
        <v>11205</v>
      </c>
      <c r="DD8" s="236">
        <v>10371</v>
      </c>
      <c r="DE8" s="236">
        <v>10278.6</v>
      </c>
      <c r="DF8" s="236">
        <v>12964</v>
      </c>
      <c r="DG8" s="236">
        <v>15279</v>
      </c>
      <c r="DH8" s="236">
        <v>3889</v>
      </c>
      <c r="DI8" s="236">
        <v>4954</v>
      </c>
      <c r="DJ8" s="236">
        <v>6945</v>
      </c>
      <c r="DK8" s="236">
        <v>7593.2</v>
      </c>
      <c r="DL8" s="236">
        <v>6574.6</v>
      </c>
      <c r="DM8" s="236">
        <v>6945</v>
      </c>
      <c r="DN8" s="236">
        <v>14816</v>
      </c>
      <c r="DO8" s="236">
        <v>14204.84</v>
      </c>
      <c r="DP8" s="236">
        <v>14204.84</v>
      </c>
      <c r="DQ8" s="236">
        <v>14204.84</v>
      </c>
      <c r="DR8" s="283">
        <v>6960</v>
      </c>
      <c r="DS8" s="283">
        <v>7500</v>
      </c>
      <c r="DT8" s="283">
        <v>7417</v>
      </c>
      <c r="DU8" s="283">
        <v>7408</v>
      </c>
      <c r="DV8" s="283">
        <v>8334</v>
      </c>
      <c r="DW8" s="283">
        <v>5833.8</v>
      </c>
      <c r="DX8" s="283">
        <v>9352.6</v>
      </c>
      <c r="DY8" s="283">
        <v>7408</v>
      </c>
      <c r="DZ8" s="283">
        <v>6482</v>
      </c>
      <c r="EA8" s="283">
        <v>9445.2000000000007</v>
      </c>
      <c r="EB8" s="283">
        <v>8334</v>
      </c>
      <c r="EC8" s="283">
        <v>5185.6000000000004</v>
      </c>
      <c r="ED8" s="283">
        <v>5926.4</v>
      </c>
      <c r="EE8" s="283">
        <v>6667.2</v>
      </c>
      <c r="EF8" s="283">
        <v>7037.6</v>
      </c>
      <c r="EG8" s="283">
        <v>7037.6</v>
      </c>
      <c r="EH8" s="283">
        <v>8889.6</v>
      </c>
      <c r="EI8" s="283">
        <v>8334</v>
      </c>
      <c r="EJ8" s="283">
        <v>3148.4</v>
      </c>
      <c r="EK8" s="283">
        <v>3796.6</v>
      </c>
      <c r="EL8" s="283">
        <v>3889.2</v>
      </c>
      <c r="EM8" s="283">
        <v>4074.4</v>
      </c>
      <c r="EN8" s="283">
        <v>3518.8</v>
      </c>
      <c r="EO8" s="283">
        <v>4074.4</v>
      </c>
      <c r="EP8" s="283">
        <v>2778</v>
      </c>
      <c r="EQ8" s="283">
        <v>3518.8</v>
      </c>
      <c r="ER8" s="283">
        <v>4815.2</v>
      </c>
      <c r="ES8" s="283">
        <v>3889.2</v>
      </c>
      <c r="ET8" s="283">
        <v>2592.8000000000002</v>
      </c>
      <c r="EU8" s="283">
        <v>3704</v>
      </c>
      <c r="EV8" s="283">
        <v>3426.2</v>
      </c>
      <c r="EW8" s="283">
        <v>4167</v>
      </c>
      <c r="EX8" s="283">
        <v>3148.4</v>
      </c>
      <c r="EY8" s="283">
        <v>4074.4</v>
      </c>
      <c r="EZ8" s="283">
        <v>4352.2</v>
      </c>
      <c r="FA8" s="283">
        <v>4055.88</v>
      </c>
      <c r="FB8" s="283">
        <v>3852.16</v>
      </c>
      <c r="FC8" s="283">
        <v>3333.6</v>
      </c>
      <c r="FD8" s="283">
        <v>4537.3999999999996</v>
      </c>
      <c r="FE8" s="283">
        <v>3611.4</v>
      </c>
      <c r="FF8" s="283">
        <v>4167</v>
      </c>
      <c r="FG8" s="283">
        <v>3000.24</v>
      </c>
      <c r="FH8" s="283">
        <v>2481</v>
      </c>
      <c r="FI8" s="283">
        <v>2852</v>
      </c>
      <c r="FJ8" s="283">
        <v>3685</v>
      </c>
      <c r="FK8" s="283">
        <v>3815</v>
      </c>
      <c r="FL8" s="283">
        <v>5407.84</v>
      </c>
      <c r="FM8" s="283">
        <v>6667.2</v>
      </c>
      <c r="FN8" s="283">
        <v>8482.16</v>
      </c>
      <c r="FO8" s="283">
        <v>7222.8</v>
      </c>
      <c r="FP8" s="283">
        <v>6482</v>
      </c>
      <c r="FQ8" s="283">
        <v>5296.72</v>
      </c>
      <c r="FR8" s="283">
        <v>6019</v>
      </c>
      <c r="FS8" s="283">
        <v>5954.18</v>
      </c>
      <c r="FT8" s="283">
        <v>9723</v>
      </c>
      <c r="FU8" s="283">
        <v>8889.6</v>
      </c>
      <c r="FV8" s="283">
        <v>7408</v>
      </c>
      <c r="FW8" s="283">
        <v>7222</v>
      </c>
      <c r="FX8" s="283">
        <v>4185</v>
      </c>
      <c r="FY8" s="283">
        <v>6769</v>
      </c>
      <c r="FZ8" s="283">
        <v>6769</v>
      </c>
      <c r="GA8" s="283">
        <v>6769</v>
      </c>
      <c r="GB8" s="283">
        <v>3926</v>
      </c>
      <c r="GC8" s="283">
        <v>6287</v>
      </c>
      <c r="GD8" s="283">
        <v>3620</v>
      </c>
      <c r="GE8" s="283">
        <v>5889</v>
      </c>
      <c r="GF8" s="283">
        <v>4167</v>
      </c>
      <c r="GG8" s="283">
        <v>5926.4</v>
      </c>
      <c r="GH8" s="283">
        <v>6759.8</v>
      </c>
      <c r="GI8" s="283">
        <v>7315.4</v>
      </c>
      <c r="GJ8" s="283">
        <v>6759.8</v>
      </c>
      <c r="GK8" s="283">
        <v>7315.4</v>
      </c>
      <c r="GL8" s="284">
        <v>8334</v>
      </c>
      <c r="GM8" s="284">
        <v>9445.2000000000007</v>
      </c>
      <c r="GN8" s="284">
        <v>11297.2</v>
      </c>
      <c r="GO8" s="284">
        <v>12223.2</v>
      </c>
      <c r="GP8" s="283">
        <v>4815.2</v>
      </c>
      <c r="GQ8" s="283">
        <v>4907.8</v>
      </c>
      <c r="GR8" s="283">
        <v>6111.6</v>
      </c>
      <c r="GS8" s="283">
        <v>6204.2</v>
      </c>
      <c r="GT8" s="283">
        <v>6482</v>
      </c>
      <c r="GU8" s="283">
        <v>7871</v>
      </c>
      <c r="GV8" s="283">
        <v>7222.8</v>
      </c>
      <c r="GW8" s="283">
        <v>8704.4</v>
      </c>
      <c r="GX8" s="283">
        <v>9537.7999999999993</v>
      </c>
      <c r="GY8" s="283">
        <v>2592.8000000000002</v>
      </c>
      <c r="GZ8" s="283">
        <v>2592.8000000000002</v>
      </c>
      <c r="HA8" s="283">
        <v>5741.2</v>
      </c>
      <c r="HB8" s="283">
        <v>5741.2</v>
      </c>
      <c r="HC8" s="283">
        <v>3241</v>
      </c>
      <c r="HD8" s="283">
        <v>5833.8</v>
      </c>
      <c r="HE8" s="283">
        <v>6019</v>
      </c>
      <c r="HF8" s="283">
        <v>6019</v>
      </c>
      <c r="HG8" s="283">
        <v>6019</v>
      </c>
      <c r="HH8" s="283">
        <v>2500.1999999999998</v>
      </c>
      <c r="HI8" s="283">
        <v>6945</v>
      </c>
      <c r="HJ8" s="283">
        <v>2500.1999999999998</v>
      </c>
      <c r="HK8" s="283">
        <v>4537.3999999999996</v>
      </c>
      <c r="HL8" s="283">
        <v>4537.3999999999996</v>
      </c>
      <c r="HM8" s="283">
        <v>5000.3999999999996</v>
      </c>
      <c r="HN8" s="283">
        <v>4815.2</v>
      </c>
      <c r="HO8" s="283">
        <v>5556</v>
      </c>
      <c r="HP8" s="283">
        <v>4167</v>
      </c>
      <c r="HQ8" s="283">
        <v>6019</v>
      </c>
      <c r="HR8" s="283">
        <v>6019</v>
      </c>
      <c r="HS8" s="283">
        <v>4167</v>
      </c>
      <c r="HT8" s="283">
        <v>6019</v>
      </c>
      <c r="HU8" s="283">
        <v>6019</v>
      </c>
      <c r="HV8" s="283">
        <v>3959</v>
      </c>
      <c r="HW8" s="283">
        <v>4172</v>
      </c>
      <c r="HX8" s="283">
        <v>4167</v>
      </c>
      <c r="HY8" s="283">
        <v>5000</v>
      </c>
      <c r="HZ8" s="283">
        <v>5026</v>
      </c>
      <c r="IA8" s="283">
        <v>5093</v>
      </c>
      <c r="IB8" s="283">
        <v>5093</v>
      </c>
      <c r="IC8" s="283">
        <v>6019</v>
      </c>
      <c r="ID8" s="283">
        <v>6704.24</v>
      </c>
      <c r="IE8" s="283">
        <v>8334</v>
      </c>
      <c r="IF8" s="283">
        <v>8334</v>
      </c>
      <c r="IG8" s="262">
        <v>3333</v>
      </c>
      <c r="IH8" s="262">
        <v>3889</v>
      </c>
      <c r="II8" s="262">
        <v>3982</v>
      </c>
      <c r="IJ8" s="262">
        <v>3148</v>
      </c>
      <c r="IK8" s="262">
        <v>3518</v>
      </c>
      <c r="IL8" s="262">
        <v>4260</v>
      </c>
      <c r="IM8" s="262">
        <v>3333</v>
      </c>
      <c r="IN8" s="262">
        <v>4259</v>
      </c>
      <c r="IO8" s="262">
        <v>4444</v>
      </c>
      <c r="IP8" s="262">
        <v>2778</v>
      </c>
      <c r="IQ8" s="262">
        <v>3704</v>
      </c>
      <c r="IR8" s="262">
        <v>4074</v>
      </c>
      <c r="IS8" s="244">
        <v>2409</v>
      </c>
      <c r="IT8" s="244">
        <v>3243</v>
      </c>
      <c r="IU8" s="285">
        <v>3058</v>
      </c>
      <c r="IV8" s="244">
        <v>2224</v>
      </c>
      <c r="IW8" s="244">
        <v>2873</v>
      </c>
      <c r="IX8" s="244">
        <v>3706</v>
      </c>
      <c r="IY8" s="244">
        <v>3704</v>
      </c>
      <c r="IZ8" s="244">
        <v>5278</v>
      </c>
      <c r="JA8" s="244">
        <v>5278</v>
      </c>
      <c r="JB8" s="244">
        <v>4815</v>
      </c>
      <c r="JC8" s="244">
        <v>1852</v>
      </c>
      <c r="JD8" s="244">
        <v>3074</v>
      </c>
      <c r="JE8" s="244">
        <v>3074</v>
      </c>
      <c r="JF8" s="244">
        <v>3333.6</v>
      </c>
      <c r="JG8" s="244">
        <v>3111.36</v>
      </c>
      <c r="JH8" s="244">
        <v>3981.8</v>
      </c>
      <c r="JI8" s="244">
        <v>3678.0720000000001</v>
      </c>
      <c r="JJ8" s="244">
        <v>4000.32</v>
      </c>
      <c r="JK8" s="244">
        <v>3457</v>
      </c>
    </row>
    <row r="9" spans="1:271">
      <c r="A9" s="251" t="s">
        <v>2380</v>
      </c>
      <c r="B9" s="236">
        <v>60</v>
      </c>
      <c r="C9" s="236">
        <v>60</v>
      </c>
      <c r="D9" s="236">
        <v>63.305</v>
      </c>
      <c r="E9" s="236">
        <v>63.3</v>
      </c>
      <c r="F9" s="236">
        <v>63.305</v>
      </c>
      <c r="G9" s="236">
        <v>86.325000000000003</v>
      </c>
      <c r="H9" s="236">
        <v>86.325000000000003</v>
      </c>
      <c r="I9" s="236">
        <v>60</v>
      </c>
      <c r="J9" s="236">
        <v>60</v>
      </c>
      <c r="K9" s="236">
        <v>50</v>
      </c>
      <c r="L9" s="236">
        <v>55</v>
      </c>
      <c r="M9" s="236">
        <v>63.305</v>
      </c>
      <c r="N9" s="236">
        <v>86.325000000000003</v>
      </c>
      <c r="O9" s="236">
        <v>60</v>
      </c>
      <c r="P9" s="236">
        <v>90</v>
      </c>
      <c r="Q9" s="236">
        <v>95.533000000000001</v>
      </c>
      <c r="R9" s="236">
        <v>80</v>
      </c>
      <c r="S9" s="236">
        <v>80</v>
      </c>
      <c r="T9" s="236">
        <v>80</v>
      </c>
      <c r="U9" s="236">
        <v>80</v>
      </c>
      <c r="V9" s="236">
        <v>57.550000000000004</v>
      </c>
      <c r="W9" s="236">
        <v>63.305</v>
      </c>
      <c r="X9" s="236">
        <v>69.06</v>
      </c>
      <c r="Y9" s="277">
        <v>57.550000000000004</v>
      </c>
      <c r="Z9" s="236">
        <v>112.7</v>
      </c>
      <c r="AA9" s="277">
        <v>66.501000000000005</v>
      </c>
      <c r="AB9" s="277">
        <v>80.570000000000007</v>
      </c>
      <c r="AC9" s="277">
        <v>84.022999999999996</v>
      </c>
      <c r="AD9" s="277">
        <v>95.533000000000001</v>
      </c>
      <c r="AE9" s="277">
        <v>81.488</v>
      </c>
      <c r="AF9" s="277">
        <f>65.607*1.2</f>
        <v>78.728399999999993</v>
      </c>
      <c r="AG9" s="236">
        <v>77.117000000000004</v>
      </c>
      <c r="AH9" s="236">
        <v>77.117000000000004</v>
      </c>
      <c r="AI9" s="236">
        <v>43.5</v>
      </c>
      <c r="AJ9" s="236">
        <v>49.720323182100685</v>
      </c>
      <c r="AK9" s="286">
        <f>77.117*2</f>
        <v>154.23400000000001</v>
      </c>
      <c r="AL9" s="286">
        <f>66.758*1.2</f>
        <v>80.109599999999986</v>
      </c>
      <c r="AM9" s="236">
        <v>65</v>
      </c>
      <c r="AN9" s="236">
        <v>75</v>
      </c>
      <c r="AO9" s="236">
        <v>69</v>
      </c>
      <c r="AP9" s="236">
        <v>63.3</v>
      </c>
      <c r="AQ9" s="236">
        <v>60</v>
      </c>
      <c r="AR9" s="236">
        <v>69.06</v>
      </c>
      <c r="AS9" s="236">
        <v>70</v>
      </c>
      <c r="AT9" s="236">
        <v>64</v>
      </c>
      <c r="AU9" s="252">
        <v>61.003</v>
      </c>
      <c r="AV9" s="253">
        <v>65.606999999999999</v>
      </c>
      <c r="AW9" s="236">
        <v>85</v>
      </c>
      <c r="AX9" s="236">
        <v>85</v>
      </c>
      <c r="AY9" s="236">
        <v>82</v>
      </c>
      <c r="AZ9" s="236">
        <v>94.4</v>
      </c>
      <c r="BA9" s="236">
        <v>109.345</v>
      </c>
      <c r="BB9" s="236">
        <v>80.599999999999994</v>
      </c>
      <c r="BC9" s="236">
        <v>88.6</v>
      </c>
      <c r="BD9" s="236">
        <v>89.76</v>
      </c>
      <c r="BE9" s="277">
        <f>66.5*1.2</f>
        <v>79.8</v>
      </c>
      <c r="BF9" s="277">
        <v>108</v>
      </c>
      <c r="BG9" s="286">
        <v>123.2</v>
      </c>
      <c r="BH9" s="286">
        <v>106.7</v>
      </c>
      <c r="BI9" s="277">
        <v>99</v>
      </c>
      <c r="BJ9" s="277">
        <v>64.456000000000003</v>
      </c>
      <c r="BK9" s="286">
        <v>102.5</v>
      </c>
      <c r="BL9" s="286">
        <v>101.2</v>
      </c>
      <c r="BM9" s="286">
        <v>101.2</v>
      </c>
      <c r="BN9" s="286">
        <v>95</v>
      </c>
      <c r="BO9" s="286">
        <f>50.963*1.2</f>
        <v>61.1556</v>
      </c>
      <c r="BP9" s="286">
        <f>90.929*1.2</f>
        <v>109.1148</v>
      </c>
      <c r="BQ9" s="236">
        <v>86.3</v>
      </c>
      <c r="BR9" s="277">
        <v>126.61</v>
      </c>
      <c r="BS9" s="236"/>
      <c r="BT9" s="236"/>
      <c r="BU9" s="236"/>
      <c r="BV9" s="236"/>
      <c r="BW9" s="236"/>
      <c r="BX9" s="286">
        <f>119.7*1.2</f>
        <v>143.63999999999999</v>
      </c>
      <c r="BY9" s="236">
        <v>110.7</v>
      </c>
      <c r="BZ9" s="236">
        <v>110.7</v>
      </c>
      <c r="CA9" s="236">
        <v>110.7</v>
      </c>
      <c r="CB9" s="236">
        <v>110.7</v>
      </c>
      <c r="CC9" s="236">
        <v>128.9</v>
      </c>
      <c r="CD9" s="236">
        <v>124.30800000000001</v>
      </c>
      <c r="CE9" s="236">
        <v>124.30800000000001</v>
      </c>
      <c r="CF9" s="236">
        <v>128.91200000000001</v>
      </c>
      <c r="CG9" s="236">
        <v>127.761</v>
      </c>
      <c r="CH9" s="236">
        <v>132.4</v>
      </c>
      <c r="CI9" s="236">
        <v>132.36500000000001</v>
      </c>
      <c r="CJ9" s="236">
        <v>132.36500000000001</v>
      </c>
      <c r="CK9" s="236">
        <v>130.06300000000002</v>
      </c>
      <c r="CL9" s="277">
        <v>195.6</v>
      </c>
      <c r="CM9" s="277">
        <v>180</v>
      </c>
      <c r="CN9" s="277">
        <v>180</v>
      </c>
      <c r="CO9" s="236">
        <v>205</v>
      </c>
      <c r="CP9" s="236">
        <v>205</v>
      </c>
      <c r="CQ9" s="236">
        <v>205</v>
      </c>
      <c r="CR9" s="236">
        <v>205</v>
      </c>
      <c r="CS9" s="236">
        <v>205</v>
      </c>
      <c r="CT9" s="236">
        <v>205</v>
      </c>
      <c r="CU9" s="236">
        <v>205</v>
      </c>
      <c r="CV9" s="236">
        <v>205</v>
      </c>
      <c r="CW9" s="236">
        <v>196.8</v>
      </c>
      <c r="CX9" s="236">
        <v>196.8</v>
      </c>
      <c r="CY9" s="236">
        <v>196.8</v>
      </c>
      <c r="CZ9" s="236">
        <v>214.08600000000001</v>
      </c>
      <c r="DA9" s="236">
        <v>180</v>
      </c>
      <c r="DB9" s="236">
        <v>184.16</v>
      </c>
      <c r="DC9" s="236">
        <v>184.16</v>
      </c>
      <c r="DD9" s="236">
        <v>184.16</v>
      </c>
      <c r="DE9" s="236">
        <v>184.16</v>
      </c>
      <c r="DF9" s="236">
        <v>180</v>
      </c>
      <c r="DG9" s="236">
        <v>180</v>
      </c>
      <c r="DH9" s="287">
        <v>217</v>
      </c>
      <c r="DI9" s="287">
        <v>217</v>
      </c>
      <c r="DJ9" s="236">
        <v>217</v>
      </c>
      <c r="DK9" s="236">
        <v>217</v>
      </c>
      <c r="DL9" s="236">
        <v>215</v>
      </c>
      <c r="DM9" s="236">
        <v>205</v>
      </c>
      <c r="DN9" s="236">
        <v>172.7</v>
      </c>
      <c r="DO9" s="287">
        <v>196.8</v>
      </c>
      <c r="DP9" s="287">
        <v>196.8</v>
      </c>
      <c r="DQ9" s="287">
        <v>196.8</v>
      </c>
      <c r="DR9" s="288">
        <v>157.65700000000001</v>
      </c>
      <c r="DS9" s="288">
        <v>158.80799999999999</v>
      </c>
      <c r="DT9" s="288">
        <v>172.61699999999999</v>
      </c>
      <c r="DU9" s="288">
        <v>172.61699999999999</v>
      </c>
      <c r="DV9" s="288">
        <v>176.06899999999999</v>
      </c>
      <c r="DW9" s="288">
        <v>176.06899999999999</v>
      </c>
      <c r="DX9" s="288">
        <v>184.125</v>
      </c>
      <c r="DY9" s="288">
        <v>184.125</v>
      </c>
      <c r="DZ9" s="288">
        <v>176.06899999999999</v>
      </c>
      <c r="EA9" s="288">
        <v>184.125</v>
      </c>
      <c r="EB9" s="288">
        <v>184.125</v>
      </c>
      <c r="EC9" s="288">
        <v>140.39500000000001</v>
      </c>
      <c r="ED9" s="288">
        <v>142.697</v>
      </c>
      <c r="EE9" s="288">
        <v>153.054</v>
      </c>
      <c r="EF9" s="288">
        <v>172.61699999999999</v>
      </c>
      <c r="EG9" s="288">
        <v>172.61699999999999</v>
      </c>
      <c r="EH9" s="288">
        <v>176.06899999999999</v>
      </c>
      <c r="EI9" s="288">
        <v>178.37100000000001</v>
      </c>
      <c r="EJ9" s="262">
        <v>149.601</v>
      </c>
      <c r="EK9" s="262">
        <v>149.601</v>
      </c>
      <c r="EL9" s="262">
        <v>161.10900000000001</v>
      </c>
      <c r="EM9" s="262">
        <v>161.10900000000001</v>
      </c>
      <c r="EN9" s="262">
        <v>161.10900000000001</v>
      </c>
      <c r="EO9" s="262">
        <v>161.10900000000001</v>
      </c>
      <c r="EP9" s="262">
        <v>166.863</v>
      </c>
      <c r="EQ9" s="262">
        <v>166.863</v>
      </c>
      <c r="ER9" s="262">
        <v>166.863</v>
      </c>
      <c r="ES9" s="262">
        <v>166.863</v>
      </c>
      <c r="ET9" s="244">
        <v>166.863</v>
      </c>
      <c r="EU9" s="244">
        <v>166.863</v>
      </c>
      <c r="EV9" s="244">
        <v>166.863</v>
      </c>
      <c r="EW9" s="244">
        <v>169.16499999999999</v>
      </c>
      <c r="EX9" s="244">
        <v>169.16499999999999</v>
      </c>
      <c r="EY9" s="244">
        <v>169.16499999999999</v>
      </c>
      <c r="EZ9" s="244">
        <v>169.16499999999999</v>
      </c>
      <c r="FA9" s="289">
        <v>169.16499999999999</v>
      </c>
      <c r="FB9" s="289">
        <v>169.16499999999999</v>
      </c>
      <c r="FC9" s="244">
        <v>178.3708</v>
      </c>
      <c r="FD9" s="244">
        <v>178.3708</v>
      </c>
      <c r="FE9" s="244">
        <v>192.18020000000001</v>
      </c>
      <c r="FF9" s="244">
        <v>192.18020000000001</v>
      </c>
      <c r="FG9" s="244">
        <v>166.863</v>
      </c>
      <c r="FH9" s="244">
        <v>166.863</v>
      </c>
      <c r="FI9" s="244">
        <v>172.61699999999999</v>
      </c>
      <c r="FJ9" s="244">
        <v>166.863</v>
      </c>
      <c r="FK9" s="244">
        <v>171.46600000000001</v>
      </c>
      <c r="FL9" s="244">
        <v>171.46600000000001</v>
      </c>
      <c r="FM9" s="244">
        <v>172.61699999999999</v>
      </c>
      <c r="FN9" s="244">
        <v>166.863</v>
      </c>
      <c r="FO9" s="290">
        <v>207.14</v>
      </c>
      <c r="FP9" s="291">
        <v>207.14</v>
      </c>
      <c r="FQ9" s="291">
        <v>207.14</v>
      </c>
      <c r="FR9" s="291">
        <v>207.14</v>
      </c>
      <c r="FS9" s="291">
        <v>207.14</v>
      </c>
      <c r="FT9" s="291">
        <v>207.14</v>
      </c>
      <c r="FU9" s="291">
        <v>207.14</v>
      </c>
      <c r="FV9" s="244">
        <v>166.863</v>
      </c>
      <c r="FW9" s="244">
        <v>166.863</v>
      </c>
      <c r="FX9" s="244">
        <v>166.863</v>
      </c>
      <c r="FY9" s="244">
        <v>166.863</v>
      </c>
      <c r="FZ9" s="244">
        <v>166.863</v>
      </c>
      <c r="GA9" s="244">
        <v>166.863</v>
      </c>
      <c r="GB9" s="244">
        <v>166.863</v>
      </c>
      <c r="GC9" s="244">
        <v>166.863</v>
      </c>
      <c r="GD9" s="244">
        <v>166.863</v>
      </c>
      <c r="GE9" s="244">
        <v>166.863</v>
      </c>
      <c r="GF9" s="244">
        <v>184.125</v>
      </c>
      <c r="GG9" s="244">
        <v>184.125</v>
      </c>
      <c r="GH9" s="244">
        <v>184.125</v>
      </c>
      <c r="GI9" s="244">
        <v>184.125</v>
      </c>
      <c r="GJ9" s="244">
        <v>184.125</v>
      </c>
      <c r="GK9" s="244">
        <v>184.125</v>
      </c>
      <c r="GL9" s="244">
        <v>184.125</v>
      </c>
      <c r="GM9" s="244">
        <v>184.125</v>
      </c>
      <c r="GN9" s="244">
        <v>184.125</v>
      </c>
      <c r="GO9" s="244">
        <v>184.125</v>
      </c>
      <c r="GP9" s="283">
        <v>131.70670799999999</v>
      </c>
      <c r="GQ9" s="283">
        <v>128.08175</v>
      </c>
      <c r="GR9" s="283">
        <v>131.70670799999999</v>
      </c>
      <c r="GS9" s="283">
        <v>138.95661799999999</v>
      </c>
      <c r="GT9" s="283">
        <v>138.95661799999999</v>
      </c>
      <c r="GU9" s="283">
        <v>138.95661799999999</v>
      </c>
      <c r="GV9" s="283">
        <v>138.95661799999999</v>
      </c>
      <c r="GW9" s="283">
        <v>146.20652899999999</v>
      </c>
      <c r="GX9" s="283">
        <v>146.20652899999999</v>
      </c>
      <c r="GY9" s="283">
        <v>132.91503</v>
      </c>
      <c r="GZ9" s="283">
        <v>132.91503</v>
      </c>
      <c r="HA9" s="283">
        <v>132.91503</v>
      </c>
      <c r="HB9" s="283">
        <v>132.91503</v>
      </c>
      <c r="HC9" s="283">
        <v>132.91503</v>
      </c>
      <c r="HD9" s="283">
        <v>132.91503</v>
      </c>
      <c r="HE9" s="283">
        <v>132.91503</v>
      </c>
      <c r="HF9" s="283">
        <v>132.91503</v>
      </c>
      <c r="HG9" s="283">
        <v>132.91503</v>
      </c>
      <c r="HH9" s="283">
        <v>132.91503</v>
      </c>
      <c r="HI9" s="283">
        <v>132.91503</v>
      </c>
      <c r="HJ9" s="283">
        <v>132.91503</v>
      </c>
      <c r="HK9" s="283">
        <v>132.91503</v>
      </c>
      <c r="HL9" s="283">
        <v>132.91503</v>
      </c>
      <c r="HM9" s="283">
        <v>132.91503</v>
      </c>
      <c r="HN9" s="283">
        <v>132.91503</v>
      </c>
      <c r="HO9" s="283">
        <v>132.91503</v>
      </c>
      <c r="HP9" s="283">
        <v>132.91503</v>
      </c>
      <c r="HQ9" s="283">
        <v>132.91503</v>
      </c>
      <c r="HR9" s="283">
        <v>132.91503</v>
      </c>
      <c r="HS9" s="283">
        <v>132.91503</v>
      </c>
      <c r="HT9" s="283">
        <v>132.91503</v>
      </c>
      <c r="HU9" s="283">
        <v>132.91503</v>
      </c>
      <c r="HV9" s="283">
        <v>132.91503</v>
      </c>
      <c r="HW9" s="283">
        <v>132.91503</v>
      </c>
      <c r="HX9" s="283">
        <v>132.91503</v>
      </c>
      <c r="HY9" s="283">
        <v>132.91503</v>
      </c>
      <c r="HZ9" s="283">
        <v>132.91503</v>
      </c>
      <c r="IA9" s="283">
        <v>132.91503</v>
      </c>
      <c r="IB9" s="283">
        <v>132.91503</v>
      </c>
      <c r="IC9" s="283">
        <v>132.91503</v>
      </c>
      <c r="ID9" s="283">
        <v>132.91503</v>
      </c>
      <c r="IE9" s="283">
        <v>132.91503</v>
      </c>
      <c r="IF9" s="283">
        <v>132.91503</v>
      </c>
      <c r="IG9" s="262">
        <v>158.80799999999999</v>
      </c>
      <c r="IH9" s="262">
        <v>158.80799999999999</v>
      </c>
      <c r="II9" s="262">
        <v>158.80799999999999</v>
      </c>
      <c r="IJ9" s="262">
        <v>158.80799999999999</v>
      </c>
      <c r="IK9" s="262">
        <v>158.80799999999999</v>
      </c>
      <c r="IL9" s="262">
        <v>158.80799999999999</v>
      </c>
      <c r="IM9" s="262">
        <v>155.35499999999999</v>
      </c>
      <c r="IN9" s="262">
        <v>155.35499999999999</v>
      </c>
      <c r="IO9" s="262">
        <v>155.35499999999999</v>
      </c>
      <c r="IP9" s="262">
        <v>155.35499999999999</v>
      </c>
      <c r="IQ9" s="262">
        <v>155.35499999999999</v>
      </c>
      <c r="IR9" s="262">
        <v>155.35499999999999</v>
      </c>
      <c r="IS9" s="262">
        <v>141.54599999999999</v>
      </c>
      <c r="IT9" s="262">
        <v>141.54599999999999</v>
      </c>
      <c r="IU9" s="262">
        <v>153.054</v>
      </c>
      <c r="IV9" s="262">
        <v>153.054</v>
      </c>
      <c r="IW9" s="262">
        <v>155.35499999999999</v>
      </c>
      <c r="IX9" s="262">
        <v>155.35499999999999</v>
      </c>
      <c r="IY9" s="292">
        <v>155.35499999999999</v>
      </c>
      <c r="IZ9" s="292">
        <v>155.35499999999999</v>
      </c>
      <c r="JA9" s="292">
        <v>155.35499999999999</v>
      </c>
      <c r="JB9" s="292">
        <v>155.35499999999999</v>
      </c>
      <c r="JC9" s="262">
        <v>151.90299999999999</v>
      </c>
      <c r="JD9" s="262">
        <v>155.35499999999999</v>
      </c>
      <c r="JE9" s="262">
        <v>155.35499999999999</v>
      </c>
      <c r="JF9" s="262">
        <v>155.35499999999999</v>
      </c>
      <c r="JG9" s="262">
        <v>155.35499999999999</v>
      </c>
      <c r="JH9" s="262">
        <v>166.863</v>
      </c>
      <c r="JI9" s="262">
        <v>168.01400000000001</v>
      </c>
      <c r="JJ9" s="262">
        <v>168.01400000000001</v>
      </c>
      <c r="JK9" s="293">
        <v>168.01400000000001</v>
      </c>
    </row>
    <row r="10" spans="1:271">
      <c r="A10" s="251" t="s">
        <v>2381</v>
      </c>
      <c r="B10" s="236">
        <f>B9*1.609</f>
        <v>96.539999999999992</v>
      </c>
      <c r="C10" s="236">
        <f t="shared" ref="C10:BN10" si="0">C9*1.609</f>
        <v>96.539999999999992</v>
      </c>
      <c r="D10" s="236">
        <f t="shared" si="0"/>
        <v>101.85774499999999</v>
      </c>
      <c r="E10" s="236">
        <f t="shared" si="0"/>
        <v>101.8497</v>
      </c>
      <c r="F10" s="236">
        <f t="shared" si="0"/>
        <v>101.85774499999999</v>
      </c>
      <c r="G10" s="236">
        <f t="shared" si="0"/>
        <v>138.89692500000001</v>
      </c>
      <c r="H10" s="236">
        <f t="shared" si="0"/>
        <v>138.89692500000001</v>
      </c>
      <c r="I10" s="236">
        <f t="shared" si="0"/>
        <v>96.539999999999992</v>
      </c>
      <c r="J10" s="236">
        <f t="shared" si="0"/>
        <v>96.539999999999992</v>
      </c>
      <c r="K10" s="236">
        <f t="shared" si="0"/>
        <v>80.45</v>
      </c>
      <c r="L10" s="236">
        <f t="shared" si="0"/>
        <v>88.495000000000005</v>
      </c>
      <c r="M10" s="236">
        <f t="shared" si="0"/>
        <v>101.85774499999999</v>
      </c>
      <c r="N10" s="236">
        <f t="shared" si="0"/>
        <v>138.89692500000001</v>
      </c>
      <c r="O10" s="236">
        <f t="shared" si="0"/>
        <v>96.539999999999992</v>
      </c>
      <c r="P10" s="236">
        <f t="shared" si="0"/>
        <v>144.81</v>
      </c>
      <c r="Q10" s="236">
        <f t="shared" si="0"/>
        <v>153.71259699999999</v>
      </c>
      <c r="R10" s="236">
        <f t="shared" si="0"/>
        <v>128.72</v>
      </c>
      <c r="S10" s="236">
        <f t="shared" si="0"/>
        <v>128.72</v>
      </c>
      <c r="T10" s="236">
        <f t="shared" si="0"/>
        <v>128.72</v>
      </c>
      <c r="U10" s="236">
        <f t="shared" si="0"/>
        <v>128.72</v>
      </c>
      <c r="V10" s="236">
        <f t="shared" si="0"/>
        <v>92.597950000000012</v>
      </c>
      <c r="W10" s="236">
        <f t="shared" si="0"/>
        <v>101.85774499999999</v>
      </c>
      <c r="X10" s="236">
        <f t="shared" si="0"/>
        <v>111.11754000000001</v>
      </c>
      <c r="Y10" s="277">
        <f t="shared" si="0"/>
        <v>92.597950000000012</v>
      </c>
      <c r="Z10" s="277">
        <f t="shared" si="0"/>
        <v>181.33430000000001</v>
      </c>
      <c r="AA10" s="277">
        <f t="shared" si="0"/>
        <v>107.00010900000001</v>
      </c>
      <c r="AB10" s="277">
        <f t="shared" si="0"/>
        <v>129.63713000000001</v>
      </c>
      <c r="AC10" s="277">
        <f t="shared" si="0"/>
        <v>135.19300699999999</v>
      </c>
      <c r="AD10" s="277">
        <f t="shared" si="0"/>
        <v>153.71259699999999</v>
      </c>
      <c r="AE10" s="277">
        <f t="shared" si="0"/>
        <v>131.114192</v>
      </c>
      <c r="AF10" s="277">
        <f t="shared" si="0"/>
        <v>126.67399559999998</v>
      </c>
      <c r="AG10" s="236">
        <f t="shared" si="0"/>
        <v>124.081253</v>
      </c>
      <c r="AH10" s="236">
        <f t="shared" si="0"/>
        <v>124.081253</v>
      </c>
      <c r="AI10" s="236">
        <f t="shared" si="0"/>
        <v>69.991500000000002</v>
      </c>
      <c r="AJ10" s="236">
        <f t="shared" si="0"/>
        <v>80</v>
      </c>
      <c r="AK10" s="286">
        <f t="shared" si="0"/>
        <v>248.16250600000001</v>
      </c>
      <c r="AL10" s="286">
        <f t="shared" si="0"/>
        <v>128.89634639999997</v>
      </c>
      <c r="AM10" s="236">
        <f t="shared" si="0"/>
        <v>104.58499999999999</v>
      </c>
      <c r="AN10" s="236">
        <f t="shared" si="0"/>
        <v>120.675</v>
      </c>
      <c r="AO10" s="236">
        <f t="shared" si="0"/>
        <v>111.021</v>
      </c>
      <c r="AP10" s="236">
        <f t="shared" si="0"/>
        <v>101.8497</v>
      </c>
      <c r="AQ10" s="236">
        <f t="shared" si="0"/>
        <v>96.539999999999992</v>
      </c>
      <c r="AR10" s="236">
        <f t="shared" si="0"/>
        <v>111.11754000000001</v>
      </c>
      <c r="AS10" s="236">
        <f t="shared" si="0"/>
        <v>112.63</v>
      </c>
      <c r="AT10" s="236">
        <f t="shared" si="0"/>
        <v>102.976</v>
      </c>
      <c r="AU10" s="252">
        <f t="shared" si="0"/>
        <v>98.153826999999993</v>
      </c>
      <c r="AV10" s="253">
        <f t="shared" si="0"/>
        <v>105.561663</v>
      </c>
      <c r="AW10" s="236">
        <f t="shared" si="0"/>
        <v>136.76499999999999</v>
      </c>
      <c r="AX10" s="236">
        <f t="shared" si="0"/>
        <v>136.76499999999999</v>
      </c>
      <c r="AY10" s="236">
        <f t="shared" si="0"/>
        <v>131.93799999999999</v>
      </c>
      <c r="AZ10" s="236">
        <f t="shared" si="0"/>
        <v>151.8896</v>
      </c>
      <c r="BA10" s="236">
        <f t="shared" si="0"/>
        <v>175.936105</v>
      </c>
      <c r="BB10" s="236">
        <f t="shared" si="0"/>
        <v>129.68539999999999</v>
      </c>
      <c r="BC10" s="236">
        <f t="shared" si="0"/>
        <v>142.5574</v>
      </c>
      <c r="BD10" s="236">
        <f t="shared" si="0"/>
        <v>144.42384000000001</v>
      </c>
      <c r="BE10" s="277">
        <f t="shared" si="0"/>
        <v>128.3982</v>
      </c>
      <c r="BF10" s="277">
        <f t="shared" si="0"/>
        <v>173.77199999999999</v>
      </c>
      <c r="BG10" s="286">
        <f t="shared" si="0"/>
        <v>198.22880000000001</v>
      </c>
      <c r="BH10" s="286">
        <f t="shared" si="0"/>
        <v>171.68030000000002</v>
      </c>
      <c r="BI10" s="277">
        <f t="shared" si="0"/>
        <v>159.291</v>
      </c>
      <c r="BJ10" s="277">
        <f t="shared" si="0"/>
        <v>103.709704</v>
      </c>
      <c r="BK10" s="286">
        <f t="shared" si="0"/>
        <v>164.92249999999999</v>
      </c>
      <c r="BL10" s="286">
        <f t="shared" si="0"/>
        <v>162.83080000000001</v>
      </c>
      <c r="BM10" s="286">
        <f t="shared" si="0"/>
        <v>162.83080000000001</v>
      </c>
      <c r="BN10" s="286">
        <f t="shared" si="0"/>
        <v>152.85499999999999</v>
      </c>
      <c r="BO10" s="286">
        <f t="shared" ref="BO10:BR10" si="1">BO9*1.609</f>
        <v>98.399360399999992</v>
      </c>
      <c r="BP10" s="286">
        <f t="shared" si="1"/>
        <v>175.5657132</v>
      </c>
      <c r="BQ10" s="236">
        <f t="shared" si="1"/>
        <v>138.85669999999999</v>
      </c>
      <c r="BR10" s="277">
        <f t="shared" si="1"/>
        <v>203.71548999999999</v>
      </c>
      <c r="BS10" s="236"/>
      <c r="BT10" s="236"/>
      <c r="BU10" s="236"/>
      <c r="BV10" s="236"/>
      <c r="BW10" s="236"/>
      <c r="BX10" s="277">
        <f>BX9*1.609</f>
        <v>231.11675999999997</v>
      </c>
      <c r="BY10" s="277">
        <f t="shared" ref="BY10:CX10" si="2">BY9*1.609</f>
        <v>178.1163</v>
      </c>
      <c r="BZ10" s="277">
        <f t="shared" si="2"/>
        <v>178.1163</v>
      </c>
      <c r="CA10" s="277">
        <f t="shared" si="2"/>
        <v>178.1163</v>
      </c>
      <c r="CB10" s="277">
        <f t="shared" si="2"/>
        <v>178.1163</v>
      </c>
      <c r="CC10" s="236">
        <f t="shared" si="2"/>
        <v>207.40010000000001</v>
      </c>
      <c r="CD10" s="236">
        <f t="shared" si="2"/>
        <v>200.011572</v>
      </c>
      <c r="CE10" s="236">
        <f t="shared" si="2"/>
        <v>200.011572</v>
      </c>
      <c r="CF10" s="236">
        <f t="shared" si="2"/>
        <v>207.419408</v>
      </c>
      <c r="CG10" s="236">
        <f t="shared" si="2"/>
        <v>205.56744899999998</v>
      </c>
      <c r="CH10" s="236">
        <f t="shared" si="2"/>
        <v>213.0316</v>
      </c>
      <c r="CI10" s="236">
        <f t="shared" si="2"/>
        <v>212.97528500000001</v>
      </c>
      <c r="CJ10" s="236">
        <f t="shared" si="2"/>
        <v>212.97528500000001</v>
      </c>
      <c r="CK10" s="236">
        <f t="shared" si="2"/>
        <v>209.27136700000003</v>
      </c>
      <c r="CL10" s="236">
        <f t="shared" si="2"/>
        <v>314.72039999999998</v>
      </c>
      <c r="CM10" s="236">
        <f t="shared" si="2"/>
        <v>289.62</v>
      </c>
      <c r="CN10" s="236">
        <f t="shared" si="2"/>
        <v>289.62</v>
      </c>
      <c r="CO10" s="236">
        <f t="shared" si="2"/>
        <v>329.84499999999997</v>
      </c>
      <c r="CP10" s="236">
        <f t="shared" si="2"/>
        <v>329.84499999999997</v>
      </c>
      <c r="CQ10" s="236">
        <f t="shared" si="2"/>
        <v>329.84499999999997</v>
      </c>
      <c r="CR10" s="236">
        <f t="shared" si="2"/>
        <v>329.84499999999997</v>
      </c>
      <c r="CS10" s="236">
        <f t="shared" si="2"/>
        <v>329.84499999999997</v>
      </c>
      <c r="CT10" s="236">
        <f t="shared" si="2"/>
        <v>329.84499999999997</v>
      </c>
      <c r="CU10" s="236">
        <f t="shared" si="2"/>
        <v>329.84499999999997</v>
      </c>
      <c r="CV10" s="236">
        <f t="shared" si="2"/>
        <v>329.84499999999997</v>
      </c>
      <c r="CW10" s="236">
        <f t="shared" si="2"/>
        <v>316.65120000000002</v>
      </c>
      <c r="CX10" s="236">
        <f t="shared" si="2"/>
        <v>316.65120000000002</v>
      </c>
      <c r="CY10" s="236">
        <f>CY9*1.609</f>
        <v>316.65120000000002</v>
      </c>
      <c r="CZ10" s="236">
        <f t="shared" ref="CZ10" si="3">CZ9*1.609</f>
        <v>344.46437400000002</v>
      </c>
      <c r="DA10" s="236">
        <f>DA9*1.609</f>
        <v>289.62</v>
      </c>
      <c r="DB10" s="236">
        <f>DB9*1.609</f>
        <v>296.31344000000001</v>
      </c>
      <c r="DC10" s="236">
        <f>DC9*1.609</f>
        <v>296.31344000000001</v>
      </c>
      <c r="DD10" s="236">
        <f>DD9*1.609</f>
        <v>296.31344000000001</v>
      </c>
      <c r="DE10" s="236">
        <f>DE9*1.609</f>
        <v>296.31344000000001</v>
      </c>
      <c r="DF10" s="236">
        <f t="shared" ref="DF10:DG10" si="4">DF9*1.609</f>
        <v>289.62</v>
      </c>
      <c r="DG10" s="236">
        <f t="shared" si="4"/>
        <v>289.62</v>
      </c>
      <c r="DH10" s="287">
        <f>DH9*1.609</f>
        <v>349.15300000000002</v>
      </c>
      <c r="DI10" s="287">
        <f t="shared" ref="DI10:DM10" si="5">DI9*1.609</f>
        <v>349.15300000000002</v>
      </c>
      <c r="DJ10" s="236">
        <f>DJ9*1.609</f>
        <v>349.15300000000002</v>
      </c>
      <c r="DK10" s="236">
        <f t="shared" si="5"/>
        <v>349.15300000000002</v>
      </c>
      <c r="DL10" s="236">
        <f t="shared" si="5"/>
        <v>345.935</v>
      </c>
      <c r="DM10" s="236">
        <f t="shared" si="5"/>
        <v>329.84499999999997</v>
      </c>
      <c r="DN10" s="236">
        <f>DN9*1.609</f>
        <v>277.87430000000001</v>
      </c>
      <c r="DO10" s="287">
        <f t="shared" ref="DO10:DQ10" si="6">DO9*1.609</f>
        <v>316.65120000000002</v>
      </c>
      <c r="DP10" s="287">
        <f t="shared" si="6"/>
        <v>316.65120000000002</v>
      </c>
      <c r="DQ10" s="287">
        <f t="shared" si="6"/>
        <v>316.65120000000002</v>
      </c>
      <c r="DR10" s="244">
        <f t="shared" ref="DR10:ES10" si="7">DR9*1.60934</f>
        <v>253.72371638000001</v>
      </c>
      <c r="DS10" s="244">
        <f t="shared" si="7"/>
        <v>255.57606672</v>
      </c>
      <c r="DT10" s="244">
        <f t="shared" si="7"/>
        <v>277.79944277999999</v>
      </c>
      <c r="DU10" s="244">
        <f t="shared" si="7"/>
        <v>277.79944277999999</v>
      </c>
      <c r="DV10" s="244">
        <f t="shared" si="7"/>
        <v>283.35488445999999</v>
      </c>
      <c r="DW10" s="244">
        <f t="shared" si="7"/>
        <v>283.35488445999999</v>
      </c>
      <c r="DX10" s="244">
        <f t="shared" si="7"/>
        <v>296.3197275</v>
      </c>
      <c r="DY10" s="244">
        <f t="shared" si="7"/>
        <v>296.3197275</v>
      </c>
      <c r="DZ10" s="244">
        <f t="shared" si="7"/>
        <v>283.35488445999999</v>
      </c>
      <c r="EA10" s="244">
        <f t="shared" si="7"/>
        <v>296.3197275</v>
      </c>
      <c r="EB10" s="244">
        <f t="shared" si="7"/>
        <v>296.3197275</v>
      </c>
      <c r="EC10" s="244">
        <f t="shared" si="7"/>
        <v>225.9432893</v>
      </c>
      <c r="ED10" s="244">
        <f t="shared" si="7"/>
        <v>229.64798998000001</v>
      </c>
      <c r="EE10" s="244">
        <f t="shared" si="7"/>
        <v>246.31592436</v>
      </c>
      <c r="EF10" s="244">
        <f t="shared" si="7"/>
        <v>277.79944277999999</v>
      </c>
      <c r="EG10" s="244">
        <f t="shared" si="7"/>
        <v>277.79944277999999</v>
      </c>
      <c r="EH10" s="244">
        <f t="shared" si="7"/>
        <v>283.35488445999999</v>
      </c>
      <c r="EI10" s="244">
        <f t="shared" si="7"/>
        <v>287.05958514000002</v>
      </c>
      <c r="EJ10" s="244">
        <f t="shared" si="7"/>
        <v>240.75887334000001</v>
      </c>
      <c r="EK10" s="244">
        <f t="shared" si="7"/>
        <v>240.75887334000001</v>
      </c>
      <c r="EL10" s="244">
        <f t="shared" si="7"/>
        <v>259.27915805999999</v>
      </c>
      <c r="EM10" s="244">
        <f t="shared" si="7"/>
        <v>259.27915805999999</v>
      </c>
      <c r="EN10" s="244">
        <f t="shared" si="7"/>
        <v>259.27915805999999</v>
      </c>
      <c r="EO10" s="244">
        <f t="shared" si="7"/>
        <v>259.27915805999999</v>
      </c>
      <c r="EP10" s="244">
        <f t="shared" si="7"/>
        <v>268.53930042000002</v>
      </c>
      <c r="EQ10" s="244">
        <f t="shared" si="7"/>
        <v>268.53930042000002</v>
      </c>
      <c r="ER10" s="244">
        <f t="shared" si="7"/>
        <v>268.53930042000002</v>
      </c>
      <c r="ES10" s="244">
        <f t="shared" si="7"/>
        <v>268.53930042000002</v>
      </c>
      <c r="ET10" s="244">
        <v>268.54000000000002</v>
      </c>
      <c r="EU10" s="244">
        <v>268.54000000000002</v>
      </c>
      <c r="EV10" s="244">
        <v>268.54000000000002</v>
      </c>
      <c r="EW10" s="244">
        <f t="shared" ref="EW10:FK10" si="8">EW9*1.60934</f>
        <v>272.24400109999999</v>
      </c>
      <c r="EX10" s="244">
        <f t="shared" si="8"/>
        <v>272.24400109999999</v>
      </c>
      <c r="EY10" s="244">
        <f t="shared" si="8"/>
        <v>272.24400109999999</v>
      </c>
      <c r="EZ10" s="244">
        <f t="shared" si="8"/>
        <v>272.24400109999999</v>
      </c>
      <c r="FA10" s="289">
        <f t="shared" si="8"/>
        <v>272.24400109999999</v>
      </c>
      <c r="FB10" s="289">
        <f t="shared" si="8"/>
        <v>272.24400109999999</v>
      </c>
      <c r="FC10" s="244">
        <f t="shared" si="8"/>
        <v>287.05926327200001</v>
      </c>
      <c r="FD10" s="244">
        <f t="shared" si="8"/>
        <v>287.05926327200001</v>
      </c>
      <c r="FE10" s="244">
        <f t="shared" si="8"/>
        <v>309.283283068</v>
      </c>
      <c r="FF10" s="244">
        <f t="shared" si="8"/>
        <v>309.283283068</v>
      </c>
      <c r="FG10" s="244">
        <f t="shared" si="8"/>
        <v>268.53930042000002</v>
      </c>
      <c r="FH10" s="244">
        <f t="shared" si="8"/>
        <v>268.53930042000002</v>
      </c>
      <c r="FI10" s="244">
        <f t="shared" si="8"/>
        <v>277.79944277999999</v>
      </c>
      <c r="FJ10" s="244">
        <f t="shared" si="8"/>
        <v>268.53930042000002</v>
      </c>
      <c r="FK10" s="244">
        <f t="shared" si="8"/>
        <v>275.94709244000001</v>
      </c>
      <c r="FL10" s="244">
        <v>275.94709239999997</v>
      </c>
      <c r="FM10" s="244">
        <f t="shared" ref="FM10:HX10" si="9">FM9*1.60934</f>
        <v>277.79944277999999</v>
      </c>
      <c r="FN10" s="244">
        <f t="shared" si="9"/>
        <v>268.53930042000002</v>
      </c>
      <c r="FO10" s="244">
        <f t="shared" si="9"/>
        <v>333.3586876</v>
      </c>
      <c r="FP10" s="275">
        <f t="shared" si="9"/>
        <v>333.3586876</v>
      </c>
      <c r="FQ10" s="275">
        <f t="shared" si="9"/>
        <v>333.3586876</v>
      </c>
      <c r="FR10" s="275">
        <f t="shared" si="9"/>
        <v>333.3586876</v>
      </c>
      <c r="FS10" s="275">
        <f t="shared" si="9"/>
        <v>333.3586876</v>
      </c>
      <c r="FT10" s="275">
        <f t="shared" si="9"/>
        <v>333.3586876</v>
      </c>
      <c r="FU10" s="275">
        <f t="shared" si="9"/>
        <v>333.3586876</v>
      </c>
      <c r="FV10" s="244">
        <f t="shared" si="9"/>
        <v>268.53930042000002</v>
      </c>
      <c r="FW10" s="244">
        <f t="shared" si="9"/>
        <v>268.53930042000002</v>
      </c>
      <c r="FX10" s="244">
        <f t="shared" si="9"/>
        <v>268.53930042000002</v>
      </c>
      <c r="FY10" s="244">
        <f t="shared" si="9"/>
        <v>268.53930042000002</v>
      </c>
      <c r="FZ10" s="244">
        <f t="shared" si="9"/>
        <v>268.53930042000002</v>
      </c>
      <c r="GA10" s="244">
        <f t="shared" si="9"/>
        <v>268.53930042000002</v>
      </c>
      <c r="GB10" s="244">
        <f t="shared" si="9"/>
        <v>268.53930042000002</v>
      </c>
      <c r="GC10" s="244">
        <f t="shared" si="9"/>
        <v>268.53930042000002</v>
      </c>
      <c r="GD10" s="244">
        <f t="shared" si="9"/>
        <v>268.53930042000002</v>
      </c>
      <c r="GE10" s="244">
        <f t="shared" si="9"/>
        <v>268.53930042000002</v>
      </c>
      <c r="GF10" s="244">
        <f t="shared" si="9"/>
        <v>296.3197275</v>
      </c>
      <c r="GG10" s="244">
        <f t="shared" si="9"/>
        <v>296.3197275</v>
      </c>
      <c r="GH10" s="244">
        <f t="shared" si="9"/>
        <v>296.3197275</v>
      </c>
      <c r="GI10" s="244">
        <f t="shared" si="9"/>
        <v>296.3197275</v>
      </c>
      <c r="GJ10" s="244">
        <f t="shared" si="9"/>
        <v>296.3197275</v>
      </c>
      <c r="GK10" s="244">
        <f t="shared" si="9"/>
        <v>296.3197275</v>
      </c>
      <c r="GL10" s="244">
        <f t="shared" si="9"/>
        <v>296.3197275</v>
      </c>
      <c r="GM10" s="244">
        <f t="shared" si="9"/>
        <v>296.3197275</v>
      </c>
      <c r="GN10" s="244">
        <f t="shared" si="9"/>
        <v>296.3197275</v>
      </c>
      <c r="GO10" s="244">
        <f t="shared" si="9"/>
        <v>296.3197275</v>
      </c>
      <c r="GP10" s="244">
        <f t="shared" si="9"/>
        <v>211.96087345271999</v>
      </c>
      <c r="GQ10" s="244">
        <f t="shared" si="9"/>
        <v>206.127083545</v>
      </c>
      <c r="GR10" s="244">
        <f t="shared" si="9"/>
        <v>211.96087345271999</v>
      </c>
      <c r="GS10" s="244">
        <f t="shared" si="9"/>
        <v>223.62844361211998</v>
      </c>
      <c r="GT10" s="244">
        <f t="shared" si="9"/>
        <v>223.62844361211998</v>
      </c>
      <c r="GU10" s="244">
        <f t="shared" si="9"/>
        <v>223.62844361211998</v>
      </c>
      <c r="GV10" s="244">
        <f t="shared" si="9"/>
        <v>223.62844361211998</v>
      </c>
      <c r="GW10" s="244">
        <f t="shared" si="9"/>
        <v>235.29601538085998</v>
      </c>
      <c r="GX10" s="244">
        <f t="shared" si="9"/>
        <v>235.29601538085998</v>
      </c>
      <c r="GY10" s="244">
        <f t="shared" si="9"/>
        <v>213.90547438019999</v>
      </c>
      <c r="GZ10" s="244">
        <f t="shared" si="9"/>
        <v>213.90547438019999</v>
      </c>
      <c r="HA10" s="244">
        <f t="shared" si="9"/>
        <v>213.90547438019999</v>
      </c>
      <c r="HB10" s="244">
        <f t="shared" si="9"/>
        <v>213.90547438019999</v>
      </c>
      <c r="HC10" s="244">
        <f t="shared" si="9"/>
        <v>213.90547438019999</v>
      </c>
      <c r="HD10" s="244">
        <f t="shared" si="9"/>
        <v>213.90547438019999</v>
      </c>
      <c r="HE10" s="244">
        <f t="shared" si="9"/>
        <v>213.90547438019999</v>
      </c>
      <c r="HF10" s="244">
        <f t="shared" si="9"/>
        <v>213.90547438019999</v>
      </c>
      <c r="HG10" s="244">
        <f t="shared" si="9"/>
        <v>213.90547438019999</v>
      </c>
      <c r="HH10" s="244">
        <f t="shared" si="9"/>
        <v>213.90547438019999</v>
      </c>
      <c r="HI10" s="244">
        <f t="shared" si="9"/>
        <v>213.90547438019999</v>
      </c>
      <c r="HJ10" s="244">
        <f t="shared" si="9"/>
        <v>213.90547438019999</v>
      </c>
      <c r="HK10" s="244">
        <f t="shared" si="9"/>
        <v>213.90547438019999</v>
      </c>
      <c r="HL10" s="244">
        <f t="shared" si="9"/>
        <v>213.90547438019999</v>
      </c>
      <c r="HM10" s="244">
        <f t="shared" si="9"/>
        <v>213.90547438019999</v>
      </c>
      <c r="HN10" s="244">
        <f t="shared" si="9"/>
        <v>213.90547438019999</v>
      </c>
      <c r="HO10" s="244">
        <f t="shared" si="9"/>
        <v>213.90547438019999</v>
      </c>
      <c r="HP10" s="244">
        <f t="shared" si="9"/>
        <v>213.90547438019999</v>
      </c>
      <c r="HQ10" s="244">
        <f t="shared" si="9"/>
        <v>213.90547438019999</v>
      </c>
      <c r="HR10" s="244">
        <f t="shared" si="9"/>
        <v>213.90547438019999</v>
      </c>
      <c r="HS10" s="244">
        <f t="shared" si="9"/>
        <v>213.90547438019999</v>
      </c>
      <c r="HT10" s="244">
        <f t="shared" si="9"/>
        <v>213.90547438019999</v>
      </c>
      <c r="HU10" s="244">
        <f t="shared" si="9"/>
        <v>213.90547438019999</v>
      </c>
      <c r="HV10" s="244">
        <f t="shared" si="9"/>
        <v>213.90547438019999</v>
      </c>
      <c r="HW10" s="244">
        <f t="shared" si="9"/>
        <v>213.90547438019999</v>
      </c>
      <c r="HX10" s="244">
        <f t="shared" si="9"/>
        <v>213.90547438019999</v>
      </c>
      <c r="HY10" s="244">
        <f t="shared" ref="HY10:IF10" si="10">HY9*1.60934</f>
        <v>213.90547438019999</v>
      </c>
      <c r="HZ10" s="244">
        <f t="shared" si="10"/>
        <v>213.90547438019999</v>
      </c>
      <c r="IA10" s="244">
        <f t="shared" si="10"/>
        <v>213.90547438019999</v>
      </c>
      <c r="IB10" s="244">
        <f t="shared" si="10"/>
        <v>213.90547438019999</v>
      </c>
      <c r="IC10" s="244">
        <f t="shared" si="10"/>
        <v>213.90547438019999</v>
      </c>
      <c r="ID10" s="244">
        <f t="shared" si="10"/>
        <v>213.90547438019999</v>
      </c>
      <c r="IE10" s="244">
        <f t="shared" si="10"/>
        <v>213.90547438019999</v>
      </c>
      <c r="IF10" s="244">
        <f t="shared" si="10"/>
        <v>213.90547438019999</v>
      </c>
      <c r="IG10" s="244">
        <f>IG9*1.60934</f>
        <v>255.57606672</v>
      </c>
      <c r="IH10" s="244">
        <f t="shared" ref="IH10:JK10" si="11">IH9*1.60934</f>
        <v>255.57606672</v>
      </c>
      <c r="II10" s="244">
        <f t="shared" si="11"/>
        <v>255.57606672</v>
      </c>
      <c r="IJ10" s="244">
        <f t="shared" si="11"/>
        <v>255.57606672</v>
      </c>
      <c r="IK10" s="244">
        <f t="shared" si="11"/>
        <v>255.57606672</v>
      </c>
      <c r="IL10" s="244">
        <f t="shared" si="11"/>
        <v>255.57606672</v>
      </c>
      <c r="IM10" s="244">
        <f t="shared" si="11"/>
        <v>250.01901569999998</v>
      </c>
      <c r="IN10" s="244">
        <f t="shared" si="11"/>
        <v>250.01901569999998</v>
      </c>
      <c r="IO10" s="244">
        <f t="shared" si="11"/>
        <v>250.01901569999998</v>
      </c>
      <c r="IP10" s="244">
        <f t="shared" si="11"/>
        <v>250.01901569999998</v>
      </c>
      <c r="IQ10" s="244">
        <f t="shared" si="11"/>
        <v>250.01901569999998</v>
      </c>
      <c r="IR10" s="244">
        <f t="shared" si="11"/>
        <v>250.01901569999998</v>
      </c>
      <c r="IS10" s="244">
        <f t="shared" si="11"/>
        <v>227.79563963999999</v>
      </c>
      <c r="IT10" s="244">
        <f t="shared" si="11"/>
        <v>227.79563963999999</v>
      </c>
      <c r="IU10" s="244">
        <f t="shared" si="11"/>
        <v>246.31592436</v>
      </c>
      <c r="IV10" s="244">
        <f t="shared" si="11"/>
        <v>246.31592436</v>
      </c>
      <c r="IW10" s="244">
        <f t="shared" si="11"/>
        <v>250.01901569999998</v>
      </c>
      <c r="IX10" s="244">
        <f t="shared" si="11"/>
        <v>250.01901569999998</v>
      </c>
      <c r="IY10" s="294">
        <f t="shared" si="11"/>
        <v>250.01901569999998</v>
      </c>
      <c r="IZ10" s="294">
        <f t="shared" si="11"/>
        <v>250.01901569999998</v>
      </c>
      <c r="JA10" s="294">
        <f t="shared" si="11"/>
        <v>250.01901569999998</v>
      </c>
      <c r="JB10" s="294">
        <f t="shared" si="11"/>
        <v>250.01901569999998</v>
      </c>
      <c r="JC10" s="244">
        <f t="shared" si="11"/>
        <v>244.46357401999998</v>
      </c>
      <c r="JD10" s="244">
        <f t="shared" si="11"/>
        <v>250.01901569999998</v>
      </c>
      <c r="JE10" s="244">
        <f t="shared" si="11"/>
        <v>250.01901569999998</v>
      </c>
      <c r="JF10" s="244">
        <f t="shared" si="11"/>
        <v>250.01901569999998</v>
      </c>
      <c r="JG10" s="244">
        <f t="shared" si="11"/>
        <v>250.01901569999998</v>
      </c>
      <c r="JH10" s="244">
        <f t="shared" si="11"/>
        <v>268.53930042000002</v>
      </c>
      <c r="JI10" s="244">
        <f t="shared" si="11"/>
        <v>270.39165076</v>
      </c>
      <c r="JJ10" s="244">
        <f t="shared" si="11"/>
        <v>270.39165076</v>
      </c>
      <c r="JK10" s="244">
        <f t="shared" si="11"/>
        <v>270.39165076</v>
      </c>
    </row>
    <row r="11" spans="1:271">
      <c r="A11" s="251" t="s">
        <v>2382</v>
      </c>
      <c r="B11" s="236">
        <f>B9/2.237</f>
        <v>26.821636119803308</v>
      </c>
      <c r="C11" s="236">
        <f t="shared" ref="C11:BN11" si="12">C9/2.237</f>
        <v>26.821636119803308</v>
      </c>
      <c r="D11" s="236">
        <f t="shared" si="12"/>
        <v>28.299061242735807</v>
      </c>
      <c r="E11" s="236">
        <f t="shared" si="12"/>
        <v>28.296826106392487</v>
      </c>
      <c r="F11" s="236">
        <f t="shared" si="12"/>
        <v>28.299061242735807</v>
      </c>
      <c r="G11" s="236">
        <f t="shared" si="12"/>
        <v>38.589628967367005</v>
      </c>
      <c r="H11" s="236">
        <f t="shared" si="12"/>
        <v>38.589628967367005</v>
      </c>
      <c r="I11" s="236">
        <f t="shared" si="12"/>
        <v>26.821636119803308</v>
      </c>
      <c r="J11" s="236">
        <f t="shared" si="12"/>
        <v>26.821636119803308</v>
      </c>
      <c r="K11" s="236">
        <f t="shared" si="12"/>
        <v>22.351363433169421</v>
      </c>
      <c r="L11" s="236">
        <f t="shared" si="12"/>
        <v>24.586499776486363</v>
      </c>
      <c r="M11" s="236">
        <f t="shared" si="12"/>
        <v>28.299061242735807</v>
      </c>
      <c r="N11" s="236">
        <f t="shared" si="12"/>
        <v>38.589628967367005</v>
      </c>
      <c r="O11" s="236">
        <f t="shared" si="12"/>
        <v>26.821636119803308</v>
      </c>
      <c r="P11" s="236">
        <f t="shared" si="12"/>
        <v>40.232454179704959</v>
      </c>
      <c r="Q11" s="236">
        <f t="shared" si="12"/>
        <v>42.705856057219492</v>
      </c>
      <c r="R11" s="236">
        <f t="shared" si="12"/>
        <v>35.762181493071076</v>
      </c>
      <c r="S11" s="236">
        <f t="shared" si="12"/>
        <v>35.762181493071076</v>
      </c>
      <c r="T11" s="236">
        <f t="shared" si="12"/>
        <v>35.762181493071076</v>
      </c>
      <c r="U11" s="236">
        <f t="shared" si="12"/>
        <v>35.762181493071076</v>
      </c>
      <c r="V11" s="236">
        <f t="shared" si="12"/>
        <v>25.726419311578006</v>
      </c>
      <c r="W11" s="236">
        <f t="shared" si="12"/>
        <v>28.299061242735807</v>
      </c>
      <c r="X11" s="236">
        <f t="shared" si="12"/>
        <v>30.871703173893607</v>
      </c>
      <c r="Y11" s="277">
        <f t="shared" si="12"/>
        <v>25.726419311578006</v>
      </c>
      <c r="Z11" s="277">
        <f t="shared" si="12"/>
        <v>50.379973178363876</v>
      </c>
      <c r="AA11" s="277">
        <f t="shared" si="12"/>
        <v>29.727760393383996</v>
      </c>
      <c r="AB11" s="277">
        <f t="shared" si="12"/>
        <v>36.016987036209208</v>
      </c>
      <c r="AC11" s="277">
        <f t="shared" si="12"/>
        <v>37.560572194903884</v>
      </c>
      <c r="AD11" s="277">
        <f t="shared" si="12"/>
        <v>42.705856057219492</v>
      </c>
      <c r="AE11" s="277">
        <f t="shared" si="12"/>
        <v>36.427358068842196</v>
      </c>
      <c r="AF11" s="277">
        <f t="shared" si="12"/>
        <v>35.193741618238711</v>
      </c>
      <c r="AG11" s="236">
        <f t="shared" si="12"/>
        <v>34.473401877514526</v>
      </c>
      <c r="AH11" s="236">
        <f t="shared" si="12"/>
        <v>34.473401877514526</v>
      </c>
      <c r="AI11" s="236">
        <f t="shared" si="12"/>
        <v>19.445686186857397</v>
      </c>
      <c r="AJ11" s="236">
        <f t="shared" si="12"/>
        <v>22.226340269155425</v>
      </c>
      <c r="AK11" s="286">
        <f t="shared" si="12"/>
        <v>68.946803755029052</v>
      </c>
      <c r="AL11" s="286">
        <f t="shared" si="12"/>
        <v>35.811175681716577</v>
      </c>
      <c r="AM11" s="236">
        <f t="shared" si="12"/>
        <v>29.05677246312025</v>
      </c>
      <c r="AN11" s="236">
        <f t="shared" si="12"/>
        <v>33.52704514975413</v>
      </c>
      <c r="AO11" s="236">
        <f t="shared" si="12"/>
        <v>30.844881537773801</v>
      </c>
      <c r="AP11" s="236">
        <f t="shared" si="12"/>
        <v>28.296826106392487</v>
      </c>
      <c r="AQ11" s="236">
        <f t="shared" si="12"/>
        <v>26.821636119803308</v>
      </c>
      <c r="AR11" s="236">
        <f t="shared" si="12"/>
        <v>30.871703173893607</v>
      </c>
      <c r="AS11" s="236">
        <f t="shared" si="12"/>
        <v>31.291908806437192</v>
      </c>
      <c r="AT11" s="236">
        <f t="shared" si="12"/>
        <v>28.60974519445686</v>
      </c>
      <c r="AU11" s="252">
        <f t="shared" si="12"/>
        <v>27.270004470272685</v>
      </c>
      <c r="AV11" s="253">
        <f t="shared" si="12"/>
        <v>29.328118015198925</v>
      </c>
      <c r="AW11" s="236">
        <f t="shared" si="12"/>
        <v>37.997317836388021</v>
      </c>
      <c r="AX11" s="236">
        <f t="shared" si="12"/>
        <v>37.997317836388021</v>
      </c>
      <c r="AY11" s="236">
        <f t="shared" si="12"/>
        <v>36.656236030397849</v>
      </c>
      <c r="AZ11" s="236">
        <f t="shared" si="12"/>
        <v>42.199374161823869</v>
      </c>
      <c r="BA11" s="236">
        <f t="shared" si="12"/>
        <v>48.880196691998208</v>
      </c>
      <c r="BB11" s="236">
        <f t="shared" si="12"/>
        <v>36.030397854269104</v>
      </c>
      <c r="BC11" s="236">
        <f t="shared" si="12"/>
        <v>39.606616003576214</v>
      </c>
      <c r="BD11" s="236">
        <f t="shared" si="12"/>
        <v>40.12516763522575</v>
      </c>
      <c r="BE11" s="277">
        <f t="shared" si="12"/>
        <v>35.672776039338395</v>
      </c>
      <c r="BF11" s="277">
        <f t="shared" si="12"/>
        <v>48.278945015645952</v>
      </c>
      <c r="BG11" s="286">
        <f t="shared" si="12"/>
        <v>55.073759499329455</v>
      </c>
      <c r="BH11" s="286">
        <f t="shared" si="12"/>
        <v>47.697809566383548</v>
      </c>
      <c r="BI11" s="277">
        <f t="shared" si="12"/>
        <v>44.255699597675459</v>
      </c>
      <c r="BJ11" s="277">
        <f t="shared" si="12"/>
        <v>28.813589628967367</v>
      </c>
      <c r="BK11" s="286">
        <f t="shared" si="12"/>
        <v>45.820295037997319</v>
      </c>
      <c r="BL11" s="286">
        <f t="shared" si="12"/>
        <v>45.239159588734914</v>
      </c>
      <c r="BM11" s="286">
        <f t="shared" si="12"/>
        <v>45.239159588734914</v>
      </c>
      <c r="BN11" s="286">
        <f t="shared" si="12"/>
        <v>42.467590523021904</v>
      </c>
      <c r="BO11" s="286">
        <f t="shared" ref="BO11:BR11" si="13">BO9/2.237</f>
        <v>27.338220831470718</v>
      </c>
      <c r="BP11" s="286">
        <f t="shared" si="13"/>
        <v>48.777291014751896</v>
      </c>
      <c r="BQ11" s="236">
        <f t="shared" si="13"/>
        <v>38.578453285650419</v>
      </c>
      <c r="BR11" s="277">
        <f t="shared" si="13"/>
        <v>56.598122485471613</v>
      </c>
      <c r="BS11" s="236"/>
      <c r="BT11" s="236"/>
      <c r="BU11" s="236"/>
      <c r="BV11" s="236"/>
      <c r="BW11" s="236"/>
      <c r="BX11" s="277">
        <f>BX9/2.237</f>
        <v>64.210996870809112</v>
      </c>
      <c r="BY11" s="277">
        <f t="shared" ref="BY11:CX11" si="14">BY9/2.237</f>
        <v>49.485918641037102</v>
      </c>
      <c r="BZ11" s="277">
        <f t="shared" si="14"/>
        <v>49.485918641037102</v>
      </c>
      <c r="CA11" s="277">
        <f t="shared" si="14"/>
        <v>49.485918641037102</v>
      </c>
      <c r="CB11" s="277">
        <f t="shared" si="14"/>
        <v>49.485918641037102</v>
      </c>
      <c r="CC11" s="236">
        <f t="shared" si="14"/>
        <v>57.621814930710777</v>
      </c>
      <c r="CD11" s="236">
        <f t="shared" si="14"/>
        <v>55.569065713008492</v>
      </c>
      <c r="CE11" s="236">
        <f t="shared" si="14"/>
        <v>55.569065713008492</v>
      </c>
      <c r="CF11" s="236">
        <f t="shared" si="14"/>
        <v>57.627179257934735</v>
      </c>
      <c r="CG11" s="236">
        <f t="shared" si="14"/>
        <v>57.112650871703167</v>
      </c>
      <c r="CH11" s="236">
        <f t="shared" si="14"/>
        <v>59.186410371032636</v>
      </c>
      <c r="CI11" s="236">
        <f t="shared" si="14"/>
        <v>59.170764416629417</v>
      </c>
      <c r="CJ11" s="236">
        <f t="shared" si="14"/>
        <v>59.170764416629417</v>
      </c>
      <c r="CK11" s="236">
        <f t="shared" si="14"/>
        <v>58.141707644166296</v>
      </c>
      <c r="CL11" s="236">
        <f t="shared" si="14"/>
        <v>87.438533750558776</v>
      </c>
      <c r="CM11" s="236">
        <f t="shared" si="14"/>
        <v>80.464908359409918</v>
      </c>
      <c r="CN11" s="236">
        <f t="shared" si="14"/>
        <v>80.464908359409918</v>
      </c>
      <c r="CO11" s="236">
        <f t="shared" si="14"/>
        <v>91.640590075994638</v>
      </c>
      <c r="CP11" s="236">
        <f t="shared" si="14"/>
        <v>91.640590075994638</v>
      </c>
      <c r="CQ11" s="236">
        <f t="shared" si="14"/>
        <v>91.640590075994638</v>
      </c>
      <c r="CR11" s="236">
        <f t="shared" si="14"/>
        <v>91.640590075994638</v>
      </c>
      <c r="CS11" s="236">
        <f t="shared" si="14"/>
        <v>91.640590075994638</v>
      </c>
      <c r="CT11" s="236">
        <f t="shared" si="14"/>
        <v>91.640590075994638</v>
      </c>
      <c r="CU11" s="236">
        <f t="shared" si="14"/>
        <v>91.640590075994638</v>
      </c>
      <c r="CV11" s="236">
        <f t="shared" si="14"/>
        <v>91.640590075994638</v>
      </c>
      <c r="CW11" s="236">
        <f t="shared" si="14"/>
        <v>87.974966472954847</v>
      </c>
      <c r="CX11" s="236">
        <f t="shared" si="14"/>
        <v>87.974966472954847</v>
      </c>
      <c r="CY11" s="236">
        <f>CY9/2.237</f>
        <v>87.974966472954847</v>
      </c>
      <c r="CZ11" s="236">
        <f t="shared" ref="CZ11" si="15">CZ9/2.237</f>
        <v>95.702279839070187</v>
      </c>
      <c r="DA11" s="236">
        <f>DA9/2.237</f>
        <v>80.464908359409918</v>
      </c>
      <c r="DB11" s="236">
        <f>DB9/2.237</f>
        <v>82.324541797049619</v>
      </c>
      <c r="DC11" s="236">
        <f>DC9/2.237</f>
        <v>82.324541797049619</v>
      </c>
      <c r="DD11" s="236">
        <f>DD9/2.237</f>
        <v>82.324541797049619</v>
      </c>
      <c r="DE11" s="236">
        <f>DE9/2.237</f>
        <v>82.324541797049619</v>
      </c>
      <c r="DF11" s="236">
        <f t="shared" ref="DF11:DG11" si="16">DF9/2.237</f>
        <v>80.464908359409918</v>
      </c>
      <c r="DG11" s="236">
        <f t="shared" si="16"/>
        <v>80.464908359409918</v>
      </c>
      <c r="DH11" s="287">
        <f>DH9/2.237</f>
        <v>97.004917299955295</v>
      </c>
      <c r="DI11" s="287">
        <f t="shared" ref="DI11:DM11" si="17">DI9/2.237</f>
        <v>97.004917299955295</v>
      </c>
      <c r="DJ11" s="236">
        <f t="shared" si="17"/>
        <v>97.004917299955295</v>
      </c>
      <c r="DK11" s="236">
        <f t="shared" si="17"/>
        <v>97.004917299955295</v>
      </c>
      <c r="DL11" s="236">
        <f t="shared" si="17"/>
        <v>96.110862762628514</v>
      </c>
      <c r="DM11" s="236">
        <f t="shared" si="17"/>
        <v>91.640590075994638</v>
      </c>
      <c r="DN11" s="236">
        <f>DN9/2.237</f>
        <v>77.201609298167185</v>
      </c>
      <c r="DO11" s="287">
        <f t="shared" ref="DO11:DQ11" si="18">DO9/2.237</f>
        <v>87.974966472954847</v>
      </c>
      <c r="DP11" s="287">
        <f t="shared" si="18"/>
        <v>87.974966472954847</v>
      </c>
      <c r="DQ11" s="287">
        <f t="shared" si="18"/>
        <v>87.974966472954847</v>
      </c>
      <c r="DR11" s="244">
        <f t="shared" ref="DR11:ES11" si="19">DR9*0.44704</f>
        <v>70.478985280000003</v>
      </c>
      <c r="DS11" s="244">
        <f t="shared" si="19"/>
        <v>70.993528319999996</v>
      </c>
      <c r="DT11" s="244">
        <f t="shared" si="19"/>
        <v>77.166703679999998</v>
      </c>
      <c r="DU11" s="244">
        <f t="shared" si="19"/>
        <v>77.166703679999998</v>
      </c>
      <c r="DV11" s="244">
        <f t="shared" si="19"/>
        <v>78.709885759999992</v>
      </c>
      <c r="DW11" s="244">
        <f t="shared" si="19"/>
        <v>78.709885759999992</v>
      </c>
      <c r="DX11" s="244">
        <f t="shared" si="19"/>
        <v>82.311239999999998</v>
      </c>
      <c r="DY11" s="244">
        <f t="shared" si="19"/>
        <v>82.311239999999998</v>
      </c>
      <c r="DZ11" s="244">
        <f t="shared" si="19"/>
        <v>78.709885759999992</v>
      </c>
      <c r="EA11" s="244">
        <f t="shared" si="19"/>
        <v>82.311239999999998</v>
      </c>
      <c r="EB11" s="244">
        <f t="shared" si="19"/>
        <v>82.311239999999998</v>
      </c>
      <c r="EC11" s="244">
        <f t="shared" si="19"/>
        <v>62.762180800000003</v>
      </c>
      <c r="ED11" s="244">
        <f t="shared" si="19"/>
        <v>63.791266880000002</v>
      </c>
      <c r="EE11" s="244">
        <f t="shared" si="19"/>
        <v>68.421260160000003</v>
      </c>
      <c r="EF11" s="244">
        <f t="shared" si="19"/>
        <v>77.166703679999998</v>
      </c>
      <c r="EG11" s="244">
        <f t="shared" si="19"/>
        <v>77.166703679999998</v>
      </c>
      <c r="EH11" s="244">
        <f t="shared" si="19"/>
        <v>78.709885759999992</v>
      </c>
      <c r="EI11" s="244">
        <f t="shared" si="19"/>
        <v>79.738971840000005</v>
      </c>
      <c r="EJ11" s="244">
        <f t="shared" si="19"/>
        <v>66.877631039999997</v>
      </c>
      <c r="EK11" s="244">
        <f t="shared" si="19"/>
        <v>66.877631039999997</v>
      </c>
      <c r="EL11" s="244">
        <f t="shared" si="19"/>
        <v>72.022167359999997</v>
      </c>
      <c r="EM11" s="244">
        <f t="shared" si="19"/>
        <v>72.022167359999997</v>
      </c>
      <c r="EN11" s="244">
        <f t="shared" si="19"/>
        <v>72.022167359999997</v>
      </c>
      <c r="EO11" s="244">
        <f t="shared" si="19"/>
        <v>72.022167359999997</v>
      </c>
      <c r="EP11" s="244">
        <f t="shared" si="19"/>
        <v>74.594435520000005</v>
      </c>
      <c r="EQ11" s="244">
        <f t="shared" si="19"/>
        <v>74.594435520000005</v>
      </c>
      <c r="ER11" s="244">
        <f t="shared" si="19"/>
        <v>74.594435520000005</v>
      </c>
      <c r="ES11" s="244">
        <f t="shared" si="19"/>
        <v>74.594435520000005</v>
      </c>
      <c r="ET11" s="244">
        <v>74.594399999999993</v>
      </c>
      <c r="EU11" s="244">
        <v>74.594399999999993</v>
      </c>
      <c r="EV11" s="244">
        <v>74.594399999999993</v>
      </c>
      <c r="EW11" s="244">
        <f t="shared" ref="EW11:FK11" si="20">EW9*0.44704</f>
        <v>75.623521599999989</v>
      </c>
      <c r="EX11" s="244">
        <f t="shared" si="20"/>
        <v>75.623521599999989</v>
      </c>
      <c r="EY11" s="244">
        <f t="shared" si="20"/>
        <v>75.623521599999989</v>
      </c>
      <c r="EZ11" s="244">
        <f t="shared" si="20"/>
        <v>75.623521599999989</v>
      </c>
      <c r="FA11" s="289">
        <f t="shared" si="20"/>
        <v>75.623521599999989</v>
      </c>
      <c r="FB11" s="289">
        <f t="shared" si="20"/>
        <v>75.623521599999989</v>
      </c>
      <c r="FC11" s="244">
        <f t="shared" si="20"/>
        <v>79.738882431999997</v>
      </c>
      <c r="FD11" s="244">
        <f t="shared" si="20"/>
        <v>79.738882431999997</v>
      </c>
      <c r="FE11" s="244">
        <f t="shared" si="20"/>
        <v>85.912236608000001</v>
      </c>
      <c r="FF11" s="244">
        <f t="shared" si="20"/>
        <v>85.912236608000001</v>
      </c>
      <c r="FG11" s="244">
        <f t="shared" si="20"/>
        <v>74.594435520000005</v>
      </c>
      <c r="FH11" s="244">
        <f t="shared" si="20"/>
        <v>74.594435520000005</v>
      </c>
      <c r="FI11" s="244">
        <f t="shared" si="20"/>
        <v>77.166703679999998</v>
      </c>
      <c r="FJ11" s="244">
        <f t="shared" si="20"/>
        <v>74.594435520000005</v>
      </c>
      <c r="FK11" s="244">
        <f t="shared" si="20"/>
        <v>76.652160640000005</v>
      </c>
      <c r="FL11" s="244">
        <v>76.652160640000005</v>
      </c>
      <c r="FM11" s="244">
        <f t="shared" ref="FM11:HX11" si="21">FM9*0.44704</f>
        <v>77.166703679999998</v>
      </c>
      <c r="FN11" s="244">
        <f t="shared" si="21"/>
        <v>74.594435520000005</v>
      </c>
      <c r="FO11" s="244">
        <f t="shared" si="21"/>
        <v>92.599865599999987</v>
      </c>
      <c r="FP11" s="275">
        <f t="shared" si="21"/>
        <v>92.599865599999987</v>
      </c>
      <c r="FQ11" s="275">
        <f t="shared" si="21"/>
        <v>92.599865599999987</v>
      </c>
      <c r="FR11" s="275">
        <f t="shared" si="21"/>
        <v>92.599865599999987</v>
      </c>
      <c r="FS11" s="275">
        <f t="shared" si="21"/>
        <v>92.599865599999987</v>
      </c>
      <c r="FT11" s="275">
        <f t="shared" si="21"/>
        <v>92.599865599999987</v>
      </c>
      <c r="FU11" s="275">
        <f t="shared" si="21"/>
        <v>92.599865599999987</v>
      </c>
      <c r="FV11" s="244">
        <f t="shared" si="21"/>
        <v>74.594435520000005</v>
      </c>
      <c r="FW11" s="244">
        <f t="shared" si="21"/>
        <v>74.594435520000005</v>
      </c>
      <c r="FX11" s="244">
        <f t="shared" si="21"/>
        <v>74.594435520000005</v>
      </c>
      <c r="FY11" s="244">
        <f t="shared" si="21"/>
        <v>74.594435520000005</v>
      </c>
      <c r="FZ11" s="244">
        <f t="shared" si="21"/>
        <v>74.594435520000005</v>
      </c>
      <c r="GA11" s="244">
        <f t="shared" si="21"/>
        <v>74.594435520000005</v>
      </c>
      <c r="GB11" s="244">
        <f t="shared" si="21"/>
        <v>74.594435520000005</v>
      </c>
      <c r="GC11" s="244">
        <f t="shared" si="21"/>
        <v>74.594435520000005</v>
      </c>
      <c r="GD11" s="244">
        <f t="shared" si="21"/>
        <v>74.594435520000005</v>
      </c>
      <c r="GE11" s="244">
        <f t="shared" si="21"/>
        <v>74.594435520000005</v>
      </c>
      <c r="GF11" s="244">
        <f t="shared" si="21"/>
        <v>82.311239999999998</v>
      </c>
      <c r="GG11" s="244">
        <f t="shared" si="21"/>
        <v>82.311239999999998</v>
      </c>
      <c r="GH11" s="244">
        <f t="shared" si="21"/>
        <v>82.311239999999998</v>
      </c>
      <c r="GI11" s="244">
        <f t="shared" si="21"/>
        <v>82.311239999999998</v>
      </c>
      <c r="GJ11" s="244">
        <f t="shared" si="21"/>
        <v>82.311239999999998</v>
      </c>
      <c r="GK11" s="244">
        <f t="shared" si="21"/>
        <v>82.311239999999998</v>
      </c>
      <c r="GL11" s="244">
        <f t="shared" si="21"/>
        <v>82.311239999999998</v>
      </c>
      <c r="GM11" s="244">
        <f t="shared" si="21"/>
        <v>82.311239999999998</v>
      </c>
      <c r="GN11" s="244">
        <f t="shared" si="21"/>
        <v>82.311239999999998</v>
      </c>
      <c r="GO11" s="244">
        <f t="shared" si="21"/>
        <v>82.311239999999998</v>
      </c>
      <c r="GP11" s="244">
        <f t="shared" si="21"/>
        <v>58.878166744319998</v>
      </c>
      <c r="GQ11" s="244">
        <f t="shared" si="21"/>
        <v>57.257665519999996</v>
      </c>
      <c r="GR11" s="244">
        <f t="shared" si="21"/>
        <v>58.878166744319998</v>
      </c>
      <c r="GS11" s="244">
        <f t="shared" si="21"/>
        <v>62.119166510719992</v>
      </c>
      <c r="GT11" s="244">
        <f t="shared" si="21"/>
        <v>62.119166510719992</v>
      </c>
      <c r="GU11" s="244">
        <f t="shared" si="21"/>
        <v>62.119166510719992</v>
      </c>
      <c r="GV11" s="244">
        <f t="shared" si="21"/>
        <v>62.119166510719992</v>
      </c>
      <c r="GW11" s="244">
        <f t="shared" si="21"/>
        <v>65.360166724159996</v>
      </c>
      <c r="GX11" s="244">
        <f t="shared" si="21"/>
        <v>65.360166724159996</v>
      </c>
      <c r="GY11" s="244">
        <f t="shared" si="21"/>
        <v>59.4183350112</v>
      </c>
      <c r="GZ11" s="244">
        <f t="shared" si="21"/>
        <v>59.4183350112</v>
      </c>
      <c r="HA11" s="244">
        <f t="shared" si="21"/>
        <v>59.4183350112</v>
      </c>
      <c r="HB11" s="244">
        <f t="shared" si="21"/>
        <v>59.4183350112</v>
      </c>
      <c r="HC11" s="244">
        <f t="shared" si="21"/>
        <v>59.4183350112</v>
      </c>
      <c r="HD11" s="244">
        <f t="shared" si="21"/>
        <v>59.4183350112</v>
      </c>
      <c r="HE11" s="244">
        <f t="shared" si="21"/>
        <v>59.4183350112</v>
      </c>
      <c r="HF11" s="244">
        <f t="shared" si="21"/>
        <v>59.4183350112</v>
      </c>
      <c r="HG11" s="244">
        <f t="shared" si="21"/>
        <v>59.4183350112</v>
      </c>
      <c r="HH11" s="244">
        <f t="shared" si="21"/>
        <v>59.4183350112</v>
      </c>
      <c r="HI11" s="244">
        <f t="shared" si="21"/>
        <v>59.4183350112</v>
      </c>
      <c r="HJ11" s="244">
        <f t="shared" si="21"/>
        <v>59.4183350112</v>
      </c>
      <c r="HK11" s="244">
        <f t="shared" si="21"/>
        <v>59.4183350112</v>
      </c>
      <c r="HL11" s="244">
        <f t="shared" si="21"/>
        <v>59.4183350112</v>
      </c>
      <c r="HM11" s="244">
        <f t="shared" si="21"/>
        <v>59.4183350112</v>
      </c>
      <c r="HN11" s="244">
        <f t="shared" si="21"/>
        <v>59.4183350112</v>
      </c>
      <c r="HO11" s="244">
        <f t="shared" si="21"/>
        <v>59.4183350112</v>
      </c>
      <c r="HP11" s="244">
        <f t="shared" si="21"/>
        <v>59.4183350112</v>
      </c>
      <c r="HQ11" s="244">
        <f t="shared" si="21"/>
        <v>59.4183350112</v>
      </c>
      <c r="HR11" s="244">
        <f t="shared" si="21"/>
        <v>59.4183350112</v>
      </c>
      <c r="HS11" s="244">
        <f t="shared" si="21"/>
        <v>59.4183350112</v>
      </c>
      <c r="HT11" s="244">
        <f t="shared" si="21"/>
        <v>59.4183350112</v>
      </c>
      <c r="HU11" s="244">
        <f t="shared" si="21"/>
        <v>59.4183350112</v>
      </c>
      <c r="HV11" s="244">
        <f t="shared" si="21"/>
        <v>59.4183350112</v>
      </c>
      <c r="HW11" s="244">
        <f t="shared" si="21"/>
        <v>59.4183350112</v>
      </c>
      <c r="HX11" s="244">
        <f t="shared" si="21"/>
        <v>59.4183350112</v>
      </c>
      <c r="HY11" s="244">
        <f t="shared" ref="HY11:IF11" si="22">HY9*0.44704</f>
        <v>59.4183350112</v>
      </c>
      <c r="HZ11" s="244">
        <f t="shared" si="22"/>
        <v>59.4183350112</v>
      </c>
      <c r="IA11" s="244">
        <f t="shared" si="22"/>
        <v>59.4183350112</v>
      </c>
      <c r="IB11" s="244">
        <f t="shared" si="22"/>
        <v>59.4183350112</v>
      </c>
      <c r="IC11" s="244">
        <f t="shared" si="22"/>
        <v>59.4183350112</v>
      </c>
      <c r="ID11" s="244">
        <f t="shared" si="22"/>
        <v>59.4183350112</v>
      </c>
      <c r="IE11" s="244">
        <f t="shared" si="22"/>
        <v>59.4183350112</v>
      </c>
      <c r="IF11" s="244">
        <f t="shared" si="22"/>
        <v>59.4183350112</v>
      </c>
      <c r="IG11" s="244">
        <f>IG9*0.44704</f>
        <v>70.993528319999996</v>
      </c>
      <c r="IH11" s="244">
        <f t="shared" ref="IH11:JK11" si="23">IH9*0.44704</f>
        <v>70.993528319999996</v>
      </c>
      <c r="II11" s="244">
        <f t="shared" si="23"/>
        <v>70.993528319999996</v>
      </c>
      <c r="IJ11" s="244">
        <f t="shared" si="23"/>
        <v>70.993528319999996</v>
      </c>
      <c r="IK11" s="244">
        <f t="shared" si="23"/>
        <v>70.993528319999996</v>
      </c>
      <c r="IL11" s="244">
        <f t="shared" si="23"/>
        <v>70.993528319999996</v>
      </c>
      <c r="IM11" s="244">
        <f t="shared" si="23"/>
        <v>69.44989919999999</v>
      </c>
      <c r="IN11" s="244">
        <f t="shared" si="23"/>
        <v>69.44989919999999</v>
      </c>
      <c r="IO11" s="244">
        <f t="shared" si="23"/>
        <v>69.44989919999999</v>
      </c>
      <c r="IP11" s="244">
        <f t="shared" si="23"/>
        <v>69.44989919999999</v>
      </c>
      <c r="IQ11" s="244">
        <f t="shared" si="23"/>
        <v>69.44989919999999</v>
      </c>
      <c r="IR11" s="244">
        <f t="shared" si="23"/>
        <v>69.44989919999999</v>
      </c>
      <c r="IS11" s="244">
        <f t="shared" si="23"/>
        <v>63.276723839999995</v>
      </c>
      <c r="IT11" s="244">
        <f t="shared" si="23"/>
        <v>63.276723839999995</v>
      </c>
      <c r="IU11" s="244">
        <f t="shared" si="23"/>
        <v>68.421260160000003</v>
      </c>
      <c r="IV11" s="244">
        <f t="shared" si="23"/>
        <v>68.421260160000003</v>
      </c>
      <c r="IW11" s="244">
        <f t="shared" si="23"/>
        <v>69.44989919999999</v>
      </c>
      <c r="IX11" s="244">
        <f t="shared" si="23"/>
        <v>69.44989919999999</v>
      </c>
      <c r="IY11" s="294">
        <f t="shared" si="23"/>
        <v>69.44989919999999</v>
      </c>
      <c r="IZ11" s="294">
        <f t="shared" si="23"/>
        <v>69.44989919999999</v>
      </c>
      <c r="JA11" s="294">
        <f t="shared" si="23"/>
        <v>69.44989919999999</v>
      </c>
      <c r="JB11" s="294">
        <f t="shared" si="23"/>
        <v>69.44989919999999</v>
      </c>
      <c r="JC11" s="244">
        <f t="shared" si="23"/>
        <v>67.906717119999996</v>
      </c>
      <c r="JD11" s="244">
        <f t="shared" si="23"/>
        <v>69.44989919999999</v>
      </c>
      <c r="JE11" s="244">
        <f t="shared" si="23"/>
        <v>69.44989919999999</v>
      </c>
      <c r="JF11" s="244">
        <f t="shared" si="23"/>
        <v>69.44989919999999</v>
      </c>
      <c r="JG11" s="244">
        <f t="shared" si="23"/>
        <v>69.44989919999999</v>
      </c>
      <c r="JH11" s="244">
        <f t="shared" si="23"/>
        <v>74.594435520000005</v>
      </c>
      <c r="JI11" s="244">
        <f t="shared" si="23"/>
        <v>75.108978559999997</v>
      </c>
      <c r="JJ11" s="244">
        <f t="shared" si="23"/>
        <v>75.108978559999997</v>
      </c>
      <c r="JK11" s="244">
        <f t="shared" si="23"/>
        <v>75.108978559999997</v>
      </c>
    </row>
    <row r="12" spans="1:271">
      <c r="A12" s="251" t="s">
        <v>2383</v>
      </c>
      <c r="B12" s="295">
        <v>0.18</v>
      </c>
      <c r="C12" s="295">
        <v>0.18</v>
      </c>
      <c r="D12" s="295">
        <v>0.19</v>
      </c>
      <c r="E12" s="295">
        <v>0.19</v>
      </c>
      <c r="F12" s="295">
        <v>0.19</v>
      </c>
      <c r="G12" s="296"/>
      <c r="H12" s="295">
        <v>0.31</v>
      </c>
      <c r="I12" s="295">
        <v>0.18</v>
      </c>
      <c r="J12" s="295">
        <v>0.18</v>
      </c>
      <c r="K12" s="295">
        <v>0.16</v>
      </c>
      <c r="L12" s="295">
        <v>0.16</v>
      </c>
      <c r="M12" s="295">
        <v>0.23</v>
      </c>
      <c r="N12" s="295">
        <v>0.27</v>
      </c>
      <c r="O12" s="295">
        <v>0.22</v>
      </c>
      <c r="P12" s="295">
        <v>0.31</v>
      </c>
      <c r="Q12" s="295">
        <v>0.3</v>
      </c>
      <c r="R12" s="295">
        <v>0.25</v>
      </c>
      <c r="S12" s="295">
        <v>0.26</v>
      </c>
      <c r="T12" s="295">
        <v>0.25</v>
      </c>
      <c r="U12" s="295">
        <v>0.26</v>
      </c>
      <c r="V12" s="295">
        <v>0.23</v>
      </c>
      <c r="W12" s="295">
        <v>0.27</v>
      </c>
      <c r="X12" s="297">
        <v>0.23</v>
      </c>
      <c r="Y12" s="297">
        <v>0.17</v>
      </c>
      <c r="Z12" s="297">
        <v>0.45</v>
      </c>
      <c r="AA12" s="295">
        <v>0.19</v>
      </c>
      <c r="AB12" s="295">
        <v>0.27</v>
      </c>
      <c r="AC12" s="295">
        <v>0.27</v>
      </c>
      <c r="AD12" s="295">
        <v>0.28000000000000003</v>
      </c>
      <c r="AE12" s="295">
        <v>0.2</v>
      </c>
      <c r="AF12" s="297">
        <v>0.28999999999999998</v>
      </c>
      <c r="AG12" s="295">
        <v>0.2</v>
      </c>
      <c r="AH12" s="297">
        <v>0.24</v>
      </c>
      <c r="AI12" s="298"/>
      <c r="AJ12" s="298"/>
      <c r="AK12" s="297">
        <v>0.49</v>
      </c>
      <c r="AL12" s="299"/>
      <c r="AM12" s="295">
        <v>0.22</v>
      </c>
      <c r="AN12" s="295">
        <v>0.28000000000000003</v>
      </c>
      <c r="AO12" s="297">
        <v>0.3</v>
      </c>
      <c r="AP12" s="295">
        <v>0.19</v>
      </c>
      <c r="AQ12" s="295">
        <v>0.17</v>
      </c>
      <c r="AR12" s="295">
        <v>0.17</v>
      </c>
      <c r="AS12" s="295">
        <v>0.22700000000000001</v>
      </c>
      <c r="AT12" s="295">
        <v>0.23100000000000001</v>
      </c>
      <c r="AU12" s="300">
        <v>0.22</v>
      </c>
      <c r="AV12" s="301">
        <v>0.23</v>
      </c>
      <c r="AW12" s="297">
        <v>0.28999999999999998</v>
      </c>
      <c r="AX12" s="295">
        <v>0.25</v>
      </c>
      <c r="AY12" s="297">
        <v>0.22500000000000001</v>
      </c>
      <c r="AZ12" s="295">
        <v>0.45</v>
      </c>
      <c r="BA12" s="295">
        <v>0.41</v>
      </c>
      <c r="BB12" s="302">
        <v>0.27500000000000002</v>
      </c>
      <c r="BC12" s="302">
        <v>0.26</v>
      </c>
      <c r="BD12" s="295">
        <v>0.38</v>
      </c>
      <c r="BE12" s="295">
        <v>0.28999999999999998</v>
      </c>
      <c r="BF12" s="295">
        <v>0.48</v>
      </c>
      <c r="BG12" s="295">
        <v>0.67</v>
      </c>
      <c r="BH12" s="298"/>
      <c r="BI12" s="295">
        <v>0.4</v>
      </c>
      <c r="BJ12" s="297">
        <v>0.14899999999999999</v>
      </c>
      <c r="BK12" s="295">
        <v>0.52</v>
      </c>
      <c r="BL12" s="297">
        <v>0.53</v>
      </c>
      <c r="BM12" s="297">
        <v>0.47</v>
      </c>
      <c r="BN12" s="295">
        <v>0.52</v>
      </c>
      <c r="BO12" s="295">
        <v>0.41</v>
      </c>
      <c r="BP12" s="295">
        <v>0.47</v>
      </c>
      <c r="BQ12" s="295">
        <v>0.27</v>
      </c>
      <c r="BR12" s="295">
        <v>0.56000000000000005</v>
      </c>
      <c r="BS12" s="295">
        <v>0.48</v>
      </c>
      <c r="BT12" s="295">
        <v>0.48</v>
      </c>
      <c r="BU12" s="295">
        <v>0.32</v>
      </c>
      <c r="BV12" s="295">
        <v>0.48</v>
      </c>
      <c r="BW12" s="295">
        <v>0.48</v>
      </c>
      <c r="BX12" s="295">
        <v>0.45</v>
      </c>
      <c r="BY12" s="295">
        <v>0.45</v>
      </c>
      <c r="BZ12" s="295">
        <v>0.45</v>
      </c>
      <c r="CA12" s="295">
        <v>0.45</v>
      </c>
      <c r="CB12" s="295">
        <v>0.45</v>
      </c>
      <c r="CC12" s="297">
        <v>0.5</v>
      </c>
      <c r="CD12" s="299"/>
      <c r="CE12" s="299"/>
      <c r="CF12" s="299"/>
      <c r="CG12" s="299"/>
      <c r="CH12" s="297">
        <v>0.46</v>
      </c>
      <c r="CI12" s="299"/>
      <c r="CJ12" s="299"/>
      <c r="CK12" s="299"/>
      <c r="CL12" s="236">
        <v>0.84</v>
      </c>
      <c r="CM12" s="236">
        <v>0.84</v>
      </c>
      <c r="CN12" s="236">
        <v>0.84</v>
      </c>
      <c r="CO12" s="236">
        <v>0.83</v>
      </c>
      <c r="CP12" s="236">
        <v>0.83</v>
      </c>
      <c r="CQ12" s="236">
        <v>0.82</v>
      </c>
      <c r="CR12" s="236">
        <v>0.82</v>
      </c>
      <c r="CS12" s="236">
        <v>0.82</v>
      </c>
      <c r="CT12" s="236">
        <v>0.82</v>
      </c>
      <c r="CU12" s="236">
        <v>0.82</v>
      </c>
      <c r="CV12" s="236">
        <v>0.82</v>
      </c>
      <c r="CW12" s="236">
        <v>0.85</v>
      </c>
      <c r="CX12" s="236">
        <v>0.85</v>
      </c>
      <c r="CY12" s="236">
        <v>0.85</v>
      </c>
      <c r="CZ12" s="236">
        <v>0.82</v>
      </c>
      <c r="DA12" s="236">
        <v>0.8</v>
      </c>
      <c r="DB12" s="236">
        <v>0.8</v>
      </c>
      <c r="DC12" s="236">
        <v>0.8</v>
      </c>
      <c r="DD12" s="236">
        <v>0.8</v>
      </c>
      <c r="DE12" s="236">
        <v>0.8</v>
      </c>
      <c r="DF12" s="236">
        <v>0.85</v>
      </c>
      <c r="DG12" s="236">
        <v>0.85</v>
      </c>
      <c r="DH12" s="236">
        <v>0.82</v>
      </c>
      <c r="DI12" s="236">
        <v>0.82</v>
      </c>
      <c r="DJ12" s="236">
        <v>0.82</v>
      </c>
      <c r="DK12" s="236">
        <v>0.82</v>
      </c>
      <c r="DL12" s="236">
        <v>0.83</v>
      </c>
      <c r="DM12" s="236">
        <v>0.82</v>
      </c>
      <c r="DN12" s="236">
        <v>0.82</v>
      </c>
      <c r="DO12" s="236">
        <v>0.86</v>
      </c>
      <c r="DP12" s="236">
        <v>0.86</v>
      </c>
      <c r="DQ12" s="236">
        <v>0.86</v>
      </c>
      <c r="DR12" s="262">
        <v>0.82</v>
      </c>
      <c r="DS12" s="262">
        <v>0.82</v>
      </c>
      <c r="DT12" s="262">
        <v>0.82</v>
      </c>
      <c r="DU12" s="262">
        <v>0.82</v>
      </c>
      <c r="DV12" s="262">
        <v>0.82</v>
      </c>
      <c r="DW12" s="262">
        <v>0.82</v>
      </c>
      <c r="DX12" s="262">
        <v>0.82</v>
      </c>
      <c r="DY12" s="262">
        <v>0.82</v>
      </c>
      <c r="DZ12" s="262">
        <v>0.8</v>
      </c>
      <c r="EA12" s="262">
        <v>0.8</v>
      </c>
      <c r="EB12" s="262">
        <v>0.8</v>
      </c>
      <c r="EC12" s="262">
        <v>0.8</v>
      </c>
      <c r="ED12" s="262">
        <v>0.8</v>
      </c>
      <c r="EE12" s="262">
        <v>0.8</v>
      </c>
      <c r="EF12" s="262">
        <v>0.8</v>
      </c>
      <c r="EG12" s="262">
        <v>0.8</v>
      </c>
      <c r="EH12" s="262">
        <v>0.8</v>
      </c>
      <c r="EI12" s="262">
        <v>0.8</v>
      </c>
      <c r="EJ12" s="262">
        <v>0.77</v>
      </c>
      <c r="EK12" s="262">
        <v>0.77</v>
      </c>
      <c r="EL12" s="262">
        <v>0.9</v>
      </c>
      <c r="EM12" s="262">
        <v>0.9</v>
      </c>
      <c r="EN12" s="262">
        <v>0.9</v>
      </c>
      <c r="EO12" s="262">
        <v>0.9</v>
      </c>
      <c r="EP12" s="262">
        <v>0.9</v>
      </c>
      <c r="EQ12" s="262">
        <v>0.9</v>
      </c>
      <c r="ER12" s="262">
        <v>0.9</v>
      </c>
      <c r="ES12" s="262">
        <v>0.9</v>
      </c>
      <c r="ET12" s="244">
        <v>0.73</v>
      </c>
      <c r="EU12" s="244">
        <v>0.73</v>
      </c>
      <c r="EV12" s="244">
        <v>0.73</v>
      </c>
      <c r="EW12" s="244">
        <v>0.73</v>
      </c>
      <c r="EX12" s="244">
        <v>0.73</v>
      </c>
      <c r="EY12" s="244">
        <v>0.73</v>
      </c>
      <c r="EZ12" s="244">
        <v>0.73</v>
      </c>
      <c r="FA12" s="289">
        <v>0.73</v>
      </c>
      <c r="FB12" s="289">
        <v>0.73</v>
      </c>
      <c r="FC12" s="244">
        <v>0.745</v>
      </c>
      <c r="FD12" s="244">
        <v>0.745</v>
      </c>
      <c r="FE12" s="244">
        <v>0.745</v>
      </c>
      <c r="FF12" s="244">
        <v>0.745</v>
      </c>
      <c r="FG12" s="244">
        <v>0.745</v>
      </c>
      <c r="FH12" s="244">
        <v>0.78500000000000003</v>
      </c>
      <c r="FI12" s="244">
        <v>0.78500000000000003</v>
      </c>
      <c r="FJ12" s="244">
        <v>0.78500000000000003</v>
      </c>
      <c r="FK12" s="244">
        <v>0.78500000000000003</v>
      </c>
      <c r="FL12" s="244">
        <v>0.78500000000000003</v>
      </c>
      <c r="FM12" s="244">
        <v>0.78500000000000003</v>
      </c>
      <c r="FN12" s="244">
        <v>0.78500000000000003</v>
      </c>
      <c r="FO12" s="244">
        <v>0.78500000000000003</v>
      </c>
      <c r="FP12" s="244">
        <v>0.78500000000000003</v>
      </c>
      <c r="FQ12" s="244">
        <v>0.78500000000000003</v>
      </c>
      <c r="FR12" s="244">
        <v>0.78500000000000003</v>
      </c>
      <c r="FS12" s="244">
        <v>0.78500000000000003</v>
      </c>
      <c r="FT12" s="244">
        <v>0.78500000000000003</v>
      </c>
      <c r="FU12" s="244">
        <v>0.78500000000000003</v>
      </c>
      <c r="FV12" s="244">
        <v>0.8</v>
      </c>
      <c r="FW12" s="244">
        <v>0.8</v>
      </c>
      <c r="FX12" s="244">
        <v>0.8</v>
      </c>
      <c r="FY12" s="244">
        <v>0.8</v>
      </c>
      <c r="FZ12" s="244">
        <v>0.8</v>
      </c>
      <c r="GA12" s="244">
        <v>0.8</v>
      </c>
      <c r="GB12" s="244">
        <v>0.8</v>
      </c>
      <c r="GC12" s="244">
        <v>0.8</v>
      </c>
      <c r="GD12" s="244">
        <v>0.8</v>
      </c>
      <c r="GE12" s="244">
        <v>0.8</v>
      </c>
      <c r="GF12" s="244">
        <v>0.8</v>
      </c>
      <c r="GG12" s="244">
        <v>0.8</v>
      </c>
      <c r="GH12" s="244">
        <v>0.8</v>
      </c>
      <c r="GI12" s="244">
        <v>0.8</v>
      </c>
      <c r="GJ12" s="244">
        <v>0.8</v>
      </c>
      <c r="GK12" s="244">
        <v>0.8</v>
      </c>
      <c r="GL12" s="244">
        <v>0.8</v>
      </c>
      <c r="GM12" s="244">
        <v>0.8</v>
      </c>
      <c r="GN12" s="244">
        <v>0.8</v>
      </c>
      <c r="GO12" s="244">
        <v>0.8</v>
      </c>
      <c r="GP12" s="262">
        <v>0.8</v>
      </c>
      <c r="GQ12" s="262">
        <v>0.8</v>
      </c>
      <c r="GR12" s="262">
        <v>0.8</v>
      </c>
      <c r="GS12" s="262">
        <v>0.8</v>
      </c>
      <c r="GT12" s="262">
        <v>0.8</v>
      </c>
      <c r="GU12" s="262">
        <v>0.8</v>
      </c>
      <c r="GV12" s="262">
        <v>0.8</v>
      </c>
      <c r="GW12" s="262">
        <v>0.8</v>
      </c>
      <c r="GX12" s="262">
        <v>0.8</v>
      </c>
      <c r="GY12" s="262">
        <v>0.78</v>
      </c>
      <c r="GZ12" s="262">
        <v>0.78</v>
      </c>
      <c r="HA12" s="262">
        <v>0.78</v>
      </c>
      <c r="HB12" s="262">
        <v>0.78</v>
      </c>
      <c r="HC12" s="262">
        <v>0.79</v>
      </c>
      <c r="HD12" s="262">
        <v>0.79</v>
      </c>
      <c r="HE12" s="262">
        <v>0.79</v>
      </c>
      <c r="HF12" s="262">
        <v>0.79</v>
      </c>
      <c r="HG12" s="262">
        <v>0.79</v>
      </c>
      <c r="HH12" s="262">
        <v>0.79</v>
      </c>
      <c r="HI12" s="262">
        <v>0.79</v>
      </c>
      <c r="HJ12" s="262">
        <v>0.79</v>
      </c>
      <c r="HK12" s="262">
        <v>0.79</v>
      </c>
      <c r="HL12" s="262">
        <v>0.79</v>
      </c>
      <c r="HM12" s="262">
        <v>0.79</v>
      </c>
      <c r="HN12" s="262">
        <v>0.79</v>
      </c>
      <c r="HO12" s="262">
        <v>0.79</v>
      </c>
      <c r="HP12" s="262">
        <v>0.79</v>
      </c>
      <c r="HQ12" s="262">
        <v>0.79</v>
      </c>
      <c r="HR12" s="262">
        <v>0.79</v>
      </c>
      <c r="HS12" s="262">
        <v>0.79</v>
      </c>
      <c r="HT12" s="262">
        <v>0.79</v>
      </c>
      <c r="HU12" s="262">
        <v>0.79</v>
      </c>
      <c r="HV12" s="262">
        <v>0.79</v>
      </c>
      <c r="HW12" s="262">
        <v>0.79</v>
      </c>
      <c r="HX12" s="262">
        <v>0.79</v>
      </c>
      <c r="HY12" s="262">
        <v>0.79</v>
      </c>
      <c r="HZ12" s="262">
        <v>0.79</v>
      </c>
      <c r="IA12" s="262">
        <v>0.79</v>
      </c>
      <c r="IB12" s="262">
        <v>0.79</v>
      </c>
      <c r="IC12" s="262">
        <v>0.79</v>
      </c>
      <c r="ID12" s="262">
        <v>0.79</v>
      </c>
      <c r="IE12" s="262">
        <v>0.79</v>
      </c>
      <c r="IF12" s="262">
        <v>0.79</v>
      </c>
      <c r="IG12" s="244">
        <v>0.78</v>
      </c>
      <c r="IH12" s="244">
        <v>0.78</v>
      </c>
      <c r="II12" s="244">
        <v>0.78</v>
      </c>
      <c r="IJ12" s="244">
        <v>0.78</v>
      </c>
      <c r="IK12" s="244">
        <v>0.78</v>
      </c>
      <c r="IL12" s="244">
        <v>0.78</v>
      </c>
      <c r="IM12" s="244">
        <v>0.78</v>
      </c>
      <c r="IN12" s="244">
        <v>0.78</v>
      </c>
      <c r="IO12" s="244">
        <v>0.78</v>
      </c>
      <c r="IP12" s="244">
        <v>0.78</v>
      </c>
      <c r="IQ12" s="244">
        <v>0.78</v>
      </c>
      <c r="IR12" s="244">
        <v>0.78</v>
      </c>
      <c r="IS12" s="244">
        <v>0.78</v>
      </c>
      <c r="IT12" s="244">
        <v>0.78</v>
      </c>
      <c r="IU12" s="244">
        <v>0.78</v>
      </c>
      <c r="IV12" s="244">
        <v>0.78</v>
      </c>
      <c r="IW12" s="244">
        <v>0.78</v>
      </c>
      <c r="IX12" s="244">
        <v>0.78</v>
      </c>
      <c r="IY12" s="244">
        <v>0.82</v>
      </c>
      <c r="IZ12" s="244">
        <v>0.82</v>
      </c>
      <c r="JA12" s="244">
        <v>0.82</v>
      </c>
      <c r="JB12" s="244">
        <v>0.82</v>
      </c>
      <c r="JC12" s="244">
        <v>0.74</v>
      </c>
      <c r="JD12" s="244">
        <v>0.74</v>
      </c>
      <c r="JE12" s="244">
        <v>0.74</v>
      </c>
      <c r="JF12" s="244">
        <v>0.74</v>
      </c>
      <c r="JG12" s="244">
        <v>0.74</v>
      </c>
      <c r="JH12" s="244">
        <v>0.77</v>
      </c>
      <c r="JI12" s="244">
        <v>0.8</v>
      </c>
      <c r="JJ12" s="244">
        <v>0.8</v>
      </c>
      <c r="JK12" s="244">
        <v>0.82</v>
      </c>
    </row>
    <row r="13" spans="1:271">
      <c r="A13" s="251" t="s">
        <v>2384</v>
      </c>
      <c r="B13" s="303">
        <v>210.8</v>
      </c>
      <c r="C13" s="303">
        <v>209.2</v>
      </c>
      <c r="D13" s="304">
        <v>222.24</v>
      </c>
      <c r="E13" s="305">
        <v>229.64</v>
      </c>
      <c r="F13" s="305">
        <v>225.94400000000002</v>
      </c>
      <c r="G13" s="305">
        <v>351.88</v>
      </c>
      <c r="H13" s="303">
        <v>357.43599999999998</v>
      </c>
      <c r="I13" s="303">
        <v>210.8</v>
      </c>
      <c r="J13" s="303">
        <v>212.38800000000001</v>
      </c>
      <c r="K13" s="303">
        <v>193.08</v>
      </c>
      <c r="L13" s="303">
        <v>188.25299999999999</v>
      </c>
      <c r="M13" s="303">
        <v>274.096</v>
      </c>
      <c r="N13" s="303">
        <v>324.10000000000002</v>
      </c>
      <c r="O13" s="303">
        <v>262.267</v>
      </c>
      <c r="P13" s="303">
        <v>357.19799999999998</v>
      </c>
      <c r="Q13" s="304">
        <v>359.28800000000001</v>
      </c>
      <c r="R13" s="304">
        <v>305.70999999999998</v>
      </c>
      <c r="S13" s="304">
        <v>308.928</v>
      </c>
      <c r="T13" s="303">
        <v>302.49200000000002</v>
      </c>
      <c r="U13" s="303">
        <v>305.70999999999998</v>
      </c>
      <c r="V13" s="303">
        <v>272.24400000000003</v>
      </c>
      <c r="W13" s="303">
        <v>303.72800000000001</v>
      </c>
      <c r="X13" s="303">
        <v>268.54000000000002</v>
      </c>
      <c r="Y13" s="303">
        <v>201.9</v>
      </c>
      <c r="Z13" s="303">
        <v>479.66800000000001</v>
      </c>
      <c r="AA13" s="305">
        <v>226</v>
      </c>
      <c r="AB13" s="304">
        <v>262.98399999999998</v>
      </c>
      <c r="AC13" s="305">
        <v>305.58</v>
      </c>
      <c r="AD13" s="305">
        <v>316.69200000000001</v>
      </c>
      <c r="AE13" s="277">
        <v>240.76000000000002</v>
      </c>
      <c r="AF13" s="305">
        <v>335</v>
      </c>
      <c r="AG13" s="304">
        <v>233.352</v>
      </c>
      <c r="AH13" s="304">
        <v>277.8</v>
      </c>
      <c r="AI13" s="305">
        <v>170</v>
      </c>
      <c r="AJ13" s="277">
        <v>160</v>
      </c>
      <c r="AK13" s="305">
        <v>537</v>
      </c>
      <c r="AL13" s="305">
        <v>395</v>
      </c>
      <c r="AM13" s="277">
        <v>267.09399999999999</v>
      </c>
      <c r="AN13" s="277">
        <v>250</v>
      </c>
      <c r="AO13" s="277">
        <v>228</v>
      </c>
      <c r="AP13" s="277">
        <v>233</v>
      </c>
      <c r="AQ13" s="277">
        <v>203</v>
      </c>
      <c r="AR13" s="277">
        <v>237</v>
      </c>
      <c r="AS13" s="277">
        <v>270.37</v>
      </c>
      <c r="AT13" s="277">
        <v>275.19799999999998</v>
      </c>
      <c r="AU13" s="306">
        <v>256</v>
      </c>
      <c r="AV13" s="307">
        <v>257</v>
      </c>
      <c r="AW13" s="277">
        <v>335.21199999999999</v>
      </c>
      <c r="AX13" s="277">
        <v>296.32</v>
      </c>
      <c r="AY13" s="277">
        <v>265</v>
      </c>
      <c r="AZ13" s="277">
        <v>444</v>
      </c>
      <c r="BA13" s="277">
        <v>356</v>
      </c>
      <c r="BB13" s="277">
        <v>322</v>
      </c>
      <c r="BC13" s="303">
        <v>294</v>
      </c>
      <c r="BD13" s="277">
        <v>407</v>
      </c>
      <c r="BE13" s="277">
        <v>337.1</v>
      </c>
      <c r="BF13" s="277">
        <v>537</v>
      </c>
      <c r="BG13" s="277">
        <v>732</v>
      </c>
      <c r="BH13" s="277">
        <v>350</v>
      </c>
      <c r="BI13" s="303">
        <v>444.5</v>
      </c>
      <c r="BJ13" s="303">
        <v>174.94</v>
      </c>
      <c r="BK13" s="277">
        <v>578</v>
      </c>
      <c r="BL13" s="277">
        <v>561.15600000000006</v>
      </c>
      <c r="BM13" s="277">
        <v>574</v>
      </c>
      <c r="BN13" s="305">
        <v>574.12</v>
      </c>
      <c r="BO13" s="305">
        <v>440.77600000000001</v>
      </c>
      <c r="BP13" s="303">
        <v>555.6</v>
      </c>
      <c r="BQ13" s="305">
        <v>322</v>
      </c>
      <c r="BR13" s="303">
        <v>620</v>
      </c>
      <c r="BS13" s="303">
        <v>537</v>
      </c>
      <c r="BT13" s="303">
        <v>530</v>
      </c>
      <c r="BU13" s="303">
        <v>360</v>
      </c>
      <c r="BV13" s="303">
        <v>535</v>
      </c>
      <c r="BW13" s="303">
        <v>536</v>
      </c>
      <c r="BX13" s="303">
        <v>502</v>
      </c>
      <c r="BY13" s="303">
        <v>537.08000000000004</v>
      </c>
      <c r="BZ13" s="303">
        <v>537.08000000000004</v>
      </c>
      <c r="CA13" s="303">
        <v>537.08000000000004</v>
      </c>
      <c r="CB13" s="303">
        <v>537.08000000000004</v>
      </c>
      <c r="CC13" s="305">
        <v>555.6</v>
      </c>
      <c r="CD13" s="305">
        <v>492.63200000000001</v>
      </c>
      <c r="CE13" s="305">
        <v>500</v>
      </c>
      <c r="CF13" s="305">
        <v>556</v>
      </c>
      <c r="CG13" s="305">
        <v>484</v>
      </c>
      <c r="CH13" s="305">
        <v>509.3</v>
      </c>
      <c r="CI13" s="305">
        <v>510</v>
      </c>
      <c r="CJ13" s="305">
        <v>515</v>
      </c>
      <c r="CK13" s="305">
        <v>517</v>
      </c>
      <c r="CL13" s="277">
        <v>900</v>
      </c>
      <c r="CM13" s="277">
        <v>900</v>
      </c>
      <c r="CN13" s="277">
        <v>900</v>
      </c>
      <c r="CO13" s="277">
        <v>890</v>
      </c>
      <c r="CP13" s="277">
        <v>848</v>
      </c>
      <c r="CQ13" s="277">
        <v>907.48</v>
      </c>
      <c r="CR13" s="277">
        <v>907.48</v>
      </c>
      <c r="CS13" s="277">
        <v>907.48</v>
      </c>
      <c r="CT13" s="277">
        <v>907.48</v>
      </c>
      <c r="CU13" s="277">
        <v>907.48</v>
      </c>
      <c r="CV13" s="277">
        <v>907.48</v>
      </c>
      <c r="CW13" s="277">
        <v>910</v>
      </c>
      <c r="CX13" s="277">
        <v>910</v>
      </c>
      <c r="CY13" s="277">
        <v>910</v>
      </c>
      <c r="CZ13" s="308">
        <v>875</v>
      </c>
      <c r="DA13" s="277">
        <v>852</v>
      </c>
      <c r="DB13" s="277">
        <v>852</v>
      </c>
      <c r="DC13" s="277">
        <v>852</v>
      </c>
      <c r="DD13" s="277">
        <v>851.92000000000007</v>
      </c>
      <c r="DE13" s="277">
        <v>851.92000000000007</v>
      </c>
      <c r="DF13" s="277">
        <v>906</v>
      </c>
      <c r="DG13" s="277">
        <v>906</v>
      </c>
      <c r="DH13" s="277">
        <v>908</v>
      </c>
      <c r="DI13" s="277">
        <v>908</v>
      </c>
      <c r="DJ13" s="277">
        <v>907</v>
      </c>
      <c r="DK13" s="277">
        <v>907</v>
      </c>
      <c r="DL13" s="277">
        <v>906</v>
      </c>
      <c r="DM13" s="277">
        <v>922</v>
      </c>
      <c r="DN13" s="277">
        <v>875</v>
      </c>
      <c r="DO13" s="277">
        <v>912</v>
      </c>
      <c r="DP13" s="277">
        <v>912</v>
      </c>
      <c r="DQ13" s="277">
        <v>912</v>
      </c>
      <c r="DR13" s="309">
        <f t="shared" ref="DR13:FK13" si="24">DR14*3.6</f>
        <v>944.52120000000014</v>
      </c>
      <c r="DS13" s="309">
        <f t="shared" si="24"/>
        <v>944.52120000000014</v>
      </c>
      <c r="DT13" s="309">
        <f t="shared" si="24"/>
        <v>944.52120000000014</v>
      </c>
      <c r="DU13" s="309">
        <f t="shared" si="24"/>
        <v>944.52120000000014</v>
      </c>
      <c r="DV13" s="309">
        <f t="shared" si="24"/>
        <v>944.52120000000014</v>
      </c>
      <c r="DW13" s="309">
        <f t="shared" si="24"/>
        <v>944.52120000000014</v>
      </c>
      <c r="DX13" s="309">
        <f t="shared" si="24"/>
        <v>944.52120000000014</v>
      </c>
      <c r="DY13" s="309">
        <f t="shared" si="24"/>
        <v>944.52120000000014</v>
      </c>
      <c r="DZ13" s="309">
        <f t="shared" si="24"/>
        <v>851.91840000000002</v>
      </c>
      <c r="EA13" s="309">
        <f t="shared" si="24"/>
        <v>851.91840000000002</v>
      </c>
      <c r="EB13" s="309">
        <f t="shared" si="24"/>
        <v>851.91840000000002</v>
      </c>
      <c r="EC13" s="309">
        <f t="shared" si="24"/>
        <v>870.44039999999995</v>
      </c>
      <c r="ED13" s="309">
        <f t="shared" si="24"/>
        <v>870.44039999999995</v>
      </c>
      <c r="EE13" s="309">
        <f t="shared" si="24"/>
        <v>870.44039999999995</v>
      </c>
      <c r="EF13" s="309">
        <f t="shared" si="24"/>
        <v>870.44039999999995</v>
      </c>
      <c r="EG13" s="309">
        <f t="shared" si="24"/>
        <v>870.44039999999995</v>
      </c>
      <c r="EH13" s="309">
        <f t="shared" si="24"/>
        <v>870.44039999999995</v>
      </c>
      <c r="EI13" s="309">
        <f t="shared" si="24"/>
        <v>870.44039999999995</v>
      </c>
      <c r="EJ13" s="309">
        <f t="shared" si="24"/>
        <v>805.61879999999996</v>
      </c>
      <c r="EK13" s="309">
        <f t="shared" si="24"/>
        <v>805.61879999999996</v>
      </c>
      <c r="EL13" s="309">
        <f t="shared" si="24"/>
        <v>870.44039999999995</v>
      </c>
      <c r="EM13" s="309">
        <f t="shared" si="24"/>
        <v>870.44039999999995</v>
      </c>
      <c r="EN13" s="309">
        <f t="shared" si="24"/>
        <v>870.44039999999995</v>
      </c>
      <c r="EO13" s="309">
        <f t="shared" si="24"/>
        <v>870.44039999999995</v>
      </c>
      <c r="EP13" s="309">
        <f t="shared" si="24"/>
        <v>870.44039999999995</v>
      </c>
      <c r="EQ13" s="309">
        <f t="shared" si="24"/>
        <v>870.44039999999995</v>
      </c>
      <c r="ER13" s="309">
        <f t="shared" si="24"/>
        <v>870.44039999999995</v>
      </c>
      <c r="ES13" s="309">
        <f t="shared" si="24"/>
        <v>870.44039999999995</v>
      </c>
      <c r="ET13" s="309">
        <f t="shared" si="24"/>
        <v>777.84120000000007</v>
      </c>
      <c r="EU13" s="309">
        <f t="shared" si="24"/>
        <v>777.84120000000007</v>
      </c>
      <c r="EV13" s="309">
        <f t="shared" si="24"/>
        <v>777.84120000000007</v>
      </c>
      <c r="EW13" s="309">
        <f t="shared" si="24"/>
        <v>777.84120000000007</v>
      </c>
      <c r="EX13" s="309">
        <f t="shared" si="24"/>
        <v>777.84120000000007</v>
      </c>
      <c r="EY13" s="309">
        <f t="shared" si="24"/>
        <v>777.84120000000007</v>
      </c>
      <c r="EZ13" s="309">
        <f t="shared" si="24"/>
        <v>777.84120000000007</v>
      </c>
      <c r="FA13" s="310">
        <f t="shared" si="24"/>
        <v>777.84120000000007</v>
      </c>
      <c r="FB13" s="310">
        <f t="shared" si="24"/>
        <v>777.84120000000007</v>
      </c>
      <c r="FC13" s="309">
        <f t="shared" si="24"/>
        <v>810</v>
      </c>
      <c r="FD13" s="309">
        <f t="shared" si="24"/>
        <v>810</v>
      </c>
      <c r="FE13" s="309">
        <f t="shared" si="24"/>
        <v>810</v>
      </c>
      <c r="FF13" s="309">
        <f t="shared" si="24"/>
        <v>810</v>
      </c>
      <c r="FG13" s="309">
        <f t="shared" si="24"/>
        <v>810</v>
      </c>
      <c r="FH13" s="309">
        <f t="shared" si="24"/>
        <v>828</v>
      </c>
      <c r="FI13" s="309">
        <f t="shared" si="24"/>
        <v>828</v>
      </c>
      <c r="FJ13" s="309">
        <f t="shared" si="24"/>
        <v>828</v>
      </c>
      <c r="FK13" s="309">
        <f t="shared" si="24"/>
        <v>828</v>
      </c>
      <c r="FL13" s="309">
        <v>828</v>
      </c>
      <c r="FM13" s="309">
        <f t="shared" ref="FM13:HX13" si="25">FM14*3.6</f>
        <v>828</v>
      </c>
      <c r="FN13" s="309">
        <f t="shared" si="25"/>
        <v>828</v>
      </c>
      <c r="FO13" s="309">
        <f t="shared" si="25"/>
        <v>828</v>
      </c>
      <c r="FP13" s="309">
        <f t="shared" si="25"/>
        <v>828</v>
      </c>
      <c r="FQ13" s="309">
        <f t="shared" si="25"/>
        <v>828</v>
      </c>
      <c r="FR13" s="309">
        <f t="shared" si="25"/>
        <v>828</v>
      </c>
      <c r="FS13" s="309">
        <f t="shared" si="25"/>
        <v>828</v>
      </c>
      <c r="FT13" s="309">
        <f t="shared" si="25"/>
        <v>828</v>
      </c>
      <c r="FU13" s="309">
        <f t="shared" si="25"/>
        <v>828</v>
      </c>
      <c r="FV13" s="309">
        <f t="shared" si="25"/>
        <v>870.44039999999995</v>
      </c>
      <c r="FW13" s="309">
        <f t="shared" si="25"/>
        <v>870.44039999999995</v>
      </c>
      <c r="FX13" s="309">
        <f t="shared" si="25"/>
        <v>870.44039999999995</v>
      </c>
      <c r="FY13" s="309">
        <f t="shared" si="25"/>
        <v>870.44039999999995</v>
      </c>
      <c r="FZ13" s="309">
        <f t="shared" si="25"/>
        <v>870.44039999999995</v>
      </c>
      <c r="GA13" s="309">
        <f t="shared" si="25"/>
        <v>870.44039999999995</v>
      </c>
      <c r="GB13" s="309">
        <f t="shared" si="25"/>
        <v>870.44039999999995</v>
      </c>
      <c r="GC13" s="309">
        <f t="shared" si="25"/>
        <v>870.44039999999995</v>
      </c>
      <c r="GD13" s="309">
        <f t="shared" si="25"/>
        <v>870.44039999999995</v>
      </c>
      <c r="GE13" s="309">
        <f t="shared" si="25"/>
        <v>870.44039999999995</v>
      </c>
      <c r="GF13" s="309">
        <f t="shared" si="25"/>
        <v>851.91840000000002</v>
      </c>
      <c r="GG13" s="309">
        <f t="shared" si="25"/>
        <v>851.91840000000002</v>
      </c>
      <c r="GH13" s="309">
        <f t="shared" si="25"/>
        <v>851.91840000000002</v>
      </c>
      <c r="GI13" s="309">
        <f t="shared" si="25"/>
        <v>851.91840000000002</v>
      </c>
      <c r="GJ13" s="309">
        <f t="shared" si="25"/>
        <v>851.91840000000002</v>
      </c>
      <c r="GK13" s="309">
        <f t="shared" si="25"/>
        <v>851.91840000000002</v>
      </c>
      <c r="GL13" s="309">
        <f t="shared" si="25"/>
        <v>851.91840000000002</v>
      </c>
      <c r="GM13" s="309">
        <f t="shared" si="25"/>
        <v>851.91840000000002</v>
      </c>
      <c r="GN13" s="309">
        <f t="shared" si="25"/>
        <v>851.91840000000002</v>
      </c>
      <c r="GO13" s="309">
        <f t="shared" si="25"/>
        <v>851.91840000000002</v>
      </c>
      <c r="GP13" s="309">
        <f t="shared" si="25"/>
        <v>888.9588</v>
      </c>
      <c r="GQ13" s="309">
        <f t="shared" si="25"/>
        <v>888.9588</v>
      </c>
      <c r="GR13" s="309">
        <f t="shared" si="25"/>
        <v>888.9588</v>
      </c>
      <c r="GS13" s="309">
        <f t="shared" si="25"/>
        <v>888.9588</v>
      </c>
      <c r="GT13" s="309">
        <f t="shared" si="25"/>
        <v>888.9588</v>
      </c>
      <c r="GU13" s="309">
        <f t="shared" si="25"/>
        <v>888.9588</v>
      </c>
      <c r="GV13" s="309">
        <f t="shared" si="25"/>
        <v>888.9588</v>
      </c>
      <c r="GW13" s="309">
        <f t="shared" si="25"/>
        <v>888.9588</v>
      </c>
      <c r="GX13" s="309">
        <f t="shared" si="25"/>
        <v>888.9588</v>
      </c>
      <c r="GY13" s="309">
        <f t="shared" si="25"/>
        <v>851.91840000000002</v>
      </c>
      <c r="GZ13" s="309">
        <f t="shared" si="25"/>
        <v>851.91840000000002</v>
      </c>
      <c r="HA13" s="309">
        <f t="shared" si="25"/>
        <v>851.91840000000002</v>
      </c>
      <c r="HB13" s="309">
        <f t="shared" si="25"/>
        <v>851.91840000000002</v>
      </c>
      <c r="HC13" s="309">
        <f t="shared" si="25"/>
        <v>833.4</v>
      </c>
      <c r="HD13" s="309">
        <f t="shared" si="25"/>
        <v>833.4</v>
      </c>
      <c r="HE13" s="309">
        <f t="shared" si="25"/>
        <v>833.4</v>
      </c>
      <c r="HF13" s="309">
        <f t="shared" si="25"/>
        <v>833.4</v>
      </c>
      <c r="HG13" s="309">
        <f t="shared" si="25"/>
        <v>833.4</v>
      </c>
      <c r="HH13" s="309">
        <f t="shared" si="25"/>
        <v>833.4</v>
      </c>
      <c r="HI13" s="309">
        <f t="shared" si="25"/>
        <v>833.4</v>
      </c>
      <c r="HJ13" s="309">
        <f t="shared" si="25"/>
        <v>833.4</v>
      </c>
      <c r="HK13" s="309">
        <f t="shared" si="25"/>
        <v>833.4</v>
      </c>
      <c r="HL13" s="309">
        <f t="shared" si="25"/>
        <v>833.4</v>
      </c>
      <c r="HM13" s="309">
        <f t="shared" si="25"/>
        <v>833.4</v>
      </c>
      <c r="HN13" s="309">
        <f t="shared" si="25"/>
        <v>833.4</v>
      </c>
      <c r="HO13" s="309">
        <f t="shared" si="25"/>
        <v>833.4</v>
      </c>
      <c r="HP13" s="309">
        <f t="shared" si="25"/>
        <v>833.4</v>
      </c>
      <c r="HQ13" s="309">
        <f t="shared" si="25"/>
        <v>833.4</v>
      </c>
      <c r="HR13" s="309">
        <f t="shared" si="25"/>
        <v>833.4</v>
      </c>
      <c r="HS13" s="309">
        <f t="shared" si="25"/>
        <v>833.4</v>
      </c>
      <c r="HT13" s="309">
        <f t="shared" si="25"/>
        <v>833.4</v>
      </c>
      <c r="HU13" s="309">
        <f t="shared" si="25"/>
        <v>833.4</v>
      </c>
      <c r="HV13" s="309">
        <f t="shared" si="25"/>
        <v>833.4</v>
      </c>
      <c r="HW13" s="309">
        <f t="shared" si="25"/>
        <v>833.4</v>
      </c>
      <c r="HX13" s="309">
        <f t="shared" si="25"/>
        <v>833.4</v>
      </c>
      <c r="HY13" s="309">
        <f t="shared" ref="HY13:IF13" si="26">HY14*3.6</f>
        <v>833.4</v>
      </c>
      <c r="HZ13" s="309">
        <f t="shared" si="26"/>
        <v>833.4</v>
      </c>
      <c r="IA13" s="309">
        <f t="shared" si="26"/>
        <v>833.4</v>
      </c>
      <c r="IB13" s="309">
        <f t="shared" si="26"/>
        <v>833.4</v>
      </c>
      <c r="IC13" s="309">
        <f t="shared" si="26"/>
        <v>833.4</v>
      </c>
      <c r="ID13" s="309">
        <f t="shared" si="26"/>
        <v>833.4</v>
      </c>
      <c r="IE13" s="309">
        <f t="shared" si="26"/>
        <v>833.4</v>
      </c>
      <c r="IF13" s="309">
        <f t="shared" si="26"/>
        <v>833.4</v>
      </c>
      <c r="IG13" s="309">
        <f>IG14*3.6</f>
        <v>851.91840000000002</v>
      </c>
      <c r="IH13" s="309">
        <f t="shared" ref="IH13:IX13" si="27">IH14*3.6</f>
        <v>851.91840000000002</v>
      </c>
      <c r="II13" s="309">
        <f t="shared" si="27"/>
        <v>851.91840000000002</v>
      </c>
      <c r="IJ13" s="309">
        <f t="shared" si="27"/>
        <v>851.91840000000002</v>
      </c>
      <c r="IK13" s="309">
        <f t="shared" si="27"/>
        <v>851.91840000000002</v>
      </c>
      <c r="IL13" s="309">
        <f t="shared" si="27"/>
        <v>851.91840000000002</v>
      </c>
      <c r="IM13" s="309">
        <f t="shared" si="27"/>
        <v>851.91840000000002</v>
      </c>
      <c r="IN13" s="309">
        <f t="shared" si="27"/>
        <v>851.91840000000002</v>
      </c>
      <c r="IO13" s="309">
        <f t="shared" si="27"/>
        <v>851.91840000000002</v>
      </c>
      <c r="IP13" s="309">
        <f t="shared" si="27"/>
        <v>851.91840000000002</v>
      </c>
      <c r="IQ13" s="309">
        <f t="shared" si="27"/>
        <v>851.91840000000002</v>
      </c>
      <c r="IR13" s="309">
        <f t="shared" si="27"/>
        <v>851.91840000000002</v>
      </c>
      <c r="IS13" s="309">
        <f t="shared" si="27"/>
        <v>833.4</v>
      </c>
      <c r="IT13" s="309">
        <f t="shared" si="27"/>
        <v>833.4</v>
      </c>
      <c r="IU13" s="309">
        <f t="shared" si="27"/>
        <v>833.4</v>
      </c>
      <c r="IV13" s="309">
        <f t="shared" si="27"/>
        <v>833.4</v>
      </c>
      <c r="IW13" s="309">
        <f t="shared" si="27"/>
        <v>833.4</v>
      </c>
      <c r="IX13" s="309">
        <f t="shared" si="27"/>
        <v>833.4</v>
      </c>
      <c r="IY13" s="244">
        <v>876</v>
      </c>
      <c r="IZ13" s="244">
        <v>876</v>
      </c>
      <c r="JA13" s="244">
        <v>876</v>
      </c>
      <c r="JB13" s="244">
        <v>876</v>
      </c>
      <c r="JC13" s="309">
        <f t="shared" ref="JC13:JK13" si="28">JC14*3.6</f>
        <v>785.24639999999999</v>
      </c>
      <c r="JD13" s="309">
        <f t="shared" si="28"/>
        <v>785.24639999999999</v>
      </c>
      <c r="JE13" s="309">
        <f t="shared" si="28"/>
        <v>785.24639999999999</v>
      </c>
      <c r="JF13" s="309">
        <f t="shared" si="28"/>
        <v>777.84120000000007</v>
      </c>
      <c r="JG13" s="309">
        <f t="shared" si="28"/>
        <v>777.84120000000007</v>
      </c>
      <c r="JH13" s="309">
        <f t="shared" si="28"/>
        <v>818.58240000000001</v>
      </c>
      <c r="JI13" s="309">
        <f t="shared" si="28"/>
        <v>848.21760000000006</v>
      </c>
      <c r="JJ13" s="309">
        <f t="shared" si="28"/>
        <v>848.21760000000006</v>
      </c>
      <c r="JK13" s="309">
        <f t="shared" si="28"/>
        <v>870.44039999999995</v>
      </c>
    </row>
    <row r="14" spans="1:271">
      <c r="A14" s="251" t="s">
        <v>2385</v>
      </c>
      <c r="B14" s="303">
        <f>B13/3.6</f>
        <v>58.555555555555557</v>
      </c>
      <c r="C14" s="303">
        <f t="shared" ref="C14:BN14" si="29">C13/3.6</f>
        <v>58.111111111111107</v>
      </c>
      <c r="D14" s="304">
        <f t="shared" si="29"/>
        <v>61.733333333333334</v>
      </c>
      <c r="E14" s="305">
        <f t="shared" si="29"/>
        <v>63.788888888888884</v>
      </c>
      <c r="F14" s="305">
        <f t="shared" si="29"/>
        <v>62.762222222222228</v>
      </c>
      <c r="G14" s="305">
        <f t="shared" si="29"/>
        <v>97.74444444444444</v>
      </c>
      <c r="H14" s="303">
        <f t="shared" si="29"/>
        <v>99.287777777777762</v>
      </c>
      <c r="I14" s="303">
        <f t="shared" si="29"/>
        <v>58.555555555555557</v>
      </c>
      <c r="J14" s="303">
        <f t="shared" si="29"/>
        <v>58.99666666666667</v>
      </c>
      <c r="K14" s="303">
        <f t="shared" si="29"/>
        <v>53.633333333333333</v>
      </c>
      <c r="L14" s="303">
        <f t="shared" si="29"/>
        <v>52.292499999999997</v>
      </c>
      <c r="M14" s="303">
        <f t="shared" si="29"/>
        <v>76.137777777777771</v>
      </c>
      <c r="N14" s="303">
        <f t="shared" si="29"/>
        <v>90.027777777777786</v>
      </c>
      <c r="O14" s="303">
        <f t="shared" si="29"/>
        <v>72.851944444444442</v>
      </c>
      <c r="P14" s="303">
        <f t="shared" si="29"/>
        <v>99.221666666666664</v>
      </c>
      <c r="Q14" s="304">
        <f t="shared" si="29"/>
        <v>99.802222222222227</v>
      </c>
      <c r="R14" s="304">
        <f t="shared" si="29"/>
        <v>84.919444444444437</v>
      </c>
      <c r="S14" s="304">
        <f t="shared" si="29"/>
        <v>85.813333333333333</v>
      </c>
      <c r="T14" s="303">
        <f t="shared" si="29"/>
        <v>84.025555555555556</v>
      </c>
      <c r="U14" s="303">
        <f t="shared" si="29"/>
        <v>84.919444444444437</v>
      </c>
      <c r="V14" s="303">
        <f t="shared" si="29"/>
        <v>75.623333333333335</v>
      </c>
      <c r="W14" s="303">
        <f t="shared" si="29"/>
        <v>84.36888888888889</v>
      </c>
      <c r="X14" s="303">
        <f t="shared" si="29"/>
        <v>74.594444444444449</v>
      </c>
      <c r="Y14" s="303">
        <f t="shared" si="29"/>
        <v>56.083333333333336</v>
      </c>
      <c r="Z14" s="303">
        <f t="shared" si="29"/>
        <v>133.24111111111111</v>
      </c>
      <c r="AA14" s="305">
        <f t="shared" si="29"/>
        <v>62.777777777777779</v>
      </c>
      <c r="AB14" s="304">
        <f t="shared" si="29"/>
        <v>73.051111111111098</v>
      </c>
      <c r="AC14" s="305">
        <f t="shared" si="29"/>
        <v>84.883333333333326</v>
      </c>
      <c r="AD14" s="305">
        <f t="shared" si="29"/>
        <v>87.97</v>
      </c>
      <c r="AE14" s="277">
        <f t="shared" si="29"/>
        <v>66.87777777777778</v>
      </c>
      <c r="AF14" s="305">
        <f t="shared" si="29"/>
        <v>93.055555555555557</v>
      </c>
      <c r="AG14" s="304">
        <f t="shared" si="29"/>
        <v>64.819999999999993</v>
      </c>
      <c r="AH14" s="304">
        <f t="shared" si="29"/>
        <v>77.166666666666671</v>
      </c>
      <c r="AI14" s="305">
        <f t="shared" si="29"/>
        <v>47.222222222222221</v>
      </c>
      <c r="AJ14" s="277">
        <f t="shared" si="29"/>
        <v>44.444444444444443</v>
      </c>
      <c r="AK14" s="305">
        <f t="shared" si="29"/>
        <v>149.16666666666666</v>
      </c>
      <c r="AL14" s="305">
        <f t="shared" si="29"/>
        <v>109.72222222222221</v>
      </c>
      <c r="AM14" s="277">
        <f t="shared" si="29"/>
        <v>74.192777777777778</v>
      </c>
      <c r="AN14" s="277">
        <f t="shared" si="29"/>
        <v>69.444444444444443</v>
      </c>
      <c r="AO14" s="277">
        <f t="shared" si="29"/>
        <v>63.333333333333329</v>
      </c>
      <c r="AP14" s="277">
        <f t="shared" si="29"/>
        <v>64.722222222222214</v>
      </c>
      <c r="AQ14" s="277">
        <f t="shared" si="29"/>
        <v>56.388888888888886</v>
      </c>
      <c r="AR14" s="277">
        <f t="shared" si="29"/>
        <v>65.833333333333329</v>
      </c>
      <c r="AS14" s="277">
        <f t="shared" si="29"/>
        <v>75.102777777777774</v>
      </c>
      <c r="AT14" s="277">
        <f t="shared" si="29"/>
        <v>76.443888888888878</v>
      </c>
      <c r="AU14" s="306">
        <f t="shared" si="29"/>
        <v>71.111111111111114</v>
      </c>
      <c r="AV14" s="307">
        <f t="shared" si="29"/>
        <v>71.388888888888886</v>
      </c>
      <c r="AW14" s="277">
        <f t="shared" si="29"/>
        <v>93.114444444444445</v>
      </c>
      <c r="AX14" s="277">
        <f t="shared" si="29"/>
        <v>82.311111111111103</v>
      </c>
      <c r="AY14" s="277">
        <f t="shared" si="29"/>
        <v>73.611111111111114</v>
      </c>
      <c r="AZ14" s="277">
        <f t="shared" si="29"/>
        <v>123.33333333333333</v>
      </c>
      <c r="BA14" s="277">
        <f t="shared" si="29"/>
        <v>98.888888888888886</v>
      </c>
      <c r="BB14" s="277">
        <f t="shared" si="29"/>
        <v>89.444444444444443</v>
      </c>
      <c r="BC14" s="303">
        <f t="shared" si="29"/>
        <v>81.666666666666671</v>
      </c>
      <c r="BD14" s="277">
        <f t="shared" si="29"/>
        <v>113.05555555555556</v>
      </c>
      <c r="BE14" s="277">
        <f t="shared" si="29"/>
        <v>93.6388888888889</v>
      </c>
      <c r="BF14" s="277">
        <f t="shared" si="29"/>
        <v>149.16666666666666</v>
      </c>
      <c r="BG14" s="277">
        <f t="shared" si="29"/>
        <v>203.33333333333331</v>
      </c>
      <c r="BH14" s="277">
        <f t="shared" si="29"/>
        <v>97.222222222222214</v>
      </c>
      <c r="BI14" s="303">
        <f t="shared" si="29"/>
        <v>123.47222222222221</v>
      </c>
      <c r="BJ14" s="303">
        <f t="shared" si="29"/>
        <v>48.594444444444441</v>
      </c>
      <c r="BK14" s="277">
        <f t="shared" si="29"/>
        <v>160.55555555555554</v>
      </c>
      <c r="BL14" s="277">
        <f t="shared" si="29"/>
        <v>155.87666666666669</v>
      </c>
      <c r="BM14" s="277">
        <f t="shared" si="29"/>
        <v>159.44444444444443</v>
      </c>
      <c r="BN14" s="305">
        <f t="shared" si="29"/>
        <v>159.47777777777779</v>
      </c>
      <c r="BO14" s="305">
        <f t="shared" ref="BO14:CX14" si="30">BO13/3.6</f>
        <v>122.43777777777778</v>
      </c>
      <c r="BP14" s="303">
        <f t="shared" si="30"/>
        <v>154.33333333333334</v>
      </c>
      <c r="BQ14" s="305">
        <f t="shared" si="30"/>
        <v>89.444444444444443</v>
      </c>
      <c r="BR14" s="303">
        <f t="shared" si="30"/>
        <v>172.22222222222223</v>
      </c>
      <c r="BS14" s="303">
        <f t="shared" si="30"/>
        <v>149.16666666666666</v>
      </c>
      <c r="BT14" s="303">
        <f t="shared" si="30"/>
        <v>147.22222222222223</v>
      </c>
      <c r="BU14" s="303">
        <f t="shared" si="30"/>
        <v>100</v>
      </c>
      <c r="BV14" s="303">
        <f t="shared" si="30"/>
        <v>148.61111111111111</v>
      </c>
      <c r="BW14" s="303">
        <f t="shared" si="30"/>
        <v>148.88888888888889</v>
      </c>
      <c r="BX14" s="303">
        <f t="shared" si="30"/>
        <v>139.44444444444443</v>
      </c>
      <c r="BY14" s="303">
        <f t="shared" si="30"/>
        <v>149.1888888888889</v>
      </c>
      <c r="BZ14" s="303">
        <f t="shared" si="30"/>
        <v>149.1888888888889</v>
      </c>
      <c r="CA14" s="303">
        <f t="shared" si="30"/>
        <v>149.1888888888889</v>
      </c>
      <c r="CB14" s="303">
        <f t="shared" si="30"/>
        <v>149.1888888888889</v>
      </c>
      <c r="CC14" s="305">
        <f t="shared" si="30"/>
        <v>154.33333333333334</v>
      </c>
      <c r="CD14" s="305">
        <f t="shared" si="30"/>
        <v>136.84222222222223</v>
      </c>
      <c r="CE14" s="305">
        <f t="shared" si="30"/>
        <v>138.88888888888889</v>
      </c>
      <c r="CF14" s="305">
        <f t="shared" si="30"/>
        <v>154.44444444444443</v>
      </c>
      <c r="CG14" s="305">
        <f t="shared" si="30"/>
        <v>134.44444444444443</v>
      </c>
      <c r="CH14" s="305">
        <f t="shared" si="30"/>
        <v>141.47222222222223</v>
      </c>
      <c r="CI14" s="305">
        <f t="shared" si="30"/>
        <v>141.66666666666666</v>
      </c>
      <c r="CJ14" s="305">
        <f t="shared" si="30"/>
        <v>143.05555555555554</v>
      </c>
      <c r="CK14" s="305">
        <f t="shared" si="30"/>
        <v>143.61111111111111</v>
      </c>
      <c r="CL14" s="277">
        <f t="shared" si="30"/>
        <v>250</v>
      </c>
      <c r="CM14" s="277">
        <f t="shared" si="30"/>
        <v>250</v>
      </c>
      <c r="CN14" s="277">
        <f t="shared" si="30"/>
        <v>250</v>
      </c>
      <c r="CO14" s="277">
        <f t="shared" si="30"/>
        <v>247.22222222222223</v>
      </c>
      <c r="CP14" s="277">
        <f t="shared" si="30"/>
        <v>235.55555555555554</v>
      </c>
      <c r="CQ14" s="277">
        <f t="shared" si="30"/>
        <v>252.07777777777778</v>
      </c>
      <c r="CR14" s="277">
        <f t="shared" si="30"/>
        <v>252.07777777777778</v>
      </c>
      <c r="CS14" s="277">
        <f t="shared" si="30"/>
        <v>252.07777777777778</v>
      </c>
      <c r="CT14" s="277">
        <f t="shared" si="30"/>
        <v>252.07777777777778</v>
      </c>
      <c r="CU14" s="277">
        <f t="shared" si="30"/>
        <v>252.07777777777778</v>
      </c>
      <c r="CV14" s="277">
        <f t="shared" si="30"/>
        <v>252.07777777777778</v>
      </c>
      <c r="CW14" s="277">
        <f t="shared" si="30"/>
        <v>252.77777777777777</v>
      </c>
      <c r="CX14" s="277">
        <f t="shared" si="30"/>
        <v>252.77777777777777</v>
      </c>
      <c r="CY14" s="277">
        <f t="shared" ref="CY14:DK14" si="31">CY13/3.6</f>
        <v>252.77777777777777</v>
      </c>
      <c r="CZ14" s="308">
        <f t="shared" si="31"/>
        <v>243.05555555555554</v>
      </c>
      <c r="DA14" s="277">
        <f t="shared" si="31"/>
        <v>236.66666666666666</v>
      </c>
      <c r="DB14" s="277">
        <f t="shared" si="31"/>
        <v>236.66666666666666</v>
      </c>
      <c r="DC14" s="277">
        <f t="shared" si="31"/>
        <v>236.66666666666666</v>
      </c>
      <c r="DD14" s="277">
        <f t="shared" si="31"/>
        <v>236.64444444444445</v>
      </c>
      <c r="DE14" s="277">
        <f t="shared" si="31"/>
        <v>236.64444444444445</v>
      </c>
      <c r="DF14" s="277">
        <f t="shared" si="31"/>
        <v>251.66666666666666</v>
      </c>
      <c r="DG14" s="277">
        <f t="shared" si="31"/>
        <v>251.66666666666666</v>
      </c>
      <c r="DH14" s="277">
        <f t="shared" si="31"/>
        <v>252.22222222222223</v>
      </c>
      <c r="DI14" s="277">
        <f t="shared" si="31"/>
        <v>252.22222222222223</v>
      </c>
      <c r="DJ14" s="277">
        <f t="shared" si="31"/>
        <v>251.94444444444443</v>
      </c>
      <c r="DK14" s="277">
        <f t="shared" si="31"/>
        <v>251.94444444444443</v>
      </c>
      <c r="DL14" s="277">
        <f t="shared" ref="DL14" si="32">DL13/3.6</f>
        <v>251.66666666666666</v>
      </c>
      <c r="DM14" s="277">
        <f>DM13/3.6</f>
        <v>256.11111111111109</v>
      </c>
      <c r="DN14" s="277">
        <f>DN13/3.6</f>
        <v>243.05555555555554</v>
      </c>
      <c r="DO14" s="277">
        <f>DO13/3.6</f>
        <v>253.33333333333331</v>
      </c>
      <c r="DP14" s="277">
        <f>DP13/3.6</f>
        <v>253.33333333333331</v>
      </c>
      <c r="DQ14" s="277">
        <f>DQ13/3.6</f>
        <v>253.33333333333331</v>
      </c>
      <c r="DR14" s="262">
        <v>262.36700000000002</v>
      </c>
      <c r="DS14" s="262">
        <v>262.36700000000002</v>
      </c>
      <c r="DT14" s="262">
        <v>262.36700000000002</v>
      </c>
      <c r="DU14" s="262">
        <v>262.36700000000002</v>
      </c>
      <c r="DV14" s="262">
        <v>262.36700000000002</v>
      </c>
      <c r="DW14" s="262">
        <v>262.36700000000002</v>
      </c>
      <c r="DX14" s="262">
        <v>262.36700000000002</v>
      </c>
      <c r="DY14" s="262">
        <v>262.36700000000002</v>
      </c>
      <c r="DZ14" s="262">
        <v>236.64400000000001</v>
      </c>
      <c r="EA14" s="262">
        <v>236.64400000000001</v>
      </c>
      <c r="EB14" s="262">
        <v>236.64400000000001</v>
      </c>
      <c r="EC14" s="262">
        <v>241.78899999999999</v>
      </c>
      <c r="ED14" s="262">
        <v>241.78899999999999</v>
      </c>
      <c r="EE14" s="262">
        <v>241.78899999999999</v>
      </c>
      <c r="EF14" s="262">
        <v>241.78899999999999</v>
      </c>
      <c r="EG14" s="262">
        <v>241.78899999999999</v>
      </c>
      <c r="EH14" s="262">
        <v>241.78899999999999</v>
      </c>
      <c r="EI14" s="262">
        <v>241.78899999999999</v>
      </c>
      <c r="EJ14" s="262">
        <v>223.78299999999999</v>
      </c>
      <c r="EK14" s="262">
        <v>223.78299999999999</v>
      </c>
      <c r="EL14" s="262">
        <v>241.78899999999999</v>
      </c>
      <c r="EM14" s="262">
        <v>241.78899999999999</v>
      </c>
      <c r="EN14" s="262">
        <v>241.78899999999999</v>
      </c>
      <c r="EO14" s="262">
        <v>241.78899999999999</v>
      </c>
      <c r="EP14" s="262">
        <v>241.78899999999999</v>
      </c>
      <c r="EQ14" s="262">
        <v>241.78899999999999</v>
      </c>
      <c r="ER14" s="262">
        <v>241.78899999999999</v>
      </c>
      <c r="ES14" s="262">
        <v>241.78899999999999</v>
      </c>
      <c r="ET14" s="311">
        <v>216.06700000000001</v>
      </c>
      <c r="EU14" s="311">
        <v>216.06700000000001</v>
      </c>
      <c r="EV14" s="311">
        <v>216.06700000000001</v>
      </c>
      <c r="EW14" s="311">
        <v>216.06700000000001</v>
      </c>
      <c r="EX14" s="311">
        <v>216.06700000000001</v>
      </c>
      <c r="EY14" s="311">
        <v>216.06700000000001</v>
      </c>
      <c r="EZ14" s="311">
        <v>216.06700000000001</v>
      </c>
      <c r="FA14" s="312">
        <v>216.06700000000001</v>
      </c>
      <c r="FB14" s="312">
        <v>216.06700000000001</v>
      </c>
      <c r="FC14" s="311">
        <v>225</v>
      </c>
      <c r="FD14" s="311">
        <v>225</v>
      </c>
      <c r="FE14" s="311">
        <v>225</v>
      </c>
      <c r="FF14" s="311">
        <v>225</v>
      </c>
      <c r="FG14" s="311">
        <v>225</v>
      </c>
      <c r="FH14" s="244">
        <v>230</v>
      </c>
      <c r="FI14" s="244">
        <v>230</v>
      </c>
      <c r="FJ14" s="244">
        <v>230</v>
      </c>
      <c r="FK14" s="244">
        <v>230</v>
      </c>
      <c r="FL14" s="244">
        <v>230</v>
      </c>
      <c r="FM14" s="244">
        <v>230</v>
      </c>
      <c r="FN14" s="244">
        <v>230</v>
      </c>
      <c r="FO14" s="244">
        <v>230</v>
      </c>
      <c r="FP14" s="244">
        <v>230</v>
      </c>
      <c r="FQ14" s="244">
        <v>230</v>
      </c>
      <c r="FR14" s="244">
        <v>230</v>
      </c>
      <c r="FS14" s="244">
        <v>230</v>
      </c>
      <c r="FT14" s="244">
        <v>230</v>
      </c>
      <c r="FU14" s="244">
        <v>230</v>
      </c>
      <c r="FV14" s="244">
        <v>241.78899999999999</v>
      </c>
      <c r="FW14" s="244">
        <v>241.78899999999999</v>
      </c>
      <c r="FX14" s="244">
        <v>241.78899999999999</v>
      </c>
      <c r="FY14" s="244">
        <v>241.78899999999999</v>
      </c>
      <c r="FZ14" s="244">
        <v>241.78899999999999</v>
      </c>
      <c r="GA14" s="244">
        <v>241.78899999999999</v>
      </c>
      <c r="GB14" s="244">
        <v>241.78899999999999</v>
      </c>
      <c r="GC14" s="244">
        <v>241.78899999999999</v>
      </c>
      <c r="GD14" s="244">
        <v>241.78899999999999</v>
      </c>
      <c r="GE14" s="244">
        <v>241.78899999999999</v>
      </c>
      <c r="GF14" s="244">
        <v>236.64400000000001</v>
      </c>
      <c r="GG14" s="244">
        <v>236.64400000000001</v>
      </c>
      <c r="GH14" s="244">
        <v>236.64400000000001</v>
      </c>
      <c r="GI14" s="244">
        <v>236.64400000000001</v>
      </c>
      <c r="GJ14" s="244">
        <v>236.64400000000001</v>
      </c>
      <c r="GK14" s="244">
        <v>236.64400000000001</v>
      </c>
      <c r="GL14" s="244">
        <v>236.64400000000001</v>
      </c>
      <c r="GM14" s="244">
        <v>236.64400000000001</v>
      </c>
      <c r="GN14" s="244">
        <v>236.64400000000001</v>
      </c>
      <c r="GO14" s="244">
        <v>236.64400000000001</v>
      </c>
      <c r="GP14" s="262">
        <v>246.93299999999999</v>
      </c>
      <c r="GQ14" s="262">
        <v>246.93299999999999</v>
      </c>
      <c r="GR14" s="262">
        <v>246.93299999999999</v>
      </c>
      <c r="GS14" s="262">
        <v>246.93299999999999</v>
      </c>
      <c r="GT14" s="262">
        <v>246.93299999999999</v>
      </c>
      <c r="GU14" s="262">
        <v>246.93299999999999</v>
      </c>
      <c r="GV14" s="262">
        <v>246.93299999999999</v>
      </c>
      <c r="GW14" s="262">
        <v>246.93299999999999</v>
      </c>
      <c r="GX14" s="262">
        <v>246.93299999999999</v>
      </c>
      <c r="GY14" s="262">
        <v>236.64400000000001</v>
      </c>
      <c r="GZ14" s="262">
        <v>236.64400000000001</v>
      </c>
      <c r="HA14" s="262">
        <v>236.64400000000001</v>
      </c>
      <c r="HB14" s="262">
        <v>236.64400000000001</v>
      </c>
      <c r="HC14" s="262">
        <v>231.5</v>
      </c>
      <c r="HD14" s="262">
        <v>231.5</v>
      </c>
      <c r="HE14" s="262">
        <v>231.5</v>
      </c>
      <c r="HF14" s="262">
        <v>231.5</v>
      </c>
      <c r="HG14" s="262">
        <v>231.5</v>
      </c>
      <c r="HH14" s="262">
        <v>231.5</v>
      </c>
      <c r="HI14" s="262">
        <v>231.5</v>
      </c>
      <c r="HJ14" s="262">
        <v>231.5</v>
      </c>
      <c r="HK14" s="262">
        <v>231.5</v>
      </c>
      <c r="HL14" s="262">
        <v>231.5</v>
      </c>
      <c r="HM14" s="262">
        <v>231.5</v>
      </c>
      <c r="HN14" s="262">
        <v>231.5</v>
      </c>
      <c r="HO14" s="262">
        <v>231.5</v>
      </c>
      <c r="HP14" s="262">
        <v>231.5</v>
      </c>
      <c r="HQ14" s="262">
        <v>231.5</v>
      </c>
      <c r="HR14" s="262">
        <v>231.5</v>
      </c>
      <c r="HS14" s="262">
        <v>231.5</v>
      </c>
      <c r="HT14" s="262">
        <v>231.5</v>
      </c>
      <c r="HU14" s="262">
        <v>231.5</v>
      </c>
      <c r="HV14" s="262">
        <v>231.5</v>
      </c>
      <c r="HW14" s="262">
        <v>231.5</v>
      </c>
      <c r="HX14" s="262">
        <v>231.5</v>
      </c>
      <c r="HY14" s="262">
        <v>231.5</v>
      </c>
      <c r="HZ14" s="262">
        <v>231.5</v>
      </c>
      <c r="IA14" s="262">
        <v>231.5</v>
      </c>
      <c r="IB14" s="262">
        <v>231.5</v>
      </c>
      <c r="IC14" s="262">
        <v>231.5</v>
      </c>
      <c r="ID14" s="262">
        <v>231.5</v>
      </c>
      <c r="IE14" s="262">
        <v>231.5</v>
      </c>
      <c r="IF14" s="262">
        <v>231.5</v>
      </c>
      <c r="IG14" s="262">
        <v>236.64400000000001</v>
      </c>
      <c r="IH14" s="262">
        <v>236.64400000000001</v>
      </c>
      <c r="II14" s="262">
        <v>236.64400000000001</v>
      </c>
      <c r="IJ14" s="262">
        <v>236.64400000000001</v>
      </c>
      <c r="IK14" s="262">
        <v>236.64400000000001</v>
      </c>
      <c r="IL14" s="262">
        <v>236.64400000000001</v>
      </c>
      <c r="IM14" s="262">
        <v>236.64400000000001</v>
      </c>
      <c r="IN14" s="262">
        <v>236.64400000000001</v>
      </c>
      <c r="IO14" s="262">
        <v>236.64400000000001</v>
      </c>
      <c r="IP14" s="262">
        <v>236.64400000000001</v>
      </c>
      <c r="IQ14" s="262">
        <v>236.64400000000001</v>
      </c>
      <c r="IR14" s="262">
        <v>236.64400000000001</v>
      </c>
      <c r="IS14" s="262">
        <v>231.5</v>
      </c>
      <c r="IT14" s="262">
        <v>231.5</v>
      </c>
      <c r="IU14" s="262">
        <v>231.5</v>
      </c>
      <c r="IV14" s="262">
        <v>231.5</v>
      </c>
      <c r="IW14" s="262">
        <v>231.5</v>
      </c>
      <c r="IX14" s="262">
        <v>231.5</v>
      </c>
      <c r="IY14" s="244">
        <f t="shared" ref="IY14:JA14" si="33">IY13/3.6</f>
        <v>243.33333333333331</v>
      </c>
      <c r="IZ14" s="244">
        <f t="shared" si="33"/>
        <v>243.33333333333331</v>
      </c>
      <c r="JA14" s="244">
        <f t="shared" si="33"/>
        <v>243.33333333333331</v>
      </c>
      <c r="JB14" s="244">
        <f>JB13/3.6</f>
        <v>243.33333333333331</v>
      </c>
      <c r="JC14" s="244">
        <v>218.124</v>
      </c>
      <c r="JD14" s="244">
        <v>218.124</v>
      </c>
      <c r="JE14" s="244">
        <v>218.124</v>
      </c>
      <c r="JF14" s="244">
        <v>216.06700000000001</v>
      </c>
      <c r="JG14" s="244">
        <v>216.06700000000001</v>
      </c>
      <c r="JH14" s="244">
        <v>227.38399999999999</v>
      </c>
      <c r="JI14" s="244">
        <v>235.61600000000001</v>
      </c>
      <c r="JJ14" s="244">
        <v>235.61600000000001</v>
      </c>
      <c r="JK14" s="244">
        <v>241.78899999999999</v>
      </c>
    </row>
    <row r="15" spans="1:271">
      <c r="A15" s="251" t="s">
        <v>2386</v>
      </c>
      <c r="B15" s="277">
        <f>B10/B13</f>
        <v>0.45796963946869063</v>
      </c>
      <c r="C15" s="277">
        <f t="shared" ref="C15:BN15" si="34">C10/C13</f>
        <v>0.461472275334608</v>
      </c>
      <c r="D15" s="277">
        <f t="shared" si="34"/>
        <v>0.45832318664506833</v>
      </c>
      <c r="E15" s="277">
        <f t="shared" si="34"/>
        <v>0.44351898623933117</v>
      </c>
      <c r="F15" s="277">
        <f t="shared" si="34"/>
        <v>0.45080969178203445</v>
      </c>
      <c r="G15" s="277">
        <f t="shared" si="34"/>
        <v>0.39472810333068092</v>
      </c>
      <c r="H15" s="277">
        <f t="shared" si="34"/>
        <v>0.38859243333072219</v>
      </c>
      <c r="I15" s="277">
        <f t="shared" si="34"/>
        <v>0.45796963946869063</v>
      </c>
      <c r="J15" s="277">
        <f t="shared" si="34"/>
        <v>0.45454545454545447</v>
      </c>
      <c r="K15" s="277">
        <f t="shared" si="34"/>
        <v>0.41666666666666663</v>
      </c>
      <c r="L15" s="277">
        <f t="shared" si="34"/>
        <v>0.47008547008547014</v>
      </c>
      <c r="M15" s="277">
        <f t="shared" si="34"/>
        <v>0.37161339457708248</v>
      </c>
      <c r="N15" s="277">
        <f t="shared" si="34"/>
        <v>0.42856194075902498</v>
      </c>
      <c r="O15" s="277">
        <f t="shared" si="34"/>
        <v>0.36809815950920244</v>
      </c>
      <c r="P15" s="277">
        <f t="shared" si="34"/>
        <v>0.40540540540540543</v>
      </c>
      <c r="Q15" s="277">
        <f t="shared" si="34"/>
        <v>0.4278255800360713</v>
      </c>
      <c r="R15" s="277">
        <f t="shared" si="34"/>
        <v>0.4210526315789474</v>
      </c>
      <c r="S15" s="277">
        <f t="shared" si="34"/>
        <v>0.41666666666666669</v>
      </c>
      <c r="T15" s="277">
        <f t="shared" si="34"/>
        <v>0.42553191489361697</v>
      </c>
      <c r="U15" s="277">
        <f t="shared" si="34"/>
        <v>0.4210526315789474</v>
      </c>
      <c r="V15" s="277">
        <f t="shared" si="34"/>
        <v>0.34012852441192459</v>
      </c>
      <c r="W15" s="277">
        <f t="shared" si="34"/>
        <v>0.33535842925248904</v>
      </c>
      <c r="X15" s="277">
        <f t="shared" si="34"/>
        <v>0.41378394280181724</v>
      </c>
      <c r="Y15" s="277">
        <f t="shared" si="34"/>
        <v>0.45863273897969298</v>
      </c>
      <c r="Z15" s="277">
        <f t="shared" si="34"/>
        <v>0.3780412702118966</v>
      </c>
      <c r="AA15" s="277">
        <f t="shared" si="34"/>
        <v>0.47345180973451334</v>
      </c>
      <c r="AB15" s="277">
        <f t="shared" si="34"/>
        <v>0.49294683326742322</v>
      </c>
      <c r="AC15" s="277">
        <f t="shared" si="34"/>
        <v>0.44241444793507428</v>
      </c>
      <c r="AD15" s="277">
        <f t="shared" si="34"/>
        <v>0.48536937150291132</v>
      </c>
      <c r="AE15" s="277">
        <f t="shared" si="34"/>
        <v>0.54458461538461533</v>
      </c>
      <c r="AF15" s="277">
        <f t="shared" si="34"/>
        <v>0.37813133014925371</v>
      </c>
      <c r="AG15" s="277">
        <f t="shared" si="34"/>
        <v>0.53173425983064215</v>
      </c>
      <c r="AH15" s="277">
        <f t="shared" si="34"/>
        <v>0.44665677825773936</v>
      </c>
      <c r="AI15" s="277">
        <f t="shared" si="34"/>
        <v>0.41171470588235293</v>
      </c>
      <c r="AJ15" s="277">
        <f t="shared" si="34"/>
        <v>0.5</v>
      </c>
      <c r="AK15" s="277">
        <f t="shared" si="34"/>
        <v>0.46212757169459961</v>
      </c>
      <c r="AL15" s="277">
        <f t="shared" si="34"/>
        <v>0.32631986430379739</v>
      </c>
      <c r="AM15" s="277">
        <f t="shared" si="34"/>
        <v>0.39156626506024095</v>
      </c>
      <c r="AN15" s="277">
        <f t="shared" si="34"/>
        <v>0.48269999999999996</v>
      </c>
      <c r="AO15" s="277">
        <f t="shared" si="34"/>
        <v>0.4869342105263158</v>
      </c>
      <c r="AP15" s="277">
        <f t="shared" si="34"/>
        <v>0.43712317596566524</v>
      </c>
      <c r="AQ15" s="277">
        <f t="shared" si="34"/>
        <v>0.47556650246305415</v>
      </c>
      <c r="AR15" s="277">
        <f t="shared" si="34"/>
        <v>0.46885037974683547</v>
      </c>
      <c r="AS15" s="277">
        <f t="shared" si="34"/>
        <v>0.4165772829825794</v>
      </c>
      <c r="AT15" s="277">
        <f t="shared" si="34"/>
        <v>0.374188765906729</v>
      </c>
      <c r="AU15" s="313">
        <f t="shared" si="34"/>
        <v>0.38341338671874997</v>
      </c>
      <c r="AV15" s="314">
        <f t="shared" si="34"/>
        <v>0.41074577042801552</v>
      </c>
      <c r="AW15" s="277">
        <f t="shared" si="34"/>
        <v>0.40799553715260789</v>
      </c>
      <c r="AX15" s="277">
        <f t="shared" si="34"/>
        <v>0.46154495140388763</v>
      </c>
      <c r="AY15" s="277">
        <f t="shared" si="34"/>
        <v>0.4978792452830188</v>
      </c>
      <c r="AZ15" s="277">
        <f t="shared" si="34"/>
        <v>0.34209369369369369</v>
      </c>
      <c r="BA15" s="277">
        <f t="shared" si="34"/>
        <v>0.49420254213483145</v>
      </c>
      <c r="BB15" s="277">
        <f t="shared" si="34"/>
        <v>0.40274968944099376</v>
      </c>
      <c r="BC15" s="277">
        <f t="shared" si="34"/>
        <v>0.48488911564625853</v>
      </c>
      <c r="BD15" s="277">
        <f t="shared" si="34"/>
        <v>0.35484972972972978</v>
      </c>
      <c r="BE15" s="277">
        <f t="shared" si="34"/>
        <v>0.38089053693266089</v>
      </c>
      <c r="BF15" s="277">
        <f t="shared" si="34"/>
        <v>0.32359776536312845</v>
      </c>
      <c r="BG15" s="277">
        <f t="shared" si="34"/>
        <v>0.27080437158469944</v>
      </c>
      <c r="BH15" s="277">
        <f t="shared" si="34"/>
        <v>0.49051514285714293</v>
      </c>
      <c r="BI15" s="277">
        <f t="shared" si="34"/>
        <v>0.35835995500562429</v>
      </c>
      <c r="BJ15" s="277">
        <f t="shared" si="34"/>
        <v>0.59283013604664458</v>
      </c>
      <c r="BK15" s="277">
        <f t="shared" si="34"/>
        <v>0.28533304498269896</v>
      </c>
      <c r="BL15" s="277">
        <f t="shared" si="34"/>
        <v>0.29017029132718886</v>
      </c>
      <c r="BM15" s="277">
        <f t="shared" si="34"/>
        <v>0.28367735191637633</v>
      </c>
      <c r="BN15" s="277">
        <f t="shared" si="34"/>
        <v>0.26624224900717619</v>
      </c>
      <c r="BO15" s="277">
        <f t="shared" ref="BO15:BQ15" si="35">BO10/BO13</f>
        <v>0.22324119371290629</v>
      </c>
      <c r="BP15" s="277">
        <f t="shared" si="35"/>
        <v>0.31599300431965444</v>
      </c>
      <c r="BQ15" s="277">
        <f t="shared" si="35"/>
        <v>0.4312319875776397</v>
      </c>
      <c r="BR15" s="277">
        <f>BR10/BR13</f>
        <v>0.32857337096774192</v>
      </c>
      <c r="BS15" s="315"/>
      <c r="BT15" s="315"/>
      <c r="BU15" s="315"/>
      <c r="BV15" s="315"/>
      <c r="BW15" s="315"/>
      <c r="BX15" s="277">
        <f t="shared" ref="BX15:CO15" si="36">BX10/BX13</f>
        <v>0.46039195219123502</v>
      </c>
      <c r="BY15" s="277">
        <f t="shared" si="36"/>
        <v>0.3316383034184851</v>
      </c>
      <c r="BZ15" s="277">
        <f t="shared" si="36"/>
        <v>0.3316383034184851</v>
      </c>
      <c r="CA15" s="277">
        <f t="shared" si="36"/>
        <v>0.3316383034184851</v>
      </c>
      <c r="CB15" s="277">
        <f t="shared" si="36"/>
        <v>0.3316383034184851</v>
      </c>
      <c r="CC15" s="277">
        <f t="shared" si="36"/>
        <v>0.37329031677465802</v>
      </c>
      <c r="CD15" s="277">
        <f t="shared" si="36"/>
        <v>0.40600604914012894</v>
      </c>
      <c r="CE15" s="277">
        <f t="shared" si="36"/>
        <v>0.400023144</v>
      </c>
      <c r="CF15" s="277">
        <f t="shared" si="36"/>
        <v>0.3730564892086331</v>
      </c>
      <c r="CG15" s="277">
        <f t="shared" si="36"/>
        <v>0.4247261342975206</v>
      </c>
      <c r="CH15" s="277">
        <f t="shared" si="36"/>
        <v>0.41828313371293929</v>
      </c>
      <c r="CI15" s="277">
        <f t="shared" si="36"/>
        <v>0.41759859803921573</v>
      </c>
      <c r="CJ15" s="277">
        <f t="shared" si="36"/>
        <v>0.41354424271844664</v>
      </c>
      <c r="CK15" s="277">
        <f t="shared" si="36"/>
        <v>0.40478020696324957</v>
      </c>
      <c r="CL15" s="277">
        <f t="shared" si="36"/>
        <v>0.3496893333333333</v>
      </c>
      <c r="CM15" s="277">
        <f t="shared" si="36"/>
        <v>0.32180000000000003</v>
      </c>
      <c r="CN15" s="277">
        <f t="shared" si="36"/>
        <v>0.32180000000000003</v>
      </c>
      <c r="CO15" s="277">
        <f t="shared" si="36"/>
        <v>0.37061235955056177</v>
      </c>
      <c r="CP15" s="277">
        <f t="shared" ref="CP15:CX15" si="37">CP10/CP13</f>
        <v>0.38896816037735843</v>
      </c>
      <c r="CQ15" s="277">
        <f t="shared" si="37"/>
        <v>0.36347357517521045</v>
      </c>
      <c r="CR15" s="277">
        <f t="shared" si="37"/>
        <v>0.36347357517521045</v>
      </c>
      <c r="CS15" s="277">
        <f t="shared" si="37"/>
        <v>0.36347357517521045</v>
      </c>
      <c r="CT15" s="277">
        <f t="shared" si="37"/>
        <v>0.36347357517521045</v>
      </c>
      <c r="CU15" s="277">
        <f t="shared" si="37"/>
        <v>0.36347357517521045</v>
      </c>
      <c r="CV15" s="277">
        <f t="shared" si="37"/>
        <v>0.36347357517521045</v>
      </c>
      <c r="CW15" s="236">
        <f t="shared" si="37"/>
        <v>0.34796835164835166</v>
      </c>
      <c r="CX15" s="236">
        <f t="shared" si="37"/>
        <v>0.34796835164835166</v>
      </c>
      <c r="CY15" s="236">
        <f t="shared" ref="CY15:DQ15" si="38">CY10/CY13</f>
        <v>0.34796835164835166</v>
      </c>
      <c r="CZ15" s="236">
        <f t="shared" si="38"/>
        <v>0.39367357028571431</v>
      </c>
      <c r="DA15" s="236">
        <f t="shared" si="38"/>
        <v>0.33992957746478875</v>
      </c>
      <c r="DB15" s="236">
        <f t="shared" si="38"/>
        <v>0.34778572769953053</v>
      </c>
      <c r="DC15" s="236">
        <f t="shared" si="38"/>
        <v>0.34778572769953053</v>
      </c>
      <c r="DD15" s="236">
        <f t="shared" si="38"/>
        <v>0.34781838670297677</v>
      </c>
      <c r="DE15" s="236">
        <f t="shared" si="38"/>
        <v>0.34781838670297677</v>
      </c>
      <c r="DF15" s="236">
        <f t="shared" si="38"/>
        <v>0.31966887417218542</v>
      </c>
      <c r="DG15" s="236">
        <f t="shared" si="38"/>
        <v>0.31966887417218542</v>
      </c>
      <c r="DH15" s="236">
        <f t="shared" si="38"/>
        <v>0.3845297356828194</v>
      </c>
      <c r="DI15" s="236">
        <f t="shared" si="38"/>
        <v>0.3845297356828194</v>
      </c>
      <c r="DJ15" s="236">
        <f t="shared" si="38"/>
        <v>0.38495369349503861</v>
      </c>
      <c r="DK15" s="236">
        <f t="shared" si="38"/>
        <v>0.38495369349503861</v>
      </c>
      <c r="DL15" s="236">
        <f t="shared" si="38"/>
        <v>0.38182671081677705</v>
      </c>
      <c r="DM15" s="236">
        <f t="shared" si="38"/>
        <v>0.35774945770065075</v>
      </c>
      <c r="DN15" s="236">
        <f t="shared" si="38"/>
        <v>0.31757062857142859</v>
      </c>
      <c r="DO15" s="236">
        <f t="shared" si="38"/>
        <v>0.34720526315789474</v>
      </c>
      <c r="DP15" s="236">
        <f t="shared" si="38"/>
        <v>0.34720526315789474</v>
      </c>
      <c r="DQ15" s="236">
        <f t="shared" si="38"/>
        <v>0.34720526315789474</v>
      </c>
      <c r="DR15" s="244">
        <f t="shared" ref="DR15:FK15" si="39">DR11/DR14</f>
        <v>0.26862747708362711</v>
      </c>
      <c r="DS15" s="244">
        <f t="shared" si="39"/>
        <v>0.27058863469872352</v>
      </c>
      <c r="DT15" s="244">
        <f t="shared" si="39"/>
        <v>0.29411741446142231</v>
      </c>
      <c r="DU15" s="244">
        <f t="shared" si="39"/>
        <v>0.29411741446142231</v>
      </c>
      <c r="DV15" s="244">
        <f t="shared" si="39"/>
        <v>0.29999918343389215</v>
      </c>
      <c r="DW15" s="244">
        <f t="shared" si="39"/>
        <v>0.29999918343389215</v>
      </c>
      <c r="DX15" s="244">
        <f t="shared" si="39"/>
        <v>0.31372558286674768</v>
      </c>
      <c r="DY15" s="244">
        <f t="shared" si="39"/>
        <v>0.31372558286674768</v>
      </c>
      <c r="DZ15" s="244">
        <f t="shared" si="39"/>
        <v>0.33260883757881032</v>
      </c>
      <c r="EA15" s="244">
        <f t="shared" si="39"/>
        <v>0.3478272848667196</v>
      </c>
      <c r="EB15" s="244">
        <f t="shared" si="39"/>
        <v>0.3478272848667196</v>
      </c>
      <c r="EC15" s="244">
        <f t="shared" si="39"/>
        <v>0.25957417748532813</v>
      </c>
      <c r="ED15" s="244">
        <f t="shared" si="39"/>
        <v>0.26383031022916675</v>
      </c>
      <c r="EE15" s="244">
        <f t="shared" si="39"/>
        <v>0.28297920980689778</v>
      </c>
      <c r="EF15" s="244">
        <f t="shared" si="39"/>
        <v>0.31914894259044041</v>
      </c>
      <c r="EG15" s="244">
        <f t="shared" si="39"/>
        <v>0.31914894259044041</v>
      </c>
      <c r="EH15" s="244">
        <f t="shared" si="39"/>
        <v>0.32553129282142695</v>
      </c>
      <c r="EI15" s="244">
        <f t="shared" si="39"/>
        <v>0.32978742556526564</v>
      </c>
      <c r="EJ15" s="244">
        <f t="shared" si="39"/>
        <v>0.29885036414741067</v>
      </c>
      <c r="EK15" s="244">
        <f t="shared" si="39"/>
        <v>0.29885036414741067</v>
      </c>
      <c r="EL15" s="244">
        <f t="shared" si="39"/>
        <v>0.29787197664079013</v>
      </c>
      <c r="EM15" s="244">
        <f t="shared" si="39"/>
        <v>0.29787197664079013</v>
      </c>
      <c r="EN15" s="244">
        <f t="shared" si="39"/>
        <v>0.29787197664079013</v>
      </c>
      <c r="EO15" s="244">
        <f t="shared" si="39"/>
        <v>0.29787197664079013</v>
      </c>
      <c r="EP15" s="244">
        <f t="shared" si="39"/>
        <v>0.3085104596156153</v>
      </c>
      <c r="EQ15" s="244">
        <f t="shared" si="39"/>
        <v>0.3085104596156153</v>
      </c>
      <c r="ER15" s="244">
        <f t="shared" si="39"/>
        <v>0.3085104596156153</v>
      </c>
      <c r="ES15" s="244">
        <f t="shared" si="39"/>
        <v>0.3085104596156153</v>
      </c>
      <c r="ET15" s="244">
        <f t="shared" si="39"/>
        <v>0.34523735693095192</v>
      </c>
      <c r="EU15" s="244">
        <f t="shared" si="39"/>
        <v>0.34523735693095192</v>
      </c>
      <c r="EV15" s="244">
        <f t="shared" si="39"/>
        <v>0.34523735693095192</v>
      </c>
      <c r="EW15" s="244">
        <f t="shared" si="39"/>
        <v>0.35000033137869269</v>
      </c>
      <c r="EX15" s="244">
        <f t="shared" si="39"/>
        <v>0.35000033137869269</v>
      </c>
      <c r="EY15" s="244">
        <f t="shared" si="39"/>
        <v>0.35000033137869269</v>
      </c>
      <c r="EZ15" s="244">
        <f t="shared" si="39"/>
        <v>0.35000033137869269</v>
      </c>
      <c r="FA15" s="244">
        <f t="shared" si="39"/>
        <v>0.35000033137869269</v>
      </c>
      <c r="FB15" s="244">
        <f t="shared" si="39"/>
        <v>0.35000033137869269</v>
      </c>
      <c r="FC15" s="244">
        <f t="shared" si="39"/>
        <v>0.35439503303111108</v>
      </c>
      <c r="FD15" s="244">
        <f t="shared" si="39"/>
        <v>0.35439503303111108</v>
      </c>
      <c r="FE15" s="244">
        <f t="shared" si="39"/>
        <v>0.3818321627022222</v>
      </c>
      <c r="FF15" s="244">
        <f t="shared" si="39"/>
        <v>0.3818321627022222</v>
      </c>
      <c r="FG15" s="244">
        <f t="shared" si="39"/>
        <v>0.33153082453333338</v>
      </c>
      <c r="FH15" s="244">
        <f t="shared" si="39"/>
        <v>0.32432363269565218</v>
      </c>
      <c r="FI15" s="244">
        <f t="shared" si="39"/>
        <v>0.3355074073043478</v>
      </c>
      <c r="FJ15" s="244">
        <f t="shared" si="39"/>
        <v>0.32432363269565218</v>
      </c>
      <c r="FK15" s="244">
        <f t="shared" si="39"/>
        <v>0.33327026365217394</v>
      </c>
      <c r="FL15" s="244">
        <v>0.33327026399999998</v>
      </c>
      <c r="FM15" s="244">
        <f t="shared" ref="FM15:HX15" si="40">FM11/FM14</f>
        <v>0.3355074073043478</v>
      </c>
      <c r="FN15" s="244">
        <f t="shared" si="40"/>
        <v>0.32432363269565218</v>
      </c>
      <c r="FO15" s="244">
        <f t="shared" si="40"/>
        <v>0.40260811130434776</v>
      </c>
      <c r="FP15" s="244">
        <f t="shared" si="40"/>
        <v>0.40260811130434776</v>
      </c>
      <c r="FQ15" s="244">
        <f t="shared" si="40"/>
        <v>0.40260811130434776</v>
      </c>
      <c r="FR15" s="244">
        <f t="shared" si="40"/>
        <v>0.40260811130434776</v>
      </c>
      <c r="FS15" s="244">
        <f t="shared" si="40"/>
        <v>0.40260811130434776</v>
      </c>
      <c r="FT15" s="244">
        <f t="shared" si="40"/>
        <v>0.40260811130434776</v>
      </c>
      <c r="FU15" s="244">
        <f t="shared" si="40"/>
        <v>0.40260811130434776</v>
      </c>
      <c r="FV15" s="244">
        <f t="shared" si="40"/>
        <v>0.3085104596156153</v>
      </c>
      <c r="FW15" s="244">
        <f t="shared" si="40"/>
        <v>0.3085104596156153</v>
      </c>
      <c r="FX15" s="244">
        <f t="shared" si="40"/>
        <v>0.3085104596156153</v>
      </c>
      <c r="FY15" s="244">
        <f t="shared" si="40"/>
        <v>0.3085104596156153</v>
      </c>
      <c r="FZ15" s="244">
        <f t="shared" si="40"/>
        <v>0.3085104596156153</v>
      </c>
      <c r="GA15" s="244">
        <f t="shared" si="40"/>
        <v>0.3085104596156153</v>
      </c>
      <c r="GB15" s="244">
        <f t="shared" si="40"/>
        <v>0.3085104596156153</v>
      </c>
      <c r="GC15" s="244">
        <f t="shared" si="40"/>
        <v>0.3085104596156153</v>
      </c>
      <c r="GD15" s="244">
        <f t="shared" si="40"/>
        <v>0.3085104596156153</v>
      </c>
      <c r="GE15" s="244">
        <f t="shared" si="40"/>
        <v>0.3085104596156153</v>
      </c>
      <c r="GF15" s="244">
        <f t="shared" si="40"/>
        <v>0.3478272848667196</v>
      </c>
      <c r="GG15" s="244">
        <f t="shared" si="40"/>
        <v>0.3478272848667196</v>
      </c>
      <c r="GH15" s="244">
        <f t="shared" si="40"/>
        <v>0.3478272848667196</v>
      </c>
      <c r="GI15" s="244">
        <f t="shared" si="40"/>
        <v>0.3478272848667196</v>
      </c>
      <c r="GJ15" s="244">
        <f t="shared" si="40"/>
        <v>0.3478272848667196</v>
      </c>
      <c r="GK15" s="244">
        <f t="shared" si="40"/>
        <v>0.3478272848667196</v>
      </c>
      <c r="GL15" s="244">
        <f t="shared" si="40"/>
        <v>0.3478272848667196</v>
      </c>
      <c r="GM15" s="244">
        <f t="shared" si="40"/>
        <v>0.3478272848667196</v>
      </c>
      <c r="GN15" s="244">
        <f t="shared" si="40"/>
        <v>0.3478272848667196</v>
      </c>
      <c r="GO15" s="244">
        <f t="shared" si="40"/>
        <v>0.3478272848667196</v>
      </c>
      <c r="GP15" s="244">
        <f t="shared" si="40"/>
        <v>0.23843782217978157</v>
      </c>
      <c r="GQ15" s="244">
        <f t="shared" si="40"/>
        <v>0.23187530836299725</v>
      </c>
      <c r="GR15" s="244">
        <f t="shared" si="40"/>
        <v>0.23843782217978157</v>
      </c>
      <c r="GS15" s="244">
        <f t="shared" si="40"/>
        <v>0.25156283895113246</v>
      </c>
      <c r="GT15" s="244">
        <f t="shared" si="40"/>
        <v>0.25156283895113246</v>
      </c>
      <c r="GU15" s="244">
        <f t="shared" si="40"/>
        <v>0.25156283895113246</v>
      </c>
      <c r="GV15" s="244">
        <f t="shared" si="40"/>
        <v>0.25156283895113246</v>
      </c>
      <c r="GW15" s="244">
        <f t="shared" si="40"/>
        <v>0.26468785753285301</v>
      </c>
      <c r="GX15" s="244">
        <f t="shared" si="40"/>
        <v>0.26468785753285301</v>
      </c>
      <c r="GY15" s="244">
        <f t="shared" si="40"/>
        <v>0.25108743518196108</v>
      </c>
      <c r="GZ15" s="244">
        <f t="shared" si="40"/>
        <v>0.25108743518196108</v>
      </c>
      <c r="HA15" s="244">
        <f t="shared" si="40"/>
        <v>0.25108743518196108</v>
      </c>
      <c r="HB15" s="244">
        <f t="shared" si="40"/>
        <v>0.25108743518196108</v>
      </c>
      <c r="HC15" s="244">
        <f t="shared" si="40"/>
        <v>0.25666667391447084</v>
      </c>
      <c r="HD15" s="244">
        <f t="shared" si="40"/>
        <v>0.25666667391447084</v>
      </c>
      <c r="HE15" s="244">
        <f t="shared" si="40"/>
        <v>0.25666667391447084</v>
      </c>
      <c r="HF15" s="244">
        <f t="shared" si="40"/>
        <v>0.25666667391447084</v>
      </c>
      <c r="HG15" s="244">
        <f t="shared" si="40"/>
        <v>0.25666667391447084</v>
      </c>
      <c r="HH15" s="244">
        <f t="shared" si="40"/>
        <v>0.25666667391447084</v>
      </c>
      <c r="HI15" s="244">
        <f t="shared" si="40"/>
        <v>0.25666667391447084</v>
      </c>
      <c r="HJ15" s="244">
        <f t="shared" si="40"/>
        <v>0.25666667391447084</v>
      </c>
      <c r="HK15" s="244">
        <f t="shared" si="40"/>
        <v>0.25666667391447084</v>
      </c>
      <c r="HL15" s="244">
        <f t="shared" si="40"/>
        <v>0.25666667391447084</v>
      </c>
      <c r="HM15" s="244">
        <f t="shared" si="40"/>
        <v>0.25666667391447084</v>
      </c>
      <c r="HN15" s="244">
        <f t="shared" si="40"/>
        <v>0.25666667391447084</v>
      </c>
      <c r="HO15" s="244">
        <f t="shared" si="40"/>
        <v>0.25666667391447084</v>
      </c>
      <c r="HP15" s="244">
        <f t="shared" si="40"/>
        <v>0.25666667391447084</v>
      </c>
      <c r="HQ15" s="244">
        <f t="shared" si="40"/>
        <v>0.25666667391447084</v>
      </c>
      <c r="HR15" s="244">
        <f t="shared" si="40"/>
        <v>0.25666667391447084</v>
      </c>
      <c r="HS15" s="244">
        <f t="shared" si="40"/>
        <v>0.25666667391447084</v>
      </c>
      <c r="HT15" s="244">
        <f t="shared" si="40"/>
        <v>0.25666667391447084</v>
      </c>
      <c r="HU15" s="244">
        <f t="shared" si="40"/>
        <v>0.25666667391447084</v>
      </c>
      <c r="HV15" s="244">
        <f t="shared" si="40"/>
        <v>0.25666667391447084</v>
      </c>
      <c r="HW15" s="244">
        <f t="shared" si="40"/>
        <v>0.25666667391447084</v>
      </c>
      <c r="HX15" s="244">
        <f t="shared" si="40"/>
        <v>0.25666667391447084</v>
      </c>
      <c r="HY15" s="244">
        <f t="shared" ref="HY15:IF15" si="41">HY11/HY14</f>
        <v>0.25666667391447084</v>
      </c>
      <c r="HZ15" s="244">
        <f t="shared" si="41"/>
        <v>0.25666667391447084</v>
      </c>
      <c r="IA15" s="244">
        <f t="shared" si="41"/>
        <v>0.25666667391447084</v>
      </c>
      <c r="IB15" s="244">
        <f t="shared" si="41"/>
        <v>0.25666667391447084</v>
      </c>
      <c r="IC15" s="244">
        <f t="shared" si="41"/>
        <v>0.25666667391447084</v>
      </c>
      <c r="ID15" s="244">
        <f t="shared" si="41"/>
        <v>0.25666667391447084</v>
      </c>
      <c r="IE15" s="244">
        <f t="shared" si="41"/>
        <v>0.25666667391447084</v>
      </c>
      <c r="IF15" s="244">
        <f t="shared" si="41"/>
        <v>0.25666667391447084</v>
      </c>
      <c r="IG15" s="244">
        <f>IG11/IG14</f>
        <v>0.30000138740048338</v>
      </c>
      <c r="IH15" s="244">
        <f t="shared" ref="IH15:JK15" si="42">IH11/IH14</f>
        <v>0.30000138740048338</v>
      </c>
      <c r="II15" s="244">
        <f t="shared" si="42"/>
        <v>0.30000138740048338</v>
      </c>
      <c r="IJ15" s="244">
        <f t="shared" si="42"/>
        <v>0.30000138740048338</v>
      </c>
      <c r="IK15" s="244">
        <f t="shared" si="42"/>
        <v>0.30000138740048338</v>
      </c>
      <c r="IL15" s="244">
        <f t="shared" si="42"/>
        <v>0.30000138740048338</v>
      </c>
      <c r="IM15" s="244">
        <f t="shared" si="42"/>
        <v>0.29347838609895027</v>
      </c>
      <c r="IN15" s="244">
        <f t="shared" si="42"/>
        <v>0.29347838609895027</v>
      </c>
      <c r="IO15" s="244">
        <f t="shared" si="42"/>
        <v>0.29347838609895027</v>
      </c>
      <c r="IP15" s="244">
        <f t="shared" si="42"/>
        <v>0.29347838609895027</v>
      </c>
      <c r="IQ15" s="244">
        <f t="shared" si="42"/>
        <v>0.29347838609895027</v>
      </c>
      <c r="IR15" s="244">
        <f t="shared" si="42"/>
        <v>0.29347838609895027</v>
      </c>
      <c r="IS15" s="244">
        <f t="shared" si="42"/>
        <v>0.27333358030237581</v>
      </c>
      <c r="IT15" s="244">
        <f t="shared" si="42"/>
        <v>0.27333358030237581</v>
      </c>
      <c r="IU15" s="244">
        <f t="shared" si="42"/>
        <v>0.29555619939524841</v>
      </c>
      <c r="IV15" s="244">
        <f t="shared" si="42"/>
        <v>0.29555619939524841</v>
      </c>
      <c r="IW15" s="244">
        <f t="shared" si="42"/>
        <v>0.29999956457883364</v>
      </c>
      <c r="IX15" s="244">
        <f t="shared" si="42"/>
        <v>0.29999956457883364</v>
      </c>
      <c r="IY15" s="244">
        <f t="shared" si="42"/>
        <v>0.28541054465753424</v>
      </c>
      <c r="IZ15" s="244">
        <f t="shared" si="42"/>
        <v>0.28541054465753424</v>
      </c>
      <c r="JA15" s="244">
        <f t="shared" si="42"/>
        <v>0.28541054465753424</v>
      </c>
      <c r="JB15" s="244">
        <f t="shared" si="42"/>
        <v>0.28541054465753424</v>
      </c>
      <c r="JC15" s="244">
        <f t="shared" si="42"/>
        <v>0.31132162036272942</v>
      </c>
      <c r="JD15" s="244">
        <f t="shared" si="42"/>
        <v>0.31839641304945809</v>
      </c>
      <c r="JE15" s="244">
        <f t="shared" si="42"/>
        <v>0.31839641304945809</v>
      </c>
      <c r="JF15" s="244">
        <f t="shared" si="42"/>
        <v>0.32142760902868084</v>
      </c>
      <c r="JG15" s="244">
        <f t="shared" si="42"/>
        <v>0.32142760902868084</v>
      </c>
      <c r="JH15" s="244">
        <f t="shared" si="42"/>
        <v>0.32805490060866205</v>
      </c>
      <c r="JI15" s="244">
        <f t="shared" si="42"/>
        <v>0.31877707184571502</v>
      </c>
      <c r="JJ15" s="244">
        <f t="shared" si="42"/>
        <v>0.31877707184571502</v>
      </c>
      <c r="JK15" s="244">
        <f t="shared" si="42"/>
        <v>0.31063852598753461</v>
      </c>
    </row>
    <row r="16" spans="1:271">
      <c r="A16" s="251" t="s">
        <v>2387</v>
      </c>
      <c r="B16" s="316"/>
      <c r="C16" s="316"/>
      <c r="D16" s="316"/>
      <c r="E16" s="316"/>
      <c r="F16" s="316"/>
      <c r="G16" s="316"/>
      <c r="H16" s="316"/>
      <c r="I16" s="316"/>
      <c r="J16" s="316"/>
      <c r="K16" s="316"/>
      <c r="L16" s="316"/>
      <c r="M16" s="316"/>
      <c r="N16" s="316"/>
      <c r="O16" s="316"/>
      <c r="P16" s="316"/>
      <c r="Q16" s="316"/>
      <c r="R16" s="316"/>
      <c r="S16" s="316"/>
      <c r="T16" s="316"/>
      <c r="U16" s="316"/>
      <c r="V16" s="316"/>
      <c r="W16" s="316"/>
      <c r="X16" s="316"/>
      <c r="Y16" s="316"/>
      <c r="Z16" s="316"/>
      <c r="AA16" s="316"/>
      <c r="AB16" s="316"/>
      <c r="AC16" s="316"/>
      <c r="AD16" s="316"/>
      <c r="AE16" s="316"/>
      <c r="AF16" s="316"/>
      <c r="AG16" s="316"/>
      <c r="AH16" s="316"/>
      <c r="AI16" s="316"/>
      <c r="AJ16" s="316"/>
      <c r="AK16" s="316"/>
      <c r="AL16" s="316"/>
      <c r="AM16" s="316"/>
      <c r="AN16" s="316"/>
      <c r="AO16" s="316"/>
      <c r="AP16" s="316"/>
      <c r="AQ16" s="316"/>
      <c r="AR16" s="316"/>
      <c r="AS16" s="316"/>
      <c r="AT16" s="316"/>
      <c r="AU16" s="317"/>
      <c r="AV16" s="318"/>
      <c r="AW16" s="316"/>
      <c r="AX16" s="316"/>
      <c r="AY16" s="316"/>
      <c r="AZ16" s="316"/>
      <c r="BA16" s="316"/>
      <c r="BB16" s="316"/>
      <c r="BC16" s="316"/>
      <c r="BD16" s="316"/>
      <c r="BE16" s="316"/>
      <c r="BF16" s="316"/>
      <c r="BG16" s="316"/>
      <c r="BH16" s="316"/>
      <c r="BI16" s="316"/>
      <c r="BJ16" s="316"/>
      <c r="BK16" s="316"/>
      <c r="BL16" s="316"/>
      <c r="BM16" s="316"/>
      <c r="BN16" s="316"/>
      <c r="BO16" s="316"/>
      <c r="BP16" s="316"/>
      <c r="BQ16" s="316"/>
      <c r="BR16" s="277"/>
      <c r="BS16" s="303"/>
      <c r="BT16" s="303"/>
      <c r="BU16" s="303"/>
      <c r="BV16" s="303"/>
      <c r="BW16" s="303"/>
      <c r="BX16" s="277"/>
      <c r="BY16" s="277"/>
      <c r="BZ16" s="277"/>
      <c r="CA16" s="277"/>
      <c r="CB16" s="277"/>
      <c r="CC16" s="277"/>
      <c r="CD16" s="277"/>
      <c r="CE16" s="277"/>
      <c r="CF16" s="277"/>
      <c r="CG16" s="277"/>
      <c r="CH16" s="277"/>
      <c r="CI16" s="277"/>
      <c r="CJ16" s="277"/>
      <c r="CK16" s="277"/>
      <c r="CL16" s="316"/>
      <c r="CM16" s="316"/>
      <c r="CN16" s="316"/>
      <c r="CO16" s="316"/>
      <c r="CP16" s="316"/>
      <c r="CQ16" s="316"/>
      <c r="CR16" s="316"/>
      <c r="CS16" s="316"/>
      <c r="CT16" s="316"/>
      <c r="CU16" s="316"/>
      <c r="CV16" s="316"/>
      <c r="CW16" s="319"/>
      <c r="CX16" s="236">
        <v>1.71</v>
      </c>
      <c r="CY16" s="319"/>
      <c r="CZ16" s="319"/>
      <c r="DA16" s="236">
        <v>1.65</v>
      </c>
      <c r="DB16" s="236">
        <v>1.76</v>
      </c>
      <c r="DC16" s="319"/>
      <c r="DD16" s="236">
        <v>1.76</v>
      </c>
      <c r="DE16" s="319"/>
      <c r="DF16" s="319"/>
      <c r="DG16" s="319"/>
      <c r="DH16" s="319"/>
      <c r="DI16" s="319"/>
      <c r="DJ16" s="319"/>
      <c r="DK16" s="319"/>
      <c r="DL16" s="236">
        <v>1.6</v>
      </c>
      <c r="DM16" s="236">
        <v>1.6</v>
      </c>
      <c r="DN16" s="319"/>
      <c r="DO16" s="319"/>
      <c r="DP16" s="319"/>
      <c r="DQ16" s="319"/>
      <c r="DR16" s="275"/>
      <c r="DS16" s="275"/>
      <c r="DT16" s="275"/>
      <c r="DU16" s="275"/>
      <c r="DV16" s="275"/>
      <c r="DW16" s="275"/>
      <c r="DX16" s="275"/>
      <c r="DY16" s="275"/>
      <c r="DZ16" s="275"/>
      <c r="EA16" s="275"/>
      <c r="EB16" s="275"/>
      <c r="EC16" s="275"/>
      <c r="ED16" s="275"/>
      <c r="EE16" s="275"/>
      <c r="EF16" s="275"/>
      <c r="EG16" s="275"/>
      <c r="EH16" s="275"/>
      <c r="EI16" s="275"/>
      <c r="EJ16" s="275"/>
      <c r="EK16" s="275"/>
      <c r="EL16" s="244">
        <v>1.93</v>
      </c>
      <c r="EM16" s="244">
        <v>1.96</v>
      </c>
      <c r="EN16" s="244">
        <v>1.93</v>
      </c>
      <c r="EO16" s="244">
        <v>1.96</v>
      </c>
      <c r="EP16" s="244">
        <v>1.96</v>
      </c>
      <c r="EQ16" s="244">
        <v>2.02</v>
      </c>
      <c r="ER16" s="244">
        <v>2.09</v>
      </c>
      <c r="ES16" s="244">
        <v>2.21</v>
      </c>
      <c r="ET16" s="244">
        <v>1.93</v>
      </c>
      <c r="EU16" s="244">
        <v>1.96</v>
      </c>
      <c r="EV16" s="244">
        <v>1.96</v>
      </c>
      <c r="EW16" s="244">
        <v>2.02</v>
      </c>
      <c r="EX16" s="244">
        <v>2.02</v>
      </c>
      <c r="EY16" s="244">
        <v>2.09</v>
      </c>
      <c r="EZ16" s="244">
        <v>2.09</v>
      </c>
      <c r="FA16" s="244">
        <v>2.09</v>
      </c>
      <c r="FB16" s="244">
        <v>2.09</v>
      </c>
      <c r="FC16" s="275"/>
      <c r="FD16" s="275"/>
      <c r="FE16" s="275"/>
      <c r="FF16" s="275"/>
      <c r="FG16" s="275"/>
      <c r="FH16" s="275"/>
      <c r="FI16" s="275"/>
      <c r="FJ16" s="275"/>
      <c r="FK16" s="275"/>
      <c r="FL16" s="275"/>
      <c r="FM16" s="275"/>
      <c r="FN16" s="275"/>
      <c r="FO16" s="275"/>
      <c r="FP16" s="275"/>
      <c r="FQ16" s="275"/>
      <c r="FR16" s="275"/>
      <c r="FS16" s="275"/>
      <c r="FT16" s="275"/>
      <c r="FU16" s="275"/>
      <c r="FV16" s="244">
        <v>1.65</v>
      </c>
      <c r="FW16" s="244">
        <v>1.71</v>
      </c>
      <c r="FX16" s="275"/>
      <c r="FY16" s="275"/>
      <c r="FZ16" s="244">
        <v>1.65</v>
      </c>
      <c r="GA16" s="244">
        <v>1.71</v>
      </c>
      <c r="GB16" s="244">
        <v>1.71</v>
      </c>
      <c r="GC16" s="244">
        <v>1.74</v>
      </c>
      <c r="GD16" s="275"/>
      <c r="GE16" s="275"/>
      <c r="GF16" s="244">
        <v>1.6</v>
      </c>
      <c r="GG16" s="275"/>
      <c r="GH16" s="244">
        <v>1.6</v>
      </c>
      <c r="GI16" s="275"/>
      <c r="GJ16" s="244">
        <v>1.65</v>
      </c>
      <c r="GK16" s="275"/>
      <c r="GL16" s="275"/>
      <c r="GM16" s="244">
        <v>1.71</v>
      </c>
      <c r="GN16" s="275"/>
      <c r="GO16" s="275"/>
      <c r="GP16" s="275"/>
      <c r="GQ16" s="244">
        <v>1.6</v>
      </c>
      <c r="GR16" s="275"/>
      <c r="GS16" s="275"/>
      <c r="GT16" s="244">
        <v>1.6</v>
      </c>
      <c r="GU16" s="275"/>
      <c r="GV16" s="244">
        <v>1.6</v>
      </c>
      <c r="GW16" s="244">
        <v>1.73</v>
      </c>
      <c r="GX16" s="275"/>
      <c r="GY16" s="275"/>
      <c r="GZ16" s="275"/>
      <c r="HA16" s="275"/>
      <c r="HB16" s="275"/>
      <c r="HC16" s="275"/>
      <c r="HD16" s="275"/>
      <c r="HE16" s="275"/>
      <c r="HF16" s="244">
        <v>1.7</v>
      </c>
      <c r="HG16" s="244">
        <v>1.7</v>
      </c>
      <c r="HH16" s="275"/>
      <c r="HI16" s="275"/>
      <c r="HJ16" s="275"/>
      <c r="HK16" s="275"/>
      <c r="HL16" s="275"/>
      <c r="HM16" s="275"/>
      <c r="HN16" s="244">
        <v>1.76</v>
      </c>
      <c r="HO16" s="244">
        <v>1.7</v>
      </c>
      <c r="HP16" s="275"/>
      <c r="HQ16" s="275"/>
      <c r="HR16" s="275"/>
      <c r="HS16" s="275"/>
      <c r="HT16" s="275"/>
      <c r="HU16" s="275"/>
      <c r="HV16" s="275"/>
      <c r="HW16" s="244">
        <v>1.7</v>
      </c>
      <c r="HX16" s="275"/>
      <c r="HY16" s="275"/>
      <c r="HZ16" s="244">
        <v>1.7</v>
      </c>
      <c r="IA16" s="275"/>
      <c r="IB16" s="275"/>
      <c r="IC16" s="275"/>
      <c r="ID16" s="275"/>
      <c r="IE16" s="275"/>
      <c r="IF16" s="275"/>
      <c r="IG16" s="244"/>
      <c r="IH16" s="244"/>
      <c r="II16" s="244"/>
      <c r="IJ16" s="244"/>
      <c r="IK16" s="244"/>
      <c r="IL16" s="244"/>
      <c r="IM16" s="244"/>
      <c r="IN16" s="244"/>
      <c r="IO16" s="244"/>
      <c r="IP16" s="244"/>
      <c r="IQ16" s="244"/>
      <c r="IR16" s="244"/>
      <c r="IS16" s="244"/>
      <c r="IT16" s="244"/>
      <c r="IU16" s="244"/>
      <c r="IV16" s="244"/>
      <c r="IW16" s="244"/>
      <c r="IX16" s="244"/>
      <c r="IY16" s="244"/>
      <c r="IZ16" s="244"/>
      <c r="JA16" s="244"/>
      <c r="JB16" s="244"/>
      <c r="JC16" s="244"/>
      <c r="JD16" s="244"/>
      <c r="JE16" s="244"/>
      <c r="JF16" s="244"/>
      <c r="JG16" s="244"/>
      <c r="JH16" s="244"/>
      <c r="JI16" s="244"/>
      <c r="JJ16" s="244"/>
      <c r="JK16" s="244"/>
    </row>
    <row r="17" spans="1:271">
      <c r="A17" s="320" t="s">
        <v>2388</v>
      </c>
      <c r="B17" s="277">
        <f t="shared" ref="B17:Z17" si="43">B20-B18-B22</f>
        <v>342.005</v>
      </c>
      <c r="C17" s="277">
        <f t="shared" si="43"/>
        <v>373.75099999999998</v>
      </c>
      <c r="D17" s="277">
        <f t="shared" si="43"/>
        <v>338.1573741496598</v>
      </c>
      <c r="E17" s="277">
        <f t="shared" si="43"/>
        <v>254.20499999999998</v>
      </c>
      <c r="F17" s="277">
        <f t="shared" si="43"/>
        <v>223.36451111111106</v>
      </c>
      <c r="G17" s="277">
        <f t="shared" si="43"/>
        <v>196.18000000000009</v>
      </c>
      <c r="H17" s="277">
        <f t="shared" si="43"/>
        <v>110.73590702947854</v>
      </c>
      <c r="I17" s="277">
        <f t="shared" si="43"/>
        <v>356.7600000000001</v>
      </c>
      <c r="J17" s="277">
        <f t="shared" si="43"/>
        <v>356.7599002267574</v>
      </c>
      <c r="K17" s="277">
        <f t="shared" si="43"/>
        <v>222.12299999999999</v>
      </c>
      <c r="L17" s="277">
        <f t="shared" si="43"/>
        <v>215.32</v>
      </c>
      <c r="M17" s="277">
        <f t="shared" si="43"/>
        <v>584.35820907029472</v>
      </c>
      <c r="N17" s="277">
        <f t="shared" si="43"/>
        <v>941.03856825396804</v>
      </c>
      <c r="O17" s="277">
        <f t="shared" si="43"/>
        <v>530.17031999999995</v>
      </c>
      <c r="P17" s="277">
        <f t="shared" si="43"/>
        <v>669.87524399092968</v>
      </c>
      <c r="Q17" s="277">
        <f t="shared" si="43"/>
        <v>708.43206575963723</v>
      </c>
      <c r="R17" s="277">
        <f t="shared" si="43"/>
        <v>624.10764263038561</v>
      </c>
      <c r="S17" s="277">
        <f t="shared" si="43"/>
        <v>429.09630476190466</v>
      </c>
      <c r="T17" s="277">
        <f t="shared" si="43"/>
        <v>504.9231690702947</v>
      </c>
      <c r="U17" s="277">
        <f t="shared" si="43"/>
        <v>291.77127337868484</v>
      </c>
      <c r="V17" s="277">
        <f t="shared" si="43"/>
        <v>518.91246122448956</v>
      </c>
      <c r="W17" s="277">
        <f t="shared" si="43"/>
        <v>350.66266122448974</v>
      </c>
      <c r="X17" s="277">
        <f t="shared" si="43"/>
        <v>296.24129160997734</v>
      </c>
      <c r="Y17" s="277">
        <f t="shared" si="43"/>
        <v>155.00960000000003</v>
      </c>
      <c r="Z17" s="277">
        <f t="shared" si="43"/>
        <v>408.47255736961438</v>
      </c>
      <c r="AA17" s="316"/>
      <c r="AB17" s="277">
        <f t="shared" ref="AB17:AH17" si="44">AB20-AB18-AB22</f>
        <v>278.36</v>
      </c>
      <c r="AC17" s="277">
        <f t="shared" si="44"/>
        <v>300.24799999999999</v>
      </c>
      <c r="AD17" s="277">
        <f t="shared" si="44"/>
        <v>320.28160000000003</v>
      </c>
      <c r="AE17" s="277">
        <f t="shared" si="44"/>
        <v>199.44819999999996</v>
      </c>
      <c r="AF17" s="277">
        <f t="shared" si="44"/>
        <v>401.5</v>
      </c>
      <c r="AG17" s="277">
        <f t="shared" si="44"/>
        <v>285.75963718820867</v>
      </c>
      <c r="AH17" s="277">
        <f t="shared" si="44"/>
        <v>283.55555555555543</v>
      </c>
      <c r="AI17" s="316"/>
      <c r="AJ17" s="277">
        <f>AJ20-AJ18-AJ22</f>
        <v>136.75200000000001</v>
      </c>
      <c r="AK17" s="316"/>
      <c r="AL17" s="316"/>
      <c r="AM17" s="277">
        <f t="shared" ref="AM17:AT17" si="45">AM20-AM18-AM22</f>
        <v>390.32872199546483</v>
      </c>
      <c r="AN17" s="277">
        <f t="shared" si="45"/>
        <v>497.1189999999998</v>
      </c>
      <c r="AO17" s="277">
        <f t="shared" si="45"/>
        <v>165.31962630385482</v>
      </c>
      <c r="AP17" s="277">
        <f t="shared" si="45"/>
        <v>291.75299999999999</v>
      </c>
      <c r="AQ17" s="277">
        <f t="shared" si="45"/>
        <v>265.91678934240366</v>
      </c>
      <c r="AR17" s="277">
        <f t="shared" si="45"/>
        <v>380.64458503401346</v>
      </c>
      <c r="AS17" s="277">
        <f t="shared" si="45"/>
        <v>488.66989999999998</v>
      </c>
      <c r="AT17" s="277">
        <f t="shared" si="45"/>
        <v>261.87389999999994</v>
      </c>
      <c r="AU17" s="317"/>
      <c r="AV17" s="318"/>
      <c r="AW17" s="277">
        <f t="shared" ref="AW17:BL17" si="46">AW20-AW18-AW22</f>
        <v>542.90359999999987</v>
      </c>
      <c r="AX17" s="277">
        <f t="shared" si="46"/>
        <v>370.2453999999999</v>
      </c>
      <c r="AY17" s="277">
        <f t="shared" si="46"/>
        <v>480.03340000000014</v>
      </c>
      <c r="AZ17" s="277">
        <f t="shared" si="46"/>
        <v>113.10000000000002</v>
      </c>
      <c r="BA17" s="277">
        <f t="shared" si="46"/>
        <v>276.11326303854912</v>
      </c>
      <c r="BB17" s="277">
        <f t="shared" si="46"/>
        <v>254.6834090702946</v>
      </c>
      <c r="BC17" s="277">
        <f t="shared" si="46"/>
        <v>305.02275147392288</v>
      </c>
      <c r="BD17" s="277">
        <f t="shared" si="46"/>
        <v>435.9</v>
      </c>
      <c r="BE17" s="277">
        <f t="shared" si="46"/>
        <v>874</v>
      </c>
      <c r="BF17" s="277">
        <f t="shared" si="46"/>
        <v>379.48</v>
      </c>
      <c r="BG17" s="277">
        <f t="shared" si="46"/>
        <v>475</v>
      </c>
      <c r="BH17" s="277">
        <f t="shared" si="46"/>
        <v>169</v>
      </c>
      <c r="BI17" s="277">
        <f t="shared" si="46"/>
        <v>433.69560000000024</v>
      </c>
      <c r="BJ17" s="277">
        <f t="shared" si="46"/>
        <v>181.78480000000002</v>
      </c>
      <c r="BK17" s="277">
        <f t="shared" si="46"/>
        <v>650</v>
      </c>
      <c r="BL17" s="277">
        <f t="shared" si="46"/>
        <v>853</v>
      </c>
      <c r="BM17" s="277">
        <v>52</v>
      </c>
      <c r="BN17" s="277">
        <v>52</v>
      </c>
      <c r="BO17" s="277">
        <f>BO20-BO18-BO22</f>
        <v>720.35147392290264</v>
      </c>
      <c r="BP17" s="316"/>
      <c r="BQ17" s="277">
        <f>BQ20-BQ18-BQ22</f>
        <v>343</v>
      </c>
      <c r="BR17" s="277">
        <v>3690</v>
      </c>
      <c r="BS17" s="303">
        <v>3240</v>
      </c>
      <c r="BT17" s="303">
        <v>5061</v>
      </c>
      <c r="BU17" s="303">
        <f>70*90</f>
        <v>6300</v>
      </c>
      <c r="BV17" s="303">
        <v>4082</v>
      </c>
      <c r="BW17" s="303">
        <v>4082</v>
      </c>
      <c r="BX17" s="277">
        <f>35*90</f>
        <v>3150</v>
      </c>
      <c r="BY17" s="236">
        <v>3935</v>
      </c>
      <c r="BZ17" s="236">
        <v>3935</v>
      </c>
      <c r="CA17" s="236">
        <v>3935</v>
      </c>
      <c r="CB17" s="236">
        <v>3935</v>
      </c>
      <c r="CC17" s="277">
        <v>5300</v>
      </c>
      <c r="CD17" s="277">
        <v>5300</v>
      </c>
      <c r="CE17" s="277">
        <v>4640</v>
      </c>
      <c r="CF17" s="277">
        <v>5500</v>
      </c>
      <c r="CG17" s="277">
        <v>5200</v>
      </c>
      <c r="CH17" s="277">
        <v>7500</v>
      </c>
      <c r="CI17" s="277">
        <v>7000</v>
      </c>
      <c r="CJ17" s="277">
        <v>7000</v>
      </c>
      <c r="CK17" s="277">
        <v>7000</v>
      </c>
      <c r="CL17" s="277">
        <v>35625</v>
      </c>
      <c r="CM17" s="277">
        <v>28595</v>
      </c>
      <c r="CN17" s="277">
        <v>28959</v>
      </c>
      <c r="CO17" s="277">
        <v>30000</v>
      </c>
      <c r="CP17" s="277">
        <v>36250</v>
      </c>
      <c r="CQ17" s="277">
        <v>30617.485000000001</v>
      </c>
      <c r="CR17" s="277">
        <v>30617.485000000001</v>
      </c>
      <c r="CS17" s="277">
        <v>31751.466</v>
      </c>
      <c r="CT17" s="277">
        <v>27699</v>
      </c>
      <c r="CU17" s="277">
        <v>30617.481</v>
      </c>
      <c r="CV17" s="277">
        <v>27669.133999999998</v>
      </c>
      <c r="CW17" s="236">
        <v>39900</v>
      </c>
      <c r="CX17" s="236">
        <v>39900</v>
      </c>
      <c r="CY17" s="236">
        <v>39900</v>
      </c>
      <c r="CZ17" s="236">
        <v>28500</v>
      </c>
      <c r="DA17" s="236">
        <f>111130.131-DA18</f>
        <v>25895.130999999994</v>
      </c>
      <c r="DB17" s="236">
        <f>112944.5-DB18</f>
        <v>24475.5</v>
      </c>
      <c r="DC17" s="236">
        <f>113171.296-DC18</f>
        <v>27936.296000000002</v>
      </c>
      <c r="DD17" s="236">
        <f>127459.456-DD18</f>
        <v>23587.456000000006</v>
      </c>
      <c r="DE17" s="236">
        <f>127006-DE18</f>
        <v>23857</v>
      </c>
      <c r="DF17" s="236">
        <v>30500</v>
      </c>
      <c r="DG17" s="236">
        <v>35000</v>
      </c>
      <c r="DH17" s="236">
        <v>43014</v>
      </c>
      <c r="DI17" s="236">
        <v>42975.6</v>
      </c>
      <c r="DJ17" s="236">
        <v>46179.79</v>
      </c>
      <c r="DK17" s="236">
        <v>45992.45</v>
      </c>
      <c r="DL17" s="236">
        <v>44589.036999999997</v>
      </c>
      <c r="DM17" s="236">
        <v>44355.436999999998</v>
      </c>
      <c r="DN17" s="236">
        <v>47173.599999999999</v>
      </c>
      <c r="DO17" s="236">
        <v>87500</v>
      </c>
      <c r="DP17" s="236">
        <v>87500</v>
      </c>
      <c r="DQ17" s="236">
        <v>87500</v>
      </c>
      <c r="DR17" s="244">
        <v>16815</v>
      </c>
      <c r="DS17" s="244">
        <v>16815</v>
      </c>
      <c r="DT17" s="244">
        <v>16815</v>
      </c>
      <c r="DU17" s="244">
        <v>16815</v>
      </c>
      <c r="DV17" s="244">
        <v>17955</v>
      </c>
      <c r="DW17" s="244">
        <v>24605</v>
      </c>
      <c r="DX17" s="244">
        <v>17955</v>
      </c>
      <c r="DY17" s="244">
        <v>24605</v>
      </c>
      <c r="DZ17" s="244">
        <v>24605</v>
      </c>
      <c r="EA17" s="244">
        <v>17955</v>
      </c>
      <c r="EB17" s="244">
        <v>24605</v>
      </c>
      <c r="EC17" s="244">
        <v>14155</v>
      </c>
      <c r="ED17" s="244">
        <v>14820</v>
      </c>
      <c r="EE17" s="244">
        <v>16530</v>
      </c>
      <c r="EF17" s="244">
        <v>17955</v>
      </c>
      <c r="EG17" s="244">
        <v>17955</v>
      </c>
      <c r="EH17" s="244">
        <v>17955</v>
      </c>
      <c r="EI17" s="244">
        <v>18430</v>
      </c>
      <c r="EJ17" s="244">
        <v>11115</v>
      </c>
      <c r="EK17" s="244">
        <v>11115</v>
      </c>
      <c r="EL17" s="244">
        <v>11875</v>
      </c>
      <c r="EM17" s="244">
        <v>11875</v>
      </c>
      <c r="EN17" s="244">
        <v>11875</v>
      </c>
      <c r="EO17" s="244">
        <v>11875</v>
      </c>
      <c r="EP17" s="244">
        <v>14725</v>
      </c>
      <c r="EQ17" s="244">
        <v>14725</v>
      </c>
      <c r="ER17" s="244">
        <v>14725</v>
      </c>
      <c r="ES17" s="244">
        <v>14725</v>
      </c>
      <c r="ET17" s="244">
        <v>9120</v>
      </c>
      <c r="EU17" s="244">
        <v>8550</v>
      </c>
      <c r="EV17" s="244">
        <v>11780</v>
      </c>
      <c r="EW17" s="244">
        <v>8550</v>
      </c>
      <c r="EX17" s="244">
        <v>12350</v>
      </c>
      <c r="EY17" s="244">
        <v>8835</v>
      </c>
      <c r="EZ17" s="244">
        <v>12350</v>
      </c>
      <c r="FA17" s="244">
        <v>8835</v>
      </c>
      <c r="FB17" s="244">
        <v>12350</v>
      </c>
      <c r="FC17" s="244">
        <v>12730</v>
      </c>
      <c r="FD17" s="244">
        <v>12730</v>
      </c>
      <c r="FE17" s="244">
        <v>15105</v>
      </c>
      <c r="FF17" s="244">
        <v>15105</v>
      </c>
      <c r="FG17" s="244">
        <v>11590</v>
      </c>
      <c r="FH17" s="244">
        <v>12350</v>
      </c>
      <c r="FI17" s="244">
        <v>14060</v>
      </c>
      <c r="FJ17" s="244">
        <v>17480</v>
      </c>
      <c r="FK17" s="244">
        <v>17955</v>
      </c>
      <c r="FL17" s="244">
        <v>17670</v>
      </c>
      <c r="FM17" s="244">
        <v>0</v>
      </c>
      <c r="FN17" s="244">
        <v>0</v>
      </c>
      <c r="FO17" s="244">
        <v>16340</v>
      </c>
      <c r="FP17" s="244">
        <v>17955</v>
      </c>
      <c r="FQ17" s="244">
        <v>19190</v>
      </c>
      <c r="FR17" s="244">
        <v>20900</v>
      </c>
      <c r="FS17" s="244">
        <v>21850</v>
      </c>
      <c r="FT17" s="244">
        <v>0</v>
      </c>
      <c r="FU17" s="244">
        <v>0</v>
      </c>
      <c r="FV17" s="244">
        <v>21280</v>
      </c>
      <c r="FW17" s="244">
        <v>22705</v>
      </c>
      <c r="FX17" s="244">
        <v>21280</v>
      </c>
      <c r="FY17" s="244">
        <v>22705</v>
      </c>
      <c r="FZ17" s="244">
        <v>0</v>
      </c>
      <c r="GA17" s="244">
        <v>0</v>
      </c>
      <c r="GB17" s="244">
        <v>26505</v>
      </c>
      <c r="GC17" s="244">
        <v>26505</v>
      </c>
      <c r="GD17" s="244">
        <v>26505</v>
      </c>
      <c r="GE17" s="244">
        <v>26505</v>
      </c>
      <c r="GF17" s="244">
        <v>22990</v>
      </c>
      <c r="GG17" s="244">
        <v>22990</v>
      </c>
      <c r="GH17" s="244">
        <v>22990</v>
      </c>
      <c r="GI17" s="244">
        <v>22990</v>
      </c>
      <c r="GJ17" s="244">
        <v>22990</v>
      </c>
      <c r="GK17" s="244">
        <v>22990</v>
      </c>
      <c r="GL17" s="244">
        <v>23275</v>
      </c>
      <c r="GM17" s="244">
        <v>23275</v>
      </c>
      <c r="GN17" s="244">
        <v>23275</v>
      </c>
      <c r="GO17" s="244">
        <v>23275</v>
      </c>
      <c r="GP17" s="244">
        <v>22515</v>
      </c>
      <c r="GQ17" s="244">
        <v>22515</v>
      </c>
      <c r="GR17" s="244">
        <v>22515</v>
      </c>
      <c r="GS17" s="244">
        <v>22515</v>
      </c>
      <c r="GT17" s="244">
        <v>22515</v>
      </c>
      <c r="GU17" s="244">
        <v>23085</v>
      </c>
      <c r="GV17" s="244">
        <v>23085</v>
      </c>
      <c r="GW17" s="244">
        <v>22800</v>
      </c>
      <c r="GX17" s="244">
        <v>22800</v>
      </c>
      <c r="GY17" s="244">
        <v>12540</v>
      </c>
      <c r="GZ17" s="244">
        <v>12540</v>
      </c>
      <c r="HA17" s="244">
        <v>12540</v>
      </c>
      <c r="HB17" s="244">
        <v>12540</v>
      </c>
      <c r="HC17" s="244">
        <v>14820</v>
      </c>
      <c r="HD17" s="244">
        <v>14820</v>
      </c>
      <c r="HE17" s="244">
        <v>14820</v>
      </c>
      <c r="HF17" s="244">
        <v>14820</v>
      </c>
      <c r="HG17" s="244">
        <v>14820</v>
      </c>
      <c r="HH17" s="244">
        <v>14820</v>
      </c>
      <c r="HI17" s="244">
        <v>14820</v>
      </c>
      <c r="HJ17" s="244">
        <v>14820</v>
      </c>
      <c r="HK17" s="244">
        <v>17100</v>
      </c>
      <c r="HL17" s="244">
        <v>17100</v>
      </c>
      <c r="HM17" s="244">
        <v>17100</v>
      </c>
      <c r="HN17" s="244">
        <v>17100</v>
      </c>
      <c r="HO17" s="244">
        <v>17100</v>
      </c>
      <c r="HP17" s="244">
        <v>17100</v>
      </c>
      <c r="HQ17" s="244">
        <v>17100</v>
      </c>
      <c r="HR17" s="244">
        <v>17100</v>
      </c>
      <c r="HS17" s="244">
        <v>17100</v>
      </c>
      <c r="HT17" s="244">
        <v>17100</v>
      </c>
      <c r="HU17" s="244">
        <v>17100</v>
      </c>
      <c r="HV17" s="244">
        <v>23180</v>
      </c>
      <c r="HW17" s="244">
        <v>23180</v>
      </c>
      <c r="HX17" s="244">
        <v>23180</v>
      </c>
      <c r="HY17" s="244">
        <v>23180</v>
      </c>
      <c r="HZ17" s="244">
        <v>23180</v>
      </c>
      <c r="IA17" s="244">
        <v>23180</v>
      </c>
      <c r="IB17" s="244">
        <v>23180</v>
      </c>
      <c r="IC17" s="244">
        <v>23180</v>
      </c>
      <c r="ID17" s="244">
        <v>23180</v>
      </c>
      <c r="IE17" s="244">
        <v>23180</v>
      </c>
      <c r="IF17" s="244">
        <v>23180</v>
      </c>
      <c r="IG17" s="244">
        <v>7410</v>
      </c>
      <c r="IH17" s="244">
        <v>7410</v>
      </c>
      <c r="II17" s="244">
        <v>7410</v>
      </c>
      <c r="IJ17" s="244">
        <v>7410</v>
      </c>
      <c r="IK17" s="244">
        <v>7410</v>
      </c>
      <c r="IL17" s="244">
        <v>7410</v>
      </c>
      <c r="IM17" s="244">
        <v>9500</v>
      </c>
      <c r="IN17" s="244">
        <v>9500</v>
      </c>
      <c r="IO17" s="244">
        <v>9500</v>
      </c>
      <c r="IP17" s="244">
        <v>11780</v>
      </c>
      <c r="IQ17" s="244">
        <v>11780</v>
      </c>
      <c r="IR17" s="244">
        <v>11780</v>
      </c>
      <c r="IS17" s="244">
        <v>2850</v>
      </c>
      <c r="IT17" s="244">
        <v>3515</v>
      </c>
      <c r="IU17" s="244">
        <v>4180</v>
      </c>
      <c r="IV17" s="244">
        <v>4750</v>
      </c>
      <c r="IW17" s="244">
        <v>4750</v>
      </c>
      <c r="IX17" s="244">
        <v>4750</v>
      </c>
      <c r="IY17" s="244">
        <v>8360</v>
      </c>
      <c r="IZ17" s="244">
        <v>10070</v>
      </c>
      <c r="JA17" s="244">
        <v>10070</v>
      </c>
      <c r="JB17" s="244">
        <v>12540</v>
      </c>
      <c r="JC17" s="244">
        <v>4750</v>
      </c>
      <c r="JD17" s="244">
        <v>4750</v>
      </c>
      <c r="JE17" s="244">
        <v>4750</v>
      </c>
      <c r="JF17" s="244">
        <v>4750</v>
      </c>
      <c r="JG17" s="244">
        <v>4750</v>
      </c>
      <c r="JH17" s="244">
        <v>6650</v>
      </c>
      <c r="JI17" s="244">
        <v>8170</v>
      </c>
      <c r="JJ17" s="244">
        <v>7125</v>
      </c>
      <c r="JK17" s="244">
        <v>9880</v>
      </c>
    </row>
    <row r="18" spans="1:271">
      <c r="A18" s="321" t="s">
        <v>2389</v>
      </c>
      <c r="B18" s="236">
        <v>603.17499999999995</v>
      </c>
      <c r="C18" s="236">
        <v>571.42899999999997</v>
      </c>
      <c r="D18" s="236">
        <v>641.27</v>
      </c>
      <c r="E18" s="236">
        <v>754.19500000000005</v>
      </c>
      <c r="F18" s="236">
        <v>743.31100000000004</v>
      </c>
      <c r="G18" s="236">
        <v>1111.0999999999999</v>
      </c>
      <c r="H18" s="236">
        <v>1645.76</v>
      </c>
      <c r="I18" s="236">
        <v>582.76599999999996</v>
      </c>
      <c r="J18" s="236">
        <v>582.76599999999996</v>
      </c>
      <c r="K18" s="236">
        <v>442.17700000000002</v>
      </c>
      <c r="L18" s="236">
        <v>448.98</v>
      </c>
      <c r="M18" s="236">
        <v>991.83699999999999</v>
      </c>
      <c r="N18" s="236">
        <v>2122.4490000000001</v>
      </c>
      <c r="O18" s="236">
        <v>793.65099999999995</v>
      </c>
      <c r="P18" s="236">
        <v>1410.431</v>
      </c>
      <c r="Q18" s="236">
        <v>1513.3789999999999</v>
      </c>
      <c r="R18" s="236">
        <v>1222.222</v>
      </c>
      <c r="S18" s="236">
        <v>1222.222</v>
      </c>
      <c r="T18" s="236">
        <v>975.05700000000002</v>
      </c>
      <c r="U18" s="236">
        <v>1006.803</v>
      </c>
      <c r="V18" s="236">
        <v>873.923</v>
      </c>
      <c r="W18" s="236">
        <v>1044.8979999999999</v>
      </c>
      <c r="X18" s="236">
        <v>872.56200000000001</v>
      </c>
      <c r="Y18" s="236">
        <v>378.3</v>
      </c>
      <c r="Z18" s="236">
        <v>2494.3310000000001</v>
      </c>
      <c r="AA18" s="236">
        <v>575.20000000000005</v>
      </c>
      <c r="AB18" s="236">
        <v>930</v>
      </c>
      <c r="AC18" s="236">
        <v>1021</v>
      </c>
      <c r="AD18" s="236">
        <v>1062</v>
      </c>
      <c r="AE18" s="236">
        <v>535.14700000000005</v>
      </c>
      <c r="AF18" s="236">
        <v>1440</v>
      </c>
      <c r="AG18" s="236">
        <v>900</v>
      </c>
      <c r="AH18" s="236">
        <v>792</v>
      </c>
      <c r="AI18" s="319"/>
      <c r="AJ18" s="236">
        <v>150</v>
      </c>
      <c r="AK18" s="319"/>
      <c r="AL18" s="319"/>
      <c r="AM18" s="236">
        <v>658</v>
      </c>
      <c r="AN18" s="236">
        <v>1601.181</v>
      </c>
      <c r="AO18" s="236">
        <v>658</v>
      </c>
      <c r="AP18" s="236">
        <v>630.947</v>
      </c>
      <c r="AQ18" s="236">
        <v>578.33029999999997</v>
      </c>
      <c r="AR18" s="236">
        <v>645.00840000000005</v>
      </c>
      <c r="AS18" s="236">
        <v>827.35249999999996</v>
      </c>
      <c r="AT18" s="236">
        <v>827.35249999999996</v>
      </c>
      <c r="AU18" s="322"/>
      <c r="AV18" s="323"/>
      <c r="AW18" s="236">
        <v>1442.424</v>
      </c>
      <c r="AX18" s="236">
        <v>1190.68</v>
      </c>
      <c r="AY18" s="236">
        <v>1265.5229999999999</v>
      </c>
      <c r="AZ18" s="236">
        <v>1678.8</v>
      </c>
      <c r="BA18" s="236">
        <v>3101.2109999999998</v>
      </c>
      <c r="BB18" s="236">
        <v>1174.3510000000001</v>
      </c>
      <c r="BC18" s="236">
        <v>1180.701</v>
      </c>
      <c r="BD18" s="236">
        <v>1600</v>
      </c>
      <c r="BE18" s="236">
        <v>3377</v>
      </c>
      <c r="BF18" s="236">
        <v>1837</v>
      </c>
      <c r="BG18" s="236">
        <v>3493</v>
      </c>
      <c r="BH18" s="236">
        <v>1798</v>
      </c>
      <c r="BI18" s="236">
        <v>2007.146</v>
      </c>
      <c r="BJ18" s="236">
        <v>498.95159999999998</v>
      </c>
      <c r="BK18" s="236">
        <v>4516</v>
      </c>
      <c r="BL18" s="236">
        <v>4276</v>
      </c>
      <c r="BM18" s="236">
        <v>4005</v>
      </c>
      <c r="BN18" s="236">
        <v>4005</v>
      </c>
      <c r="BO18" s="236">
        <v>4409</v>
      </c>
      <c r="BP18" s="324"/>
      <c r="BQ18" s="236">
        <v>1182</v>
      </c>
      <c r="BR18" s="277">
        <v>8920</v>
      </c>
      <c r="BS18" s="303">
        <v>10501</v>
      </c>
      <c r="BT18" s="303">
        <v>11812</v>
      </c>
      <c r="BU18" s="303">
        <v>17185</v>
      </c>
      <c r="BV18" s="303">
        <v>10433</v>
      </c>
      <c r="BW18" s="303">
        <v>10433</v>
      </c>
      <c r="BX18" s="277">
        <v>8225</v>
      </c>
      <c r="BY18" s="277">
        <v>7560</v>
      </c>
      <c r="BZ18" s="277">
        <v>7560</v>
      </c>
      <c r="CA18" s="277">
        <v>7560</v>
      </c>
      <c r="CB18" s="277">
        <v>7560</v>
      </c>
      <c r="CC18" s="277">
        <v>11550</v>
      </c>
      <c r="CD18" s="277">
        <v>10285</v>
      </c>
      <c r="CE18" s="277">
        <v>10900</v>
      </c>
      <c r="CF18" s="236">
        <v>11500</v>
      </c>
      <c r="CG18" s="277">
        <v>11400</v>
      </c>
      <c r="CH18" s="277">
        <v>13311</v>
      </c>
      <c r="CI18" s="277">
        <v>13500</v>
      </c>
      <c r="CJ18" s="277">
        <v>13000</v>
      </c>
      <c r="CK18" s="277">
        <v>13000</v>
      </c>
      <c r="CL18" s="236">
        <v>134800</v>
      </c>
      <c r="CM18" s="236">
        <v>143830</v>
      </c>
      <c r="CN18" s="236">
        <v>145145</v>
      </c>
      <c r="CO18" s="236">
        <v>170900</v>
      </c>
      <c r="CP18" s="236">
        <v>177800</v>
      </c>
      <c r="CQ18" s="236">
        <f>174000-CQ17</f>
        <v>143382.51500000001</v>
      </c>
      <c r="CR18" s="236">
        <f>174000-CR17</f>
        <v>143382.51500000001</v>
      </c>
      <c r="CS18" s="236">
        <f>174000-CS17</f>
        <v>142248.53399999999</v>
      </c>
      <c r="CT18" s="236">
        <f>169000-CT17</f>
        <v>141301</v>
      </c>
      <c r="CU18" s="236">
        <f>169000-CU17</f>
        <v>138382.519</v>
      </c>
      <c r="CV18" s="236">
        <f>169000-CV17</f>
        <v>141330.86600000001</v>
      </c>
      <c r="CW18" s="236">
        <v>179015</v>
      </c>
      <c r="CX18" s="236">
        <v>179015</v>
      </c>
      <c r="CY18" s="236">
        <v>179752</v>
      </c>
      <c r="CZ18" s="236">
        <v>124500</v>
      </c>
      <c r="DA18" s="236">
        <v>85235</v>
      </c>
      <c r="DB18" s="236">
        <v>88469</v>
      </c>
      <c r="DC18" s="236">
        <v>85235</v>
      </c>
      <c r="DD18" s="236">
        <v>103872</v>
      </c>
      <c r="DE18" s="236">
        <v>103149</v>
      </c>
      <c r="DF18" s="236">
        <f>195700-DF17</f>
        <v>165200</v>
      </c>
      <c r="DG18" s="236">
        <f>223000 - DG17</f>
        <v>188000</v>
      </c>
      <c r="DH18" s="236">
        <v>108940</v>
      </c>
      <c r="DI18" s="236">
        <v>108978</v>
      </c>
      <c r="DJ18" s="236">
        <v>120742.2</v>
      </c>
      <c r="DK18" s="236">
        <v>120929.54</v>
      </c>
      <c r="DL18" s="236">
        <v>122333.399</v>
      </c>
      <c r="DM18" s="236">
        <v>122567</v>
      </c>
      <c r="DN18" s="236">
        <f>361000-DN17</f>
        <v>313826.40000000002</v>
      </c>
      <c r="DO18" s="236">
        <v>184570</v>
      </c>
      <c r="DP18" s="236">
        <v>184570</v>
      </c>
      <c r="DQ18" s="236">
        <v>184570</v>
      </c>
      <c r="DR18" s="285">
        <v>53801</v>
      </c>
      <c r="DS18" s="285">
        <v>55201</v>
      </c>
      <c r="DT18" s="285">
        <v>54976</v>
      </c>
      <c r="DU18" s="285">
        <v>54976</v>
      </c>
      <c r="DV18" s="285">
        <v>58372</v>
      </c>
      <c r="DW18" s="285">
        <v>51722</v>
      </c>
      <c r="DX18" s="285">
        <v>67032</v>
      </c>
      <c r="DY18" s="285">
        <v>62650</v>
      </c>
      <c r="DZ18" s="285">
        <v>51722</v>
      </c>
      <c r="EA18" s="285">
        <v>60228</v>
      </c>
      <c r="EB18" s="285">
        <v>62650</v>
      </c>
      <c r="EC18" s="285">
        <v>40952</v>
      </c>
      <c r="ED18" s="285">
        <v>42487</v>
      </c>
      <c r="EE18" s="285">
        <v>47812</v>
      </c>
      <c r="EF18" s="285">
        <v>51361</v>
      </c>
      <c r="EG18" s="285">
        <v>51361</v>
      </c>
      <c r="EH18" s="285">
        <v>58057</v>
      </c>
      <c r="EI18" s="285">
        <v>60582</v>
      </c>
      <c r="EJ18" s="285">
        <v>31246</v>
      </c>
      <c r="EK18" s="285">
        <v>30387</v>
      </c>
      <c r="EL18" s="285">
        <v>37365</v>
      </c>
      <c r="EM18" s="285">
        <v>41465</v>
      </c>
      <c r="EN18" s="285">
        <v>37365</v>
      </c>
      <c r="EO18" s="285">
        <v>41465</v>
      </c>
      <c r="EP18" s="285">
        <v>39175</v>
      </c>
      <c r="EQ18" s="285">
        <v>44575</v>
      </c>
      <c r="ER18" s="285">
        <v>44670</v>
      </c>
      <c r="ES18" s="285">
        <v>48210</v>
      </c>
      <c r="ET18" s="285">
        <v>26842</v>
      </c>
      <c r="EU18" s="285">
        <v>26818</v>
      </c>
      <c r="EV18" s="285">
        <v>26083</v>
      </c>
      <c r="EW18" s="285">
        <v>28158</v>
      </c>
      <c r="EX18" s="285">
        <v>25038</v>
      </c>
      <c r="EY18" s="285">
        <v>30770</v>
      </c>
      <c r="EZ18" s="285">
        <v>27612</v>
      </c>
      <c r="FA18" s="285">
        <v>27873</v>
      </c>
      <c r="FB18" s="285">
        <v>30073</v>
      </c>
      <c r="FC18" s="285">
        <v>27601</v>
      </c>
      <c r="FD18" s="285">
        <v>31776</v>
      </c>
      <c r="FE18" s="285">
        <v>31577</v>
      </c>
      <c r="FF18" s="285">
        <v>31896</v>
      </c>
      <c r="FG18" s="285">
        <v>24659</v>
      </c>
      <c r="FH18" s="285">
        <v>23001</v>
      </c>
      <c r="FI18" s="285">
        <v>35126</v>
      </c>
      <c r="FJ18" s="285">
        <v>32160</v>
      </c>
      <c r="FK18" s="285">
        <v>40167</v>
      </c>
      <c r="FL18" s="285">
        <v>43652</v>
      </c>
      <c r="FM18" s="285">
        <v>50469</v>
      </c>
      <c r="FN18" s="285">
        <v>48801</v>
      </c>
      <c r="FO18" s="285">
        <v>43215</v>
      </c>
      <c r="FP18" s="285">
        <v>43959</v>
      </c>
      <c r="FQ18" s="285">
        <v>42724</v>
      </c>
      <c r="FR18" s="285">
        <v>46684</v>
      </c>
      <c r="FS18" s="285">
        <v>47185</v>
      </c>
      <c r="FT18" s="285">
        <v>54297</v>
      </c>
      <c r="FU18" s="285">
        <v>59972</v>
      </c>
      <c r="FV18" s="285">
        <v>57860</v>
      </c>
      <c r="FW18" s="285">
        <v>58685</v>
      </c>
      <c r="FX18" s="285">
        <v>53310</v>
      </c>
      <c r="FY18" s="285">
        <v>58685</v>
      </c>
      <c r="FZ18" s="285">
        <v>79140</v>
      </c>
      <c r="GA18" s="285">
        <v>82390</v>
      </c>
      <c r="GB18" s="285">
        <v>61035</v>
      </c>
      <c r="GC18" s="285">
        <v>61035</v>
      </c>
      <c r="GD18" s="285">
        <v>61035</v>
      </c>
      <c r="GE18" s="285">
        <v>61035</v>
      </c>
      <c r="GF18" s="285">
        <v>68029</v>
      </c>
      <c r="GG18" s="285">
        <v>62335</v>
      </c>
      <c r="GH18" s="285">
        <v>66871</v>
      </c>
      <c r="GI18" s="285">
        <v>69139</v>
      </c>
      <c r="GJ18" s="285">
        <v>66871</v>
      </c>
      <c r="GK18" s="285">
        <v>69139</v>
      </c>
      <c r="GL18" s="285">
        <v>77927</v>
      </c>
      <c r="GM18" s="285">
        <v>73514</v>
      </c>
      <c r="GN18" s="285">
        <v>75727</v>
      </c>
      <c r="GO18" s="285">
        <v>78902</v>
      </c>
      <c r="GP18" s="285">
        <v>61545</v>
      </c>
      <c r="GQ18" s="285">
        <v>61545</v>
      </c>
      <c r="GR18" s="285">
        <v>68145</v>
      </c>
      <c r="GS18" s="285">
        <v>71545</v>
      </c>
      <c r="GT18" s="285">
        <v>71545</v>
      </c>
      <c r="GU18" s="285">
        <v>78975</v>
      </c>
      <c r="GV18" s="285">
        <v>81975</v>
      </c>
      <c r="GW18" s="285">
        <v>89260</v>
      </c>
      <c r="GX18" s="285">
        <v>93260</v>
      </c>
      <c r="GY18" s="285">
        <v>26984</v>
      </c>
      <c r="GZ18" s="285">
        <v>26984</v>
      </c>
      <c r="HA18" s="285">
        <v>35984</v>
      </c>
      <c r="HB18" s="285">
        <v>35984</v>
      </c>
      <c r="HC18" s="285">
        <v>29744</v>
      </c>
      <c r="HD18" s="285">
        <v>41244</v>
      </c>
      <c r="HE18" s="285">
        <v>41244</v>
      </c>
      <c r="HF18" s="285">
        <v>41244</v>
      </c>
      <c r="HG18" s="285">
        <v>41244</v>
      </c>
      <c r="HH18" s="285">
        <v>30121</v>
      </c>
      <c r="HI18" s="285">
        <v>41621</v>
      </c>
      <c r="HJ18" s="285">
        <v>30121</v>
      </c>
      <c r="HK18" s="285">
        <v>36964</v>
      </c>
      <c r="HL18" s="285">
        <v>36964</v>
      </c>
      <c r="HM18" s="285">
        <v>41464</v>
      </c>
      <c r="HN18" s="285">
        <v>37245</v>
      </c>
      <c r="HO18" s="285">
        <v>41745</v>
      </c>
      <c r="HP18" s="285">
        <v>37341</v>
      </c>
      <c r="HQ18" s="285">
        <v>42841</v>
      </c>
      <c r="HR18" s="285">
        <v>42841</v>
      </c>
      <c r="HS18" s="285">
        <v>37341</v>
      </c>
      <c r="HT18" s="285">
        <v>42841</v>
      </c>
      <c r="HU18" s="285">
        <v>42841</v>
      </c>
      <c r="HV18" s="285">
        <v>40512</v>
      </c>
      <c r="HW18" s="285">
        <v>40793</v>
      </c>
      <c r="HX18" s="285">
        <v>46512</v>
      </c>
      <c r="HY18" s="285">
        <v>51012</v>
      </c>
      <c r="HZ18" s="285">
        <v>51293</v>
      </c>
      <c r="IA18" s="285">
        <v>46961</v>
      </c>
      <c r="IB18" s="285">
        <v>51461</v>
      </c>
      <c r="IC18" s="285">
        <v>51461</v>
      </c>
      <c r="ID18" s="285">
        <v>47372</v>
      </c>
      <c r="IE18" s="285">
        <v>45909</v>
      </c>
      <c r="IF18" s="285">
        <v>45909</v>
      </c>
      <c r="IG18" s="285">
        <v>19245</v>
      </c>
      <c r="IH18" s="285">
        <v>20455</v>
      </c>
      <c r="II18" s="285">
        <v>21855</v>
      </c>
      <c r="IJ18" s="285">
        <v>20755</v>
      </c>
      <c r="IK18" s="285">
        <v>22045</v>
      </c>
      <c r="IL18" s="285">
        <v>23625</v>
      </c>
      <c r="IM18" s="285">
        <v>25319</v>
      </c>
      <c r="IN18" s="285">
        <v>27829</v>
      </c>
      <c r="IO18" s="285">
        <v>29329</v>
      </c>
      <c r="IP18" s="285">
        <v>24039</v>
      </c>
      <c r="IQ18" s="285">
        <v>26039</v>
      </c>
      <c r="IR18" s="285">
        <v>27539</v>
      </c>
      <c r="IS18" s="285">
        <v>12018</v>
      </c>
      <c r="IT18" s="285">
        <v>12353</v>
      </c>
      <c r="IU18" s="285">
        <v>11784</v>
      </c>
      <c r="IV18" s="285">
        <v>12108</v>
      </c>
      <c r="IW18" s="285">
        <v>12114</v>
      </c>
      <c r="IX18" s="285">
        <v>13377</v>
      </c>
      <c r="IY18" s="285">
        <v>27718</v>
      </c>
      <c r="IZ18" s="285">
        <v>32640</v>
      </c>
      <c r="JA18" s="285">
        <v>32640</v>
      </c>
      <c r="JB18" s="285">
        <v>35270</v>
      </c>
      <c r="JC18" s="285">
        <v>12518</v>
      </c>
      <c r="JD18" s="285">
        <v>11895</v>
      </c>
      <c r="JE18" s="285">
        <v>12803</v>
      </c>
      <c r="JF18" s="285">
        <v>11895</v>
      </c>
      <c r="JG18" s="285">
        <v>12803</v>
      </c>
      <c r="JH18" s="285">
        <v>17565</v>
      </c>
      <c r="JI18" s="285">
        <v>21375</v>
      </c>
      <c r="JJ18" s="285">
        <v>22420</v>
      </c>
      <c r="JK18" s="285">
        <v>23042</v>
      </c>
    </row>
    <row r="19" spans="1:271">
      <c r="A19" s="325" t="s">
        <v>2390</v>
      </c>
      <c r="B19" s="236">
        <v>1043.3</v>
      </c>
      <c r="C19" s="236">
        <v>1043.3</v>
      </c>
      <c r="D19" s="236">
        <v>1088.4349999999999</v>
      </c>
      <c r="E19" s="236">
        <v>1156.463</v>
      </c>
      <c r="F19" s="236">
        <v>1111.1110000000001</v>
      </c>
      <c r="G19" s="319"/>
      <c r="H19" s="236">
        <v>2267.5740000000001</v>
      </c>
      <c r="I19" s="236">
        <v>1043.0840000000001</v>
      </c>
      <c r="J19" s="236">
        <v>1043.0840000000001</v>
      </c>
      <c r="K19" s="236">
        <v>725.6</v>
      </c>
      <c r="L19" s="236">
        <v>725.6</v>
      </c>
      <c r="M19" s="236">
        <v>1723.3560090702947</v>
      </c>
      <c r="N19" s="311">
        <v>3854.875</v>
      </c>
      <c r="O19" s="236">
        <v>1496.5989999999999</v>
      </c>
      <c r="P19" s="236">
        <v>2358.2766439909296</v>
      </c>
      <c r="Q19" s="236">
        <v>2448.98</v>
      </c>
      <c r="R19" s="236">
        <v>1995.4649999999999</v>
      </c>
      <c r="S19" s="236">
        <v>1904.7619999999999</v>
      </c>
      <c r="T19" s="236">
        <v>1723.3560090702947</v>
      </c>
      <c r="U19" s="236">
        <v>1541.9501133786848</v>
      </c>
      <c r="V19" s="236">
        <v>1632.653</v>
      </c>
      <c r="W19" s="236">
        <v>1632.6530612244896</v>
      </c>
      <c r="X19" s="236">
        <v>1337.8679999999999</v>
      </c>
      <c r="Y19" s="236">
        <v>598.70000000000005</v>
      </c>
      <c r="Z19" s="236">
        <v>3628.1179999999999</v>
      </c>
      <c r="AA19" s="236">
        <v>900</v>
      </c>
      <c r="AB19" s="236">
        <v>1215</v>
      </c>
      <c r="AC19" s="236">
        <v>1542</v>
      </c>
      <c r="AD19" s="319"/>
      <c r="AE19" s="236">
        <v>800</v>
      </c>
      <c r="AF19" s="319"/>
      <c r="AG19" s="236">
        <v>1216</v>
      </c>
      <c r="AH19" s="319"/>
      <c r="AI19" s="319"/>
      <c r="AJ19" s="319"/>
      <c r="AK19" s="236">
        <v>4500</v>
      </c>
      <c r="AL19" s="319"/>
      <c r="AM19" s="326"/>
      <c r="AN19" s="236">
        <v>3035</v>
      </c>
      <c r="AO19" s="236">
        <v>997.73242630385482</v>
      </c>
      <c r="AP19" s="236">
        <v>1053.5</v>
      </c>
      <c r="AQ19" s="326"/>
      <c r="AR19" s="236">
        <v>1156.4625850340135</v>
      </c>
      <c r="AS19" s="319"/>
      <c r="AT19" s="319"/>
      <c r="AU19" s="327"/>
      <c r="AV19" s="328"/>
      <c r="AW19" s="236">
        <v>2240.7460000000001</v>
      </c>
      <c r="AX19" s="236">
        <v>1814.3689999999999</v>
      </c>
      <c r="AY19" s="236">
        <v>1970</v>
      </c>
      <c r="AZ19" s="236">
        <v>2199.9</v>
      </c>
      <c r="BA19" s="236">
        <v>4685.6091999999999</v>
      </c>
      <c r="BB19" s="236">
        <v>1723.3560090702947</v>
      </c>
      <c r="BC19" s="236">
        <v>1723.6510000000001</v>
      </c>
      <c r="BD19" s="236">
        <v>2300</v>
      </c>
      <c r="BE19" s="236">
        <v>5579</v>
      </c>
      <c r="BF19" s="236">
        <v>2835</v>
      </c>
      <c r="BG19" s="236">
        <v>4965</v>
      </c>
      <c r="BH19" s="236">
        <v>2449</v>
      </c>
      <c r="BI19" s="236">
        <v>3073.0880000000002</v>
      </c>
      <c r="BJ19" s="236">
        <v>759.7672</v>
      </c>
      <c r="BK19" s="236">
        <v>6804</v>
      </c>
      <c r="BL19" s="236">
        <v>7110</v>
      </c>
      <c r="BM19" s="236">
        <v>5670</v>
      </c>
      <c r="BN19" s="236">
        <v>5670</v>
      </c>
      <c r="BO19" s="236">
        <v>7110</v>
      </c>
      <c r="BP19" s="236">
        <v>6205.1436000000003</v>
      </c>
      <c r="BQ19" s="236">
        <v>1726</v>
      </c>
      <c r="BR19" s="236">
        <v>13230</v>
      </c>
      <c r="BS19" s="236">
        <v>15649</v>
      </c>
      <c r="BT19" s="236">
        <v>18144</v>
      </c>
      <c r="BU19" s="236">
        <v>29257</v>
      </c>
      <c r="BV19" s="236">
        <v>15377</v>
      </c>
      <c r="BW19" s="236">
        <v>15377</v>
      </c>
      <c r="BX19" s="236">
        <v>12930</v>
      </c>
      <c r="BY19" s="236">
        <v>11700</v>
      </c>
      <c r="BZ19" s="236">
        <v>11700</v>
      </c>
      <c r="CA19" s="236">
        <v>11700</v>
      </c>
      <c r="CB19" s="236">
        <v>11700</v>
      </c>
      <c r="CC19" s="236">
        <v>18300</v>
      </c>
      <c r="CD19" s="236">
        <v>16400</v>
      </c>
      <c r="CE19" s="236">
        <v>16400</v>
      </c>
      <c r="CF19" s="236">
        <v>18300</v>
      </c>
      <c r="CG19" s="236">
        <v>17900</v>
      </c>
      <c r="CH19" s="236">
        <v>22350</v>
      </c>
      <c r="CI19" s="236">
        <v>21850</v>
      </c>
      <c r="CJ19" s="236">
        <v>21350</v>
      </c>
      <c r="CK19" s="236">
        <v>21350</v>
      </c>
      <c r="CL19" s="236">
        <v>201800</v>
      </c>
      <c r="CM19" s="236">
        <v>213190</v>
      </c>
      <c r="CN19" s="236">
        <v>223165</v>
      </c>
      <c r="CO19" s="236">
        <v>243000</v>
      </c>
      <c r="CP19" s="236">
        <v>259000</v>
      </c>
      <c r="CQ19" s="236">
        <v>186000</v>
      </c>
      <c r="CR19" s="236">
        <v>186000</v>
      </c>
      <c r="CS19" s="236">
        <v>186000</v>
      </c>
      <c r="CT19" s="236">
        <v>181000</v>
      </c>
      <c r="CU19" s="236">
        <v>181000</v>
      </c>
      <c r="CV19" s="236">
        <v>181000</v>
      </c>
      <c r="CW19" s="236">
        <v>285764</v>
      </c>
      <c r="CX19" s="236">
        <v>285764</v>
      </c>
      <c r="CY19" s="236">
        <v>285764</v>
      </c>
      <c r="CZ19" s="236">
        <v>185000</v>
      </c>
      <c r="DA19" s="236">
        <v>136078</v>
      </c>
      <c r="DB19" s="236">
        <v>145150</v>
      </c>
      <c r="DC19" s="236">
        <v>145150</v>
      </c>
      <c r="DD19" s="236">
        <v>158757</v>
      </c>
      <c r="DE19" s="236">
        <v>158757</v>
      </c>
      <c r="DF19" s="236">
        <v>207000</v>
      </c>
      <c r="DG19" s="236">
        <v>236000</v>
      </c>
      <c r="DH19" s="236">
        <v>164881</v>
      </c>
      <c r="DI19" s="236">
        <v>164881</v>
      </c>
      <c r="DJ19" s="236">
        <v>182797.73</v>
      </c>
      <c r="DK19" s="236">
        <v>182798</v>
      </c>
      <c r="DL19" s="236">
        <v>182798</v>
      </c>
      <c r="DM19" s="236">
        <v>182798</v>
      </c>
      <c r="DN19" s="236">
        <v>386000</v>
      </c>
      <c r="DO19" s="236">
        <v>295740</v>
      </c>
      <c r="DP19" s="236">
        <v>295740</v>
      </c>
      <c r="DQ19" s="236">
        <v>295740</v>
      </c>
      <c r="DR19" s="244">
        <v>87545</v>
      </c>
      <c r="DS19" s="244">
        <v>90490</v>
      </c>
      <c r="DT19" s="285">
        <v>93895</v>
      </c>
      <c r="DU19" s="285">
        <v>93895</v>
      </c>
      <c r="DV19" s="285">
        <v>98431</v>
      </c>
      <c r="DW19" s="285">
        <v>108864</v>
      </c>
      <c r="DX19" s="285">
        <v>108864</v>
      </c>
      <c r="DY19" s="285">
        <v>117029</v>
      </c>
      <c r="DZ19" s="244">
        <v>108864</v>
      </c>
      <c r="EA19" s="244">
        <v>108864</v>
      </c>
      <c r="EB19" s="244">
        <v>117029</v>
      </c>
      <c r="EC19" s="244">
        <v>79500</v>
      </c>
      <c r="ED19" s="244">
        <v>79500</v>
      </c>
      <c r="EE19" s="244">
        <v>86300</v>
      </c>
      <c r="EF19" s="244">
        <v>94000</v>
      </c>
      <c r="EG19" s="244">
        <v>94000</v>
      </c>
      <c r="EH19" s="244">
        <v>94000</v>
      </c>
      <c r="EI19" s="244">
        <v>112100</v>
      </c>
      <c r="EJ19" s="244">
        <v>46269</v>
      </c>
      <c r="EK19" s="244">
        <v>49898</v>
      </c>
      <c r="EL19" s="244">
        <v>62400</v>
      </c>
      <c r="EM19" s="244">
        <v>64700</v>
      </c>
      <c r="EN19" s="244">
        <v>62400</v>
      </c>
      <c r="EO19" s="244">
        <v>64700</v>
      </c>
      <c r="EP19" s="244">
        <v>68100</v>
      </c>
      <c r="EQ19" s="244">
        <v>70100</v>
      </c>
      <c r="ER19" s="244">
        <v>70100</v>
      </c>
      <c r="ES19" s="244">
        <v>73100</v>
      </c>
      <c r="ET19" s="244">
        <v>44452</v>
      </c>
      <c r="EU19" s="244">
        <v>44906</v>
      </c>
      <c r="EV19" s="244">
        <v>46720</v>
      </c>
      <c r="EW19" s="244">
        <v>46720</v>
      </c>
      <c r="EX19" s="244">
        <v>47627</v>
      </c>
      <c r="EY19" s="244">
        <v>48534</v>
      </c>
      <c r="EZ19" s="244">
        <v>48534</v>
      </c>
      <c r="FA19" s="244">
        <v>46720</v>
      </c>
      <c r="FB19" s="244">
        <v>48534</v>
      </c>
      <c r="FC19" s="244">
        <v>51710</v>
      </c>
      <c r="FD19" s="285">
        <v>51710</v>
      </c>
      <c r="FE19" s="244">
        <v>54885</v>
      </c>
      <c r="FF19" s="244">
        <v>56246</v>
      </c>
      <c r="FG19" s="244">
        <v>49895</v>
      </c>
      <c r="FH19" s="244">
        <v>54658</v>
      </c>
      <c r="FI19" s="244">
        <v>58604</v>
      </c>
      <c r="FJ19" s="244">
        <v>65317</v>
      </c>
      <c r="FK19" s="244">
        <v>66814</v>
      </c>
      <c r="FL19" s="244">
        <v>71350</v>
      </c>
      <c r="FM19" s="244">
        <v>60781</v>
      </c>
      <c r="FN19" s="244">
        <v>66360</v>
      </c>
      <c r="FO19" s="244">
        <v>66043</v>
      </c>
      <c r="FP19" s="244">
        <v>69308</v>
      </c>
      <c r="FQ19" s="244">
        <v>69308</v>
      </c>
      <c r="FR19" s="244">
        <v>74343</v>
      </c>
      <c r="FS19" s="244">
        <v>75931</v>
      </c>
      <c r="FT19" s="244">
        <v>69308</v>
      </c>
      <c r="FU19" s="244">
        <v>74343</v>
      </c>
      <c r="FV19" s="244">
        <v>89800</v>
      </c>
      <c r="FW19" s="244">
        <v>95250</v>
      </c>
      <c r="FX19" s="244">
        <v>89800</v>
      </c>
      <c r="FY19" s="244">
        <v>95250</v>
      </c>
      <c r="FZ19" s="244">
        <v>92250</v>
      </c>
      <c r="GA19" s="244">
        <v>92250</v>
      </c>
      <c r="GB19" s="244">
        <v>101610</v>
      </c>
      <c r="GC19" s="244">
        <v>101610</v>
      </c>
      <c r="GD19" s="244">
        <v>101610</v>
      </c>
      <c r="GE19" s="244">
        <v>101610</v>
      </c>
      <c r="GF19" s="244">
        <v>116573</v>
      </c>
      <c r="GG19" s="244">
        <v>122470</v>
      </c>
      <c r="GH19" s="244">
        <v>122470</v>
      </c>
      <c r="GI19" s="244">
        <v>123377</v>
      </c>
      <c r="GJ19" s="244">
        <v>122470</v>
      </c>
      <c r="GK19" s="244">
        <v>123377</v>
      </c>
      <c r="GL19" s="244">
        <v>126099</v>
      </c>
      <c r="GM19" s="244">
        <v>126099</v>
      </c>
      <c r="GN19" s="244">
        <v>129274</v>
      </c>
      <c r="GO19" s="244">
        <v>129274</v>
      </c>
      <c r="GP19" s="244">
        <v>118500</v>
      </c>
      <c r="GQ19" s="244">
        <v>119500</v>
      </c>
      <c r="GR19" s="244">
        <v>122000</v>
      </c>
      <c r="GS19" s="244">
        <v>122000</v>
      </c>
      <c r="GT19" s="244">
        <v>122000</v>
      </c>
      <c r="GU19" s="244">
        <v>123000</v>
      </c>
      <c r="GV19" s="244">
        <v>124000</v>
      </c>
      <c r="GW19" s="244">
        <v>124000</v>
      </c>
      <c r="GX19" s="244">
        <v>124000</v>
      </c>
      <c r="GY19" s="244">
        <v>56000</v>
      </c>
      <c r="GZ19" s="244">
        <v>56000</v>
      </c>
      <c r="HA19" s="244">
        <v>57500</v>
      </c>
      <c r="HB19" s="244">
        <v>57500</v>
      </c>
      <c r="HC19" s="244">
        <v>61000</v>
      </c>
      <c r="HD19" s="244">
        <v>62500</v>
      </c>
      <c r="HE19" s="244">
        <v>62500</v>
      </c>
      <c r="HF19" s="244">
        <v>61000</v>
      </c>
      <c r="HG19" s="244">
        <v>61000</v>
      </c>
      <c r="HH19" s="244">
        <v>62800</v>
      </c>
      <c r="HI19" s="244">
        <v>62800</v>
      </c>
      <c r="HJ19" s="244">
        <v>63900</v>
      </c>
      <c r="HK19" s="244">
        <v>64500</v>
      </c>
      <c r="HL19" s="244">
        <v>64500</v>
      </c>
      <c r="HM19" s="244">
        <v>64500</v>
      </c>
      <c r="HN19" s="244">
        <v>64500</v>
      </c>
      <c r="HO19" s="244">
        <v>64500</v>
      </c>
      <c r="HP19" s="244">
        <v>66300</v>
      </c>
      <c r="HQ19" s="244">
        <v>67400</v>
      </c>
      <c r="HR19" s="244">
        <v>66300</v>
      </c>
      <c r="HS19" s="244">
        <v>67400</v>
      </c>
      <c r="HT19" s="244">
        <v>67400</v>
      </c>
      <c r="HU19" s="244">
        <v>67400</v>
      </c>
      <c r="HV19" s="244">
        <v>73500</v>
      </c>
      <c r="HW19" s="244">
        <v>73500</v>
      </c>
      <c r="HX19" s="244">
        <v>75500</v>
      </c>
      <c r="HY19" s="244">
        <v>77800</v>
      </c>
      <c r="HZ19" s="244">
        <v>77800</v>
      </c>
      <c r="IA19" s="244">
        <v>77300</v>
      </c>
      <c r="IB19" s="244">
        <v>77300</v>
      </c>
      <c r="IC19" s="244">
        <v>79200</v>
      </c>
      <c r="ID19" s="244">
        <v>77300</v>
      </c>
      <c r="IE19" s="244">
        <v>77300</v>
      </c>
      <c r="IF19" s="244">
        <v>79200</v>
      </c>
      <c r="IG19" s="244">
        <v>32800</v>
      </c>
      <c r="IH19" s="244">
        <v>32800</v>
      </c>
      <c r="II19" s="244">
        <v>33300</v>
      </c>
      <c r="IJ19" s="244">
        <v>34000</v>
      </c>
      <c r="IK19" s="244">
        <v>34000</v>
      </c>
      <c r="IL19" s="244">
        <v>34000</v>
      </c>
      <c r="IM19" s="244">
        <v>43000</v>
      </c>
      <c r="IN19" s="244">
        <v>43000</v>
      </c>
      <c r="IO19" s="244">
        <v>44000</v>
      </c>
      <c r="IP19" s="244">
        <v>45000</v>
      </c>
      <c r="IQ19" s="244">
        <v>45000</v>
      </c>
      <c r="IR19" s="244">
        <v>45800</v>
      </c>
      <c r="IS19" s="244">
        <v>18500</v>
      </c>
      <c r="IT19" s="244">
        <v>18500</v>
      </c>
      <c r="IU19" s="285">
        <v>18700</v>
      </c>
      <c r="IV19" s="285">
        <v>18700</v>
      </c>
      <c r="IW19" s="285">
        <v>19300</v>
      </c>
      <c r="IX19" s="244">
        <v>20000</v>
      </c>
      <c r="IY19" s="285">
        <v>40000</v>
      </c>
      <c r="IZ19" s="285">
        <v>49050</v>
      </c>
      <c r="JA19" s="285">
        <v>49050</v>
      </c>
      <c r="JB19" s="285">
        <v>54000</v>
      </c>
      <c r="JC19" s="244">
        <v>20276</v>
      </c>
      <c r="JD19" s="244">
        <v>21319</v>
      </c>
      <c r="JE19" s="244">
        <v>21319</v>
      </c>
      <c r="JF19" s="244">
        <v>21319</v>
      </c>
      <c r="JG19" s="244">
        <v>21319</v>
      </c>
      <c r="JH19" s="244">
        <v>30390</v>
      </c>
      <c r="JI19" s="244">
        <v>33340</v>
      </c>
      <c r="JJ19" s="244">
        <v>33340</v>
      </c>
      <c r="JK19" s="244">
        <v>36968</v>
      </c>
    </row>
    <row r="20" spans="1:271">
      <c r="A20" s="251" t="s">
        <v>2391</v>
      </c>
      <c r="B20" s="236">
        <v>1043.3</v>
      </c>
      <c r="C20" s="236">
        <v>1043.3</v>
      </c>
      <c r="D20" s="236">
        <v>1088.4353741496598</v>
      </c>
      <c r="E20" s="236">
        <v>1156.7</v>
      </c>
      <c r="F20" s="236">
        <v>1111.1111111111111</v>
      </c>
      <c r="G20" s="236">
        <v>1542</v>
      </c>
      <c r="H20" s="236">
        <v>2335.6009070294785</v>
      </c>
      <c r="I20" s="236">
        <v>1043.0840000000001</v>
      </c>
      <c r="J20" s="236">
        <v>1043.0839002267574</v>
      </c>
      <c r="K20" s="236">
        <v>725.6</v>
      </c>
      <c r="L20" s="236">
        <v>725.6</v>
      </c>
      <c r="M20" s="236">
        <v>1723.3560090702947</v>
      </c>
      <c r="N20" s="236">
        <v>3968.2539682539682</v>
      </c>
      <c r="O20" s="236">
        <v>1496.5989999999999</v>
      </c>
      <c r="P20" s="236">
        <v>2358.2766439909296</v>
      </c>
      <c r="Q20" s="236">
        <v>2494.3310657596371</v>
      </c>
      <c r="R20" s="236">
        <v>2099.7732426303855</v>
      </c>
      <c r="S20" s="236">
        <v>1904.7619047619046</v>
      </c>
      <c r="T20" s="236">
        <v>1723.3560090702947</v>
      </c>
      <c r="U20" s="236">
        <v>1541.9501133786848</v>
      </c>
      <c r="V20" s="236">
        <v>1632.6530612244896</v>
      </c>
      <c r="W20" s="236">
        <v>1632.6530612244896</v>
      </c>
      <c r="X20" s="236">
        <v>1405.8956916099773</v>
      </c>
      <c r="Y20" s="236">
        <v>598.70000000000005</v>
      </c>
      <c r="Z20" s="236">
        <v>3900.2267573696145</v>
      </c>
      <c r="AA20" s="236">
        <v>900</v>
      </c>
      <c r="AB20" s="236">
        <v>1361</v>
      </c>
      <c r="AC20" s="236">
        <v>1542</v>
      </c>
      <c r="AD20" s="236">
        <v>1633</v>
      </c>
      <c r="AE20" s="236">
        <v>800</v>
      </c>
      <c r="AF20" s="236">
        <v>1999</v>
      </c>
      <c r="AG20" s="236">
        <v>1309.7505668934241</v>
      </c>
      <c r="AH20" s="236">
        <v>1199.5464852607709</v>
      </c>
      <c r="AI20" s="236">
        <v>450</v>
      </c>
      <c r="AJ20" s="236">
        <v>300</v>
      </c>
      <c r="AK20" s="236">
        <v>4740</v>
      </c>
      <c r="AL20" s="236">
        <v>1969</v>
      </c>
      <c r="AM20" s="236">
        <v>1179.1383219954648</v>
      </c>
      <c r="AN20" s="236">
        <v>3061.2</v>
      </c>
      <c r="AO20" s="236">
        <v>997.73242630385482</v>
      </c>
      <c r="AP20" s="236">
        <v>1053.5</v>
      </c>
      <c r="AQ20" s="236">
        <v>975.05668934240362</v>
      </c>
      <c r="AR20" s="236">
        <v>1156.4625850340135</v>
      </c>
      <c r="AS20" s="236">
        <v>1542.2139999999999</v>
      </c>
      <c r="AT20" s="236">
        <v>1315.4179999999999</v>
      </c>
      <c r="AU20" s="252">
        <v>1633</v>
      </c>
      <c r="AV20" s="253">
        <v>1633</v>
      </c>
      <c r="AW20" s="236">
        <v>2358.6799999999998</v>
      </c>
      <c r="AX20" s="236">
        <v>1814.3689999999999</v>
      </c>
      <c r="AY20" s="236">
        <v>1999</v>
      </c>
      <c r="AZ20" s="236">
        <v>2309</v>
      </c>
      <c r="BA20" s="236">
        <v>5079.3650793650795</v>
      </c>
      <c r="BB20" s="236">
        <v>1723.3560090702947</v>
      </c>
      <c r="BC20" s="236">
        <v>1780.0453514739229</v>
      </c>
      <c r="BD20" s="236">
        <v>2300</v>
      </c>
      <c r="BE20" s="236">
        <v>5670</v>
      </c>
      <c r="BF20" s="236">
        <v>2984</v>
      </c>
      <c r="BG20" s="236">
        <v>5239</v>
      </c>
      <c r="BH20" s="236">
        <v>2495</v>
      </c>
      <c r="BI20" s="236">
        <v>3073.0880000000002</v>
      </c>
      <c r="BJ20" s="236">
        <v>759.7672</v>
      </c>
      <c r="BK20" s="236">
        <v>6804</v>
      </c>
      <c r="BL20" s="236">
        <v>7484</v>
      </c>
      <c r="BM20" s="236">
        <v>5670</v>
      </c>
      <c r="BN20" s="236">
        <v>5670</v>
      </c>
      <c r="BO20" s="236">
        <v>7484</v>
      </c>
      <c r="BP20" s="236">
        <v>6757.3696145124713</v>
      </c>
      <c r="BQ20" s="236">
        <v>1726</v>
      </c>
      <c r="BR20" s="236">
        <v>13990</v>
      </c>
      <c r="BS20" s="236">
        <v>16466</v>
      </c>
      <c r="BT20" s="236">
        <v>18640</v>
      </c>
      <c r="BU20" s="236">
        <v>27987</v>
      </c>
      <c r="BV20" s="236">
        <v>15646.258503401361</v>
      </c>
      <c r="BW20" s="236">
        <v>15646.258503401361</v>
      </c>
      <c r="BX20" s="236">
        <v>13155</v>
      </c>
      <c r="BY20" s="236">
        <v>11500</v>
      </c>
      <c r="BZ20" s="236">
        <v>11990</v>
      </c>
      <c r="CA20" s="236">
        <v>11500</v>
      </c>
      <c r="CB20" s="236">
        <v>11990</v>
      </c>
      <c r="CC20" s="236">
        <v>18600</v>
      </c>
      <c r="CD20" s="236">
        <v>16900</v>
      </c>
      <c r="CE20" s="236">
        <v>16900</v>
      </c>
      <c r="CF20" s="236">
        <v>18600</v>
      </c>
      <c r="CG20" s="236">
        <v>17900</v>
      </c>
      <c r="CH20" s="236">
        <v>23000</v>
      </c>
      <c r="CI20" s="236">
        <v>22000</v>
      </c>
      <c r="CJ20" s="236">
        <v>21500</v>
      </c>
      <c r="CK20" s="236">
        <v>21500</v>
      </c>
      <c r="CL20" s="236">
        <v>242630</v>
      </c>
      <c r="CM20" s="236">
        <v>297555</v>
      </c>
      <c r="CN20" s="236">
        <v>347815</v>
      </c>
      <c r="CO20" s="236">
        <v>372000</v>
      </c>
      <c r="CP20" s="236">
        <v>368000</v>
      </c>
      <c r="CQ20" s="236">
        <v>260000</v>
      </c>
      <c r="CR20" s="236">
        <v>260000</v>
      </c>
      <c r="CS20" s="236">
        <v>260000</v>
      </c>
      <c r="CT20" s="236">
        <v>253500</v>
      </c>
      <c r="CU20" s="236">
        <v>260000</v>
      </c>
      <c r="CV20" s="236">
        <v>260000</v>
      </c>
      <c r="CW20" s="236">
        <v>396894</v>
      </c>
      <c r="CX20" s="236">
        <v>396894</v>
      </c>
      <c r="CY20" s="236">
        <v>396894</v>
      </c>
      <c r="CZ20" s="236">
        <v>230000</v>
      </c>
      <c r="DA20" s="236">
        <v>158758</v>
      </c>
      <c r="DB20" s="236">
        <v>181437</v>
      </c>
      <c r="DC20" s="236">
        <v>186680</v>
      </c>
      <c r="DD20" s="236">
        <v>204116</v>
      </c>
      <c r="DE20" s="236">
        <v>204116</v>
      </c>
      <c r="DF20" s="236">
        <v>268000</v>
      </c>
      <c r="DG20" s="236">
        <v>316000</v>
      </c>
      <c r="DH20" s="236">
        <v>206385</v>
      </c>
      <c r="DI20" s="236">
        <v>206385</v>
      </c>
      <c r="DJ20" s="236">
        <v>251744</v>
      </c>
      <c r="DK20" s="236">
        <v>251744</v>
      </c>
      <c r="DL20" s="236">
        <v>251744</v>
      </c>
      <c r="DM20" s="236">
        <v>251744</v>
      </c>
      <c r="DN20" s="236">
        <v>560000</v>
      </c>
      <c r="DO20" s="236">
        <v>412770</v>
      </c>
      <c r="DP20" s="236">
        <v>412770</v>
      </c>
      <c r="DQ20" s="236">
        <v>412770</v>
      </c>
      <c r="DR20" s="262">
        <v>123800</v>
      </c>
      <c r="DS20" s="262">
        <v>125200</v>
      </c>
      <c r="DT20" s="262">
        <v>142884</v>
      </c>
      <c r="DU20" s="262">
        <v>142884</v>
      </c>
      <c r="DV20" s="262">
        <v>147420</v>
      </c>
      <c r="DW20" s="262">
        <v>147420</v>
      </c>
      <c r="DX20" s="262">
        <v>158760</v>
      </c>
      <c r="DY20" s="262">
        <v>161028</v>
      </c>
      <c r="DZ20" s="262">
        <v>147420</v>
      </c>
      <c r="EA20" s="262">
        <v>151956</v>
      </c>
      <c r="EB20" s="262">
        <v>161028</v>
      </c>
      <c r="EC20" s="262">
        <v>104000</v>
      </c>
      <c r="ED20" s="262">
        <v>106200</v>
      </c>
      <c r="EE20" s="244">
        <v>117000</v>
      </c>
      <c r="EF20" s="262">
        <v>141700</v>
      </c>
      <c r="EG20" s="262">
        <v>141700</v>
      </c>
      <c r="EH20" s="262">
        <v>148500</v>
      </c>
      <c r="EI20" s="262">
        <v>151500</v>
      </c>
      <c r="EJ20" s="262">
        <v>53524</v>
      </c>
      <c r="EK20" s="262">
        <v>54884</v>
      </c>
      <c r="EL20" s="262">
        <v>72600</v>
      </c>
      <c r="EM20" s="262">
        <v>76700</v>
      </c>
      <c r="EN20" s="262">
        <v>72600</v>
      </c>
      <c r="EO20" s="262">
        <v>76700</v>
      </c>
      <c r="EP20" s="262">
        <v>78500</v>
      </c>
      <c r="EQ20" s="262">
        <v>83900</v>
      </c>
      <c r="ER20" s="262">
        <v>86500</v>
      </c>
      <c r="ES20" s="262">
        <v>95100</v>
      </c>
      <c r="ET20" s="329">
        <v>46720</v>
      </c>
      <c r="EU20" s="329">
        <v>49895</v>
      </c>
      <c r="EV20" s="329">
        <v>52390</v>
      </c>
      <c r="EW20" s="329">
        <v>52390</v>
      </c>
      <c r="EX20" s="329">
        <v>53070</v>
      </c>
      <c r="EY20" s="285">
        <v>56472</v>
      </c>
      <c r="EZ20" s="285">
        <v>58105</v>
      </c>
      <c r="FA20" s="285">
        <v>52390</v>
      </c>
      <c r="FB20" s="285">
        <v>58105</v>
      </c>
      <c r="FC20" s="285">
        <v>56472</v>
      </c>
      <c r="FD20" s="285">
        <v>62142</v>
      </c>
      <c r="FE20" s="285">
        <v>62823</v>
      </c>
      <c r="FF20" s="285">
        <v>64637</v>
      </c>
      <c r="FG20" s="285">
        <v>52390</v>
      </c>
      <c r="FH20" s="285">
        <v>56245</v>
      </c>
      <c r="FI20" s="285">
        <v>70080</v>
      </c>
      <c r="FJ20" s="285">
        <v>70534</v>
      </c>
      <c r="FK20" s="285">
        <v>79016</v>
      </c>
      <c r="FL20" s="285">
        <v>85139</v>
      </c>
      <c r="FM20" s="285">
        <v>77564</v>
      </c>
      <c r="FN20" s="285">
        <v>79015</v>
      </c>
      <c r="FO20" s="285">
        <v>80285</v>
      </c>
      <c r="FP20" s="285">
        <v>82644</v>
      </c>
      <c r="FQ20" s="285">
        <v>82644</v>
      </c>
      <c r="FR20" s="285">
        <v>88314</v>
      </c>
      <c r="FS20" s="285">
        <v>89765</v>
      </c>
      <c r="FT20" s="285">
        <v>82644</v>
      </c>
      <c r="FU20" s="285">
        <v>88314</v>
      </c>
      <c r="FV20" s="285">
        <v>113400</v>
      </c>
      <c r="FW20" s="244">
        <v>115650</v>
      </c>
      <c r="FX20" s="244">
        <v>108850</v>
      </c>
      <c r="FY20" s="244">
        <v>115650</v>
      </c>
      <c r="FZ20" s="244">
        <v>113400</v>
      </c>
      <c r="GA20" s="244">
        <v>116650</v>
      </c>
      <c r="GB20" s="244">
        <v>122470</v>
      </c>
      <c r="GC20" s="244">
        <v>122470</v>
      </c>
      <c r="GD20" s="244">
        <v>122470</v>
      </c>
      <c r="GE20" s="244">
        <v>122470</v>
      </c>
      <c r="GF20" s="244">
        <v>127913</v>
      </c>
      <c r="GG20" s="285">
        <v>136078</v>
      </c>
      <c r="GH20" s="285">
        <v>140614</v>
      </c>
      <c r="GI20" s="285">
        <v>142882</v>
      </c>
      <c r="GJ20" s="285">
        <v>140614</v>
      </c>
      <c r="GK20" s="285">
        <v>142882</v>
      </c>
      <c r="GL20" s="285">
        <v>151954</v>
      </c>
      <c r="GM20" s="285">
        <v>159211</v>
      </c>
      <c r="GN20" s="285">
        <v>172365</v>
      </c>
      <c r="GO20" s="285">
        <v>175540</v>
      </c>
      <c r="GP20" s="262">
        <v>132000</v>
      </c>
      <c r="GQ20" s="262">
        <v>132000</v>
      </c>
      <c r="GR20" s="262">
        <v>138600</v>
      </c>
      <c r="GS20" s="262">
        <v>142000</v>
      </c>
      <c r="GT20" s="262">
        <v>142000</v>
      </c>
      <c r="GU20" s="262">
        <v>150000</v>
      </c>
      <c r="GV20" s="262">
        <v>153000</v>
      </c>
      <c r="GW20" s="262">
        <v>160000</v>
      </c>
      <c r="GX20" s="262">
        <v>164000</v>
      </c>
      <c r="GY20" s="262">
        <v>59000</v>
      </c>
      <c r="GZ20" s="262">
        <v>59000</v>
      </c>
      <c r="HA20" s="262">
        <v>68000</v>
      </c>
      <c r="HB20" s="262">
        <v>68000</v>
      </c>
      <c r="HC20" s="262">
        <v>64000</v>
      </c>
      <c r="HD20" s="262">
        <v>75500</v>
      </c>
      <c r="HE20" s="262">
        <v>75500</v>
      </c>
      <c r="HF20" s="262">
        <v>75500</v>
      </c>
      <c r="HG20" s="262">
        <v>75500</v>
      </c>
      <c r="HH20" s="262">
        <v>64000</v>
      </c>
      <c r="HI20" s="262">
        <v>75500</v>
      </c>
      <c r="HJ20" s="262">
        <v>64000</v>
      </c>
      <c r="HK20" s="262">
        <v>73500</v>
      </c>
      <c r="HL20" s="262">
        <v>73500</v>
      </c>
      <c r="HM20" s="262">
        <v>78000</v>
      </c>
      <c r="HN20" s="262">
        <v>73500</v>
      </c>
      <c r="HO20" s="262">
        <v>78000</v>
      </c>
      <c r="HP20" s="262">
        <v>73500</v>
      </c>
      <c r="HQ20" s="262">
        <v>79000</v>
      </c>
      <c r="HR20" s="262">
        <v>79000</v>
      </c>
      <c r="HS20" s="262">
        <v>73500</v>
      </c>
      <c r="HT20" s="262">
        <v>79000</v>
      </c>
      <c r="HU20" s="262">
        <v>79000</v>
      </c>
      <c r="HV20" s="262">
        <v>83000</v>
      </c>
      <c r="HW20" s="262">
        <v>83000</v>
      </c>
      <c r="HX20" s="262">
        <v>89000</v>
      </c>
      <c r="HY20" s="262">
        <v>93500</v>
      </c>
      <c r="HZ20" s="262">
        <v>93500</v>
      </c>
      <c r="IA20" s="262">
        <v>89000</v>
      </c>
      <c r="IB20" s="262">
        <v>93500</v>
      </c>
      <c r="IC20" s="262">
        <v>93500</v>
      </c>
      <c r="ID20" s="262">
        <v>97000</v>
      </c>
      <c r="IE20" s="262">
        <v>101000</v>
      </c>
      <c r="IF20" s="262">
        <v>101000</v>
      </c>
      <c r="IG20" s="244">
        <v>35990</v>
      </c>
      <c r="IH20" s="244">
        <v>37200</v>
      </c>
      <c r="II20" s="244">
        <v>38600</v>
      </c>
      <c r="IJ20" s="244">
        <v>37500</v>
      </c>
      <c r="IK20" s="244">
        <v>38790</v>
      </c>
      <c r="IL20" s="244">
        <v>40370</v>
      </c>
      <c r="IM20" s="244">
        <v>47790</v>
      </c>
      <c r="IN20" s="244">
        <v>50300</v>
      </c>
      <c r="IO20" s="244">
        <v>51800</v>
      </c>
      <c r="IP20" s="244">
        <v>48790</v>
      </c>
      <c r="IQ20" s="244">
        <v>50790</v>
      </c>
      <c r="IR20" s="244">
        <v>52290</v>
      </c>
      <c r="IS20" s="244">
        <v>19000</v>
      </c>
      <c r="IT20" s="244">
        <v>20000</v>
      </c>
      <c r="IU20" s="285">
        <v>21100</v>
      </c>
      <c r="IV20" s="285">
        <v>20990</v>
      </c>
      <c r="IW20" s="285">
        <v>22000</v>
      </c>
      <c r="IX20" s="244">
        <v>24100</v>
      </c>
      <c r="IY20" s="285">
        <v>44600</v>
      </c>
      <c r="IZ20" s="285">
        <v>56400</v>
      </c>
      <c r="JA20" s="285">
        <v>56400</v>
      </c>
      <c r="JB20" s="285">
        <v>61500</v>
      </c>
      <c r="JC20" s="244">
        <v>21523</v>
      </c>
      <c r="JD20" s="244">
        <v>23133</v>
      </c>
      <c r="JE20" s="244">
        <v>24041</v>
      </c>
      <c r="JF20" s="244">
        <v>23133</v>
      </c>
      <c r="JG20" s="244">
        <v>24041</v>
      </c>
      <c r="JH20" s="244">
        <v>32999</v>
      </c>
      <c r="JI20" s="244">
        <v>38329</v>
      </c>
      <c r="JJ20" s="244">
        <v>38329</v>
      </c>
      <c r="JK20" s="244">
        <v>41640</v>
      </c>
    </row>
    <row r="21" spans="1:271">
      <c r="A21" s="251" t="s">
        <v>2392</v>
      </c>
      <c r="B21" s="236">
        <v>147.6</v>
      </c>
      <c r="C21" s="236">
        <v>147.6</v>
      </c>
      <c r="D21" s="236">
        <v>163</v>
      </c>
      <c r="E21" s="236">
        <v>212</v>
      </c>
      <c r="F21" s="236">
        <v>211.96</v>
      </c>
      <c r="G21" s="236">
        <v>401</v>
      </c>
      <c r="H21" s="236">
        <v>586.67499999999995</v>
      </c>
      <c r="I21" s="236">
        <v>158.97</v>
      </c>
      <c r="J21" s="236">
        <v>158.97</v>
      </c>
      <c r="K21" s="236">
        <v>98.4</v>
      </c>
      <c r="L21" s="236">
        <v>98.4</v>
      </c>
      <c r="M21" s="236">
        <v>230.88500000000002</v>
      </c>
      <c r="N21" s="236">
        <v>1270.2460000000001</v>
      </c>
      <c r="O21" s="236">
        <v>246.02500000000001</v>
      </c>
      <c r="P21" s="236">
        <v>386.07</v>
      </c>
      <c r="Q21" s="236">
        <v>386.07</v>
      </c>
      <c r="R21" s="236">
        <v>352.005</v>
      </c>
      <c r="S21" s="236">
        <v>352.005</v>
      </c>
      <c r="T21" s="236">
        <v>340.65000000000003</v>
      </c>
      <c r="U21" s="236">
        <v>340.65000000000003</v>
      </c>
      <c r="V21" s="236">
        <v>348.22</v>
      </c>
      <c r="W21" s="236">
        <v>348.22</v>
      </c>
      <c r="X21" s="236">
        <v>348.22</v>
      </c>
      <c r="Y21" s="236">
        <v>96.34</v>
      </c>
      <c r="Z21" s="236">
        <v>1411.048</v>
      </c>
      <c r="AA21" s="236">
        <v>120</v>
      </c>
      <c r="AB21" s="236">
        <v>229</v>
      </c>
      <c r="AC21" s="236">
        <v>318</v>
      </c>
      <c r="AD21" s="236">
        <v>358</v>
      </c>
      <c r="AE21" s="236">
        <v>92.732500000000002</v>
      </c>
      <c r="AF21" s="236">
        <v>195</v>
      </c>
      <c r="AG21" s="236">
        <v>155.185</v>
      </c>
      <c r="AH21" s="236">
        <v>155.185</v>
      </c>
      <c r="AI21" s="236">
        <v>65</v>
      </c>
      <c r="AJ21" s="236">
        <v>40</v>
      </c>
      <c r="AK21" s="236">
        <v>1521.5700000000002</v>
      </c>
      <c r="AL21" s="236">
        <v>454</v>
      </c>
      <c r="AM21" s="236">
        <v>189.25</v>
      </c>
      <c r="AN21" s="236">
        <v>1211.2</v>
      </c>
      <c r="AO21" s="236">
        <v>242.24</v>
      </c>
      <c r="AP21" s="236">
        <v>189.25</v>
      </c>
      <c r="AQ21" s="236">
        <v>189.25</v>
      </c>
      <c r="AR21" s="236">
        <v>189.25</v>
      </c>
      <c r="AS21" s="236">
        <v>317.94</v>
      </c>
      <c r="AT21" s="236">
        <v>317.94</v>
      </c>
      <c r="AU21" s="252">
        <v>371</v>
      </c>
      <c r="AV21" s="253">
        <v>371</v>
      </c>
      <c r="AW21" s="236">
        <v>545.04</v>
      </c>
      <c r="AX21" s="236">
        <v>370.93</v>
      </c>
      <c r="AY21" s="236">
        <v>370.93</v>
      </c>
      <c r="AZ21" s="236">
        <v>654.79999999999995</v>
      </c>
      <c r="BA21" s="236">
        <v>2406.1476442428825</v>
      </c>
      <c r="BB21" s="236">
        <v>416.35</v>
      </c>
      <c r="BC21" s="236">
        <v>416.35</v>
      </c>
      <c r="BD21" s="236">
        <f>168.4*2</f>
        <v>336.8</v>
      </c>
      <c r="BE21" s="236">
        <v>1419</v>
      </c>
      <c r="BF21" s="236">
        <v>1100</v>
      </c>
      <c r="BG21" s="236">
        <v>1597</v>
      </c>
      <c r="BH21" s="236">
        <v>734</v>
      </c>
      <c r="BI21" s="236">
        <v>897.04500000000007</v>
      </c>
      <c r="BJ21" s="236">
        <v>113.55000000000001</v>
      </c>
      <c r="BK21" s="236">
        <v>2040</v>
      </c>
      <c r="BL21" s="236">
        <v>2934</v>
      </c>
      <c r="BM21" s="236">
        <v>2059</v>
      </c>
      <c r="BN21" s="236">
        <v>2047</v>
      </c>
      <c r="BO21" s="236">
        <v>2934</v>
      </c>
      <c r="BP21" s="236">
        <v>2153.665</v>
      </c>
      <c r="BQ21" s="236">
        <v>302.8</v>
      </c>
      <c r="BR21" s="236">
        <v>4285</v>
      </c>
      <c r="BS21" s="236">
        <v>3202</v>
      </c>
      <c r="BT21" s="236">
        <v>3161</v>
      </c>
      <c r="BU21" s="236">
        <v>11724</v>
      </c>
      <c r="BV21" s="236">
        <v>3160</v>
      </c>
      <c r="BW21" s="236">
        <v>3160</v>
      </c>
      <c r="BX21" s="236">
        <v>3195</v>
      </c>
      <c r="BY21" s="236">
        <v>3312.1</v>
      </c>
      <c r="BZ21" s="236">
        <v>3312.1</v>
      </c>
      <c r="CA21" s="236">
        <v>3312.1</v>
      </c>
      <c r="CB21" s="236">
        <v>3312.1</v>
      </c>
      <c r="CC21" s="236">
        <v>6250</v>
      </c>
      <c r="CD21" s="236">
        <v>6250</v>
      </c>
      <c r="CE21" s="236">
        <v>6250</v>
      </c>
      <c r="CF21" s="236">
        <v>6250</v>
      </c>
      <c r="CG21" s="236">
        <v>6250</v>
      </c>
      <c r="CH21" s="236">
        <v>6944.4</v>
      </c>
      <c r="CI21" s="236">
        <v>6944.4</v>
      </c>
      <c r="CJ21" s="236">
        <v>6944.4</v>
      </c>
      <c r="CK21" s="236">
        <v>6944.4</v>
      </c>
      <c r="CL21" s="236">
        <v>117300</v>
      </c>
      <c r="CM21" s="236">
        <v>171176</v>
      </c>
      <c r="CN21" s="236">
        <v>181283</v>
      </c>
      <c r="CO21" s="236">
        <v>215108</v>
      </c>
      <c r="CP21" s="236">
        <v>195010</v>
      </c>
      <c r="CQ21" s="236">
        <v>140640</v>
      </c>
      <c r="CR21" s="236">
        <v>140640</v>
      </c>
      <c r="CS21" s="236">
        <v>140640</v>
      </c>
      <c r="CT21" s="236">
        <v>140640</v>
      </c>
      <c r="CU21" s="236">
        <v>140640</v>
      </c>
      <c r="CV21" s="236">
        <v>140640</v>
      </c>
      <c r="CW21" s="236">
        <v>216824</v>
      </c>
      <c r="CX21" s="236">
        <v>215824</v>
      </c>
      <c r="CY21" s="236">
        <v>215824</v>
      </c>
      <c r="CZ21" s="236">
        <v>97530</v>
      </c>
      <c r="DA21" s="236">
        <v>63216</v>
      </c>
      <c r="DB21" s="236">
        <v>91380</v>
      </c>
      <c r="DC21" s="236">
        <v>91380</v>
      </c>
      <c r="DD21" s="236">
        <v>91380</v>
      </c>
      <c r="DE21" s="236">
        <v>91380</v>
      </c>
      <c r="DF21" s="236">
        <v>138000</v>
      </c>
      <c r="DG21" s="236">
        <v>158790</v>
      </c>
      <c r="DH21" s="236">
        <v>82376</v>
      </c>
      <c r="DI21" s="236">
        <v>82376</v>
      </c>
      <c r="DJ21" s="236">
        <v>137509</v>
      </c>
      <c r="DK21" s="236">
        <v>137509</v>
      </c>
      <c r="DL21" s="236">
        <v>137509</v>
      </c>
      <c r="DM21" s="236">
        <v>137509</v>
      </c>
      <c r="DN21" s="236">
        <v>323546</v>
      </c>
      <c r="DO21" s="236">
        <v>239393</v>
      </c>
      <c r="DP21" s="236">
        <v>228272</v>
      </c>
      <c r="DQ21" s="236">
        <v>239393</v>
      </c>
      <c r="DR21" s="262">
        <v>66245</v>
      </c>
      <c r="DS21" s="262">
        <v>66245</v>
      </c>
      <c r="DT21" s="262">
        <v>88552</v>
      </c>
      <c r="DU21" s="262">
        <v>88552</v>
      </c>
      <c r="DV21" s="262">
        <v>88552</v>
      </c>
      <c r="DW21" s="262">
        <v>88552</v>
      </c>
      <c r="DX21" s="262">
        <v>91891</v>
      </c>
      <c r="DY21" s="262">
        <v>91891</v>
      </c>
      <c r="DZ21" s="262">
        <v>88552</v>
      </c>
      <c r="EA21" s="262">
        <v>91891</v>
      </c>
      <c r="EB21" s="262">
        <v>91891</v>
      </c>
      <c r="EC21" s="262">
        <v>60900</v>
      </c>
      <c r="ED21" s="262">
        <v>60900</v>
      </c>
      <c r="EE21" s="262">
        <v>65590</v>
      </c>
      <c r="EF21" s="262">
        <v>90160</v>
      </c>
      <c r="EG21" s="262">
        <v>90160</v>
      </c>
      <c r="EH21" s="262">
        <v>90290</v>
      </c>
      <c r="EI21" s="262">
        <v>90290</v>
      </c>
      <c r="EJ21" s="262">
        <v>13903</v>
      </c>
      <c r="EK21" s="330">
        <v>16665</v>
      </c>
      <c r="EL21" s="262">
        <v>29069</v>
      </c>
      <c r="EM21" s="262">
        <v>29069</v>
      </c>
      <c r="EN21" s="262">
        <v>29069</v>
      </c>
      <c r="EO21" s="262">
        <v>29069</v>
      </c>
      <c r="EP21" s="262">
        <v>30620</v>
      </c>
      <c r="EQ21" s="262">
        <v>30620</v>
      </c>
      <c r="ER21" s="262">
        <v>33762</v>
      </c>
      <c r="ES21" s="262">
        <v>40064</v>
      </c>
      <c r="ET21" s="244">
        <v>13420</v>
      </c>
      <c r="EU21" s="244">
        <v>18090</v>
      </c>
      <c r="EV21" s="244">
        <v>18090</v>
      </c>
      <c r="EW21" s="244">
        <v>19530</v>
      </c>
      <c r="EX21" s="244">
        <v>19530</v>
      </c>
      <c r="EY21" s="285">
        <v>21007</v>
      </c>
      <c r="EZ21" s="244">
        <v>22600</v>
      </c>
      <c r="FA21" s="244">
        <v>19531</v>
      </c>
      <c r="FB21" s="244">
        <v>19531</v>
      </c>
      <c r="FC21" s="285">
        <v>20102</v>
      </c>
      <c r="FD21" s="285">
        <v>21964</v>
      </c>
      <c r="FE21" s="285">
        <v>20102</v>
      </c>
      <c r="FF21" s="285">
        <v>21964</v>
      </c>
      <c r="FG21" s="244">
        <v>20103</v>
      </c>
      <c r="FH21" s="285">
        <v>26022</v>
      </c>
      <c r="FI21" s="285">
        <v>26022</v>
      </c>
      <c r="FJ21" s="285">
        <v>26022</v>
      </c>
      <c r="FK21" s="285">
        <v>26022</v>
      </c>
      <c r="FL21" s="285">
        <v>29666</v>
      </c>
      <c r="FM21" s="244">
        <v>33611</v>
      </c>
      <c r="FN21" s="244">
        <v>37538</v>
      </c>
      <c r="FO21" s="244">
        <v>25816</v>
      </c>
      <c r="FP21" s="244">
        <v>25817</v>
      </c>
      <c r="FQ21" s="244">
        <v>25817</v>
      </c>
      <c r="FR21" s="244">
        <v>25817</v>
      </c>
      <c r="FS21" s="244">
        <v>25817</v>
      </c>
      <c r="FT21" s="244">
        <v>35302</v>
      </c>
      <c r="FU21" s="244">
        <v>35303</v>
      </c>
      <c r="FV21" s="244">
        <v>42680</v>
      </c>
      <c r="FW21" s="244">
        <v>42680</v>
      </c>
      <c r="FX21" s="244">
        <v>42680</v>
      </c>
      <c r="FY21" s="244">
        <v>42680</v>
      </c>
      <c r="FZ21" s="244">
        <v>42680</v>
      </c>
      <c r="GA21" s="244">
        <v>42680</v>
      </c>
      <c r="GB21" s="244">
        <v>43495</v>
      </c>
      <c r="GC21" s="244">
        <v>43495</v>
      </c>
      <c r="GD21" s="244">
        <v>43495</v>
      </c>
      <c r="GE21" s="244">
        <v>43495</v>
      </c>
      <c r="GF21" s="285">
        <v>45955</v>
      </c>
      <c r="GG21" s="285">
        <v>63217</v>
      </c>
      <c r="GH21" s="285">
        <v>63217</v>
      </c>
      <c r="GI21" s="285">
        <v>63217</v>
      </c>
      <c r="GJ21" s="285">
        <v>63217</v>
      </c>
      <c r="GK21" s="285">
        <v>63217</v>
      </c>
      <c r="GL21" s="285">
        <v>63216</v>
      </c>
      <c r="GM21" s="285">
        <v>77752</v>
      </c>
      <c r="GN21" s="285">
        <v>91380</v>
      </c>
      <c r="GO21" s="285">
        <v>91380</v>
      </c>
      <c r="GP21" s="262">
        <v>61070</v>
      </c>
      <c r="GQ21" s="262">
        <v>61070</v>
      </c>
      <c r="GR21" s="262">
        <v>61070</v>
      </c>
      <c r="GS21" s="262">
        <v>61070</v>
      </c>
      <c r="GT21" s="262">
        <v>61070</v>
      </c>
      <c r="GU21" s="262">
        <v>61070</v>
      </c>
      <c r="GV21" s="262">
        <v>61070</v>
      </c>
      <c r="GW21" s="262">
        <v>61070</v>
      </c>
      <c r="GX21" s="262">
        <v>61070</v>
      </c>
      <c r="GY21" s="262">
        <v>24209</v>
      </c>
      <c r="GZ21" s="262">
        <v>24209</v>
      </c>
      <c r="HA21" s="262">
        <v>24209</v>
      </c>
      <c r="HB21" s="262">
        <v>24209</v>
      </c>
      <c r="HC21" s="262">
        <v>24209</v>
      </c>
      <c r="HD21" s="262">
        <v>24209</v>
      </c>
      <c r="HE21" s="262">
        <v>24209</v>
      </c>
      <c r="HF21" s="262">
        <v>24209</v>
      </c>
      <c r="HG21" s="262">
        <v>24209</v>
      </c>
      <c r="HH21" s="262">
        <v>23740</v>
      </c>
      <c r="HI21" s="262">
        <v>23740</v>
      </c>
      <c r="HJ21" s="262">
        <v>23740</v>
      </c>
      <c r="HK21" s="262">
        <v>24209</v>
      </c>
      <c r="HL21" s="262">
        <v>24209</v>
      </c>
      <c r="HM21" s="262">
        <v>24209</v>
      </c>
      <c r="HN21" s="262">
        <v>23859</v>
      </c>
      <c r="HO21" s="262">
        <v>23859</v>
      </c>
      <c r="HP21" s="262">
        <v>23740</v>
      </c>
      <c r="HQ21" s="262">
        <v>23740</v>
      </c>
      <c r="HR21" s="262">
        <v>23740</v>
      </c>
      <c r="HS21" s="262">
        <v>23740</v>
      </c>
      <c r="HT21" s="262">
        <v>23740</v>
      </c>
      <c r="HU21" s="262">
        <v>23740</v>
      </c>
      <c r="HV21" s="262">
        <v>24050</v>
      </c>
      <c r="HW21" s="262">
        <v>23700</v>
      </c>
      <c r="HX21" s="262">
        <v>24050</v>
      </c>
      <c r="HY21" s="262">
        <v>24050</v>
      </c>
      <c r="HZ21" s="262">
        <v>23700</v>
      </c>
      <c r="IA21" s="262">
        <v>23490</v>
      </c>
      <c r="IB21" s="262">
        <v>23490</v>
      </c>
      <c r="IC21" s="262">
        <v>23490</v>
      </c>
      <c r="ID21" s="262">
        <v>32943</v>
      </c>
      <c r="IE21" s="262">
        <v>39748</v>
      </c>
      <c r="IF21" s="262">
        <v>39748</v>
      </c>
      <c r="IG21" s="244">
        <v>11625</v>
      </c>
      <c r="IH21" s="244">
        <v>11625</v>
      </c>
      <c r="II21" s="244">
        <v>11625</v>
      </c>
      <c r="IJ21" s="244">
        <v>11625</v>
      </c>
      <c r="IK21" s="244">
        <v>11625</v>
      </c>
      <c r="IL21" s="244">
        <v>11625</v>
      </c>
      <c r="IM21" s="244">
        <v>16153</v>
      </c>
      <c r="IN21" s="244">
        <v>16153</v>
      </c>
      <c r="IO21" s="244">
        <v>16153</v>
      </c>
      <c r="IP21" s="244">
        <v>16153</v>
      </c>
      <c r="IQ21" s="244">
        <v>16153</v>
      </c>
      <c r="IR21" s="244">
        <v>16153</v>
      </c>
      <c r="IS21" s="244">
        <v>5146</v>
      </c>
      <c r="IT21" s="244">
        <v>5146</v>
      </c>
      <c r="IU21" s="285">
        <v>6396</v>
      </c>
      <c r="IV21" s="285">
        <v>5153</v>
      </c>
      <c r="IW21" s="285">
        <v>5786</v>
      </c>
      <c r="IX21" s="285">
        <v>7438</v>
      </c>
      <c r="IY21" s="244">
        <v>10612.7</v>
      </c>
      <c r="IZ21" s="244">
        <f>IZ22/0.803</f>
        <v>17048.567870485676</v>
      </c>
      <c r="JA21" s="244">
        <f>JA22/0.803</f>
        <v>17048.567870485676</v>
      </c>
      <c r="JB21" s="244">
        <f>JB22/0.803</f>
        <v>17048.567870485676</v>
      </c>
      <c r="JC21" s="244">
        <v>5300</v>
      </c>
      <c r="JD21" s="244">
        <v>8081</v>
      </c>
      <c r="JE21" s="244">
        <v>8081</v>
      </c>
      <c r="JF21" s="244">
        <v>8081</v>
      </c>
      <c r="JG21" s="244">
        <v>8081</v>
      </c>
      <c r="JH21" s="244">
        <v>10989</v>
      </c>
      <c r="JI21" s="244">
        <v>10989</v>
      </c>
      <c r="JJ21" s="311">
        <v>10989</v>
      </c>
      <c r="JK21" s="244">
        <v>10989</v>
      </c>
    </row>
    <row r="22" spans="1:271">
      <c r="A22" s="281" t="s">
        <v>2393</v>
      </c>
      <c r="B22" s="331">
        <v>98.12</v>
      </c>
      <c r="C22" s="331">
        <v>98.12</v>
      </c>
      <c r="D22" s="331">
        <v>109.008</v>
      </c>
      <c r="E22" s="331">
        <v>148.30000000000001</v>
      </c>
      <c r="F22" s="331">
        <v>144.43559999999999</v>
      </c>
      <c r="G22" s="331">
        <v>234.72</v>
      </c>
      <c r="H22" s="331">
        <v>579.10500000000002</v>
      </c>
      <c r="I22" s="331">
        <v>103.55800000000001</v>
      </c>
      <c r="J22" s="331">
        <v>103.55800000000001</v>
      </c>
      <c r="K22" s="331">
        <v>61.3</v>
      </c>
      <c r="L22" s="331">
        <v>61.3</v>
      </c>
      <c r="M22" s="331">
        <v>147.16079999999999</v>
      </c>
      <c r="N22" s="331">
        <v>904.76640000000009</v>
      </c>
      <c r="O22" s="331">
        <v>172.77767999999998</v>
      </c>
      <c r="P22" s="282">
        <v>277.97039999999998</v>
      </c>
      <c r="Q22" s="331">
        <v>272.52</v>
      </c>
      <c r="R22" s="282">
        <v>253.44359999999998</v>
      </c>
      <c r="S22" s="282">
        <v>253.44359999999998</v>
      </c>
      <c r="T22" s="331">
        <v>243.37583999999998</v>
      </c>
      <c r="U22" s="331">
        <v>243.37583999999998</v>
      </c>
      <c r="V22" s="331">
        <v>239.81760000000003</v>
      </c>
      <c r="W22" s="331">
        <v>237.0924</v>
      </c>
      <c r="X22" s="331">
        <v>237.0924</v>
      </c>
      <c r="Y22" s="331">
        <v>65.3904</v>
      </c>
      <c r="Z22" s="331">
        <v>997.42319999999995</v>
      </c>
      <c r="AA22" s="331">
        <v>84.96</v>
      </c>
      <c r="AB22" s="331">
        <v>152.63999999999999</v>
      </c>
      <c r="AC22" s="331">
        <v>220.75200000000001</v>
      </c>
      <c r="AD22" s="331">
        <v>250.7184</v>
      </c>
      <c r="AE22" s="331">
        <v>65.404799999999994</v>
      </c>
      <c r="AF22" s="282">
        <v>157.5</v>
      </c>
      <c r="AG22" s="331">
        <v>123.99092970521541</v>
      </c>
      <c r="AH22" s="331">
        <v>123.99092970521541</v>
      </c>
      <c r="AI22" s="282">
        <v>46.8</v>
      </c>
      <c r="AJ22" s="331">
        <v>13.247999999999999</v>
      </c>
      <c r="AK22" s="282">
        <v>1227</v>
      </c>
      <c r="AL22" s="282">
        <v>326.88</v>
      </c>
      <c r="AM22" s="331">
        <v>130.80959999999999</v>
      </c>
      <c r="AN22" s="331">
        <v>962.9</v>
      </c>
      <c r="AO22" s="282">
        <v>174.4128</v>
      </c>
      <c r="AP22" s="331">
        <v>130.80000000000001</v>
      </c>
      <c r="AQ22" s="331">
        <v>130.80959999999999</v>
      </c>
      <c r="AR22" s="331">
        <v>130.80959999999999</v>
      </c>
      <c r="AS22" s="331">
        <v>226.19160000000002</v>
      </c>
      <c r="AT22" s="331">
        <v>226.19160000000002</v>
      </c>
      <c r="AU22" s="332">
        <v>256.32</v>
      </c>
      <c r="AV22" s="333">
        <v>256.32</v>
      </c>
      <c r="AW22" s="331">
        <v>373.35240000000005</v>
      </c>
      <c r="AX22" s="331">
        <v>253.44359999999998</v>
      </c>
      <c r="AY22" s="331">
        <v>253.44359999999998</v>
      </c>
      <c r="AZ22" s="331">
        <v>517.1</v>
      </c>
      <c r="BA22" s="331">
        <v>1702.0408163265306</v>
      </c>
      <c r="BB22" s="331">
        <v>294.32159999999999</v>
      </c>
      <c r="BC22" s="331">
        <v>294.32159999999999</v>
      </c>
      <c r="BD22" s="331">
        <v>264.10000000000002</v>
      </c>
      <c r="BE22" s="282">
        <v>1419</v>
      </c>
      <c r="BF22" s="331">
        <v>767.52</v>
      </c>
      <c r="BG22" s="331">
        <v>1271</v>
      </c>
      <c r="BH22" s="282">
        <v>528</v>
      </c>
      <c r="BI22" s="331">
        <v>632.24639999999999</v>
      </c>
      <c r="BJ22" s="331">
        <v>79.030799999999999</v>
      </c>
      <c r="BK22" s="282">
        <v>1638</v>
      </c>
      <c r="BL22" s="282">
        <v>2355</v>
      </c>
      <c r="BM22" s="282">
        <v>1653</v>
      </c>
      <c r="BN22" s="282">
        <v>1653</v>
      </c>
      <c r="BO22" s="282">
        <v>2354.6485260770974</v>
      </c>
      <c r="BP22" s="331">
        <v>1539.7380000000001</v>
      </c>
      <c r="BQ22" s="331">
        <v>201</v>
      </c>
      <c r="BR22" s="236">
        <v>3428</v>
      </c>
      <c r="BS22" s="282">
        <v>2576</v>
      </c>
      <c r="BT22" s="282">
        <v>2576</v>
      </c>
      <c r="BU22" s="282">
        <v>5318</v>
      </c>
      <c r="BV22" s="282">
        <v>2576</v>
      </c>
      <c r="BW22" s="282">
        <v>2576</v>
      </c>
      <c r="BX22" s="282">
        <v>2580</v>
      </c>
      <c r="BY22" s="282">
        <v>2600</v>
      </c>
      <c r="BZ22" s="282">
        <v>2600</v>
      </c>
      <c r="CA22" s="282">
        <v>2600</v>
      </c>
      <c r="CB22" s="282">
        <v>2600</v>
      </c>
      <c r="CC22" s="282">
        <v>4500</v>
      </c>
      <c r="CD22" s="282">
        <v>4500</v>
      </c>
      <c r="CE22" s="282">
        <v>4500</v>
      </c>
      <c r="CF22" s="282">
        <v>4500</v>
      </c>
      <c r="CG22" s="282">
        <v>4500</v>
      </c>
      <c r="CH22" s="282">
        <v>5000</v>
      </c>
      <c r="CI22" s="282">
        <v>5000</v>
      </c>
      <c r="CJ22" s="282">
        <v>5000</v>
      </c>
      <c r="CK22" s="282">
        <v>5000</v>
      </c>
      <c r="CL22" s="282">
        <v>94240</v>
      </c>
      <c r="CM22" s="282">
        <v>138225</v>
      </c>
      <c r="CN22" s="282">
        <v>145538</v>
      </c>
      <c r="CO22" s="282">
        <v>168859</v>
      </c>
      <c r="CP22" s="282">
        <v>153082</v>
      </c>
      <c r="CQ22" s="282">
        <v>110402</v>
      </c>
      <c r="CR22" s="282">
        <v>110402</v>
      </c>
      <c r="CS22" s="282">
        <v>110402</v>
      </c>
      <c r="CT22" s="282">
        <v>110402</v>
      </c>
      <c r="CU22" s="282">
        <v>110402</v>
      </c>
      <c r="CV22" s="282">
        <v>110402</v>
      </c>
      <c r="CW22" s="282">
        <v>174093</v>
      </c>
      <c r="CX22" s="282">
        <v>174093</v>
      </c>
      <c r="CY22" s="282">
        <v>174093</v>
      </c>
      <c r="CZ22" s="282">
        <v>76561</v>
      </c>
      <c r="DA22" s="282">
        <v>50753</v>
      </c>
      <c r="DB22" s="282">
        <v>73364</v>
      </c>
      <c r="DC22" s="282">
        <v>73364</v>
      </c>
      <c r="DD22" s="282">
        <v>73364</v>
      </c>
      <c r="DE22" s="282">
        <v>73364</v>
      </c>
      <c r="DF22" s="282">
        <v>108330</v>
      </c>
      <c r="DG22" s="282">
        <v>124650</v>
      </c>
      <c r="DH22" s="282">
        <v>66138</v>
      </c>
      <c r="DI22" s="282">
        <v>66138</v>
      </c>
      <c r="DJ22" s="282">
        <v>111385</v>
      </c>
      <c r="DK22" s="282">
        <v>111387</v>
      </c>
      <c r="DL22" s="282">
        <v>111367.80045351473</v>
      </c>
      <c r="DM22" s="282">
        <v>111367.80045351473</v>
      </c>
      <c r="DN22" s="282">
        <v>253983</v>
      </c>
      <c r="DO22" s="282">
        <v>192191</v>
      </c>
      <c r="DP22" s="282">
        <v>172918</v>
      </c>
      <c r="DQ22" s="282">
        <v>192191</v>
      </c>
      <c r="DR22" s="334">
        <v>53183.94</v>
      </c>
      <c r="DS22" s="334">
        <v>53183.94</v>
      </c>
      <c r="DT22" s="334">
        <v>71092.83</v>
      </c>
      <c r="DU22" s="334">
        <v>71092.83</v>
      </c>
      <c r="DV22" s="334">
        <v>71092.83</v>
      </c>
      <c r="DW22" s="334">
        <v>71092.83</v>
      </c>
      <c r="DX22" s="334">
        <v>73773.5</v>
      </c>
      <c r="DY22" s="334">
        <v>73773.5</v>
      </c>
      <c r="DZ22" s="334">
        <v>71092.83</v>
      </c>
      <c r="EA22" s="334">
        <v>73773.5</v>
      </c>
      <c r="EB22" s="334">
        <v>73773.5</v>
      </c>
      <c r="EC22" s="334">
        <v>48892.78</v>
      </c>
      <c r="ED22" s="334">
        <v>48892.78</v>
      </c>
      <c r="EE22" s="335">
        <v>52658.080000000002</v>
      </c>
      <c r="EF22" s="334">
        <v>72383.789999999994</v>
      </c>
      <c r="EG22" s="334">
        <v>72383.789999999994</v>
      </c>
      <c r="EH22" s="334">
        <v>72488.160000000003</v>
      </c>
      <c r="EI22" s="334">
        <v>72488.160000000003</v>
      </c>
      <c r="EJ22" s="336">
        <v>11163</v>
      </c>
      <c r="EK22" s="336">
        <v>13382</v>
      </c>
      <c r="EL22" s="336">
        <v>23360</v>
      </c>
      <c r="EM22" s="336">
        <v>23360</v>
      </c>
      <c r="EN22" s="336">
        <v>23360</v>
      </c>
      <c r="EO22" s="336">
        <v>23360</v>
      </c>
      <c r="EP22" s="336">
        <v>24600</v>
      </c>
      <c r="EQ22" s="336">
        <v>24600</v>
      </c>
      <c r="ER22" s="334">
        <v>27105.39</v>
      </c>
      <c r="ES22" s="334">
        <v>32164.86</v>
      </c>
      <c r="ET22" s="336">
        <v>10758</v>
      </c>
      <c r="EU22" s="336">
        <v>14527</v>
      </c>
      <c r="EV22" s="336">
        <v>14527</v>
      </c>
      <c r="EW22" s="336">
        <v>15682</v>
      </c>
      <c r="EX22" s="336">
        <v>15682</v>
      </c>
      <c r="EY22" s="336">
        <v>16867</v>
      </c>
      <c r="EZ22" s="336">
        <v>18143</v>
      </c>
      <c r="FA22" s="336">
        <v>15682</v>
      </c>
      <c r="FB22" s="336">
        <v>15682</v>
      </c>
      <c r="FC22" s="336">
        <v>16141</v>
      </c>
      <c r="FD22" s="336">
        <v>17636</v>
      </c>
      <c r="FE22" s="336">
        <v>16141</v>
      </c>
      <c r="FF22" s="336">
        <v>17636</v>
      </c>
      <c r="FG22" s="337">
        <v>16141</v>
      </c>
      <c r="FH22" s="336">
        <v>20894</v>
      </c>
      <c r="FI22" s="336">
        <v>20894</v>
      </c>
      <c r="FJ22" s="336">
        <v>20894</v>
      </c>
      <c r="FK22" s="336">
        <v>20894</v>
      </c>
      <c r="FL22" s="336">
        <v>23817</v>
      </c>
      <c r="FM22" s="336">
        <v>27095</v>
      </c>
      <c r="FN22" s="336">
        <v>30214</v>
      </c>
      <c r="FO22" s="284">
        <v>20730</v>
      </c>
      <c r="FP22" s="336">
        <v>20730</v>
      </c>
      <c r="FQ22" s="336">
        <v>20730</v>
      </c>
      <c r="FR22" s="336">
        <v>20730</v>
      </c>
      <c r="FS22" s="336">
        <v>20730</v>
      </c>
      <c r="FT22" s="336">
        <v>28347</v>
      </c>
      <c r="FU22" s="336">
        <v>28342</v>
      </c>
      <c r="FV22" s="284">
        <v>34260</v>
      </c>
      <c r="FW22" s="284">
        <v>34260</v>
      </c>
      <c r="FX22" s="284">
        <v>34260</v>
      </c>
      <c r="FY22" s="284">
        <v>34260</v>
      </c>
      <c r="FZ22" s="284">
        <v>34260</v>
      </c>
      <c r="GA22" s="284">
        <v>34260</v>
      </c>
      <c r="GB22" s="244">
        <v>34930</v>
      </c>
      <c r="GC22" s="244">
        <v>34930</v>
      </c>
      <c r="GD22" s="244">
        <v>34930</v>
      </c>
      <c r="GE22" s="244">
        <v>34930</v>
      </c>
      <c r="GF22" s="244">
        <v>36894</v>
      </c>
      <c r="GG22" s="244">
        <v>50753</v>
      </c>
      <c r="GH22" s="244">
        <v>50753</v>
      </c>
      <c r="GI22" s="244">
        <v>50753</v>
      </c>
      <c r="GJ22" s="244">
        <v>50753</v>
      </c>
      <c r="GK22" s="244">
        <v>50753</v>
      </c>
      <c r="GL22" s="244">
        <v>50752</v>
      </c>
      <c r="GM22" s="285">
        <v>62422</v>
      </c>
      <c r="GN22" s="285">
        <v>73363</v>
      </c>
      <c r="GO22" s="285">
        <v>73363</v>
      </c>
      <c r="GP22" s="334">
        <v>47940</v>
      </c>
      <c r="GQ22" s="334">
        <v>47940</v>
      </c>
      <c r="GR22" s="334">
        <v>47940</v>
      </c>
      <c r="GS22" s="334">
        <v>47940</v>
      </c>
      <c r="GT22" s="334">
        <v>47940</v>
      </c>
      <c r="GU22" s="334">
        <v>47940</v>
      </c>
      <c r="GV22" s="334">
        <v>47940</v>
      </c>
      <c r="GW22" s="334">
        <v>47940</v>
      </c>
      <c r="GX22" s="334">
        <v>47940</v>
      </c>
      <c r="GY22" s="336">
        <v>19476.02</v>
      </c>
      <c r="GZ22" s="336">
        <v>19476.02</v>
      </c>
      <c r="HA22" s="336">
        <v>19476.02</v>
      </c>
      <c r="HB22" s="336">
        <v>19476.02</v>
      </c>
      <c r="HC22" s="334">
        <v>19435.88</v>
      </c>
      <c r="HD22" s="334">
        <v>19435.88</v>
      </c>
      <c r="HE22" s="334">
        <v>19435.88</v>
      </c>
      <c r="HF22" s="334">
        <v>19435.88</v>
      </c>
      <c r="HG22" s="334">
        <v>19435.88</v>
      </c>
      <c r="HH22" s="334">
        <v>19059.349999999999</v>
      </c>
      <c r="HI22" s="334">
        <v>19059.349999999999</v>
      </c>
      <c r="HJ22" s="334">
        <v>19059.349999999999</v>
      </c>
      <c r="HK22" s="334">
        <v>19435.88</v>
      </c>
      <c r="HL22" s="334">
        <v>19435.88</v>
      </c>
      <c r="HM22" s="334">
        <v>19435.88</v>
      </c>
      <c r="HN22" s="334">
        <v>19154.89</v>
      </c>
      <c r="HO22" s="334">
        <v>19154.89</v>
      </c>
      <c r="HP22" s="334">
        <v>19059.349999999999</v>
      </c>
      <c r="HQ22" s="334">
        <v>19059.349999999999</v>
      </c>
      <c r="HR22" s="334">
        <v>19059.349999999999</v>
      </c>
      <c r="HS22" s="334">
        <v>19059.349999999999</v>
      </c>
      <c r="HT22" s="334">
        <v>19059.349999999999</v>
      </c>
      <c r="HU22" s="334">
        <v>19059.349999999999</v>
      </c>
      <c r="HV22" s="334">
        <v>19308.23</v>
      </c>
      <c r="HW22" s="334">
        <v>19027.240000000002</v>
      </c>
      <c r="HX22" s="334">
        <v>19308.23</v>
      </c>
      <c r="HY22" s="334">
        <v>19308.23</v>
      </c>
      <c r="HZ22" s="334">
        <v>19027.240000000002</v>
      </c>
      <c r="IA22" s="334">
        <v>18858.64</v>
      </c>
      <c r="IB22" s="334">
        <v>18858.64</v>
      </c>
      <c r="IC22" s="334">
        <v>18858.64</v>
      </c>
      <c r="ID22" s="334">
        <v>26447.86</v>
      </c>
      <c r="IE22" s="334">
        <v>31911.17</v>
      </c>
      <c r="IF22" s="334">
        <v>31911.17</v>
      </c>
      <c r="IG22" s="244">
        <v>9335</v>
      </c>
      <c r="IH22" s="244">
        <v>9335</v>
      </c>
      <c r="II22" s="244">
        <v>9335</v>
      </c>
      <c r="IJ22" s="244">
        <v>9335</v>
      </c>
      <c r="IK22" s="244">
        <v>9335</v>
      </c>
      <c r="IL22" s="244">
        <v>9335</v>
      </c>
      <c r="IM22" s="244">
        <v>12971</v>
      </c>
      <c r="IN22" s="244">
        <v>12971</v>
      </c>
      <c r="IO22" s="244">
        <v>12971</v>
      </c>
      <c r="IP22" s="244">
        <v>12971</v>
      </c>
      <c r="IQ22" s="244">
        <v>12971</v>
      </c>
      <c r="IR22" s="244">
        <v>12971</v>
      </c>
      <c r="IS22" s="244">
        <v>4132</v>
      </c>
      <c r="IT22" s="244">
        <v>4132</v>
      </c>
      <c r="IU22" s="285">
        <v>5136</v>
      </c>
      <c r="IV22" s="285">
        <v>4132</v>
      </c>
      <c r="IW22" s="285">
        <v>5136</v>
      </c>
      <c r="IX22" s="285">
        <v>5973</v>
      </c>
      <c r="IY22" s="285">
        <v>8522</v>
      </c>
      <c r="IZ22" s="285">
        <v>13690</v>
      </c>
      <c r="JA22" s="285">
        <v>13690</v>
      </c>
      <c r="JB22" s="285">
        <v>13690</v>
      </c>
      <c r="JC22" s="338">
        <v>4255.04</v>
      </c>
      <c r="JD22" s="338">
        <v>6487.73</v>
      </c>
      <c r="JE22" s="338">
        <v>6487.73</v>
      </c>
      <c r="JF22" s="338">
        <v>6487.73</v>
      </c>
      <c r="JG22" s="338">
        <v>6487.73</v>
      </c>
      <c r="JH22" s="244">
        <v>8784.5</v>
      </c>
      <c r="JI22" s="244">
        <v>8784.5</v>
      </c>
      <c r="JJ22" s="311">
        <v>8784.5</v>
      </c>
      <c r="JK22" s="244">
        <v>8718.5</v>
      </c>
    </row>
    <row r="23" spans="1:271">
      <c r="A23" s="251" t="s">
        <v>2394</v>
      </c>
      <c r="B23" s="236">
        <f>B22/B20 * 100</f>
        <v>9.4047733154413891</v>
      </c>
      <c r="C23" s="236">
        <f t="shared" ref="C23:BN23" si="47">C22/C20 * 100</f>
        <v>9.4047733154413891</v>
      </c>
      <c r="D23" s="236">
        <f t="shared" si="47"/>
        <v>10.01511</v>
      </c>
      <c r="E23" s="236">
        <f t="shared" si="47"/>
        <v>12.820956168410133</v>
      </c>
      <c r="F23" s="236">
        <f t="shared" si="47"/>
        <v>12.999204000000001</v>
      </c>
      <c r="G23" s="236">
        <f t="shared" si="47"/>
        <v>15.221789883268483</v>
      </c>
      <c r="H23" s="236">
        <f t="shared" si="47"/>
        <v>24.794689805825243</v>
      </c>
      <c r="I23" s="236">
        <f t="shared" si="47"/>
        <v>9.9280594851421355</v>
      </c>
      <c r="J23" s="236">
        <f t="shared" si="47"/>
        <v>9.9280604347826102</v>
      </c>
      <c r="K23" s="236">
        <f t="shared" si="47"/>
        <v>8.4481808158765155</v>
      </c>
      <c r="L23" s="236">
        <f t="shared" si="47"/>
        <v>8.4481808158765155</v>
      </c>
      <c r="M23" s="236">
        <f t="shared" si="47"/>
        <v>8.5391990526315791</v>
      </c>
      <c r="N23" s="236">
        <f t="shared" si="47"/>
        <v>22.800113280000005</v>
      </c>
      <c r="O23" s="236">
        <f t="shared" si="47"/>
        <v>11.544687655143427</v>
      </c>
      <c r="P23" s="236">
        <f t="shared" si="47"/>
        <v>11.787014076923077</v>
      </c>
      <c r="Q23" s="236">
        <f t="shared" si="47"/>
        <v>10.925574545454545</v>
      </c>
      <c r="R23" s="236">
        <f t="shared" si="47"/>
        <v>12.07004617710583</v>
      </c>
      <c r="S23" s="236">
        <f t="shared" si="47"/>
        <v>13.305789000000001</v>
      </c>
      <c r="T23" s="236">
        <f t="shared" si="47"/>
        <v>14.122203347368419</v>
      </c>
      <c r="U23" s="236">
        <f t="shared" si="47"/>
        <v>15.783639035294117</v>
      </c>
      <c r="V23" s="236">
        <f t="shared" si="47"/>
        <v>14.688828000000004</v>
      </c>
      <c r="W23" s="236">
        <f t="shared" si="47"/>
        <v>14.521909500000001</v>
      </c>
      <c r="X23" s="236">
        <f t="shared" si="47"/>
        <v>16.864152967741937</v>
      </c>
      <c r="Y23" s="236">
        <f t="shared" si="47"/>
        <v>10.922064473024887</v>
      </c>
      <c r="Z23" s="236">
        <f t="shared" si="47"/>
        <v>25.573466930232559</v>
      </c>
      <c r="AA23" s="236">
        <f t="shared" si="47"/>
        <v>9.44</v>
      </c>
      <c r="AB23" s="236">
        <f t="shared" si="47"/>
        <v>11.215282880235119</v>
      </c>
      <c r="AC23" s="236">
        <f t="shared" si="47"/>
        <v>14.315953307392999</v>
      </c>
      <c r="AD23" s="236">
        <f t="shared" si="47"/>
        <v>15.353239436619717</v>
      </c>
      <c r="AE23" s="236">
        <f t="shared" si="47"/>
        <v>8.1755999999999993</v>
      </c>
      <c r="AF23" s="236">
        <f t="shared" si="47"/>
        <v>7.8789394697348678</v>
      </c>
      <c r="AG23" s="236">
        <f t="shared" si="47"/>
        <v>9.4667590027700825</v>
      </c>
      <c r="AH23" s="236">
        <f t="shared" si="47"/>
        <v>10.33648393194707</v>
      </c>
      <c r="AI23" s="236">
        <f t="shared" si="47"/>
        <v>10.4</v>
      </c>
      <c r="AJ23" s="236">
        <f t="shared" si="47"/>
        <v>4.4159999999999995</v>
      </c>
      <c r="AK23" s="236">
        <f t="shared" si="47"/>
        <v>25.886075949367086</v>
      </c>
      <c r="AL23" s="236">
        <f t="shared" si="47"/>
        <v>16.601320467242257</v>
      </c>
      <c r="AM23" s="236">
        <f t="shared" si="47"/>
        <v>11.093660307692307</v>
      </c>
      <c r="AN23" s="236">
        <f t="shared" si="47"/>
        <v>31.454984973213119</v>
      </c>
      <c r="AO23" s="236">
        <f t="shared" si="47"/>
        <v>17.480919272727274</v>
      </c>
      <c r="AP23" s="236">
        <f t="shared" si="47"/>
        <v>12.41575700047461</v>
      </c>
      <c r="AQ23" s="236">
        <f t="shared" si="47"/>
        <v>13.415589209302325</v>
      </c>
      <c r="AR23" s="236">
        <f t="shared" si="47"/>
        <v>11.311183058823529</v>
      </c>
      <c r="AS23" s="236">
        <f t="shared" si="47"/>
        <v>14.666680499593443</v>
      </c>
      <c r="AT23" s="236">
        <f t="shared" si="47"/>
        <v>17.195416209904383</v>
      </c>
      <c r="AU23" s="252">
        <f t="shared" si="47"/>
        <v>15.696264543784446</v>
      </c>
      <c r="AV23" s="253">
        <f t="shared" si="47"/>
        <v>15.696264543784446</v>
      </c>
      <c r="AW23" s="236">
        <f>AW22/AW20 * 100</f>
        <v>15.828870385130669</v>
      </c>
      <c r="AX23" s="236">
        <f>AX22/AX20 * 100</f>
        <v>13.96869104355288</v>
      </c>
      <c r="AY23" s="236">
        <f t="shared" si="47"/>
        <v>12.678519259629814</v>
      </c>
      <c r="AZ23" s="236">
        <f t="shared" si="47"/>
        <v>22.394976180164576</v>
      </c>
      <c r="BA23" s="236">
        <f t="shared" si="47"/>
        <v>33.508928571428569</v>
      </c>
      <c r="BB23" s="236">
        <f t="shared" si="47"/>
        <v>17.078398105263158</v>
      </c>
      <c r="BC23" s="236">
        <f t="shared" si="47"/>
        <v>16.534500076433119</v>
      </c>
      <c r="BD23" s="236">
        <f t="shared" si="47"/>
        <v>11.482608695652175</v>
      </c>
      <c r="BE23" s="236">
        <f t="shared" si="47"/>
        <v>25.026455026455025</v>
      </c>
      <c r="BF23" s="236">
        <f t="shared" si="47"/>
        <v>25.721179624664881</v>
      </c>
      <c r="BG23" s="236">
        <f t="shared" si="47"/>
        <v>24.260355029585799</v>
      </c>
      <c r="BH23" s="236">
        <f t="shared" si="47"/>
        <v>21.162324649298597</v>
      </c>
      <c r="BI23" s="236">
        <f t="shared" si="47"/>
        <v>20.573650998604659</v>
      </c>
      <c r="BJ23" s="236">
        <f t="shared" si="47"/>
        <v>10.401975763102172</v>
      </c>
      <c r="BK23" s="236">
        <f t="shared" si="47"/>
        <v>24.074074074074073</v>
      </c>
      <c r="BL23" s="236">
        <f t="shared" si="47"/>
        <v>31.467129877071088</v>
      </c>
      <c r="BM23" s="236">
        <f t="shared" si="47"/>
        <v>29.153439153439152</v>
      </c>
      <c r="BN23" s="236">
        <f t="shared" si="47"/>
        <v>29.153439153439152</v>
      </c>
      <c r="BO23" s="236">
        <f t="shared" ref="BO23:BQ23" si="48">BO22/BO20 * 100</f>
        <v>31.462433539245023</v>
      </c>
      <c r="BP23" s="236">
        <f t="shared" si="48"/>
        <v>22.786055637583893</v>
      </c>
      <c r="BQ23" s="236">
        <f t="shared" si="48"/>
        <v>11.645422943221321</v>
      </c>
      <c r="BR23" s="236">
        <v>11.645422943221321</v>
      </c>
      <c r="BS23" s="236">
        <f t="shared" ref="BS23:CK23" si="49">BS22/BS20 * 100</f>
        <v>15.644358071176971</v>
      </c>
      <c r="BT23" s="236">
        <f t="shared" si="49"/>
        <v>13.819742489270388</v>
      </c>
      <c r="BU23" s="236">
        <f t="shared" si="49"/>
        <v>19.001679351127308</v>
      </c>
      <c r="BV23" s="236">
        <f t="shared" si="49"/>
        <v>16.464000000000002</v>
      </c>
      <c r="BW23" s="236">
        <f t="shared" si="49"/>
        <v>16.464000000000002</v>
      </c>
      <c r="BX23" s="236">
        <f t="shared" si="49"/>
        <v>19.612314709236031</v>
      </c>
      <c r="BY23" s="236">
        <f t="shared" si="49"/>
        <v>22.608695652173914</v>
      </c>
      <c r="BZ23" s="236">
        <f t="shared" si="49"/>
        <v>21.684737281067555</v>
      </c>
      <c r="CA23" s="236">
        <f t="shared" si="49"/>
        <v>22.608695652173914</v>
      </c>
      <c r="CB23" s="236">
        <f t="shared" si="49"/>
        <v>21.684737281067555</v>
      </c>
      <c r="CC23" s="236">
        <f t="shared" si="49"/>
        <v>24.193548387096776</v>
      </c>
      <c r="CD23" s="236">
        <f t="shared" si="49"/>
        <v>26.627218934911244</v>
      </c>
      <c r="CE23" s="236">
        <f t="shared" si="49"/>
        <v>26.627218934911244</v>
      </c>
      <c r="CF23" s="236">
        <f t="shared" si="49"/>
        <v>24.193548387096776</v>
      </c>
      <c r="CG23" s="236">
        <f t="shared" si="49"/>
        <v>25.139664804469277</v>
      </c>
      <c r="CH23" s="236">
        <f t="shared" si="49"/>
        <v>21.739130434782609</v>
      </c>
      <c r="CI23" s="236">
        <f t="shared" si="49"/>
        <v>22.727272727272727</v>
      </c>
      <c r="CJ23" s="236">
        <f t="shared" si="49"/>
        <v>23.255813953488371</v>
      </c>
      <c r="CK23" s="236">
        <f t="shared" si="49"/>
        <v>23.255813953488371</v>
      </c>
      <c r="CL23" s="236">
        <f>CL22/CL20 * 100</f>
        <v>38.841033672670321</v>
      </c>
      <c r="CM23" s="236">
        <f>CM22/CM20 * 100</f>
        <v>46.453596814034384</v>
      </c>
      <c r="CN23" s="236">
        <f>CN22/CN20 * 100</f>
        <v>41.843508761841782</v>
      </c>
      <c r="CO23" s="236">
        <f>CO22/CO20 * 100</f>
        <v>45.392204301075267</v>
      </c>
      <c r="CP23" s="236">
        <f>CP22/CP20 * 100</f>
        <v>41.598369565217389</v>
      </c>
      <c r="CQ23" s="236">
        <f t="shared" ref="CQ23:CX23" si="50">CQ22/CQ20 * 100</f>
        <v>42.462307692307697</v>
      </c>
      <c r="CR23" s="236">
        <f t="shared" si="50"/>
        <v>42.462307692307697</v>
      </c>
      <c r="CS23" s="236">
        <f t="shared" si="50"/>
        <v>42.462307692307697</v>
      </c>
      <c r="CT23" s="236">
        <f t="shared" si="50"/>
        <v>43.551084812623273</v>
      </c>
      <c r="CU23" s="236">
        <f t="shared" si="50"/>
        <v>42.462307692307697</v>
      </c>
      <c r="CV23" s="236">
        <f t="shared" si="50"/>
        <v>42.462307692307697</v>
      </c>
      <c r="CW23" s="236">
        <f t="shared" si="50"/>
        <v>43.863852817124979</v>
      </c>
      <c r="CX23" s="236">
        <f t="shared" si="50"/>
        <v>43.863852817124979</v>
      </c>
      <c r="CY23" s="236">
        <f t="shared" ref="CY23:DQ23" si="51">CY22/CY20 * 100</f>
        <v>43.863852817124979</v>
      </c>
      <c r="CZ23" s="236">
        <f t="shared" si="51"/>
        <v>33.287391304347821</v>
      </c>
      <c r="DA23" s="236">
        <f t="shared" si="51"/>
        <v>31.968782675518714</v>
      </c>
      <c r="DB23" s="236">
        <f t="shared" si="51"/>
        <v>40.434971918627404</v>
      </c>
      <c r="DC23" s="236">
        <f t="shared" si="51"/>
        <v>39.299335761731299</v>
      </c>
      <c r="DD23" s="236">
        <f t="shared" si="51"/>
        <v>35.942307315448083</v>
      </c>
      <c r="DE23" s="236">
        <f t="shared" si="51"/>
        <v>35.942307315448083</v>
      </c>
      <c r="DF23" s="236">
        <f t="shared" si="51"/>
        <v>40.421641791044777</v>
      </c>
      <c r="DG23" s="236">
        <f t="shared" si="51"/>
        <v>39.446202531645568</v>
      </c>
      <c r="DH23" s="236">
        <f t="shared" si="51"/>
        <v>32.045933570753689</v>
      </c>
      <c r="DI23" s="236">
        <f t="shared" si="51"/>
        <v>32.045933570753689</v>
      </c>
      <c r="DJ23" s="236">
        <f t="shared" si="51"/>
        <v>44.245344476928942</v>
      </c>
      <c r="DK23" s="236">
        <f t="shared" si="51"/>
        <v>44.246138934790899</v>
      </c>
      <c r="DL23" s="236">
        <f t="shared" si="51"/>
        <v>44.238512319465308</v>
      </c>
      <c r="DM23" s="236">
        <f t="shared" si="51"/>
        <v>44.238512319465308</v>
      </c>
      <c r="DN23" s="236">
        <f t="shared" si="51"/>
        <v>45.354107142857139</v>
      </c>
      <c r="DO23" s="236">
        <f t="shared" si="51"/>
        <v>46.561281100855197</v>
      </c>
      <c r="DP23" s="236">
        <f t="shared" si="51"/>
        <v>41.892094871235798</v>
      </c>
      <c r="DQ23" s="236">
        <f t="shared" si="51"/>
        <v>46.561281100855197</v>
      </c>
      <c r="DR23" s="244">
        <f t="shared" ref="DR23:GC23" si="52">100*(DR22/DR20)</f>
        <v>42.959563812600969</v>
      </c>
      <c r="DS23" s="244">
        <f t="shared" si="52"/>
        <v>42.479185303514377</v>
      </c>
      <c r="DT23" s="244">
        <f t="shared" si="52"/>
        <v>49.755626942134882</v>
      </c>
      <c r="DU23" s="244">
        <f t="shared" si="52"/>
        <v>49.755626942134882</v>
      </c>
      <c r="DV23" s="244">
        <f t="shared" si="52"/>
        <v>48.224684574684574</v>
      </c>
      <c r="DW23" s="244">
        <f t="shared" si="52"/>
        <v>48.224684574684574</v>
      </c>
      <c r="DX23" s="244">
        <f t="shared" si="52"/>
        <v>46.468568909045096</v>
      </c>
      <c r="DY23" s="244">
        <f t="shared" si="52"/>
        <v>45.814082023002214</v>
      </c>
      <c r="DZ23" s="244">
        <f t="shared" si="52"/>
        <v>48.224684574684574</v>
      </c>
      <c r="EA23" s="244">
        <f t="shared" si="52"/>
        <v>48.549251099002348</v>
      </c>
      <c r="EB23" s="244">
        <f t="shared" si="52"/>
        <v>45.814082023002214</v>
      </c>
      <c r="EC23" s="244">
        <f t="shared" si="52"/>
        <v>47.012288461538461</v>
      </c>
      <c r="ED23" s="244">
        <f t="shared" si="52"/>
        <v>46.03839924670433</v>
      </c>
      <c r="EE23" s="244">
        <f t="shared" si="52"/>
        <v>45.006905982905984</v>
      </c>
      <c r="EF23" s="244">
        <f t="shared" si="52"/>
        <v>51.08242060691601</v>
      </c>
      <c r="EG23" s="244">
        <f t="shared" si="52"/>
        <v>51.08242060691601</v>
      </c>
      <c r="EH23" s="244">
        <f t="shared" si="52"/>
        <v>48.813575757575762</v>
      </c>
      <c r="EI23" s="244">
        <f t="shared" si="52"/>
        <v>47.846970297029706</v>
      </c>
      <c r="EJ23" s="244">
        <f t="shared" si="52"/>
        <v>20.856064569165234</v>
      </c>
      <c r="EK23" s="244">
        <f t="shared" si="52"/>
        <v>24.382333649150937</v>
      </c>
      <c r="EL23" s="244">
        <f t="shared" si="52"/>
        <v>32.176308539944905</v>
      </c>
      <c r="EM23" s="244">
        <f t="shared" si="52"/>
        <v>30.456323337679269</v>
      </c>
      <c r="EN23" s="244">
        <f t="shared" si="52"/>
        <v>32.176308539944905</v>
      </c>
      <c r="EO23" s="244">
        <f t="shared" si="52"/>
        <v>30.456323337679269</v>
      </c>
      <c r="EP23" s="244">
        <f t="shared" si="52"/>
        <v>31.337579617834393</v>
      </c>
      <c r="EQ23" s="244">
        <f t="shared" si="52"/>
        <v>29.320619785458881</v>
      </c>
      <c r="ER23" s="244">
        <f t="shared" si="52"/>
        <v>31.335710982658959</v>
      </c>
      <c r="ES23" s="244">
        <f t="shared" si="52"/>
        <v>33.822145110410098</v>
      </c>
      <c r="ET23" s="244">
        <f t="shared" si="52"/>
        <v>23.026541095890408</v>
      </c>
      <c r="EU23" s="244">
        <f t="shared" si="52"/>
        <v>29.11514179777533</v>
      </c>
      <c r="EV23" s="244">
        <f t="shared" si="52"/>
        <v>27.728574155373163</v>
      </c>
      <c r="EW23" s="244">
        <f t="shared" si="52"/>
        <v>29.933193357510973</v>
      </c>
      <c r="EX23" s="244">
        <f t="shared" si="52"/>
        <v>29.549651403806294</v>
      </c>
      <c r="EY23" s="244">
        <f t="shared" si="52"/>
        <v>29.867899135854937</v>
      </c>
      <c r="EZ23" s="244">
        <f t="shared" si="52"/>
        <v>31.224507357370278</v>
      </c>
      <c r="FA23" s="244">
        <f t="shared" si="52"/>
        <v>29.933193357510973</v>
      </c>
      <c r="FB23" s="244">
        <f t="shared" si="52"/>
        <v>26.989071508476037</v>
      </c>
      <c r="FC23" s="244">
        <f t="shared" si="52"/>
        <v>28.582306275676437</v>
      </c>
      <c r="FD23" s="244">
        <f t="shared" si="52"/>
        <v>28.380161565446883</v>
      </c>
      <c r="FE23" s="244">
        <f t="shared" si="52"/>
        <v>25.69281950877863</v>
      </c>
      <c r="FF23" s="244">
        <f t="shared" si="52"/>
        <v>27.284682147995731</v>
      </c>
      <c r="FG23" s="244">
        <f t="shared" si="52"/>
        <v>30.809314754724181</v>
      </c>
      <c r="FH23" s="244">
        <f t="shared" si="52"/>
        <v>37.148190950306692</v>
      </c>
      <c r="FI23" s="244">
        <f t="shared" si="52"/>
        <v>29.814497716894977</v>
      </c>
      <c r="FJ23" s="244">
        <f t="shared" si="52"/>
        <v>29.622593359231008</v>
      </c>
      <c r="FK23" s="244">
        <f t="shared" si="52"/>
        <v>26.442745773007996</v>
      </c>
      <c r="FL23" s="244">
        <f t="shared" si="52"/>
        <v>27.974253867205395</v>
      </c>
      <c r="FM23" s="244">
        <f t="shared" si="52"/>
        <v>34.932442885874892</v>
      </c>
      <c r="FN23" s="244">
        <f t="shared" si="52"/>
        <v>38.238309181800922</v>
      </c>
      <c r="FO23" s="244">
        <f t="shared" si="52"/>
        <v>25.820514417388058</v>
      </c>
      <c r="FP23" s="244">
        <f t="shared" si="52"/>
        <v>25.083490634528822</v>
      </c>
      <c r="FQ23" s="244">
        <f t="shared" si="52"/>
        <v>25.083490634528822</v>
      </c>
      <c r="FR23" s="244">
        <f t="shared" si="52"/>
        <v>23.473062028670427</v>
      </c>
      <c r="FS23" s="244">
        <f t="shared" si="52"/>
        <v>23.093633376037431</v>
      </c>
      <c r="FT23" s="244">
        <f t="shared" si="52"/>
        <v>34.300130680993171</v>
      </c>
      <c r="FU23" s="244">
        <f t="shared" si="52"/>
        <v>32.092306995493352</v>
      </c>
      <c r="FV23" s="244">
        <f t="shared" si="52"/>
        <v>30.211640211640212</v>
      </c>
      <c r="FW23" s="244">
        <f t="shared" si="52"/>
        <v>29.623865110246435</v>
      </c>
      <c r="FX23" s="244">
        <f t="shared" si="52"/>
        <v>31.474506201194302</v>
      </c>
      <c r="FY23" s="244">
        <f t="shared" si="52"/>
        <v>29.623865110246435</v>
      </c>
      <c r="FZ23" s="244">
        <f t="shared" si="52"/>
        <v>30.211640211640212</v>
      </c>
      <c r="GA23" s="244">
        <f t="shared" si="52"/>
        <v>29.369909987141018</v>
      </c>
      <c r="GB23" s="244">
        <f t="shared" si="52"/>
        <v>28.52127051522822</v>
      </c>
      <c r="GC23" s="244">
        <f t="shared" si="52"/>
        <v>28.52127051522822</v>
      </c>
      <c r="GD23" s="244">
        <f t="shared" ref="GD23:IF23" si="53">100*(GD22/GD20)</f>
        <v>28.52127051522822</v>
      </c>
      <c r="GE23" s="244">
        <f t="shared" si="53"/>
        <v>28.52127051522822</v>
      </c>
      <c r="GF23" s="244">
        <f t="shared" si="53"/>
        <v>28.84304175494281</v>
      </c>
      <c r="GG23" s="244">
        <f t="shared" si="53"/>
        <v>37.296991431384939</v>
      </c>
      <c r="GH23" s="244">
        <f t="shared" si="53"/>
        <v>36.093845563030705</v>
      </c>
      <c r="GI23" s="244">
        <f t="shared" si="53"/>
        <v>35.520919360031357</v>
      </c>
      <c r="GJ23" s="244">
        <f t="shared" si="53"/>
        <v>36.093845563030705</v>
      </c>
      <c r="GK23" s="244">
        <f t="shared" si="53"/>
        <v>35.520919360031357</v>
      </c>
      <c r="GL23" s="244">
        <f t="shared" si="53"/>
        <v>33.399581452281609</v>
      </c>
      <c r="GM23" s="244">
        <f t="shared" si="53"/>
        <v>39.207089962376976</v>
      </c>
      <c r="GN23" s="244">
        <f t="shared" si="53"/>
        <v>42.562585211614888</v>
      </c>
      <c r="GO23" s="244">
        <f t="shared" si="53"/>
        <v>41.792753788310357</v>
      </c>
      <c r="GP23" s="244">
        <f t="shared" si="53"/>
        <v>36.318181818181813</v>
      </c>
      <c r="GQ23" s="244">
        <f t="shared" si="53"/>
        <v>36.318181818181813</v>
      </c>
      <c r="GR23" s="244">
        <f t="shared" si="53"/>
        <v>34.588744588744589</v>
      </c>
      <c r="GS23" s="244">
        <f t="shared" si="53"/>
        <v>33.760563380281688</v>
      </c>
      <c r="GT23" s="244">
        <f t="shared" si="53"/>
        <v>33.760563380281688</v>
      </c>
      <c r="GU23" s="244">
        <f t="shared" si="53"/>
        <v>31.96</v>
      </c>
      <c r="GV23" s="244">
        <f t="shared" si="53"/>
        <v>31.333333333333336</v>
      </c>
      <c r="GW23" s="244">
        <f t="shared" si="53"/>
        <v>29.962499999999999</v>
      </c>
      <c r="GX23" s="244">
        <f t="shared" si="53"/>
        <v>29.23170731707317</v>
      </c>
      <c r="GY23" s="244">
        <f t="shared" si="53"/>
        <v>33.010203389830508</v>
      </c>
      <c r="GZ23" s="244">
        <f t="shared" si="53"/>
        <v>33.010203389830508</v>
      </c>
      <c r="HA23" s="244">
        <f t="shared" si="53"/>
        <v>28.641205882352942</v>
      </c>
      <c r="HB23" s="244">
        <f t="shared" si="53"/>
        <v>28.641205882352942</v>
      </c>
      <c r="HC23" s="244">
        <f t="shared" si="53"/>
        <v>30.368562500000003</v>
      </c>
      <c r="HD23" s="244">
        <f t="shared" si="53"/>
        <v>25.742887417218547</v>
      </c>
      <c r="HE23" s="244">
        <f t="shared" si="53"/>
        <v>25.742887417218547</v>
      </c>
      <c r="HF23" s="244">
        <f t="shared" si="53"/>
        <v>25.742887417218547</v>
      </c>
      <c r="HG23" s="244">
        <f t="shared" si="53"/>
        <v>25.742887417218547</v>
      </c>
      <c r="HH23" s="244">
        <f t="shared" si="53"/>
        <v>29.780234374999999</v>
      </c>
      <c r="HI23" s="244">
        <f t="shared" si="53"/>
        <v>25.244172185430465</v>
      </c>
      <c r="HJ23" s="244">
        <f t="shared" si="53"/>
        <v>29.780234374999999</v>
      </c>
      <c r="HK23" s="244">
        <f t="shared" si="53"/>
        <v>26.443374149659864</v>
      </c>
      <c r="HL23" s="244">
        <f t="shared" si="53"/>
        <v>26.443374149659864</v>
      </c>
      <c r="HM23" s="244">
        <f t="shared" si="53"/>
        <v>24.917794871794875</v>
      </c>
      <c r="HN23" s="244">
        <f t="shared" si="53"/>
        <v>26.061074829931975</v>
      </c>
      <c r="HO23" s="244">
        <f t="shared" si="53"/>
        <v>24.557551282051282</v>
      </c>
      <c r="HP23" s="244">
        <f t="shared" si="53"/>
        <v>25.93108843537415</v>
      </c>
      <c r="HQ23" s="244">
        <f t="shared" si="53"/>
        <v>24.125759493670884</v>
      </c>
      <c r="HR23" s="244">
        <f t="shared" si="53"/>
        <v>24.125759493670884</v>
      </c>
      <c r="HS23" s="244">
        <f t="shared" si="53"/>
        <v>25.93108843537415</v>
      </c>
      <c r="HT23" s="244">
        <f t="shared" si="53"/>
        <v>24.125759493670884</v>
      </c>
      <c r="HU23" s="244">
        <f t="shared" si="53"/>
        <v>24.125759493670884</v>
      </c>
      <c r="HV23" s="244">
        <f t="shared" si="53"/>
        <v>23.262927710843371</v>
      </c>
      <c r="HW23" s="244">
        <f t="shared" si="53"/>
        <v>22.924385542168675</v>
      </c>
      <c r="HX23" s="244">
        <f t="shared" si="53"/>
        <v>21.6946404494382</v>
      </c>
      <c r="HY23" s="244">
        <f t="shared" si="53"/>
        <v>20.650513368983955</v>
      </c>
      <c r="HZ23" s="244">
        <f t="shared" si="53"/>
        <v>20.349989304812834</v>
      </c>
      <c r="IA23" s="244">
        <f t="shared" si="53"/>
        <v>21.189483146067413</v>
      </c>
      <c r="IB23" s="244">
        <f t="shared" si="53"/>
        <v>20.169668449197861</v>
      </c>
      <c r="IC23" s="244">
        <f t="shared" si="53"/>
        <v>20.169668449197861</v>
      </c>
      <c r="ID23" s="244">
        <f t="shared" si="53"/>
        <v>27.265835051546393</v>
      </c>
      <c r="IE23" s="244">
        <f t="shared" si="53"/>
        <v>31.595217821782178</v>
      </c>
      <c r="IF23" s="244">
        <f t="shared" si="53"/>
        <v>31.595217821782178</v>
      </c>
      <c r="IG23" s="244">
        <f>100*(IG22/IG20)</f>
        <v>25.937760489024729</v>
      </c>
      <c r="IH23" s="244">
        <f t="shared" ref="IH23:JB23" si="54">100*(IH22/IH20)</f>
        <v>25.094086021505372</v>
      </c>
      <c r="II23" s="244">
        <f t="shared" si="54"/>
        <v>24.183937823834199</v>
      </c>
      <c r="IJ23" s="244">
        <f t="shared" si="54"/>
        <v>24.893333333333334</v>
      </c>
      <c r="IK23" s="244">
        <f t="shared" si="54"/>
        <v>24.065480794019077</v>
      </c>
      <c r="IL23" s="244">
        <f t="shared" si="54"/>
        <v>23.123606638593014</v>
      </c>
      <c r="IM23" s="244">
        <f t="shared" si="54"/>
        <v>27.141661435446746</v>
      </c>
      <c r="IN23" s="244">
        <f t="shared" si="54"/>
        <v>25.787276341948314</v>
      </c>
      <c r="IO23" s="244">
        <f t="shared" si="54"/>
        <v>25.04054054054054</v>
      </c>
      <c r="IP23" s="244">
        <f t="shared" si="54"/>
        <v>26.585365853658537</v>
      </c>
      <c r="IQ23" s="244">
        <f t="shared" si="54"/>
        <v>25.538491829100217</v>
      </c>
      <c r="IR23" s="244">
        <f t="shared" si="54"/>
        <v>24.805890227576974</v>
      </c>
      <c r="IS23" s="244">
        <f t="shared" si="54"/>
        <v>21.747368421052631</v>
      </c>
      <c r="IT23" s="244">
        <f t="shared" si="54"/>
        <v>20.66</v>
      </c>
      <c r="IU23" s="244">
        <f t="shared" si="54"/>
        <v>24.341232227488153</v>
      </c>
      <c r="IV23" s="244">
        <f t="shared" si="54"/>
        <v>19.685564554549785</v>
      </c>
      <c r="IW23" s="244">
        <f t="shared" si="54"/>
        <v>23.345454545454544</v>
      </c>
      <c r="IX23" s="244">
        <f t="shared" si="54"/>
        <v>24.784232365145229</v>
      </c>
      <c r="IY23" s="244">
        <f t="shared" si="54"/>
        <v>19.107623318385649</v>
      </c>
      <c r="IZ23" s="244">
        <f t="shared" si="54"/>
        <v>24.273049645390071</v>
      </c>
      <c r="JA23" s="244">
        <f t="shared" si="54"/>
        <v>24.273049645390071</v>
      </c>
      <c r="JB23" s="244">
        <f t="shared" si="54"/>
        <v>22.260162601626014</v>
      </c>
      <c r="JC23" s="244">
        <f t="shared" ref="JC23:JK23" si="55">100*(JC22/JC20)</f>
        <v>19.769734702411373</v>
      </c>
      <c r="JD23" s="244">
        <f t="shared" si="55"/>
        <v>28.045346474733062</v>
      </c>
      <c r="JE23" s="244">
        <f t="shared" si="55"/>
        <v>26.986107067093712</v>
      </c>
      <c r="JF23" s="244">
        <f t="shared" si="55"/>
        <v>28.045346474733062</v>
      </c>
      <c r="JG23" s="244">
        <f t="shared" si="55"/>
        <v>26.986107067093712</v>
      </c>
      <c r="JH23" s="244">
        <f t="shared" si="55"/>
        <v>26.620503651625803</v>
      </c>
      <c r="JI23" s="244">
        <f t="shared" si="55"/>
        <v>22.918677763573271</v>
      </c>
      <c r="JJ23" s="244">
        <f t="shared" si="55"/>
        <v>22.918677763573271</v>
      </c>
      <c r="JK23" s="244">
        <f t="shared" si="55"/>
        <v>20.93780019212296</v>
      </c>
    </row>
    <row r="24" spans="1:271" ht="25.5">
      <c r="A24" s="251" t="s">
        <v>2395</v>
      </c>
      <c r="B24" s="339" t="s">
        <v>2396</v>
      </c>
      <c r="C24" s="339" t="s">
        <v>2397</v>
      </c>
      <c r="D24" s="339" t="s">
        <v>2398</v>
      </c>
      <c r="E24" s="339" t="s">
        <v>2399</v>
      </c>
      <c r="F24" s="339" t="s">
        <v>2399</v>
      </c>
      <c r="G24" s="339" t="s">
        <v>2400</v>
      </c>
      <c r="H24" s="339" t="s">
        <v>2401</v>
      </c>
      <c r="I24" s="339" t="s">
        <v>2402</v>
      </c>
      <c r="J24" s="339" t="s">
        <v>2402</v>
      </c>
      <c r="K24" s="339" t="s">
        <v>2403</v>
      </c>
      <c r="L24" s="339" t="s">
        <v>2403</v>
      </c>
      <c r="M24" s="339" t="s">
        <v>2404</v>
      </c>
      <c r="N24" s="236" t="s">
        <v>2405</v>
      </c>
      <c r="O24" s="339" t="s">
        <v>2406</v>
      </c>
      <c r="P24" s="339" t="s">
        <v>2407</v>
      </c>
      <c r="Q24" s="339" t="s">
        <v>2408</v>
      </c>
      <c r="R24" s="339" t="s">
        <v>2409</v>
      </c>
      <c r="S24" s="339" t="s">
        <v>2409</v>
      </c>
      <c r="T24" s="339" t="s">
        <v>2410</v>
      </c>
      <c r="U24" s="339" t="s">
        <v>2410</v>
      </c>
      <c r="V24" s="339" t="s">
        <v>2411</v>
      </c>
      <c r="W24" s="339" t="s">
        <v>2412</v>
      </c>
      <c r="X24" s="339" t="s">
        <v>2413</v>
      </c>
      <c r="Y24" s="339" t="s">
        <v>2414</v>
      </c>
      <c r="Z24" s="236" t="s">
        <v>2415</v>
      </c>
      <c r="AA24" s="339" t="s">
        <v>2416</v>
      </c>
      <c r="AB24" s="339" t="s">
        <v>2417</v>
      </c>
      <c r="AC24" s="339" t="s">
        <v>2418</v>
      </c>
      <c r="AD24" s="339" t="s">
        <v>2419</v>
      </c>
      <c r="AE24" s="339" t="s">
        <v>2420</v>
      </c>
      <c r="AF24" s="339" t="s">
        <v>2421</v>
      </c>
      <c r="AG24" s="339" t="s">
        <v>2422</v>
      </c>
      <c r="AH24" s="339" t="s">
        <v>2423</v>
      </c>
      <c r="AI24" s="339" t="s">
        <v>2424</v>
      </c>
      <c r="AJ24" s="339" t="s">
        <v>2425</v>
      </c>
      <c r="AK24" s="236" t="s">
        <v>2426</v>
      </c>
      <c r="AL24" s="339" t="s">
        <v>2427</v>
      </c>
      <c r="AM24" s="339" t="s">
        <v>2428</v>
      </c>
      <c r="AN24" s="236" t="s">
        <v>2429</v>
      </c>
      <c r="AO24" s="339" t="s">
        <v>2418</v>
      </c>
      <c r="AP24" s="339" t="s">
        <v>2416</v>
      </c>
      <c r="AQ24" s="339" t="s">
        <v>2430</v>
      </c>
      <c r="AR24" s="339" t="s">
        <v>2431</v>
      </c>
      <c r="AS24" s="339" t="s">
        <v>2432</v>
      </c>
      <c r="AT24" s="339" t="s">
        <v>2433</v>
      </c>
      <c r="AU24" s="340" t="s">
        <v>2434</v>
      </c>
      <c r="AV24" s="341" t="s">
        <v>2435</v>
      </c>
      <c r="AW24" s="339" t="s">
        <v>2436</v>
      </c>
      <c r="AX24" s="339" t="s">
        <v>2437</v>
      </c>
      <c r="AY24" s="339" t="s">
        <v>2438</v>
      </c>
      <c r="AZ24" s="236" t="s">
        <v>2439</v>
      </c>
      <c r="BA24" s="236" t="s">
        <v>2440</v>
      </c>
      <c r="BB24" s="339" t="s">
        <v>2441</v>
      </c>
      <c r="BC24" s="339" t="s">
        <v>2442</v>
      </c>
      <c r="BD24" s="339" t="s">
        <v>2443</v>
      </c>
      <c r="BE24" s="236" t="s">
        <v>2429</v>
      </c>
      <c r="BF24" s="236" t="s">
        <v>2444</v>
      </c>
      <c r="BG24" s="236" t="s">
        <v>2445</v>
      </c>
      <c r="BH24" s="339" t="s">
        <v>2446</v>
      </c>
      <c r="BI24" s="339" t="s">
        <v>2447</v>
      </c>
      <c r="BJ24" s="339" t="s">
        <v>2448</v>
      </c>
      <c r="BK24" s="236" t="s">
        <v>2449</v>
      </c>
      <c r="BL24" s="236" t="s">
        <v>2449</v>
      </c>
      <c r="BM24" s="236" t="s">
        <v>2450</v>
      </c>
      <c r="BN24" s="236" t="s">
        <v>2450</v>
      </c>
      <c r="BO24" s="236" t="s">
        <v>2449</v>
      </c>
      <c r="BP24" s="236" t="s">
        <v>2451</v>
      </c>
      <c r="BQ24" s="339" t="s">
        <v>2452</v>
      </c>
      <c r="BR24" s="281" t="s">
        <v>2453</v>
      </c>
      <c r="BS24" s="236" t="s">
        <v>2454</v>
      </c>
      <c r="BT24" s="236" t="s">
        <v>2455</v>
      </c>
      <c r="BU24" s="236" t="s">
        <v>2456</v>
      </c>
      <c r="BV24" s="236" t="s">
        <v>2457</v>
      </c>
      <c r="BW24" s="236" t="s">
        <v>2458</v>
      </c>
      <c r="BX24" s="236" t="s">
        <v>2459</v>
      </c>
      <c r="BY24" s="236" t="s">
        <v>2460</v>
      </c>
      <c r="BZ24" s="236" t="s">
        <v>2460</v>
      </c>
      <c r="CA24" s="236" t="s">
        <v>2461</v>
      </c>
      <c r="CB24" s="236" t="s">
        <v>2461</v>
      </c>
      <c r="CC24" s="236" t="s">
        <v>2462</v>
      </c>
      <c r="CD24" s="236" t="s">
        <v>2463</v>
      </c>
      <c r="CE24" s="236" t="s">
        <v>2457</v>
      </c>
      <c r="CF24" s="236" t="s">
        <v>2462</v>
      </c>
      <c r="CG24" s="236" t="s">
        <v>2464</v>
      </c>
      <c r="CH24" s="236" t="s">
        <v>2462</v>
      </c>
      <c r="CI24" s="236" t="s">
        <v>2465</v>
      </c>
      <c r="CJ24" s="236" t="s">
        <v>2466</v>
      </c>
      <c r="CK24" s="236" t="s">
        <v>2467</v>
      </c>
      <c r="CL24" s="236" t="s">
        <v>2468</v>
      </c>
      <c r="CM24" s="236" t="s">
        <v>2469</v>
      </c>
      <c r="CN24" s="236" t="s">
        <v>2470</v>
      </c>
      <c r="CO24" s="236" t="s">
        <v>2471</v>
      </c>
      <c r="CP24" s="236" t="s">
        <v>2472</v>
      </c>
      <c r="CQ24" s="236" t="s">
        <v>2473</v>
      </c>
      <c r="CR24" s="236" t="s">
        <v>2474</v>
      </c>
      <c r="CS24" s="236" t="s">
        <v>2475</v>
      </c>
      <c r="CT24" s="236" t="s">
        <v>2475</v>
      </c>
      <c r="CU24" s="236" t="s">
        <v>2474</v>
      </c>
      <c r="CV24" s="236" t="s">
        <v>2473</v>
      </c>
      <c r="CW24" s="244" t="s">
        <v>2476</v>
      </c>
      <c r="CX24" s="244" t="s">
        <v>2477</v>
      </c>
      <c r="CY24" s="263" t="s">
        <v>2478</v>
      </c>
      <c r="CZ24" s="236" t="s">
        <v>2479</v>
      </c>
      <c r="DA24" s="263" t="s">
        <v>2480</v>
      </c>
      <c r="DB24" s="263" t="s">
        <v>2481</v>
      </c>
      <c r="DC24" s="263" t="s">
        <v>2482</v>
      </c>
      <c r="DD24" s="263" t="s">
        <v>2481</v>
      </c>
      <c r="DE24" s="263" t="s">
        <v>2483</v>
      </c>
      <c r="DF24" s="236" t="s">
        <v>2484</v>
      </c>
      <c r="DG24" s="236" t="s">
        <v>2485</v>
      </c>
      <c r="DH24" s="236" t="s">
        <v>2486</v>
      </c>
      <c r="DI24" s="236" t="s">
        <v>2487</v>
      </c>
      <c r="DJ24" s="236" t="s">
        <v>2488</v>
      </c>
      <c r="DK24" s="236" t="s">
        <v>2489</v>
      </c>
      <c r="DL24" s="236" t="s">
        <v>2490</v>
      </c>
      <c r="DM24" s="236" t="s">
        <v>2491</v>
      </c>
      <c r="DN24" s="263" t="s">
        <v>2492</v>
      </c>
      <c r="DO24" s="263" t="s">
        <v>2481</v>
      </c>
      <c r="DP24" s="263" t="s">
        <v>2493</v>
      </c>
      <c r="DQ24" s="263" t="s">
        <v>2494</v>
      </c>
      <c r="DR24" s="342" t="s">
        <v>2495</v>
      </c>
      <c r="DS24" s="342" t="s">
        <v>605</v>
      </c>
      <c r="DT24" s="342" t="s">
        <v>605</v>
      </c>
      <c r="DU24" s="342" t="s">
        <v>2496</v>
      </c>
      <c r="DV24" s="342" t="s">
        <v>607</v>
      </c>
      <c r="DW24" s="342" t="s">
        <v>607</v>
      </c>
      <c r="DX24" s="342" t="s">
        <v>607</v>
      </c>
      <c r="DY24" s="342" t="s">
        <v>607</v>
      </c>
      <c r="DZ24" s="342" t="s">
        <v>2497</v>
      </c>
      <c r="EA24" s="342" t="s">
        <v>2497</v>
      </c>
      <c r="EB24" s="342" t="s">
        <v>2497</v>
      </c>
      <c r="EC24" s="342" t="s">
        <v>2495</v>
      </c>
      <c r="ED24" s="342" t="s">
        <v>604</v>
      </c>
      <c r="EE24" s="342" t="s">
        <v>604</v>
      </c>
      <c r="EF24" s="342" t="s">
        <v>605</v>
      </c>
      <c r="EG24" s="342" t="s">
        <v>2496</v>
      </c>
      <c r="EH24" s="342" t="s">
        <v>607</v>
      </c>
      <c r="EI24" s="342" t="s">
        <v>706</v>
      </c>
      <c r="EJ24" s="247" t="s">
        <v>608</v>
      </c>
      <c r="EK24" s="247" t="s">
        <v>609</v>
      </c>
      <c r="EL24" s="342" t="s">
        <v>610</v>
      </c>
      <c r="EM24" s="342" t="s">
        <v>611</v>
      </c>
      <c r="EN24" s="342" t="s">
        <v>610</v>
      </c>
      <c r="EO24" s="342" t="s">
        <v>611</v>
      </c>
      <c r="EP24" s="342" t="s">
        <v>611</v>
      </c>
      <c r="EQ24" s="342" t="s">
        <v>612</v>
      </c>
      <c r="ER24" s="342" t="s">
        <v>613</v>
      </c>
      <c r="ES24" s="342" t="s">
        <v>2498</v>
      </c>
      <c r="ET24" s="244" t="s">
        <v>610</v>
      </c>
      <c r="EU24" s="244" t="s">
        <v>771</v>
      </c>
      <c r="EV24" s="244" t="s">
        <v>771</v>
      </c>
      <c r="EW24" s="244" t="s">
        <v>2499</v>
      </c>
      <c r="EX24" s="244" t="s">
        <v>2499</v>
      </c>
      <c r="EY24" s="244" t="s">
        <v>2500</v>
      </c>
      <c r="EZ24" s="244" t="s">
        <v>2500</v>
      </c>
      <c r="FA24" s="244" t="s">
        <v>2500</v>
      </c>
      <c r="FB24" s="244" t="s">
        <v>2500</v>
      </c>
      <c r="FC24" s="244" t="s">
        <v>2501</v>
      </c>
      <c r="FD24" s="244" t="s">
        <v>2502</v>
      </c>
      <c r="FE24" s="244" t="s">
        <v>2502</v>
      </c>
      <c r="FF24" s="244" t="s">
        <v>2503</v>
      </c>
      <c r="FG24" s="244" t="s">
        <v>614</v>
      </c>
      <c r="FH24" s="244" t="s">
        <v>2504</v>
      </c>
      <c r="FI24" s="244" t="s">
        <v>2505</v>
      </c>
      <c r="FJ24" s="244" t="s">
        <v>2506</v>
      </c>
      <c r="FK24" s="244" t="s">
        <v>2507</v>
      </c>
      <c r="FL24" s="244" t="s">
        <v>2507</v>
      </c>
      <c r="FM24" s="244" t="s">
        <v>2505</v>
      </c>
      <c r="FN24" s="244" t="s">
        <v>2506</v>
      </c>
      <c r="FO24" s="244" t="s">
        <v>2508</v>
      </c>
      <c r="FP24" s="244" t="s">
        <v>2509</v>
      </c>
      <c r="FQ24" s="244" t="s">
        <v>2509</v>
      </c>
      <c r="FR24" s="244" t="s">
        <v>2509</v>
      </c>
      <c r="FS24" s="244" t="s">
        <v>2509</v>
      </c>
      <c r="FT24" s="244" t="s">
        <v>2510</v>
      </c>
      <c r="FU24" s="244" t="s">
        <v>2510</v>
      </c>
      <c r="FV24" s="244" t="s">
        <v>2511</v>
      </c>
      <c r="FW24" s="244" t="s">
        <v>2512</v>
      </c>
      <c r="FX24" s="247" t="s">
        <v>2513</v>
      </c>
      <c r="FY24" s="247" t="s">
        <v>808</v>
      </c>
      <c r="FZ24" s="244" t="s">
        <v>2511</v>
      </c>
      <c r="GA24" s="244" t="s">
        <v>2512</v>
      </c>
      <c r="GB24" s="244" t="s">
        <v>2512</v>
      </c>
      <c r="GC24" s="244" t="s">
        <v>2514</v>
      </c>
      <c r="GD24" s="247" t="s">
        <v>808</v>
      </c>
      <c r="GE24" s="247" t="s">
        <v>2515</v>
      </c>
      <c r="GF24" s="247" t="s">
        <v>644</v>
      </c>
      <c r="GG24" s="342" t="s">
        <v>2516</v>
      </c>
      <c r="GH24" s="247" t="s">
        <v>2517</v>
      </c>
      <c r="GI24" s="342" t="s">
        <v>645</v>
      </c>
      <c r="GJ24" s="342" t="s">
        <v>2480</v>
      </c>
      <c r="GK24" s="247" t="s">
        <v>2518</v>
      </c>
      <c r="GL24" s="247" t="s">
        <v>2519</v>
      </c>
      <c r="GM24" s="244" t="s">
        <v>2477</v>
      </c>
      <c r="GN24" s="247" t="s">
        <v>2520</v>
      </c>
      <c r="GO24" s="247" t="s">
        <v>2521</v>
      </c>
      <c r="GP24" s="249" t="s">
        <v>550</v>
      </c>
      <c r="GQ24" s="249" t="s">
        <v>552</v>
      </c>
      <c r="GR24" s="249" t="s">
        <v>550</v>
      </c>
      <c r="GS24" s="249" t="s">
        <v>550</v>
      </c>
      <c r="GT24" s="249" t="s">
        <v>553</v>
      </c>
      <c r="GU24" s="249" t="s">
        <v>551</v>
      </c>
      <c r="GV24" s="249" t="s">
        <v>553</v>
      </c>
      <c r="GW24" s="249" t="s">
        <v>2522</v>
      </c>
      <c r="GX24" s="249" t="s">
        <v>551</v>
      </c>
      <c r="GY24" s="244" t="s">
        <v>2523</v>
      </c>
      <c r="GZ24" s="244" t="s">
        <v>2524</v>
      </c>
      <c r="HA24" s="249" t="s">
        <v>2525</v>
      </c>
      <c r="HB24" s="249" t="s">
        <v>2526</v>
      </c>
      <c r="HC24" s="247" t="s">
        <v>561</v>
      </c>
      <c r="HD24" s="247" t="s">
        <v>564</v>
      </c>
      <c r="HE24" s="247" t="s">
        <v>565</v>
      </c>
      <c r="HF24" s="247" t="s">
        <v>566</v>
      </c>
      <c r="HG24" s="247" t="s">
        <v>568</v>
      </c>
      <c r="HH24" s="247" t="s">
        <v>2527</v>
      </c>
      <c r="HI24" s="247" t="s">
        <v>2528</v>
      </c>
      <c r="HJ24" s="247" t="s">
        <v>2529</v>
      </c>
      <c r="HK24" s="249" t="s">
        <v>572</v>
      </c>
      <c r="HL24" s="249" t="s">
        <v>573</v>
      </c>
      <c r="HM24" s="249" t="s">
        <v>574</v>
      </c>
      <c r="HN24" s="249" t="s">
        <v>576</v>
      </c>
      <c r="HO24" s="343" t="s">
        <v>577</v>
      </c>
      <c r="HP24" s="249" t="s">
        <v>569</v>
      </c>
      <c r="HQ24" s="249" t="s">
        <v>570</v>
      </c>
      <c r="HR24" s="249" t="s">
        <v>2530</v>
      </c>
      <c r="HS24" s="249" t="s">
        <v>2531</v>
      </c>
      <c r="HT24" s="249" t="s">
        <v>581</v>
      </c>
      <c r="HU24" s="249" t="s">
        <v>2532</v>
      </c>
      <c r="HV24" s="249" t="s">
        <v>583</v>
      </c>
      <c r="HW24" s="249" t="s">
        <v>585</v>
      </c>
      <c r="HX24" s="249" t="s">
        <v>584</v>
      </c>
      <c r="HY24" s="249" t="s">
        <v>2533</v>
      </c>
      <c r="HZ24" s="247" t="s">
        <v>587</v>
      </c>
      <c r="IA24" s="247" t="s">
        <v>2534</v>
      </c>
      <c r="IB24" s="247" t="s">
        <v>2535</v>
      </c>
      <c r="IC24" s="247" t="s">
        <v>2536</v>
      </c>
      <c r="ID24" s="247" t="s">
        <v>2537</v>
      </c>
      <c r="IE24" s="247" t="s">
        <v>2538</v>
      </c>
      <c r="IF24" s="247" t="s">
        <v>2539</v>
      </c>
      <c r="IG24" s="250" t="s">
        <v>678</v>
      </c>
      <c r="IH24" s="250" t="s">
        <v>678</v>
      </c>
      <c r="II24" s="250" t="s">
        <v>2540</v>
      </c>
      <c r="IJ24" s="250" t="s">
        <v>678</v>
      </c>
      <c r="IK24" s="250" t="s">
        <v>678</v>
      </c>
      <c r="IL24" s="250" t="s">
        <v>2540</v>
      </c>
      <c r="IM24" s="250" t="s">
        <v>680</v>
      </c>
      <c r="IN24" s="250" t="s">
        <v>680</v>
      </c>
      <c r="IO24" s="250" t="s">
        <v>681</v>
      </c>
      <c r="IP24" s="250" t="s">
        <v>680</v>
      </c>
      <c r="IQ24" s="250" t="s">
        <v>680</v>
      </c>
      <c r="IR24" s="250" t="s">
        <v>681</v>
      </c>
      <c r="IS24" s="244" t="s">
        <v>2541</v>
      </c>
      <c r="IT24" s="244" t="s">
        <v>2542</v>
      </c>
      <c r="IU24" s="244" t="s">
        <v>2541</v>
      </c>
      <c r="IV24" s="244" t="s">
        <v>2543</v>
      </c>
      <c r="IW24" s="244" t="s">
        <v>2544</v>
      </c>
      <c r="IX24" s="244" t="s">
        <v>2545</v>
      </c>
      <c r="IY24" s="244" t="s">
        <v>2546</v>
      </c>
      <c r="IZ24" s="244" t="s">
        <v>2547</v>
      </c>
      <c r="JA24" s="244" t="s">
        <v>2547</v>
      </c>
      <c r="JB24" s="244" t="s">
        <v>2547</v>
      </c>
      <c r="JC24" s="244" t="s">
        <v>2548</v>
      </c>
      <c r="JD24" s="244" t="s">
        <v>2548</v>
      </c>
      <c r="JE24" s="244" t="s">
        <v>2548</v>
      </c>
      <c r="JF24" s="244" t="s">
        <v>2549</v>
      </c>
      <c r="JG24" s="244" t="s">
        <v>2549</v>
      </c>
      <c r="JH24" s="244" t="s">
        <v>2550</v>
      </c>
      <c r="JI24" s="244" t="s">
        <v>2550</v>
      </c>
      <c r="JJ24" s="244" t="s">
        <v>2550</v>
      </c>
      <c r="JK24" s="244" t="s">
        <v>2551</v>
      </c>
    </row>
    <row r="25" spans="1:271">
      <c r="A25" s="251" t="s">
        <v>2552</v>
      </c>
      <c r="B25" s="236">
        <v>112.8</v>
      </c>
      <c r="C25" s="236">
        <v>112.8</v>
      </c>
      <c r="D25" s="236">
        <v>124.71655328798185</v>
      </c>
      <c r="E25" s="236">
        <v>126</v>
      </c>
      <c r="F25" s="236">
        <v>126</v>
      </c>
      <c r="G25" s="236">
        <v>499.1</v>
      </c>
      <c r="H25" s="236">
        <v>172.15419501133786</v>
      </c>
      <c r="I25" s="236">
        <v>112.9</v>
      </c>
      <c r="J25" s="236">
        <v>112.9</v>
      </c>
      <c r="K25" s="236">
        <v>98</v>
      </c>
      <c r="L25" s="236">
        <v>98</v>
      </c>
      <c r="M25" s="236">
        <v>186.39455782312925</v>
      </c>
      <c r="N25" s="236">
        <v>163.26530612244898</v>
      </c>
      <c r="O25" s="236">
        <v>193.6</v>
      </c>
      <c r="P25" s="236">
        <v>203.2</v>
      </c>
      <c r="Q25" s="236">
        <v>186.39455782312925</v>
      </c>
      <c r="R25" s="236">
        <v>148.29931972789115</v>
      </c>
      <c r="S25" s="236">
        <v>148.29931972789115</v>
      </c>
      <c r="T25" s="236">
        <v>187.30158730158729</v>
      </c>
      <c r="U25" s="236">
        <v>187.30158730158729</v>
      </c>
      <c r="V25" s="236">
        <v>186.39455782312925</v>
      </c>
      <c r="W25" s="236">
        <v>241.26984126984127</v>
      </c>
      <c r="X25" s="236">
        <v>173.24263038548753</v>
      </c>
      <c r="Y25" s="236">
        <v>89.3</v>
      </c>
      <c r="Z25" s="236">
        <v>145.57823129251699</v>
      </c>
      <c r="AA25" s="236">
        <v>126.07709750566893</v>
      </c>
      <c r="AB25" s="236">
        <v>172.2</v>
      </c>
      <c r="AC25" s="236">
        <v>226.4</v>
      </c>
      <c r="AD25" s="236">
        <v>285</v>
      </c>
      <c r="AE25" s="236">
        <v>125.9</v>
      </c>
      <c r="AF25" s="236">
        <v>265</v>
      </c>
      <c r="AG25" s="236">
        <v>186</v>
      </c>
      <c r="AH25" s="236">
        <v>136.05442176870747</v>
      </c>
      <c r="AI25" s="236">
        <v>56.6</v>
      </c>
      <c r="AJ25" s="236">
        <v>29.1</v>
      </c>
      <c r="AK25" s="236">
        <v>270.3</v>
      </c>
      <c r="AL25" s="236">
        <v>269.84126984126982</v>
      </c>
      <c r="AM25" s="236">
        <v>147.84580498866214</v>
      </c>
      <c r="AN25" s="236">
        <v>150.1</v>
      </c>
      <c r="AO25" s="236">
        <v>226.4</v>
      </c>
      <c r="AP25" s="236">
        <v>126.1</v>
      </c>
      <c r="AQ25" s="236">
        <v>121.54195011337868</v>
      </c>
      <c r="AR25" s="236">
        <v>125</v>
      </c>
      <c r="AS25" s="236">
        <v>207.2562358276644</v>
      </c>
      <c r="AT25" s="236">
        <v>207.2562358276644</v>
      </c>
      <c r="AU25" s="252">
        <v>212.69841269841268</v>
      </c>
      <c r="AV25" s="253">
        <v>241.7233560090703</v>
      </c>
      <c r="AW25" s="236">
        <v>219.95464852607708</v>
      </c>
      <c r="AX25" s="236">
        <v>139</v>
      </c>
      <c r="AY25" s="236">
        <v>145.57823129251699</v>
      </c>
      <c r="AZ25" s="236">
        <v>190</v>
      </c>
      <c r="BA25" s="236">
        <v>192.7437641723356</v>
      </c>
      <c r="BB25" s="236">
        <v>135.14739229024943</v>
      </c>
      <c r="BC25" s="236">
        <v>156.91609977324262</v>
      </c>
      <c r="BD25" s="236">
        <v>186</v>
      </c>
      <c r="BE25" s="236">
        <v>150.1</v>
      </c>
      <c r="BF25" s="236">
        <v>206.8</v>
      </c>
      <c r="BG25" s="236">
        <v>206.8</v>
      </c>
      <c r="BH25" s="236">
        <v>224</v>
      </c>
      <c r="BI25" s="236">
        <v>279.36507936507934</v>
      </c>
      <c r="BJ25" s="236">
        <v>112.47165532879818</v>
      </c>
      <c r="BK25" s="236">
        <v>215.42</v>
      </c>
      <c r="BL25" s="236">
        <v>215.42</v>
      </c>
      <c r="BM25" s="236">
        <v>204</v>
      </c>
      <c r="BN25" s="236">
        <v>204</v>
      </c>
      <c r="BO25" s="236">
        <v>215.42</v>
      </c>
      <c r="BP25" s="236">
        <v>229.47845804988663</v>
      </c>
      <c r="BQ25" s="236">
        <v>219.8</v>
      </c>
      <c r="BR25" s="236">
        <v>411.4</v>
      </c>
      <c r="BS25" s="236">
        <v>450</v>
      </c>
      <c r="BT25" s="236">
        <v>450</v>
      </c>
      <c r="BU25" s="236">
        <v>873.1</v>
      </c>
      <c r="BV25" s="236">
        <v>423.2</v>
      </c>
      <c r="BW25" s="236">
        <v>423.2</v>
      </c>
      <c r="BX25" s="236">
        <v>355.2</v>
      </c>
      <c r="BY25" s="236">
        <v>390.5</v>
      </c>
      <c r="BZ25" s="236">
        <v>390.5</v>
      </c>
      <c r="CA25" s="236">
        <v>392.8</v>
      </c>
      <c r="CB25" s="236">
        <v>392.8</v>
      </c>
      <c r="CC25" s="236">
        <v>481.7</v>
      </c>
      <c r="CD25" s="236">
        <v>417.3</v>
      </c>
      <c r="CE25" s="236">
        <v>423.2</v>
      </c>
      <c r="CF25" s="236">
        <v>481.7</v>
      </c>
      <c r="CG25" s="236">
        <v>434</v>
      </c>
      <c r="CH25" s="236">
        <v>481.7</v>
      </c>
      <c r="CI25" s="236">
        <v>480.1</v>
      </c>
      <c r="CJ25" s="236">
        <v>480.8</v>
      </c>
      <c r="CK25" s="236">
        <v>480.8</v>
      </c>
      <c r="CL25" s="236">
        <v>6847</v>
      </c>
      <c r="CM25" s="236">
        <v>7140</v>
      </c>
      <c r="CN25" s="236">
        <v>8761</v>
      </c>
      <c r="CO25" s="236">
        <v>4957.8</v>
      </c>
      <c r="CP25" s="236">
        <v>2990</v>
      </c>
      <c r="CQ25" s="236">
        <v>2644.4</v>
      </c>
      <c r="CR25" s="236">
        <v>2644.4</v>
      </c>
      <c r="CS25" s="236">
        <v>2644.4</v>
      </c>
      <c r="CT25" s="236">
        <v>2644.4</v>
      </c>
      <c r="CU25" s="236">
        <v>2644.4</v>
      </c>
      <c r="CV25" s="236">
        <v>2644.4</v>
      </c>
      <c r="CW25" s="236">
        <v>4440.7</v>
      </c>
      <c r="CX25" s="263">
        <v>4272.84</v>
      </c>
      <c r="CY25" s="344">
        <v>5775</v>
      </c>
      <c r="CZ25" s="236">
        <v>5091</v>
      </c>
      <c r="DA25" s="236">
        <v>4272.1088435374149</v>
      </c>
      <c r="DB25" s="236">
        <v>4272.1088435374149</v>
      </c>
      <c r="DC25" s="236">
        <v>4440.7</v>
      </c>
      <c r="DD25" s="236">
        <v>4272.1088435374149</v>
      </c>
      <c r="DE25" s="236">
        <v>4522</v>
      </c>
      <c r="DF25" s="236">
        <v>7277</v>
      </c>
      <c r="DG25" s="236">
        <v>7549</v>
      </c>
      <c r="DH25" s="236">
        <v>4067</v>
      </c>
      <c r="DI25" s="236">
        <v>4067</v>
      </c>
      <c r="DJ25" s="236">
        <v>4067</v>
      </c>
      <c r="DK25" s="236">
        <v>4067</v>
      </c>
      <c r="DL25" s="236">
        <v>3833</v>
      </c>
      <c r="DM25" s="236">
        <v>4143</v>
      </c>
      <c r="DN25" s="236">
        <v>6436</v>
      </c>
      <c r="DO25" s="263">
        <v>4272.1088435374149</v>
      </c>
      <c r="DP25" s="344">
        <v>5703</v>
      </c>
      <c r="DQ25" s="344">
        <v>4440.7</v>
      </c>
      <c r="DR25" s="244">
        <v>1585.3050000000001</v>
      </c>
      <c r="DS25" s="244">
        <v>2313.3209999999999</v>
      </c>
      <c r="DT25" s="244">
        <v>2313.3209999999999</v>
      </c>
      <c r="DU25" s="244">
        <v>2060</v>
      </c>
      <c r="DV25" s="244">
        <v>1968.5909999999999</v>
      </c>
      <c r="DW25" s="244">
        <v>1968.5909999999999</v>
      </c>
      <c r="DX25" s="244">
        <v>1968.5909999999999</v>
      </c>
      <c r="DY25" s="244">
        <v>1968.5909999999999</v>
      </c>
      <c r="DZ25" s="244">
        <v>2139</v>
      </c>
      <c r="EA25" s="244">
        <v>2139</v>
      </c>
      <c r="EB25" s="244">
        <v>2139</v>
      </c>
      <c r="EC25" s="244">
        <v>1585.3050000000001</v>
      </c>
      <c r="ED25" s="244">
        <v>1880.14</v>
      </c>
      <c r="EE25" s="244">
        <v>1880.14</v>
      </c>
      <c r="EF25" s="244">
        <v>2313.3209999999999</v>
      </c>
      <c r="EG25" s="244">
        <v>2060</v>
      </c>
      <c r="EH25" s="244">
        <v>1900.5519999999999</v>
      </c>
      <c r="EI25" s="244">
        <v>1968.5909999999999</v>
      </c>
      <c r="EJ25" s="244">
        <v>2085</v>
      </c>
      <c r="EK25" s="244">
        <v>2085</v>
      </c>
      <c r="EL25" s="244">
        <v>1453.7635</v>
      </c>
      <c r="EM25" s="262">
        <v>1475.0820000000001</v>
      </c>
      <c r="EN25" s="244">
        <v>1453.7635</v>
      </c>
      <c r="EO25" s="262">
        <v>1475.0820000000001</v>
      </c>
      <c r="EP25" s="262">
        <v>1475.0820000000001</v>
      </c>
      <c r="EQ25" s="262">
        <v>1548.5640000000001</v>
      </c>
      <c r="ER25" s="262">
        <v>1555.8219999999999</v>
      </c>
      <c r="ES25" s="262">
        <v>1585.3050000000001</v>
      </c>
      <c r="ET25" s="244">
        <v>1453.7635</v>
      </c>
      <c r="EU25" s="244">
        <v>1543.1212</v>
      </c>
      <c r="EV25" s="244">
        <v>1543.1212</v>
      </c>
      <c r="EW25" s="244">
        <v>1575.78</v>
      </c>
      <c r="EX25" s="244">
        <v>1575.78</v>
      </c>
      <c r="EY25" s="244">
        <v>1576.2329999999999</v>
      </c>
      <c r="EZ25" s="244">
        <v>1576.2329999999999</v>
      </c>
      <c r="FA25" s="244">
        <v>1576.2329999999999</v>
      </c>
      <c r="FB25" s="244">
        <v>1576.2329999999999</v>
      </c>
      <c r="FC25" s="244">
        <v>1966</v>
      </c>
      <c r="FD25" s="244">
        <v>1966</v>
      </c>
      <c r="FE25" s="244">
        <v>1966</v>
      </c>
      <c r="FF25" s="244">
        <v>1966</v>
      </c>
      <c r="FG25" s="244">
        <v>1966</v>
      </c>
      <c r="FH25" s="244">
        <v>2386</v>
      </c>
      <c r="FI25" s="244">
        <v>2386</v>
      </c>
      <c r="FJ25" s="244">
        <v>2386</v>
      </c>
      <c r="FK25" s="244">
        <v>2386</v>
      </c>
      <c r="FL25" s="244">
        <v>2386</v>
      </c>
      <c r="FM25" s="244">
        <v>2386</v>
      </c>
      <c r="FN25" s="244">
        <v>2386</v>
      </c>
      <c r="FO25" s="244">
        <v>2780</v>
      </c>
      <c r="FP25" s="244">
        <v>2780</v>
      </c>
      <c r="FQ25" s="244">
        <v>2780</v>
      </c>
      <c r="FR25" s="244">
        <v>2780</v>
      </c>
      <c r="FS25" s="244">
        <v>2780</v>
      </c>
      <c r="FT25" s="244">
        <v>2780</v>
      </c>
      <c r="FU25" s="244">
        <v>2780</v>
      </c>
      <c r="FV25" s="244">
        <v>3221</v>
      </c>
      <c r="FW25" s="244">
        <v>3221</v>
      </c>
      <c r="FX25" s="244">
        <v>3484</v>
      </c>
      <c r="FY25" s="244">
        <v>3449</v>
      </c>
      <c r="FZ25" s="244">
        <v>3221</v>
      </c>
      <c r="GA25" s="244">
        <v>3221</v>
      </c>
      <c r="GB25" s="244">
        <v>3221</v>
      </c>
      <c r="GC25" s="244">
        <v>3221</v>
      </c>
      <c r="GD25" s="244">
        <v>3449</v>
      </c>
      <c r="GE25" s="244">
        <v>3449</v>
      </c>
      <c r="GF25" s="244">
        <v>4052.8478300000002</v>
      </c>
      <c r="GG25" s="244">
        <v>3980.7266</v>
      </c>
      <c r="GH25" s="244">
        <v>4043.7759999999998</v>
      </c>
      <c r="GI25" s="244">
        <v>3980.7266</v>
      </c>
      <c r="GJ25" s="244">
        <v>4272.8401299999996</v>
      </c>
      <c r="GK25" s="244">
        <v>4386.2380000000003</v>
      </c>
      <c r="GL25" s="244">
        <v>4386.2380000000003</v>
      </c>
      <c r="GM25" s="244">
        <v>4272.84</v>
      </c>
      <c r="GN25" s="244">
        <v>5775</v>
      </c>
      <c r="GO25" s="244">
        <v>5775</v>
      </c>
      <c r="GP25" s="244">
        <v>3973.4690000000001</v>
      </c>
      <c r="GQ25" s="244">
        <v>4043.7759999999998</v>
      </c>
      <c r="GR25" s="244">
        <v>3973.4690000000001</v>
      </c>
      <c r="GS25" s="244">
        <v>3973.4690000000001</v>
      </c>
      <c r="GT25" s="244">
        <v>4052.848</v>
      </c>
      <c r="GU25" s="244">
        <v>4300.0559999999996</v>
      </c>
      <c r="GV25" s="244">
        <v>4052.848</v>
      </c>
      <c r="GW25" s="244">
        <v>4272.84</v>
      </c>
      <c r="GX25" s="244">
        <v>4300.0559999999996</v>
      </c>
      <c r="GY25" s="244">
        <v>2455.1999999999998</v>
      </c>
      <c r="GZ25" s="244">
        <v>2449.3989999999999</v>
      </c>
      <c r="HA25" s="244">
        <v>2455.1999999999998</v>
      </c>
      <c r="HB25" s="244">
        <v>2449.3989999999999</v>
      </c>
      <c r="HC25" s="244">
        <v>2455.1999999999998</v>
      </c>
      <c r="HD25" s="244">
        <v>2331</v>
      </c>
      <c r="HE25" s="244">
        <v>2455.1999999999998</v>
      </c>
      <c r="HF25" s="244">
        <v>2404</v>
      </c>
      <c r="HG25" s="244">
        <v>2404</v>
      </c>
      <c r="HH25" s="244">
        <v>2990</v>
      </c>
      <c r="HI25" s="244">
        <v>2990</v>
      </c>
      <c r="HJ25" s="244">
        <v>2857.6320000000001</v>
      </c>
      <c r="HK25" s="244">
        <v>2331</v>
      </c>
      <c r="HL25" s="244">
        <v>2331</v>
      </c>
      <c r="HM25" s="244">
        <v>2455.1999999999998</v>
      </c>
      <c r="HN25" s="244">
        <v>2404</v>
      </c>
      <c r="HO25" s="244">
        <v>2404</v>
      </c>
      <c r="HP25" s="244">
        <v>2990</v>
      </c>
      <c r="HQ25" s="244">
        <v>2990</v>
      </c>
      <c r="HR25" s="244">
        <v>2857.6320000000001</v>
      </c>
      <c r="HS25" s="244">
        <v>2857.6320000000001</v>
      </c>
      <c r="HT25" s="244">
        <v>2990</v>
      </c>
      <c r="HU25" s="244">
        <v>2857.6320000000001</v>
      </c>
      <c r="HV25" s="244">
        <v>2455.1999999999998</v>
      </c>
      <c r="HW25" s="244">
        <v>2404</v>
      </c>
      <c r="HX25" s="244">
        <v>2455.1999999999998</v>
      </c>
      <c r="HY25" s="244">
        <v>2455.1999999999998</v>
      </c>
      <c r="HZ25" s="244">
        <v>2404</v>
      </c>
      <c r="IA25" s="244">
        <v>2990</v>
      </c>
      <c r="IB25" s="244">
        <v>2990</v>
      </c>
      <c r="IC25" s="244">
        <v>2857.6320000000001</v>
      </c>
      <c r="ID25" s="244">
        <v>2990</v>
      </c>
      <c r="IE25" s="244">
        <v>2990</v>
      </c>
      <c r="IF25" s="244">
        <v>2857.6320000000001</v>
      </c>
      <c r="IG25" s="244">
        <v>1427.7273399999999</v>
      </c>
      <c r="IH25" s="244">
        <v>1427.7273399999999</v>
      </c>
      <c r="II25" s="244">
        <v>1427.7273399999999</v>
      </c>
      <c r="IJ25" s="244">
        <v>1427.7273399999999</v>
      </c>
      <c r="IK25" s="244">
        <v>1427.7273399999999</v>
      </c>
      <c r="IL25" s="244">
        <v>1427.7273399999999</v>
      </c>
      <c r="IM25" s="244">
        <v>2079.3581399999998</v>
      </c>
      <c r="IN25" s="244">
        <v>2079.3581399999998</v>
      </c>
      <c r="IO25" s="244">
        <v>2079.3581399999998</v>
      </c>
      <c r="IP25" s="244">
        <v>2079.3581399999998</v>
      </c>
      <c r="IQ25" s="244">
        <v>2079.3581399999998</v>
      </c>
      <c r="IR25" s="244">
        <v>2079.3581399999998</v>
      </c>
      <c r="IS25" s="244">
        <v>751.6</v>
      </c>
      <c r="IT25" s="244">
        <v>751.6</v>
      </c>
      <c r="IU25" s="244">
        <v>751.6</v>
      </c>
      <c r="IV25" s="244">
        <v>751.6</v>
      </c>
      <c r="IW25" s="244">
        <v>751.6</v>
      </c>
      <c r="IX25" s="244">
        <v>751.6</v>
      </c>
      <c r="IY25" s="244">
        <v>1724</v>
      </c>
      <c r="IZ25" s="244">
        <v>2177</v>
      </c>
      <c r="JA25" s="244">
        <v>2177</v>
      </c>
      <c r="JB25" s="244">
        <v>2177</v>
      </c>
      <c r="JC25" s="244">
        <v>750.69539999999995</v>
      </c>
      <c r="JD25" s="244">
        <v>750.69539999999995</v>
      </c>
      <c r="JE25" s="244">
        <v>750.69539999999995</v>
      </c>
      <c r="JF25" s="244">
        <v>757.49929999999995</v>
      </c>
      <c r="JG25" s="244">
        <v>757.49929999999995</v>
      </c>
      <c r="JH25" s="244">
        <v>1261</v>
      </c>
      <c r="JI25" s="244">
        <v>1261</v>
      </c>
      <c r="JJ25" s="244">
        <v>1261</v>
      </c>
      <c r="JK25" s="244">
        <v>1261</v>
      </c>
    </row>
    <row r="26" spans="1:271">
      <c r="A26" s="251" t="s">
        <v>2553</v>
      </c>
      <c r="B26" s="236">
        <v>1</v>
      </c>
      <c r="C26" s="236">
        <v>1</v>
      </c>
      <c r="D26" s="236">
        <v>1</v>
      </c>
      <c r="E26" s="236">
        <v>1</v>
      </c>
      <c r="F26" s="236">
        <v>1</v>
      </c>
      <c r="G26" s="236">
        <v>1</v>
      </c>
      <c r="H26" s="236">
        <v>2</v>
      </c>
      <c r="I26" s="236">
        <v>1</v>
      </c>
      <c r="J26" s="236">
        <v>1</v>
      </c>
      <c r="K26" s="236">
        <v>1</v>
      </c>
      <c r="L26" s="236">
        <v>1</v>
      </c>
      <c r="M26" s="236">
        <v>1</v>
      </c>
      <c r="N26" s="236">
        <v>1</v>
      </c>
      <c r="O26" s="236">
        <v>1</v>
      </c>
      <c r="P26" s="236">
        <v>2</v>
      </c>
      <c r="Q26" s="236">
        <v>2</v>
      </c>
      <c r="R26" s="236">
        <v>2</v>
      </c>
      <c r="S26" s="236">
        <v>2</v>
      </c>
      <c r="T26" s="236">
        <v>1</v>
      </c>
      <c r="U26" s="236">
        <v>1</v>
      </c>
      <c r="V26" s="236">
        <v>1</v>
      </c>
      <c r="W26" s="236">
        <v>1</v>
      </c>
      <c r="X26" s="236">
        <v>1</v>
      </c>
      <c r="Y26" s="236">
        <v>1</v>
      </c>
      <c r="Z26" s="236">
        <v>2</v>
      </c>
      <c r="AA26" s="236">
        <v>1</v>
      </c>
      <c r="AB26" s="236">
        <v>1</v>
      </c>
      <c r="AC26" s="236">
        <v>1</v>
      </c>
      <c r="AD26" s="236">
        <v>1</v>
      </c>
      <c r="AE26" s="236">
        <v>1</v>
      </c>
      <c r="AF26" s="236">
        <v>1</v>
      </c>
      <c r="AG26" s="236">
        <v>1</v>
      </c>
      <c r="AH26" s="236">
        <v>1</v>
      </c>
      <c r="AI26" s="236">
        <v>1</v>
      </c>
      <c r="AJ26" s="236">
        <v>1</v>
      </c>
      <c r="AK26" s="236">
        <v>1</v>
      </c>
      <c r="AL26" s="236">
        <v>1</v>
      </c>
      <c r="AM26" s="236">
        <v>1</v>
      </c>
      <c r="AN26" s="236">
        <v>1</v>
      </c>
      <c r="AO26" s="236">
        <v>1</v>
      </c>
      <c r="AP26" s="236">
        <v>1</v>
      </c>
      <c r="AQ26" s="236">
        <v>1</v>
      </c>
      <c r="AR26" s="236">
        <v>1</v>
      </c>
      <c r="AS26" s="236">
        <v>1</v>
      </c>
      <c r="AT26" s="236">
        <v>1</v>
      </c>
      <c r="AU26" s="252">
        <v>1</v>
      </c>
      <c r="AV26" s="253">
        <v>1</v>
      </c>
      <c r="AW26" s="236">
        <v>2</v>
      </c>
      <c r="AX26" s="236">
        <v>2</v>
      </c>
      <c r="AY26" s="236">
        <v>2</v>
      </c>
      <c r="AZ26" s="236">
        <v>1</v>
      </c>
      <c r="BA26" s="236">
        <v>2</v>
      </c>
      <c r="BB26" s="236">
        <v>2</v>
      </c>
      <c r="BC26" s="236">
        <v>2</v>
      </c>
      <c r="BD26" s="236">
        <v>2</v>
      </c>
      <c r="BE26" s="236">
        <v>2</v>
      </c>
      <c r="BF26" s="236">
        <v>1</v>
      </c>
      <c r="BG26" s="236">
        <v>2</v>
      </c>
      <c r="BH26" s="236">
        <v>2</v>
      </c>
      <c r="BI26" s="236">
        <v>2</v>
      </c>
      <c r="BJ26" s="236">
        <v>1</v>
      </c>
      <c r="BK26" s="236">
        <v>2</v>
      </c>
      <c r="BL26" s="236">
        <v>2</v>
      </c>
      <c r="BM26" s="236">
        <v>2</v>
      </c>
      <c r="BN26" s="236">
        <v>2</v>
      </c>
      <c r="BO26" s="236">
        <v>2</v>
      </c>
      <c r="BP26" s="236">
        <v>2</v>
      </c>
      <c r="BQ26" s="236">
        <v>1</v>
      </c>
      <c r="BR26" s="236">
        <v>2</v>
      </c>
      <c r="BS26" s="236">
        <v>2</v>
      </c>
      <c r="BT26" s="236">
        <v>2</v>
      </c>
      <c r="BU26" s="236">
        <v>2</v>
      </c>
      <c r="BV26" s="236">
        <v>2</v>
      </c>
      <c r="BW26" s="236">
        <v>2</v>
      </c>
      <c r="BX26" s="236">
        <v>2</v>
      </c>
      <c r="BY26" s="236">
        <v>2</v>
      </c>
      <c r="BZ26" s="236">
        <v>2</v>
      </c>
      <c r="CA26" s="236">
        <v>2</v>
      </c>
      <c r="CB26" s="236">
        <v>2</v>
      </c>
      <c r="CC26" s="236">
        <v>2</v>
      </c>
      <c r="CD26" s="236">
        <v>2</v>
      </c>
      <c r="CE26" s="236">
        <v>2</v>
      </c>
      <c r="CF26" s="236">
        <v>2</v>
      </c>
      <c r="CG26" s="236">
        <v>2</v>
      </c>
      <c r="CH26" s="236">
        <v>2</v>
      </c>
      <c r="CI26" s="236">
        <v>2</v>
      </c>
      <c r="CJ26" s="236">
        <v>2</v>
      </c>
      <c r="CK26" s="236">
        <v>2</v>
      </c>
      <c r="CL26" s="236">
        <v>2</v>
      </c>
      <c r="CM26" s="236">
        <v>2</v>
      </c>
      <c r="CN26" s="236">
        <v>2</v>
      </c>
      <c r="CO26" s="236">
        <v>4</v>
      </c>
      <c r="CP26" s="236">
        <v>4</v>
      </c>
      <c r="CQ26" s="236">
        <v>4</v>
      </c>
      <c r="CR26" s="236">
        <v>4</v>
      </c>
      <c r="CS26" s="236">
        <v>4</v>
      </c>
      <c r="CT26" s="236">
        <v>4</v>
      </c>
      <c r="CU26" s="236">
        <v>4</v>
      </c>
      <c r="CV26" s="236">
        <v>4</v>
      </c>
      <c r="CW26" s="236">
        <v>4</v>
      </c>
      <c r="CX26" s="236">
        <v>4</v>
      </c>
      <c r="CY26" s="236">
        <v>4</v>
      </c>
      <c r="CZ26" s="236">
        <v>2</v>
      </c>
      <c r="DA26" s="236">
        <v>2</v>
      </c>
      <c r="DB26" s="236">
        <v>2</v>
      </c>
      <c r="DC26" s="236">
        <v>2</v>
      </c>
      <c r="DD26" s="236">
        <v>2</v>
      </c>
      <c r="DE26" s="236">
        <v>2</v>
      </c>
      <c r="DF26" s="236">
        <v>2</v>
      </c>
      <c r="DG26" s="236">
        <v>2</v>
      </c>
      <c r="DH26" s="236">
        <v>3</v>
      </c>
      <c r="DI26" s="236">
        <v>3</v>
      </c>
      <c r="DJ26" s="236">
        <v>3</v>
      </c>
      <c r="DK26" s="236">
        <v>3</v>
      </c>
      <c r="DL26" s="236">
        <v>3</v>
      </c>
      <c r="DM26" s="236">
        <v>3</v>
      </c>
      <c r="DN26" s="236">
        <v>4</v>
      </c>
      <c r="DO26" s="236">
        <v>4</v>
      </c>
      <c r="DP26" s="236">
        <v>4</v>
      </c>
      <c r="DQ26" s="236">
        <v>4</v>
      </c>
      <c r="DR26" s="244">
        <v>4</v>
      </c>
      <c r="DS26" s="244">
        <v>4</v>
      </c>
      <c r="DT26" s="244">
        <v>4</v>
      </c>
      <c r="DU26" s="244">
        <v>4</v>
      </c>
      <c r="DV26" s="244">
        <v>4</v>
      </c>
      <c r="DW26" s="244">
        <v>4</v>
      </c>
      <c r="DX26" s="244">
        <v>4</v>
      </c>
      <c r="DY26" s="244">
        <v>4</v>
      </c>
      <c r="DZ26" s="244">
        <v>4</v>
      </c>
      <c r="EA26" s="244">
        <v>4</v>
      </c>
      <c r="EB26" s="244">
        <v>4</v>
      </c>
      <c r="EC26" s="244">
        <v>4</v>
      </c>
      <c r="ED26" s="244">
        <v>4</v>
      </c>
      <c r="EE26" s="244">
        <v>4</v>
      </c>
      <c r="EF26" s="244">
        <v>4</v>
      </c>
      <c r="EG26" s="244">
        <v>4</v>
      </c>
      <c r="EH26" s="244">
        <v>4</v>
      </c>
      <c r="EI26" s="244">
        <v>4</v>
      </c>
      <c r="EJ26" s="244">
        <v>2</v>
      </c>
      <c r="EK26" s="244">
        <v>2</v>
      </c>
      <c r="EL26" s="244">
        <v>3</v>
      </c>
      <c r="EM26" s="262">
        <v>3</v>
      </c>
      <c r="EN26" s="244">
        <v>3</v>
      </c>
      <c r="EO26" s="262">
        <v>3</v>
      </c>
      <c r="EP26" s="262">
        <v>3</v>
      </c>
      <c r="EQ26" s="262">
        <v>3</v>
      </c>
      <c r="ER26" s="262">
        <v>3</v>
      </c>
      <c r="ES26" s="262">
        <v>3</v>
      </c>
      <c r="ET26" s="244">
        <v>2</v>
      </c>
      <c r="EU26" s="244">
        <v>2</v>
      </c>
      <c r="EV26" s="244">
        <v>2</v>
      </c>
      <c r="EW26" s="244">
        <v>2</v>
      </c>
      <c r="EX26" s="244">
        <v>2</v>
      </c>
      <c r="EY26" s="244">
        <v>2</v>
      </c>
      <c r="EZ26" s="244">
        <v>2</v>
      </c>
      <c r="FA26" s="244">
        <v>2</v>
      </c>
      <c r="FB26" s="244">
        <v>2</v>
      </c>
      <c r="FC26" s="244">
        <v>2</v>
      </c>
      <c r="FD26" s="244">
        <v>2</v>
      </c>
      <c r="FE26" s="244">
        <v>2</v>
      </c>
      <c r="FF26" s="244">
        <v>2</v>
      </c>
      <c r="FG26" s="244">
        <v>2</v>
      </c>
      <c r="FH26" s="244">
        <v>2</v>
      </c>
      <c r="FI26" s="244">
        <v>2</v>
      </c>
      <c r="FJ26" s="244">
        <v>2</v>
      </c>
      <c r="FK26" s="244">
        <v>2</v>
      </c>
      <c r="FL26" s="244">
        <v>2</v>
      </c>
      <c r="FM26" s="244">
        <v>2</v>
      </c>
      <c r="FN26" s="244">
        <v>2</v>
      </c>
      <c r="FO26" s="244">
        <v>2</v>
      </c>
      <c r="FP26" s="244">
        <v>2</v>
      </c>
      <c r="FQ26" s="244">
        <v>2</v>
      </c>
      <c r="FR26" s="244">
        <v>2</v>
      </c>
      <c r="FS26" s="244">
        <v>2</v>
      </c>
      <c r="FT26" s="244">
        <v>2</v>
      </c>
      <c r="FU26" s="244">
        <v>2</v>
      </c>
      <c r="FV26" s="244">
        <v>2</v>
      </c>
      <c r="FW26" s="244">
        <v>2</v>
      </c>
      <c r="FX26" s="244">
        <v>2</v>
      </c>
      <c r="FY26" s="244">
        <v>2</v>
      </c>
      <c r="FZ26" s="244">
        <v>2</v>
      </c>
      <c r="GA26" s="244">
        <v>2</v>
      </c>
      <c r="GB26" s="244">
        <v>2</v>
      </c>
      <c r="GC26" s="244">
        <v>2</v>
      </c>
      <c r="GD26" s="244">
        <v>2</v>
      </c>
      <c r="GE26" s="244">
        <v>2</v>
      </c>
      <c r="GF26" s="244">
        <v>2</v>
      </c>
      <c r="GG26" s="244">
        <v>2</v>
      </c>
      <c r="GH26" s="244">
        <v>2</v>
      </c>
      <c r="GI26" s="244">
        <v>2</v>
      </c>
      <c r="GJ26" s="244">
        <v>2</v>
      </c>
      <c r="GK26" s="244">
        <v>2</v>
      </c>
      <c r="GL26" s="244">
        <v>2</v>
      </c>
      <c r="GM26" s="244">
        <v>2</v>
      </c>
      <c r="GN26" s="244">
        <v>2</v>
      </c>
      <c r="GO26" s="244">
        <v>2</v>
      </c>
      <c r="GP26" s="244">
        <v>2</v>
      </c>
      <c r="GQ26" s="244">
        <v>2</v>
      </c>
      <c r="GR26" s="244">
        <v>2</v>
      </c>
      <c r="GS26" s="244">
        <v>2</v>
      </c>
      <c r="GT26" s="244">
        <v>2</v>
      </c>
      <c r="GU26" s="244">
        <v>2</v>
      </c>
      <c r="GV26" s="244">
        <v>2</v>
      </c>
      <c r="GW26" s="244">
        <v>2</v>
      </c>
      <c r="GX26" s="244">
        <v>2</v>
      </c>
      <c r="GY26" s="244">
        <v>2</v>
      </c>
      <c r="GZ26" s="244">
        <v>2</v>
      </c>
      <c r="HA26" s="244">
        <v>2</v>
      </c>
      <c r="HB26" s="244">
        <v>2</v>
      </c>
      <c r="HC26" s="244">
        <v>2</v>
      </c>
      <c r="HD26" s="244">
        <v>2</v>
      </c>
      <c r="HE26" s="244">
        <v>2</v>
      </c>
      <c r="HF26" s="244">
        <v>2</v>
      </c>
      <c r="HG26" s="244">
        <v>2</v>
      </c>
      <c r="HH26" s="244">
        <v>2</v>
      </c>
      <c r="HI26" s="244">
        <v>2</v>
      </c>
      <c r="HJ26" s="244">
        <v>2</v>
      </c>
      <c r="HK26" s="244">
        <v>2</v>
      </c>
      <c r="HL26" s="244">
        <v>2</v>
      </c>
      <c r="HM26" s="244">
        <v>2</v>
      </c>
      <c r="HN26" s="244">
        <v>2</v>
      </c>
      <c r="HO26" s="244">
        <v>2</v>
      </c>
      <c r="HP26" s="244">
        <v>2</v>
      </c>
      <c r="HQ26" s="244">
        <v>2</v>
      </c>
      <c r="HR26" s="244">
        <v>2</v>
      </c>
      <c r="HS26" s="244">
        <v>2</v>
      </c>
      <c r="HT26" s="244">
        <v>2</v>
      </c>
      <c r="HU26" s="244">
        <v>2</v>
      </c>
      <c r="HV26" s="244">
        <v>2</v>
      </c>
      <c r="HW26" s="244">
        <v>2</v>
      </c>
      <c r="HX26" s="244">
        <v>2</v>
      </c>
      <c r="HY26" s="244">
        <v>2</v>
      </c>
      <c r="HZ26" s="244">
        <v>2</v>
      </c>
      <c r="IA26" s="244">
        <v>2</v>
      </c>
      <c r="IB26" s="244">
        <v>2</v>
      </c>
      <c r="IC26" s="244">
        <v>2</v>
      </c>
      <c r="ID26" s="244">
        <v>2</v>
      </c>
      <c r="IE26" s="244">
        <v>2</v>
      </c>
      <c r="IF26" s="244">
        <v>2</v>
      </c>
      <c r="IG26" s="244">
        <v>2</v>
      </c>
      <c r="IH26" s="244">
        <v>2</v>
      </c>
      <c r="II26" s="244">
        <v>2</v>
      </c>
      <c r="IJ26" s="244">
        <v>2</v>
      </c>
      <c r="IK26" s="244">
        <v>2</v>
      </c>
      <c r="IL26" s="244">
        <v>2</v>
      </c>
      <c r="IM26" s="244">
        <v>2</v>
      </c>
      <c r="IN26" s="244">
        <v>2</v>
      </c>
      <c r="IO26" s="244">
        <v>2</v>
      </c>
      <c r="IP26" s="244">
        <v>2</v>
      </c>
      <c r="IQ26" s="244">
        <v>2</v>
      </c>
      <c r="IR26" s="244">
        <v>2</v>
      </c>
      <c r="IS26" s="244">
        <v>2</v>
      </c>
      <c r="IT26" s="244">
        <v>2</v>
      </c>
      <c r="IU26" s="244">
        <v>2</v>
      </c>
      <c r="IV26" s="244">
        <v>2</v>
      </c>
      <c r="IW26" s="244">
        <v>2</v>
      </c>
      <c r="IX26" s="244">
        <v>2</v>
      </c>
      <c r="IY26" s="244">
        <v>2</v>
      </c>
      <c r="IZ26" s="244">
        <v>2</v>
      </c>
      <c r="JA26" s="244">
        <v>2</v>
      </c>
      <c r="JB26" s="244">
        <v>2</v>
      </c>
      <c r="JC26" s="244">
        <v>2</v>
      </c>
      <c r="JD26" s="244">
        <v>2</v>
      </c>
      <c r="JE26" s="244">
        <v>2</v>
      </c>
      <c r="JF26" s="244">
        <v>2</v>
      </c>
      <c r="JG26" s="244">
        <v>2</v>
      </c>
      <c r="JH26" s="244">
        <v>2</v>
      </c>
      <c r="JI26" s="244">
        <v>2</v>
      </c>
      <c r="JJ26" s="244">
        <v>2</v>
      </c>
      <c r="JK26" s="244">
        <v>2</v>
      </c>
    </row>
    <row r="27" spans="1:271">
      <c r="A27" s="251" t="s">
        <v>2554</v>
      </c>
      <c r="B27" s="236">
        <f t="shared" ref="B27:AG27" si="56">B29/B11*1000</f>
        <v>4.0266000000000002</v>
      </c>
      <c r="C27" s="236">
        <f t="shared" si="56"/>
        <v>4.0266000000000002</v>
      </c>
      <c r="D27" s="236">
        <f t="shared" si="56"/>
        <v>4.0990759023773791</v>
      </c>
      <c r="E27" s="236">
        <f t="shared" si="56"/>
        <v>4.2054186413902057</v>
      </c>
      <c r="F27" s="236">
        <f t="shared" si="56"/>
        <v>4.2161803105015601</v>
      </c>
      <c r="G27" s="236">
        <f t="shared" si="56"/>
        <v>5.9860642919200711</v>
      </c>
      <c r="H27" s="236">
        <f t="shared" si="56"/>
        <v>9.6620798782327402</v>
      </c>
      <c r="I27" s="236">
        <f t="shared" si="56"/>
        <v>4.1757333333333335</v>
      </c>
      <c r="J27" s="236">
        <f t="shared" si="56"/>
        <v>4.1757333333333335</v>
      </c>
      <c r="K27" s="236">
        <f t="shared" si="56"/>
        <v>3.3555000000000001</v>
      </c>
      <c r="L27" s="236">
        <f t="shared" si="56"/>
        <v>3.0504545454545458</v>
      </c>
      <c r="M27" s="236">
        <f t="shared" si="56"/>
        <v>7.5267514414343255</v>
      </c>
      <c r="N27" s="236">
        <f t="shared" si="56"/>
        <v>11.583423110338838</v>
      </c>
      <c r="O27" s="236">
        <f t="shared" si="56"/>
        <v>6.4127333333333327</v>
      </c>
      <c r="P27" s="236">
        <f t="shared" si="56"/>
        <v>9.6382467478664182</v>
      </c>
      <c r="Q27" s="236">
        <f t="shared" si="56"/>
        <v>10.490364586059268</v>
      </c>
      <c r="R27" s="236">
        <f t="shared" si="56"/>
        <v>8.7802250000000015</v>
      </c>
      <c r="S27" s="236">
        <f t="shared" si="56"/>
        <v>8.7802250000000015</v>
      </c>
      <c r="T27" s="236">
        <f t="shared" si="56"/>
        <v>6.2555928411633106</v>
      </c>
      <c r="U27" s="236">
        <f t="shared" si="56"/>
        <v>6.2555928411633106</v>
      </c>
      <c r="V27" s="236">
        <f t="shared" si="56"/>
        <v>8.6958718904094674</v>
      </c>
      <c r="W27" s="236">
        <f t="shared" si="56"/>
        <v>8.1688493515967728</v>
      </c>
      <c r="X27" s="236">
        <f t="shared" si="56"/>
        <v>5.555695929983826</v>
      </c>
      <c r="Y27" s="236">
        <f t="shared" si="56"/>
        <v>2.9152910512597741</v>
      </c>
      <c r="Z27" s="236">
        <f t="shared" si="56"/>
        <v>13.338633540372673</v>
      </c>
      <c r="AA27" s="236">
        <f t="shared" si="56"/>
        <v>4.013553097792534</v>
      </c>
      <c r="AB27" s="236">
        <f t="shared" si="56"/>
        <v>4.1408913763854613</v>
      </c>
      <c r="AC27" s="236">
        <f t="shared" si="56"/>
        <v>6.1546125251756525</v>
      </c>
      <c r="AD27" s="236">
        <f t="shared" si="56"/>
        <v>5.5004008945361091</v>
      </c>
      <c r="AE27" s="236">
        <f t="shared" si="56"/>
        <v>2.5589014501780678</v>
      </c>
      <c r="AF27" s="236">
        <f t="shared" si="56"/>
        <v>6.3566314988373307</v>
      </c>
      <c r="AG27" s="236">
        <f t="shared" si="56"/>
        <v>3.6259838946017093</v>
      </c>
      <c r="AH27" s="236">
        <f t="shared" ref="AH27:BR27" si="57">AH29/AH11*1000</f>
        <v>3.8936739807803593</v>
      </c>
      <c r="AI27" s="236">
        <f t="shared" si="57"/>
        <v>3.8568965517241378</v>
      </c>
      <c r="AJ27" s="236">
        <f t="shared" si="57"/>
        <v>2.1595997999999996</v>
      </c>
      <c r="AK27" s="236">
        <f t="shared" si="57"/>
        <v>12.978913269267863</v>
      </c>
      <c r="AL27" s="236">
        <f t="shared" si="57"/>
        <v>7.2882068047014226</v>
      </c>
      <c r="AM27" s="236">
        <f t="shared" si="57"/>
        <v>5.1327941260827163</v>
      </c>
      <c r="AN27" s="236">
        <f t="shared" si="57"/>
        <v>17.866173333333336</v>
      </c>
      <c r="AO27" s="236">
        <f t="shared" si="57"/>
        <v>7.8572663705432886</v>
      </c>
      <c r="AP27" s="236">
        <f t="shared" si="57"/>
        <v>4.2054186413902057</v>
      </c>
      <c r="AQ27" s="236">
        <f t="shared" si="57"/>
        <v>4.1757333333333335</v>
      </c>
      <c r="AR27" s="236">
        <f t="shared" si="57"/>
        <v>4.3479359452047337</v>
      </c>
      <c r="AS27" s="236">
        <f t="shared" si="57"/>
        <v>7.1492489613294978</v>
      </c>
      <c r="AT27" s="236">
        <f t="shared" si="57"/>
        <v>7.8194910514541389</v>
      </c>
      <c r="AU27" s="252">
        <f t="shared" si="57"/>
        <v>8.2036527268013852</v>
      </c>
      <c r="AV27" s="253">
        <f t="shared" si="57"/>
        <v>7.6279577986047959</v>
      </c>
      <c r="AW27" s="236">
        <f t="shared" si="57"/>
        <v>9.7901647058823524</v>
      </c>
      <c r="AX27" s="236">
        <f t="shared" si="57"/>
        <v>7.8426588235294119</v>
      </c>
      <c r="AY27" s="236">
        <f t="shared" si="57"/>
        <v>8.7297560975609763</v>
      </c>
      <c r="AZ27" s="236">
        <f t="shared" si="57"/>
        <v>8.8389936440677968</v>
      </c>
      <c r="BA27" s="236">
        <f t="shared" si="57"/>
        <v>12.967528257628153</v>
      </c>
      <c r="BB27" s="236">
        <f t="shared" si="57"/>
        <v>7.4381637717121603</v>
      </c>
      <c r="BC27" s="236">
        <f t="shared" si="57"/>
        <v>6.7665462753950347</v>
      </c>
      <c r="BD27" s="236">
        <f t="shared" si="57"/>
        <v>6.5794117647058821</v>
      </c>
      <c r="BE27" s="236">
        <f t="shared" si="57"/>
        <v>31.340426065162916</v>
      </c>
      <c r="BF27" s="236">
        <f t="shared" si="57"/>
        <v>24.399870370370369</v>
      </c>
      <c r="BG27" s="236">
        <f t="shared" si="57"/>
        <v>32.50186688311689</v>
      </c>
      <c r="BH27" s="236">
        <f t="shared" si="57"/>
        <v>9.3804578686609901</v>
      </c>
      <c r="BI27" s="236">
        <f t="shared" si="57"/>
        <v>12.806062112549808</v>
      </c>
      <c r="BJ27" s="236">
        <f t="shared" si="57"/>
        <v>2.9762656767770497</v>
      </c>
      <c r="BK27" s="236">
        <f t="shared" si="57"/>
        <v>34.176995121951222</v>
      </c>
      <c r="BL27" s="236">
        <f t="shared" si="57"/>
        <v>34.616027667984191</v>
      </c>
      <c r="BM27" s="236">
        <f t="shared" si="57"/>
        <v>28.028814229249011</v>
      </c>
      <c r="BN27" s="236">
        <f t="shared" si="57"/>
        <v>29.858063157894737</v>
      </c>
      <c r="BO27" s="236">
        <f t="shared" si="57"/>
        <v>57.282440201714977</v>
      </c>
      <c r="BP27" s="236">
        <f t="shared" si="57"/>
        <v>36.691442575567386</v>
      </c>
      <c r="BQ27" s="236">
        <f t="shared" si="57"/>
        <v>5.8063499420625737</v>
      </c>
      <c r="BR27" s="345">
        <f t="shared" si="57"/>
        <v>57.457736355738085</v>
      </c>
      <c r="BS27" s="345"/>
      <c r="BT27" s="345"/>
      <c r="BU27" s="345"/>
      <c r="BV27" s="345"/>
      <c r="BW27" s="345"/>
      <c r="BX27" s="345">
        <f t="shared" ref="BX27:CK27" si="58">BX29/BX11*1000</f>
        <v>40.304622667780563</v>
      </c>
      <c r="BY27" s="345">
        <f t="shared" si="58"/>
        <v>54.237651309846441</v>
      </c>
      <c r="BZ27" s="345">
        <f t="shared" si="58"/>
        <v>54.237651309846441</v>
      </c>
      <c r="CA27" s="345">
        <f t="shared" si="58"/>
        <v>54.237651309846441</v>
      </c>
      <c r="CB27" s="345">
        <f t="shared" si="58"/>
        <v>54.237651309846441</v>
      </c>
      <c r="CC27" s="236">
        <f t="shared" si="58"/>
        <v>55.916322730799067</v>
      </c>
      <c r="CD27" s="236">
        <f t="shared" si="58"/>
        <v>48.300254207291573</v>
      </c>
      <c r="CE27" s="236">
        <f t="shared" si="58"/>
        <v>51.107571515912092</v>
      </c>
      <c r="CF27" s="236">
        <f t="shared" si="58"/>
        <v>55.87641181581234</v>
      </c>
      <c r="CG27" s="236">
        <f t="shared" si="58"/>
        <v>51.827396466840433</v>
      </c>
      <c r="CH27" s="236">
        <f t="shared" si="58"/>
        <v>62.514350453172206</v>
      </c>
      <c r="CI27" s="236">
        <f t="shared" si="58"/>
        <v>62.530880519774861</v>
      </c>
      <c r="CJ27" s="236">
        <f t="shared" si="58"/>
        <v>54.452566766139086</v>
      </c>
      <c r="CK27" s="236">
        <f t="shared" si="58"/>
        <v>63.500026910035906</v>
      </c>
      <c r="CL27" s="236">
        <f>355.7 * 2</f>
        <v>711.4</v>
      </c>
      <c r="CM27" s="236">
        <f>CM26*425.6</f>
        <v>851.2</v>
      </c>
      <c r="CN27" s="236">
        <f>439.8*2</f>
        <v>879.6</v>
      </c>
      <c r="CO27" s="236">
        <f>CO26*235.8</f>
        <v>943.2</v>
      </c>
      <c r="CP27" s="236">
        <f>224.99*4</f>
        <v>899.96</v>
      </c>
      <c r="CQ27" s="236">
        <f>138.78*4</f>
        <v>555.12</v>
      </c>
      <c r="CR27" s="236">
        <f>144.57*4</f>
        <v>578.28</v>
      </c>
      <c r="CS27" s="236">
        <f>151.25*4</f>
        <v>605</v>
      </c>
      <c r="CT27" s="236">
        <f>151.25*4</f>
        <v>605</v>
      </c>
      <c r="CU27" s="236">
        <f>144.57*4</f>
        <v>578.28</v>
      </c>
      <c r="CV27" s="236">
        <f>138.78*4</f>
        <v>555.12</v>
      </c>
      <c r="CW27" s="236">
        <f>254.3*4</f>
        <v>1017.2</v>
      </c>
      <c r="CX27" s="236">
        <f>4*252.3</f>
        <v>1009.2</v>
      </c>
      <c r="CY27" s="236">
        <f>258.007*4</f>
        <v>1032.028</v>
      </c>
      <c r="CZ27" s="236">
        <f>320.2*2</f>
        <v>640.4</v>
      </c>
      <c r="DA27" s="236">
        <f>232.1*2</f>
        <v>464.2</v>
      </c>
      <c r="DB27" s="236">
        <f>275.8*2</f>
        <v>551.6</v>
      </c>
      <c r="DC27" s="236">
        <f>2*267.03</f>
        <v>534.05999999999995</v>
      </c>
      <c r="DD27" s="236">
        <f>275.8*2</f>
        <v>551.6</v>
      </c>
      <c r="DE27" s="236">
        <f>280.2*2</f>
        <v>560.4</v>
      </c>
      <c r="DF27" s="236">
        <f>374.5*2</f>
        <v>749</v>
      </c>
      <c r="DG27" s="236">
        <f>431.5*DG26</f>
        <v>863</v>
      </c>
      <c r="DH27" s="236">
        <f>203.5*DH26</f>
        <v>610.5</v>
      </c>
      <c r="DI27" s="236">
        <f>182.4*DI26</f>
        <v>547.20000000000005</v>
      </c>
      <c r="DJ27" s="236">
        <f>226.8*DJ26</f>
        <v>680.40000000000009</v>
      </c>
      <c r="DK27" s="236">
        <f>233.5*DK26</f>
        <v>700.5</v>
      </c>
      <c r="DL27" s="236">
        <f>206*DL26</f>
        <v>618</v>
      </c>
      <c r="DM27" s="236">
        <f>236*DM26</f>
        <v>708</v>
      </c>
      <c r="DN27" s="236">
        <f>311.4 *4</f>
        <v>1245.5999999999999</v>
      </c>
      <c r="DO27" s="236">
        <f>4*275.8</f>
        <v>1103.2</v>
      </c>
      <c r="DP27" s="236">
        <f>4*269.6</f>
        <v>1078.4000000000001</v>
      </c>
      <c r="DQ27" s="236">
        <f>4*267</f>
        <v>1068</v>
      </c>
      <c r="DR27" s="244">
        <v>213.51464000000001</v>
      </c>
      <c r="DS27" s="244">
        <v>311.37560000000002</v>
      </c>
      <c r="DT27" s="244">
        <v>311.37560000000002</v>
      </c>
      <c r="DU27" s="244">
        <v>311.37547999999998</v>
      </c>
      <c r="DV27" s="244">
        <v>320.27195519999998</v>
      </c>
      <c r="DW27" s="244">
        <v>320.27195519999998</v>
      </c>
      <c r="DX27" s="244">
        <v>320.27195519999998</v>
      </c>
      <c r="DY27" s="244">
        <v>320.27195519999998</v>
      </c>
      <c r="DZ27" s="244">
        <v>427.02800000000002</v>
      </c>
      <c r="EA27" s="244">
        <v>427.02800000000002</v>
      </c>
      <c r="EB27" s="244">
        <v>427.02800000000002</v>
      </c>
      <c r="EC27" s="244">
        <v>213.51464000000001</v>
      </c>
      <c r="ED27" s="244">
        <v>314.93400000000003</v>
      </c>
      <c r="EE27" s="244">
        <v>314.93400000000003</v>
      </c>
      <c r="EF27" s="244">
        <v>311.37560000000002</v>
      </c>
      <c r="EG27" s="244">
        <v>311.37547999999998</v>
      </c>
      <c r="EH27" s="244">
        <v>320.27195999999998</v>
      </c>
      <c r="EI27" s="244">
        <v>343.13580000000002</v>
      </c>
      <c r="EJ27" s="244">
        <v>166.46</v>
      </c>
      <c r="EK27" s="244">
        <v>190.66</v>
      </c>
      <c r="EL27" s="244">
        <v>186.82499999999999</v>
      </c>
      <c r="EM27" s="244">
        <v>193.49760000000001</v>
      </c>
      <c r="EN27" s="244">
        <v>186.82499999999999</v>
      </c>
      <c r="EO27" s="244">
        <v>193.49760000000001</v>
      </c>
      <c r="EP27" s="244">
        <v>193.49760000000001</v>
      </c>
      <c r="EQ27" s="244">
        <v>206.84219999999999</v>
      </c>
      <c r="ER27" s="244">
        <v>213.5145</v>
      </c>
      <c r="ES27" s="244">
        <v>232.197</v>
      </c>
      <c r="ET27" s="244">
        <v>124.55</v>
      </c>
      <c r="EU27" s="244">
        <v>128.9984264</v>
      </c>
      <c r="EV27" s="244">
        <v>128.9984264</v>
      </c>
      <c r="EW27" s="244">
        <v>137.89490000000001</v>
      </c>
      <c r="EX27" s="244">
        <v>137.89490000000001</v>
      </c>
      <c r="EY27" s="244">
        <v>142.3430912</v>
      </c>
      <c r="EZ27" s="244">
        <v>142.3430912</v>
      </c>
      <c r="FA27" s="244">
        <v>142.3430912</v>
      </c>
      <c r="FB27" s="244">
        <v>142.3430912</v>
      </c>
      <c r="FC27" s="244">
        <v>178.81850800000001</v>
      </c>
      <c r="FD27" s="244">
        <v>196.61139470000001</v>
      </c>
      <c r="FE27" s="244">
        <v>196.61139470000001</v>
      </c>
      <c r="FF27" s="244">
        <v>209.06641519999999</v>
      </c>
      <c r="FG27" s="244">
        <v>178.8185</v>
      </c>
      <c r="FH27" s="244">
        <v>164.584</v>
      </c>
      <c r="FI27" s="244">
        <v>183.26599999999999</v>
      </c>
      <c r="FJ27" s="244">
        <v>215.29392000000001</v>
      </c>
      <c r="FK27" s="244">
        <v>233.97640000000001</v>
      </c>
      <c r="FL27" s="244">
        <v>233.97640000000001</v>
      </c>
      <c r="FM27" s="244">
        <v>183.26599999999999</v>
      </c>
      <c r="FN27" s="244">
        <v>215.29392000000001</v>
      </c>
      <c r="FO27" s="244">
        <v>249.42</v>
      </c>
      <c r="FP27" s="244">
        <v>260.82</v>
      </c>
      <c r="FQ27" s="244">
        <v>260.82</v>
      </c>
      <c r="FR27" s="244">
        <v>260.82</v>
      </c>
      <c r="FS27" s="244">
        <v>260.82</v>
      </c>
      <c r="FT27" s="244">
        <v>260.82</v>
      </c>
      <c r="FU27" s="244">
        <v>260.82</v>
      </c>
      <c r="FV27" s="244">
        <v>333.88351999999998</v>
      </c>
      <c r="FW27" s="244">
        <v>363.86452000000003</v>
      </c>
      <c r="FX27" s="244">
        <v>326.67739399999999</v>
      </c>
      <c r="FY27" s="244">
        <v>352.38799999999998</v>
      </c>
      <c r="FZ27" s="244">
        <v>333.88351999999998</v>
      </c>
      <c r="GA27" s="244">
        <v>363.86452000000003</v>
      </c>
      <c r="GB27" s="244">
        <v>363.86452000000003</v>
      </c>
      <c r="GC27" s="244">
        <v>382.54700000000003</v>
      </c>
      <c r="GD27" s="244">
        <v>352.38799999999998</v>
      </c>
      <c r="GE27" s="244">
        <v>378.45460000000003</v>
      </c>
      <c r="GF27" s="244">
        <v>427.0292</v>
      </c>
      <c r="GG27" s="244">
        <v>417.51</v>
      </c>
      <c r="GH27" s="244">
        <v>444.82216</v>
      </c>
      <c r="GI27" s="244">
        <v>432.9898</v>
      </c>
      <c r="GJ27" s="244">
        <v>464.39434</v>
      </c>
      <c r="GK27" s="244">
        <v>462.17021999999997</v>
      </c>
      <c r="GL27" s="244">
        <v>508.698622</v>
      </c>
      <c r="GM27" s="244">
        <v>504.87315999999998</v>
      </c>
      <c r="GN27" s="244">
        <v>505.94072</v>
      </c>
      <c r="GO27" s="244">
        <v>528.89354000000003</v>
      </c>
      <c r="GP27" s="244">
        <v>435.65879999999999</v>
      </c>
      <c r="GQ27" s="244">
        <v>427.0292</v>
      </c>
      <c r="GR27" s="244">
        <v>435.65879999999999</v>
      </c>
      <c r="GS27" s="244">
        <v>435.65879999999999</v>
      </c>
      <c r="GT27" s="244">
        <v>444.82216</v>
      </c>
      <c r="GU27" s="244">
        <v>466.70740000000001</v>
      </c>
      <c r="GV27" s="244">
        <v>444.82216</v>
      </c>
      <c r="GW27" s="244">
        <v>498.20080000000002</v>
      </c>
      <c r="GX27" s="244">
        <v>466.70740000000001</v>
      </c>
      <c r="GY27" s="244">
        <v>192.16316</v>
      </c>
      <c r="GZ27" s="244">
        <v>196.61139399999999</v>
      </c>
      <c r="HA27" s="244">
        <v>207.28711999999999</v>
      </c>
      <c r="HB27" s="244">
        <v>211.73534000000001</v>
      </c>
      <c r="HC27" s="244">
        <v>195.72175039999999</v>
      </c>
      <c r="HD27" s="244">
        <v>209.06641519999999</v>
      </c>
      <c r="HE27" s="244">
        <v>240.20396600000001</v>
      </c>
      <c r="HF27" s="244">
        <v>204.97399999999999</v>
      </c>
      <c r="HG27" s="244">
        <v>220.63177999999999</v>
      </c>
      <c r="HH27" s="244">
        <v>213.6036</v>
      </c>
      <c r="HI27" s="244">
        <v>241.27152000000001</v>
      </c>
      <c r="HJ27" s="244">
        <v>215.64977999999999</v>
      </c>
      <c r="HK27" s="244">
        <v>222.41108</v>
      </c>
      <c r="HL27" s="244">
        <v>235.75574</v>
      </c>
      <c r="HM27" s="244">
        <v>240.20396600000001</v>
      </c>
      <c r="HN27" s="244">
        <v>220.6317914</v>
      </c>
      <c r="HO27" s="244">
        <v>220.6317914</v>
      </c>
      <c r="HP27" s="244">
        <v>213.6036</v>
      </c>
      <c r="HQ27" s="244">
        <v>241.27153799999999</v>
      </c>
      <c r="HR27" s="244">
        <v>240.87119960000001</v>
      </c>
      <c r="HS27" s="244">
        <v>215.64977999999999</v>
      </c>
      <c r="HT27" s="244">
        <v>260.57682</v>
      </c>
      <c r="HU27" s="244">
        <v>260.17648000000003</v>
      </c>
      <c r="HV27" s="244">
        <v>266.89329400000003</v>
      </c>
      <c r="HW27" s="244">
        <v>266.00365160000001</v>
      </c>
      <c r="HX27" s="244">
        <v>275.78973919999999</v>
      </c>
      <c r="HY27" s="244">
        <v>284.68618240000001</v>
      </c>
      <c r="HZ27" s="244">
        <v>281.12759999999997</v>
      </c>
      <c r="IA27" s="244">
        <v>286.1096</v>
      </c>
      <c r="IB27" s="244">
        <v>286.1096</v>
      </c>
      <c r="IC27" s="244">
        <v>294.56119999999999</v>
      </c>
      <c r="ID27" s="244">
        <v>286.1096</v>
      </c>
      <c r="IE27" s="244">
        <v>286.1096</v>
      </c>
      <c r="IF27" s="244">
        <v>294.56119999999999</v>
      </c>
      <c r="IG27" s="244">
        <v>129.08739</v>
      </c>
      <c r="IH27" s="244">
        <v>129.08739</v>
      </c>
      <c r="II27" s="244">
        <v>129.08739</v>
      </c>
      <c r="IJ27" s="244">
        <v>129.08739</v>
      </c>
      <c r="IK27" s="244">
        <v>129.08739</v>
      </c>
      <c r="IL27" s="244">
        <v>129.08739</v>
      </c>
      <c r="IM27" s="244">
        <v>167.43100000000001</v>
      </c>
      <c r="IN27" s="244">
        <v>167.43100000000001</v>
      </c>
      <c r="IO27" s="244">
        <v>167.43100000000001</v>
      </c>
      <c r="IP27" s="244">
        <v>167.43100000000001</v>
      </c>
      <c r="IQ27" s="244">
        <v>167.43100000000001</v>
      </c>
      <c r="IR27" s="244">
        <v>167.43100000000001</v>
      </c>
      <c r="IS27" s="244">
        <v>67.42</v>
      </c>
      <c r="IT27" s="244">
        <v>67.42</v>
      </c>
      <c r="IU27" s="244">
        <v>67.42</v>
      </c>
      <c r="IV27" s="244">
        <v>67.42</v>
      </c>
      <c r="IW27" s="244">
        <v>67.42</v>
      </c>
      <c r="IX27" s="244">
        <v>79.34</v>
      </c>
      <c r="IY27" s="244">
        <v>134</v>
      </c>
      <c r="IZ27" s="244">
        <v>196</v>
      </c>
      <c r="JA27" s="244">
        <v>196</v>
      </c>
      <c r="JB27" s="244">
        <v>196</v>
      </c>
      <c r="JC27" s="244">
        <v>82.025199999999998</v>
      </c>
      <c r="JD27" s="244">
        <v>82.025199999999998</v>
      </c>
      <c r="JE27" s="244">
        <v>82.025199999999998</v>
      </c>
      <c r="JF27" s="244">
        <v>82.025199999999998</v>
      </c>
      <c r="JG27" s="244">
        <v>82.025199999999998</v>
      </c>
      <c r="JH27" s="244">
        <v>129.08000000000001</v>
      </c>
      <c r="JI27" s="244">
        <v>129.08000000000001</v>
      </c>
      <c r="JJ27" s="244">
        <v>129.08000000000001</v>
      </c>
      <c r="JK27" s="244">
        <v>129.08000000000001</v>
      </c>
    </row>
    <row r="28" spans="1:271">
      <c r="A28" s="251" t="s">
        <v>2555</v>
      </c>
      <c r="B28" s="346">
        <f t="shared" ref="B28:AT28" si="59">B30/B14*1000</f>
        <v>1.3833017077798861</v>
      </c>
      <c r="C28" s="346">
        <f t="shared" si="59"/>
        <v>1.3938814531548758</v>
      </c>
      <c r="D28" s="346">
        <f t="shared" si="59"/>
        <v>1.4092872570194384</v>
      </c>
      <c r="E28" s="346">
        <f t="shared" si="59"/>
        <v>1.3991464901585091</v>
      </c>
      <c r="F28" s="346">
        <f t="shared" si="59"/>
        <v>1.4257853760520811</v>
      </c>
      <c r="G28" s="346">
        <f t="shared" si="59"/>
        <v>1.7724792542912358</v>
      </c>
      <c r="H28" s="346">
        <f t="shared" si="59"/>
        <v>2.8164801793774914</v>
      </c>
      <c r="I28" s="346">
        <f t="shared" si="59"/>
        <v>1.4345351043643264</v>
      </c>
      <c r="J28" s="346">
        <f t="shared" si="59"/>
        <v>1.423809254760156</v>
      </c>
      <c r="K28" s="346">
        <f t="shared" si="59"/>
        <v>1.0487880671224363</v>
      </c>
      <c r="L28" s="346">
        <f t="shared" si="59"/>
        <v>1.0756800688435242</v>
      </c>
      <c r="M28" s="346">
        <f t="shared" si="59"/>
        <v>2.0981699842390991</v>
      </c>
      <c r="N28" s="346">
        <f t="shared" si="59"/>
        <v>3.7238506633755013</v>
      </c>
      <c r="O28" s="346">
        <f t="shared" si="59"/>
        <v>1.7707145771294139</v>
      </c>
      <c r="P28" s="346">
        <f t="shared" si="59"/>
        <v>2.9310910637008334</v>
      </c>
      <c r="Q28" s="346">
        <f t="shared" si="59"/>
        <v>3.3666585023713567</v>
      </c>
      <c r="R28" s="346">
        <f t="shared" si="59"/>
        <v>2.7732164469595371</v>
      </c>
      <c r="S28" s="346">
        <f t="shared" si="59"/>
        <v>2.7443287756370416</v>
      </c>
      <c r="T28" s="346">
        <f t="shared" si="59"/>
        <v>1.9968357696652601</v>
      </c>
      <c r="U28" s="346">
        <f t="shared" si="59"/>
        <v>1.975816445774047</v>
      </c>
      <c r="V28" s="346">
        <f t="shared" si="59"/>
        <v>2.2186966311014524</v>
      </c>
      <c r="W28" s="346">
        <f t="shared" si="59"/>
        <v>2.0550001113677481</v>
      </c>
      <c r="X28" s="346">
        <f t="shared" si="59"/>
        <v>1.7244628298285083</v>
      </c>
      <c r="Y28" s="346">
        <f t="shared" si="59"/>
        <v>1.0029717682020802</v>
      </c>
      <c r="Z28" s="346">
        <f t="shared" si="59"/>
        <v>3.7826163096141499</v>
      </c>
      <c r="AA28" s="346">
        <f t="shared" si="59"/>
        <v>1.425432084100493</v>
      </c>
      <c r="AB28" s="346">
        <f t="shared" si="59"/>
        <v>1.5312131679432566</v>
      </c>
      <c r="AC28" s="346">
        <f t="shared" si="59"/>
        <v>2.0425455652382465</v>
      </c>
      <c r="AD28" s="346">
        <f t="shared" si="59"/>
        <v>2.0026656433363113</v>
      </c>
      <c r="AE28" s="346">
        <f t="shared" si="59"/>
        <v>1.0453474511920307</v>
      </c>
      <c r="AF28" s="346">
        <f t="shared" si="59"/>
        <v>1.8030652108584591</v>
      </c>
      <c r="AG28" s="346">
        <f t="shared" si="59"/>
        <v>1.4463128663992595</v>
      </c>
      <c r="AH28" s="346">
        <f t="shared" si="59"/>
        <v>1.3045936190876541</v>
      </c>
      <c r="AI28" s="346">
        <f t="shared" si="59"/>
        <v>1.1911764705882353</v>
      </c>
      <c r="AJ28" s="346">
        <f t="shared" si="59"/>
        <v>0.81000000000000016</v>
      </c>
      <c r="AK28" s="346">
        <f t="shared" si="59"/>
        <v>4.4992688688088185</v>
      </c>
      <c r="AL28" s="346">
        <f t="shared" si="59"/>
        <v>1.7840455356384335</v>
      </c>
      <c r="AM28" s="346">
        <f t="shared" si="59"/>
        <v>1.5076511032010802</v>
      </c>
      <c r="AN28" s="346">
        <f t="shared" si="59"/>
        <v>6.4691999999999998</v>
      </c>
      <c r="AO28" s="346">
        <f t="shared" si="59"/>
        <v>2.8263157894736843</v>
      </c>
      <c r="AP28" s="346">
        <f t="shared" si="59"/>
        <v>1.3789699570815452</v>
      </c>
      <c r="AQ28" s="346">
        <f t="shared" si="59"/>
        <v>1.4896551724137932</v>
      </c>
      <c r="AR28" s="346">
        <f t="shared" si="59"/>
        <v>1.5291818876900858</v>
      </c>
      <c r="AS28" s="346">
        <f t="shared" si="59"/>
        <v>2.2340749552005912</v>
      </c>
      <c r="AT28" s="346">
        <f t="shared" si="59"/>
        <v>2.19488094258528</v>
      </c>
      <c r="AU28" s="347"/>
      <c r="AV28" s="348"/>
      <c r="AW28" s="349">
        <f t="shared" ref="AW28:BQ28" si="60">AW30/AW14*1000</f>
        <v>2.9963127811653525</v>
      </c>
      <c r="AX28" s="349">
        <f t="shared" si="60"/>
        <v>2.3532667386609072</v>
      </c>
      <c r="AY28" s="349">
        <f t="shared" si="60"/>
        <v>1.9562264150943396</v>
      </c>
      <c r="AZ28" s="349">
        <f t="shared" si="60"/>
        <v>2.2682432432432433</v>
      </c>
      <c r="BA28" s="349">
        <f t="shared" si="60"/>
        <v>4.807329763969534</v>
      </c>
      <c r="BB28" s="349">
        <f t="shared" si="60"/>
        <v>1.6479503105590065</v>
      </c>
      <c r="BC28" s="349">
        <f t="shared" si="60"/>
        <v>1.8048979591836736</v>
      </c>
      <c r="BD28" s="349">
        <f t="shared" si="60"/>
        <v>1.7513513513513514</v>
      </c>
      <c r="BE28" s="349">
        <f t="shared" si="60"/>
        <v>8.954612874517947</v>
      </c>
      <c r="BF28" s="349">
        <f t="shared" si="60"/>
        <v>5.9229050279329609</v>
      </c>
      <c r="BG28" s="349">
        <f t="shared" si="60"/>
        <v>6.6024590163934436</v>
      </c>
      <c r="BH28" s="349">
        <f t="shared" si="60"/>
        <v>3.451581975071901</v>
      </c>
      <c r="BI28" s="349">
        <f t="shared" si="60"/>
        <v>3.6261239157185887</v>
      </c>
      <c r="BJ28" s="349">
        <f t="shared" si="60"/>
        <v>1.3235602158515711</v>
      </c>
      <c r="BK28" s="349">
        <f t="shared" si="60"/>
        <v>7.3152249134948102</v>
      </c>
      <c r="BL28" s="349">
        <f t="shared" si="60"/>
        <v>7.5348031563415514</v>
      </c>
      <c r="BM28" s="349">
        <f t="shared" si="60"/>
        <v>5.9644599303135903</v>
      </c>
      <c r="BN28" s="349">
        <f t="shared" si="60"/>
        <v>5.9632132655194034</v>
      </c>
      <c r="BO28" s="349">
        <f t="shared" si="60"/>
        <v>9.5926275477793723</v>
      </c>
      <c r="BP28" s="349">
        <f t="shared" si="60"/>
        <v>8.6972907939176949</v>
      </c>
      <c r="BQ28" s="349">
        <f t="shared" si="60"/>
        <v>1.8782608695652174</v>
      </c>
      <c r="BR28" s="345">
        <f t="shared" ref="BR28" si="61">BR27*0.2</f>
        <v>11.491547271147617</v>
      </c>
      <c r="BS28" s="236"/>
      <c r="BT28" s="236"/>
      <c r="BU28" s="236"/>
      <c r="BV28" s="236"/>
      <c r="BW28" s="236"/>
      <c r="BX28" s="236"/>
      <c r="BY28" s="236"/>
      <c r="BZ28" s="236"/>
      <c r="CA28" s="236"/>
      <c r="CB28" s="236"/>
      <c r="CC28" s="236">
        <f t="shared" ref="CC28:CK28" si="62">CC30/CC14*1000</f>
        <v>20.604751619870409</v>
      </c>
      <c r="CD28" s="236">
        <f t="shared" si="62"/>
        <v>17.684600269572417</v>
      </c>
      <c r="CE28" s="236">
        <f t="shared" si="62"/>
        <v>18.288000000000004</v>
      </c>
      <c r="CF28" s="236">
        <f t="shared" si="62"/>
        <v>20.589928057553958</v>
      </c>
      <c r="CG28" s="236">
        <f t="shared" si="62"/>
        <v>18.892561983471076</v>
      </c>
      <c r="CH28" s="236">
        <f t="shared" si="62"/>
        <v>22.477910858040449</v>
      </c>
      <c r="CI28" s="236">
        <f t="shared" si="62"/>
        <v>22.447058823529414</v>
      </c>
      <c r="CJ28" s="236">
        <f t="shared" si="62"/>
        <v>21.781747572815537</v>
      </c>
      <c r="CK28" s="236">
        <f t="shared" si="62"/>
        <v>22.1431334622824</v>
      </c>
      <c r="CL28" s="319"/>
      <c r="CM28" s="319"/>
      <c r="CN28" s="319"/>
      <c r="CO28" s="236">
        <f>CO26*47.71</f>
        <v>190.84</v>
      </c>
      <c r="CP28" s="236">
        <f>47.71*4</f>
        <v>190.84</v>
      </c>
      <c r="CQ28" s="350">
        <f>30759.45*4/1000</f>
        <v>123.0378</v>
      </c>
      <c r="CR28" s="350">
        <f>30737.21*4/1000</f>
        <v>122.94883999999999</v>
      </c>
      <c r="CS28" s="350">
        <f>31582.37*4/1000</f>
        <v>126.32947999999999</v>
      </c>
      <c r="CT28" s="350">
        <f>31582.37*4/1000</f>
        <v>126.32947999999999</v>
      </c>
      <c r="CU28" s="350">
        <f>30737.21*4/1000</f>
        <v>122.94883999999999</v>
      </c>
      <c r="CV28" s="350">
        <f>30759.45*4/1000</f>
        <v>123.0378</v>
      </c>
      <c r="CW28" s="350">
        <f>57026.201*4/1000</f>
        <v>228.104804</v>
      </c>
      <c r="CX28" s="319"/>
      <c r="CY28" s="236">
        <f>52.5*4</f>
        <v>210</v>
      </c>
      <c r="CZ28" s="319"/>
      <c r="DA28" s="319"/>
      <c r="DB28" s="319"/>
      <c r="DC28" s="236">
        <f>50.4 * 2</f>
        <v>100.8</v>
      </c>
      <c r="DD28" s="319"/>
      <c r="DE28" s="319"/>
      <c r="DF28" s="319"/>
      <c r="DG28" s="319"/>
      <c r="DH28" s="236">
        <f>40.6*DH26</f>
        <v>121.80000000000001</v>
      </c>
      <c r="DI28" s="236">
        <f>41.1*DI26</f>
        <v>123.30000000000001</v>
      </c>
      <c r="DJ28" s="236">
        <f>48*DJ26</f>
        <v>144</v>
      </c>
      <c r="DK28" s="236">
        <f>48*DK26</f>
        <v>144</v>
      </c>
      <c r="DL28" s="236">
        <f>47.5*DL26</f>
        <v>142.5</v>
      </c>
      <c r="DM28" s="236">
        <f>53.2*DM26</f>
        <v>159.60000000000002</v>
      </c>
      <c r="DN28" s="236">
        <f>65.4*4</f>
        <v>261.60000000000002</v>
      </c>
      <c r="DO28" s="319"/>
      <c r="DP28" s="236">
        <f>4*53.5</f>
        <v>214</v>
      </c>
      <c r="DQ28" s="319"/>
      <c r="DR28" s="275">
        <v>42.702928</v>
      </c>
      <c r="DS28" s="275">
        <v>62.275120000000001</v>
      </c>
      <c r="DT28" s="275">
        <v>62.275120000000001</v>
      </c>
      <c r="DU28" s="275">
        <v>62.275095999999998</v>
      </c>
      <c r="DV28" s="275">
        <v>64.054391039999999</v>
      </c>
      <c r="DW28" s="275">
        <v>64.054391039999999</v>
      </c>
      <c r="DX28" s="275">
        <v>64.054391039999999</v>
      </c>
      <c r="DY28" s="275">
        <v>64.054391039999999</v>
      </c>
      <c r="DZ28" s="275">
        <v>85.405600000000007</v>
      </c>
      <c r="EA28" s="275">
        <v>85.405600000000007</v>
      </c>
      <c r="EB28" s="275">
        <v>85.405600000000007</v>
      </c>
      <c r="EC28" s="275">
        <v>42.702928</v>
      </c>
      <c r="ED28" s="275">
        <v>62.986800000000002</v>
      </c>
      <c r="EE28" s="275">
        <v>62.986800000000002</v>
      </c>
      <c r="EF28" s="275">
        <v>62.275120000000001</v>
      </c>
      <c r="EG28" s="275">
        <v>62.275095999999998</v>
      </c>
      <c r="EH28" s="275">
        <v>64.054392000000007</v>
      </c>
      <c r="EI28" s="275">
        <v>68.627160000000003</v>
      </c>
      <c r="EJ28" s="275">
        <v>33.292000000000002</v>
      </c>
      <c r="EK28" s="275">
        <v>38.131999999999998</v>
      </c>
      <c r="EL28" s="275">
        <v>37.365000000000002</v>
      </c>
      <c r="EM28" s="275">
        <v>38.69952</v>
      </c>
      <c r="EN28" s="275">
        <v>37.365000000000002</v>
      </c>
      <c r="EO28" s="275">
        <v>38.69952</v>
      </c>
      <c r="EP28" s="275">
        <v>38.69952</v>
      </c>
      <c r="EQ28" s="275">
        <v>41.36844</v>
      </c>
      <c r="ER28" s="275">
        <v>42.7029</v>
      </c>
      <c r="ES28" s="275">
        <v>46.439399999999999</v>
      </c>
      <c r="ET28" s="275">
        <v>24.91</v>
      </c>
      <c r="EU28" s="275">
        <v>25.799685279999998</v>
      </c>
      <c r="EV28" s="275">
        <v>25.799685279999998</v>
      </c>
      <c r="EW28" s="275">
        <v>27.578980000000001</v>
      </c>
      <c r="EX28" s="275">
        <v>27.578980000000001</v>
      </c>
      <c r="EY28" s="275">
        <v>28.468618240000001</v>
      </c>
      <c r="EZ28" s="275">
        <v>28.468618240000001</v>
      </c>
      <c r="FA28" s="275">
        <v>28.468618240000001</v>
      </c>
      <c r="FB28" s="275">
        <v>28.468618240000001</v>
      </c>
      <c r="FC28" s="275">
        <v>35.763701599999997</v>
      </c>
      <c r="FD28" s="275">
        <v>39.322278939999997</v>
      </c>
      <c r="FE28" s="275">
        <v>39.322278939999997</v>
      </c>
      <c r="FF28" s="275">
        <v>41.813283040000002</v>
      </c>
      <c r="FG28" s="275">
        <v>35.7637</v>
      </c>
      <c r="FH28" s="275">
        <v>32.916800000000002</v>
      </c>
      <c r="FI28" s="275">
        <v>36.653199999999998</v>
      </c>
      <c r="FJ28" s="275">
        <v>43.058784000000003</v>
      </c>
      <c r="FK28" s="275">
        <v>46.795279999999998</v>
      </c>
      <c r="FL28" s="275">
        <v>46.795279999999998</v>
      </c>
      <c r="FM28" s="275">
        <v>36.653199999999998</v>
      </c>
      <c r="FN28" s="275">
        <v>43.058784000000003</v>
      </c>
      <c r="FO28" s="275">
        <v>49.884</v>
      </c>
      <c r="FP28" s="275">
        <v>52.164000000000001</v>
      </c>
      <c r="FQ28" s="275">
        <v>52.164000000000001</v>
      </c>
      <c r="FR28" s="275">
        <v>52.164000000000001</v>
      </c>
      <c r="FS28" s="275">
        <v>52.164000000000001</v>
      </c>
      <c r="FT28" s="275">
        <v>52.164000000000001</v>
      </c>
      <c r="FU28" s="275">
        <v>52.164000000000001</v>
      </c>
      <c r="FV28" s="275">
        <v>66.776703999999995</v>
      </c>
      <c r="FW28" s="275">
        <v>72.772903999999997</v>
      </c>
      <c r="FX28" s="275">
        <v>65.335478800000004</v>
      </c>
      <c r="FY28" s="275">
        <v>70.477599999999995</v>
      </c>
      <c r="FZ28" s="275">
        <v>66.776703999999995</v>
      </c>
      <c r="GA28" s="275">
        <v>72.772903999999997</v>
      </c>
      <c r="GB28" s="275">
        <v>72.772903999999997</v>
      </c>
      <c r="GC28" s="275">
        <v>76.509399999999999</v>
      </c>
      <c r="GD28" s="275">
        <v>70.477599999999995</v>
      </c>
      <c r="GE28" s="275">
        <v>75.690920000000006</v>
      </c>
      <c r="GF28" s="275">
        <v>85.405839999999998</v>
      </c>
      <c r="GG28" s="275">
        <v>83.501999999999995</v>
      </c>
      <c r="GH28" s="275">
        <v>88.964432000000002</v>
      </c>
      <c r="GI28" s="275">
        <v>86.59796</v>
      </c>
      <c r="GJ28" s="275">
        <v>92.878867999999997</v>
      </c>
      <c r="GK28" s="275">
        <v>92.434044</v>
      </c>
      <c r="GL28" s="275">
        <v>101.7397244</v>
      </c>
      <c r="GM28" s="275">
        <v>100.974632</v>
      </c>
      <c r="GN28" s="275">
        <v>101.18814399999999</v>
      </c>
      <c r="GO28" s="275">
        <v>105.77870799999999</v>
      </c>
      <c r="GP28" s="275">
        <v>87.13176</v>
      </c>
      <c r="GQ28" s="275">
        <v>85.405839999999998</v>
      </c>
      <c r="GR28" s="275">
        <v>87.13176</v>
      </c>
      <c r="GS28" s="275">
        <v>87.13176</v>
      </c>
      <c r="GT28" s="275">
        <v>88.964432000000002</v>
      </c>
      <c r="GU28" s="275">
        <v>93.341480000000004</v>
      </c>
      <c r="GV28" s="275">
        <v>88.964432000000002</v>
      </c>
      <c r="GW28" s="275">
        <v>99.640159999999995</v>
      </c>
      <c r="GX28" s="275">
        <v>93.341480000000004</v>
      </c>
      <c r="GY28" s="275">
        <v>38.432631999999998</v>
      </c>
      <c r="GZ28" s="275">
        <v>39.322278799999999</v>
      </c>
      <c r="HA28" s="275">
        <v>41.457424000000003</v>
      </c>
      <c r="HB28" s="275">
        <v>42.347068</v>
      </c>
      <c r="HC28" s="275">
        <v>39.144350080000002</v>
      </c>
      <c r="HD28" s="275">
        <v>41.813283040000002</v>
      </c>
      <c r="HE28" s="275">
        <v>48.040793200000003</v>
      </c>
      <c r="HF28" s="275">
        <v>40.994799999999998</v>
      </c>
      <c r="HG28" s="275">
        <v>44.126356000000001</v>
      </c>
      <c r="HH28" s="275">
        <v>42.72072</v>
      </c>
      <c r="HI28" s="275">
        <v>48.254303999999998</v>
      </c>
      <c r="HJ28" s="275">
        <v>43.129956</v>
      </c>
      <c r="HK28" s="275">
        <v>44.482216000000001</v>
      </c>
      <c r="HL28" s="275">
        <v>47.151147999999999</v>
      </c>
      <c r="HM28" s="275">
        <v>48.040793200000003</v>
      </c>
      <c r="HN28" s="275">
        <v>44.126358269999997</v>
      </c>
      <c r="HO28" s="275">
        <v>44.126358269999997</v>
      </c>
      <c r="HP28" s="275">
        <v>42.72072</v>
      </c>
      <c r="HQ28" s="275">
        <v>48.254307599999997</v>
      </c>
      <c r="HR28" s="275">
        <v>48.174239929999999</v>
      </c>
      <c r="HS28" s="275">
        <v>43.129956</v>
      </c>
      <c r="HT28" s="275">
        <v>52.115364</v>
      </c>
      <c r="HU28" s="275">
        <v>52.035296000000002</v>
      </c>
      <c r="HV28" s="275">
        <v>53.378658799999997</v>
      </c>
      <c r="HW28" s="275">
        <v>53.200730319999998</v>
      </c>
      <c r="HX28" s="275">
        <v>55.157947839999999</v>
      </c>
      <c r="HY28" s="275">
        <v>56.937236480000003</v>
      </c>
      <c r="HZ28" s="275">
        <v>56.225520000000003</v>
      </c>
      <c r="IA28" s="275">
        <v>57.221919999999997</v>
      </c>
      <c r="IB28" s="275">
        <v>57.221919999999997</v>
      </c>
      <c r="IC28" s="275">
        <v>58.912239999999997</v>
      </c>
      <c r="ID28" s="275">
        <v>57.221919999999997</v>
      </c>
      <c r="IE28" s="275">
        <v>57.221919999999997</v>
      </c>
      <c r="IF28" s="275">
        <v>58.912239999999997</v>
      </c>
      <c r="IG28" s="275">
        <v>25.817478000000001</v>
      </c>
      <c r="IH28" s="275">
        <v>25.817478000000001</v>
      </c>
      <c r="II28" s="275">
        <v>25.817478000000001</v>
      </c>
      <c r="IJ28" s="275">
        <v>25.817478000000001</v>
      </c>
      <c r="IK28" s="275">
        <v>25.817478000000001</v>
      </c>
      <c r="IL28" s="275">
        <v>25.817478000000001</v>
      </c>
      <c r="IM28" s="275">
        <v>33.486199999999997</v>
      </c>
      <c r="IN28" s="275">
        <v>33.486199999999997</v>
      </c>
      <c r="IO28" s="275">
        <v>33.486199999999997</v>
      </c>
      <c r="IP28" s="275">
        <v>33.486199999999997</v>
      </c>
      <c r="IQ28" s="275">
        <v>33.486199999999997</v>
      </c>
      <c r="IR28" s="275">
        <v>33.486199999999997</v>
      </c>
      <c r="IS28" s="275">
        <v>13.484</v>
      </c>
      <c r="IT28" s="275">
        <v>13.484</v>
      </c>
      <c r="IU28" s="275">
        <v>13.484</v>
      </c>
      <c r="IV28" s="275">
        <v>13.484</v>
      </c>
      <c r="IW28" s="275">
        <v>13.484</v>
      </c>
      <c r="IX28" s="275">
        <v>15.868</v>
      </c>
      <c r="IY28" s="275">
        <v>26.8</v>
      </c>
      <c r="IZ28" s="275">
        <v>39.200000000000003</v>
      </c>
      <c r="JA28" s="275">
        <v>39.200000000000003</v>
      </c>
      <c r="JB28" s="275">
        <v>39.200000000000003</v>
      </c>
      <c r="JC28" s="275">
        <v>16.40504</v>
      </c>
      <c r="JD28" s="275">
        <v>16.40504</v>
      </c>
      <c r="JE28" s="275">
        <v>16.40504</v>
      </c>
      <c r="JF28" s="275">
        <v>16.40504</v>
      </c>
      <c r="JG28" s="275">
        <v>16.40504</v>
      </c>
      <c r="JH28" s="275">
        <v>25.815999999999999</v>
      </c>
      <c r="JI28" s="275">
        <v>25.815999999999999</v>
      </c>
      <c r="JJ28" s="275">
        <v>25.815999999999999</v>
      </c>
      <c r="JK28" s="275">
        <v>25.815999999999999</v>
      </c>
    </row>
    <row r="29" spans="1:271">
      <c r="A29" s="251" t="s">
        <v>2556</v>
      </c>
      <c r="B29" s="236">
        <v>0.108</v>
      </c>
      <c r="C29" s="236">
        <v>0.108</v>
      </c>
      <c r="D29" s="236">
        <v>0.11600000000000001</v>
      </c>
      <c r="E29" s="236">
        <v>0.11899999999999999</v>
      </c>
      <c r="F29" s="236">
        <v>0.11931394481730052</v>
      </c>
      <c r="G29" s="236">
        <v>0.23100000000000001</v>
      </c>
      <c r="H29" s="236">
        <f>2*0.186428038777032</f>
        <v>0.37285607755406402</v>
      </c>
      <c r="I29" s="236">
        <v>0.112</v>
      </c>
      <c r="J29" s="236">
        <v>0.112</v>
      </c>
      <c r="K29" s="236">
        <v>7.4999999999999997E-2</v>
      </c>
      <c r="L29" s="236">
        <v>7.4999999999999997E-2</v>
      </c>
      <c r="M29" s="236">
        <v>0.21299999999999999</v>
      </c>
      <c r="N29" s="236">
        <v>0.44700000000000001</v>
      </c>
      <c r="O29" s="236">
        <v>0.17199999999999999</v>
      </c>
      <c r="P29" s="236">
        <f>2*0.193885160328113</f>
        <v>0.38777032065622602</v>
      </c>
      <c r="Q29" s="236">
        <f>0.224*2</f>
        <v>0.44800000000000001</v>
      </c>
      <c r="R29" s="236">
        <f>0.157*2</f>
        <v>0.314</v>
      </c>
      <c r="S29" s="236">
        <f>0.157*2</f>
        <v>0.314</v>
      </c>
      <c r="T29" s="236">
        <v>0.22371364653243847</v>
      </c>
      <c r="U29" s="236">
        <v>0.22371364653243847</v>
      </c>
      <c r="V29" s="236">
        <v>0.22371364653243847</v>
      </c>
      <c r="W29" s="236">
        <v>0.23117076808351977</v>
      </c>
      <c r="X29" s="236">
        <v>0.17151379567486949</v>
      </c>
      <c r="Y29" s="236">
        <v>7.4999999999999997E-2</v>
      </c>
      <c r="Z29" s="236">
        <f>0.336*2</f>
        <v>0.67200000000000004</v>
      </c>
      <c r="AA29" s="236">
        <v>0.11931394481730052</v>
      </c>
      <c r="AB29" s="236">
        <v>0.14914243102162567</v>
      </c>
      <c r="AC29" s="236">
        <v>0.23117076808351977</v>
      </c>
      <c r="AD29" s="236">
        <v>0.2348993288590604</v>
      </c>
      <c r="AE29" s="236">
        <v>9.3214019388516034E-2</v>
      </c>
      <c r="AF29" s="236">
        <v>0.22371364653243847</v>
      </c>
      <c r="AG29" s="236">
        <v>0.125</v>
      </c>
      <c r="AH29" s="236">
        <v>0.13422818791946309</v>
      </c>
      <c r="AI29" s="236">
        <v>7.4999999999999997E-2</v>
      </c>
      <c r="AJ29" s="236">
        <v>4.8000000000000001E-2</v>
      </c>
      <c r="AK29" s="236">
        <v>0.89485458612975388</v>
      </c>
      <c r="AL29" s="236">
        <v>0.26099925428784487</v>
      </c>
      <c r="AM29" s="236">
        <v>0.14914243102162567</v>
      </c>
      <c r="AN29" s="236">
        <v>0.59899999999999998</v>
      </c>
      <c r="AO29" s="236">
        <v>0.24235645041014167</v>
      </c>
      <c r="AP29" s="236">
        <v>0.11899999999999999</v>
      </c>
      <c r="AQ29" s="236">
        <f>0.112</f>
        <v>0.112</v>
      </c>
      <c r="AR29" s="236">
        <v>0.13422818791946309</v>
      </c>
      <c r="AS29" s="236">
        <v>0.22371364653243847</v>
      </c>
      <c r="AT29" s="236">
        <v>0.22371364653243847</v>
      </c>
      <c r="AU29" s="252">
        <v>0.22371364653243847</v>
      </c>
      <c r="AV29" s="253">
        <v>0.22371364653243847</v>
      </c>
      <c r="AW29" s="236">
        <f>0.186*2</f>
        <v>0.372</v>
      </c>
      <c r="AX29" s="236">
        <f>0.149*2</f>
        <v>0.29799999999999999</v>
      </c>
      <c r="AY29" s="236">
        <f>0.16*2</f>
        <v>0.32</v>
      </c>
      <c r="AZ29" s="236">
        <v>0.373</v>
      </c>
      <c r="BA29" s="236">
        <v>0.63385533184190901</v>
      </c>
      <c r="BB29" s="236">
        <f>0.134*2</f>
        <v>0.26800000000000002</v>
      </c>
      <c r="BC29" s="236">
        <f>0.134*2</f>
        <v>0.26800000000000002</v>
      </c>
      <c r="BD29" s="236">
        <f>0.132*2</f>
        <v>0.26400000000000001</v>
      </c>
      <c r="BE29" s="236">
        <f>0.559*BE26</f>
        <v>1.1180000000000001</v>
      </c>
      <c r="BF29" s="236">
        <f>1.178*BF26</f>
        <v>1.1779999999999999</v>
      </c>
      <c r="BG29" s="236">
        <f>0.895*BG26</f>
        <v>1.79</v>
      </c>
      <c r="BH29" s="236">
        <f>0.223713646532438*2</f>
        <v>0.447427293064876</v>
      </c>
      <c r="BI29" s="236">
        <v>0.56674123788217745</v>
      </c>
      <c r="BJ29" s="236">
        <v>8.5756897837434745E-2</v>
      </c>
      <c r="BK29" s="236">
        <f>0.783*2</f>
        <v>1.5660000000000001</v>
      </c>
      <c r="BL29" s="236">
        <f>0.783*2</f>
        <v>1.5660000000000001</v>
      </c>
      <c r="BM29" s="236">
        <f>0.634*2</f>
        <v>1.268</v>
      </c>
      <c r="BN29" s="236">
        <f>0.634*2</f>
        <v>1.268</v>
      </c>
      <c r="BO29" s="236">
        <f>0.783*2</f>
        <v>1.5660000000000001</v>
      </c>
      <c r="BP29" s="236">
        <f>0.894854586129754*2</f>
        <v>1.789709172259508</v>
      </c>
      <c r="BQ29" s="236">
        <f>0.224*BQ26</f>
        <v>0.224</v>
      </c>
      <c r="BR29" s="345">
        <f>1.626*2</f>
        <v>3.2519999999999998</v>
      </c>
      <c r="BS29" s="345">
        <f>1.603*BS26</f>
        <v>3.206</v>
      </c>
      <c r="BT29" s="345">
        <f>1.775*BT26</f>
        <v>3.55</v>
      </c>
      <c r="BU29" s="345">
        <v>7.5620000000000003</v>
      </c>
      <c r="BV29" s="345">
        <f>2*1.2</f>
        <v>2.4</v>
      </c>
      <c r="BW29" s="345">
        <f>1.1*2</f>
        <v>2.2000000000000002</v>
      </c>
      <c r="BX29" s="345">
        <f>1.294*2</f>
        <v>2.5880000000000001</v>
      </c>
      <c r="BY29" s="345">
        <f>1.342*2</f>
        <v>2.6840000000000002</v>
      </c>
      <c r="BZ29" s="345">
        <f>1.342*2</f>
        <v>2.6840000000000002</v>
      </c>
      <c r="CA29" s="345">
        <f t="shared" ref="CA29:CB29" si="63">1.342*2</f>
        <v>2.6840000000000002</v>
      </c>
      <c r="CB29" s="345">
        <f t="shared" si="63"/>
        <v>2.6840000000000002</v>
      </c>
      <c r="CC29" s="236">
        <f>1.611*CC26</f>
        <v>3.222</v>
      </c>
      <c r="CD29" s="236">
        <f>1.342*2</f>
        <v>2.6840000000000002</v>
      </c>
      <c r="CE29" s="236">
        <f>1.42*2</f>
        <v>2.84</v>
      </c>
      <c r="CF29" s="236">
        <f>1.61*2</f>
        <v>3.22</v>
      </c>
      <c r="CG29" s="236">
        <f>1.48*2</f>
        <v>2.96</v>
      </c>
      <c r="CH29" s="236">
        <v>3.7</v>
      </c>
      <c r="CI29" s="236">
        <f>1.85*2</f>
        <v>3.7</v>
      </c>
      <c r="CJ29" s="236">
        <f>2*1.611</f>
        <v>3.222</v>
      </c>
      <c r="CK29" s="236">
        <f>1.846*2</f>
        <v>3.6920000000000002</v>
      </c>
      <c r="CL29" s="236">
        <f t="shared" ref="CL29:DQ29" si="64">CL27/1000*CL11</f>
        <v>62.203772910147514</v>
      </c>
      <c r="CM29" s="236">
        <f t="shared" si="64"/>
        <v>68.491729995529724</v>
      </c>
      <c r="CN29" s="236">
        <f t="shared" si="64"/>
        <v>70.776933392936968</v>
      </c>
      <c r="CO29" s="236">
        <f t="shared" si="64"/>
        <v>86.435404559678148</v>
      </c>
      <c r="CP29" s="236">
        <f t="shared" si="64"/>
        <v>82.472865444792134</v>
      </c>
      <c r="CQ29" s="236">
        <f t="shared" si="64"/>
        <v>50.87152436298615</v>
      </c>
      <c r="CR29" s="236">
        <f t="shared" si="64"/>
        <v>52.993920429146179</v>
      </c>
      <c r="CS29" s="236">
        <f t="shared" si="64"/>
        <v>55.442556995976751</v>
      </c>
      <c r="CT29" s="236">
        <f t="shared" si="64"/>
        <v>55.442556995976751</v>
      </c>
      <c r="CU29" s="236">
        <f t="shared" si="64"/>
        <v>52.993920429146179</v>
      </c>
      <c r="CV29" s="236">
        <f t="shared" si="64"/>
        <v>50.87152436298615</v>
      </c>
      <c r="CW29" s="236">
        <f t="shared" si="64"/>
        <v>89.488135896289677</v>
      </c>
      <c r="CX29" s="236">
        <f t="shared" si="64"/>
        <v>88.784336164506044</v>
      </c>
      <c r="CY29" s="236">
        <f t="shared" si="64"/>
        <v>90.79262869915064</v>
      </c>
      <c r="CZ29" s="236">
        <f t="shared" si="64"/>
        <v>61.287740008940546</v>
      </c>
      <c r="DA29" s="236">
        <f t="shared" si="64"/>
        <v>37.351810460438081</v>
      </c>
      <c r="DB29" s="236">
        <f t="shared" si="64"/>
        <v>45.410217255252569</v>
      </c>
      <c r="DC29" s="236">
        <f t="shared" si="64"/>
        <v>43.966244792132315</v>
      </c>
      <c r="DD29" s="236">
        <f t="shared" si="64"/>
        <v>45.410217255252569</v>
      </c>
      <c r="DE29" s="236">
        <f t="shared" si="64"/>
        <v>46.134673223066606</v>
      </c>
      <c r="DF29" s="236">
        <f t="shared" si="64"/>
        <v>60.268216361198029</v>
      </c>
      <c r="DG29" s="236">
        <f t="shared" si="64"/>
        <v>69.441215914170755</v>
      </c>
      <c r="DH29" s="236">
        <f t="shared" si="64"/>
        <v>59.221502011622711</v>
      </c>
      <c r="DI29" s="236">
        <f t="shared" si="64"/>
        <v>53.081090746535537</v>
      </c>
      <c r="DJ29" s="236">
        <f t="shared" si="64"/>
        <v>66.002145730889595</v>
      </c>
      <c r="DK29" s="236">
        <f t="shared" si="64"/>
        <v>67.951944568618686</v>
      </c>
      <c r="DL29" s="236">
        <f t="shared" si="64"/>
        <v>59.396513187304421</v>
      </c>
      <c r="DM29" s="236">
        <f t="shared" si="64"/>
        <v>64.881537773804197</v>
      </c>
      <c r="DN29" s="236">
        <f t="shared" si="64"/>
        <v>96.162324541797034</v>
      </c>
      <c r="DO29" s="236">
        <f t="shared" si="64"/>
        <v>97.053983012963783</v>
      </c>
      <c r="DP29" s="236">
        <f t="shared" si="64"/>
        <v>94.872203844434509</v>
      </c>
      <c r="DQ29" s="236">
        <f t="shared" si="64"/>
        <v>93.957264193115776</v>
      </c>
      <c r="DR29" s="244">
        <v>15.048295169999999</v>
      </c>
      <c r="DS29" s="244">
        <v>22.10565248</v>
      </c>
      <c r="DT29" s="244">
        <v>24.027828660000001</v>
      </c>
      <c r="DU29" s="244">
        <v>24.027819399999998</v>
      </c>
      <c r="DV29" s="244">
        <v>25.208569010000001</v>
      </c>
      <c r="DW29" s="244">
        <v>25.208569010000001</v>
      </c>
      <c r="DX29" s="244">
        <v>26.36198177</v>
      </c>
      <c r="DY29" s="244">
        <v>26.36198177</v>
      </c>
      <c r="DZ29" s="244">
        <v>33.611325100000002</v>
      </c>
      <c r="EA29" s="244">
        <v>35.149204189999999</v>
      </c>
      <c r="EB29" s="244">
        <v>35.149204189999999</v>
      </c>
      <c r="EC29" s="244">
        <v>13.400644440000001</v>
      </c>
      <c r="ED29" s="244">
        <v>20.090038839999998</v>
      </c>
      <c r="EE29" s="244">
        <v>21.548181150000001</v>
      </c>
      <c r="EF29" s="244">
        <v>24.027828660000001</v>
      </c>
      <c r="EG29" s="244">
        <v>24.027819399999998</v>
      </c>
      <c r="EH29" s="244">
        <v>25.20856938</v>
      </c>
      <c r="EI29" s="244">
        <v>27.361295890000001</v>
      </c>
      <c r="EJ29" s="244">
        <v>11.132450459999999</v>
      </c>
      <c r="EK29" s="244">
        <v>12.750889129999999</v>
      </c>
      <c r="EL29" s="244">
        <v>13.455541419999999</v>
      </c>
      <c r="EM29" s="244">
        <v>13.93611653</v>
      </c>
      <c r="EN29" s="244">
        <v>13.455541419999999</v>
      </c>
      <c r="EO29" s="244">
        <v>13.93611653</v>
      </c>
      <c r="EP29" s="244">
        <v>14.43384425</v>
      </c>
      <c r="EQ29" s="244">
        <v>15.429277150000001</v>
      </c>
      <c r="ER29" s="244">
        <v>15.926993599999999</v>
      </c>
      <c r="ES29" s="244">
        <v>17.32060414</v>
      </c>
      <c r="ET29" s="244">
        <v>9.2907325200000006</v>
      </c>
      <c r="EU29" s="244">
        <v>9.6225602180000003</v>
      </c>
      <c r="EV29" s="244">
        <v>9.6225602180000003</v>
      </c>
      <c r="EW29" s="244">
        <v>10.42809795</v>
      </c>
      <c r="EX29" s="244">
        <v>10.42809795</v>
      </c>
      <c r="EY29" s="244">
        <v>10.76448583</v>
      </c>
      <c r="EZ29" s="244">
        <v>10.76448583</v>
      </c>
      <c r="FA29" s="244">
        <v>10.76448583</v>
      </c>
      <c r="FB29" s="244">
        <v>10.76448583</v>
      </c>
      <c r="FC29" s="244">
        <v>14.25878799</v>
      </c>
      <c r="FD29" s="244">
        <v>15.67757289</v>
      </c>
      <c r="FE29" s="244">
        <v>16.891324659999999</v>
      </c>
      <c r="FF29" s="244">
        <v>17.961363330000001</v>
      </c>
      <c r="FG29" s="244">
        <v>13.338865070000001</v>
      </c>
      <c r="FH29" s="244">
        <v>12.277050579999999</v>
      </c>
      <c r="FI29" s="244">
        <v>14.142033120000001</v>
      </c>
      <c r="FJ29" s="244">
        <v>16.05972843</v>
      </c>
      <c r="FK29" s="244">
        <v>17.934796599999999</v>
      </c>
      <c r="FL29" s="244">
        <v>17.934796599999999</v>
      </c>
      <c r="FM29" s="244">
        <v>14.142033120000001</v>
      </c>
      <c r="FN29" s="244">
        <v>16.05972843</v>
      </c>
      <c r="FO29" s="244">
        <v>23.096258479999999</v>
      </c>
      <c r="FP29" s="244">
        <v>24.151896950000001</v>
      </c>
      <c r="FQ29" s="244">
        <v>24.151896950000001</v>
      </c>
      <c r="FR29" s="244">
        <v>24.151896950000001</v>
      </c>
      <c r="FS29" s="244">
        <v>24.151896950000001</v>
      </c>
      <c r="FT29" s="244">
        <v>24.151896950000001</v>
      </c>
      <c r="FU29" s="244">
        <v>24.151896950000001</v>
      </c>
      <c r="FV29" s="244">
        <v>24.905852700000001</v>
      </c>
      <c r="FW29" s="244">
        <v>27.142268479999998</v>
      </c>
      <c r="FX29" s="244">
        <v>24.368315800000001</v>
      </c>
      <c r="FY29" s="244">
        <v>26.286183940000001</v>
      </c>
      <c r="FZ29" s="244">
        <v>24.905852700000001</v>
      </c>
      <c r="GA29" s="244">
        <v>27.142268479999998</v>
      </c>
      <c r="GB29" s="244">
        <v>27.142268479999998</v>
      </c>
      <c r="GC29" s="244">
        <v>28.53587752</v>
      </c>
      <c r="GD29" s="244">
        <v>26.286183940000001</v>
      </c>
      <c r="GE29" s="244">
        <v>28.230607259999999</v>
      </c>
      <c r="GF29" s="244">
        <v>35.149302970000001</v>
      </c>
      <c r="GG29" s="244">
        <v>34.365765809999999</v>
      </c>
      <c r="GH29" s="244">
        <v>36.613863569999999</v>
      </c>
      <c r="GI29" s="244">
        <v>35.639927350000001</v>
      </c>
      <c r="GJ29" s="244">
        <v>38.224873969999997</v>
      </c>
      <c r="GK29" s="244">
        <v>38.041803899999998</v>
      </c>
      <c r="GL29" s="244">
        <v>41.871614360000002</v>
      </c>
      <c r="GM29" s="244">
        <v>41.556735840000002</v>
      </c>
      <c r="GN29" s="244">
        <v>41.644608030000001</v>
      </c>
      <c r="GO29" s="244">
        <v>43.533883109999998</v>
      </c>
      <c r="GP29" s="244">
        <v>25.650791470000001</v>
      </c>
      <c r="GQ29" s="244">
        <v>24.450695100000001</v>
      </c>
      <c r="GR29" s="244">
        <v>25.650791470000001</v>
      </c>
      <c r="GS29" s="244">
        <v>27.06276154</v>
      </c>
      <c r="GT29" s="244">
        <v>27.63198182</v>
      </c>
      <c r="GU29" s="244">
        <v>28.99147469</v>
      </c>
      <c r="GV29" s="244">
        <v>27.63198182</v>
      </c>
      <c r="GW29" s="244">
        <v>32.562487349999998</v>
      </c>
      <c r="GX29" s="244">
        <v>30.504073479999999</v>
      </c>
      <c r="GY29" s="244">
        <v>11.41801502</v>
      </c>
      <c r="GZ29" s="244">
        <v>11.682321679999999</v>
      </c>
      <c r="HA29" s="244">
        <v>12.316655539999999</v>
      </c>
      <c r="HB29" s="244">
        <v>12.580961370000001</v>
      </c>
      <c r="HC29" s="244">
        <v>11.629460529999999</v>
      </c>
      <c r="HD29" s="244">
        <v>12.4223783</v>
      </c>
      <c r="HE29" s="244">
        <v>14.27251972</v>
      </c>
      <c r="HF29" s="244">
        <v>12.179213799999999</v>
      </c>
      <c r="HG29" s="244">
        <v>13.109573019999999</v>
      </c>
      <c r="HH29" s="244">
        <v>12.69197026</v>
      </c>
      <c r="HI29" s="244">
        <v>14.335952000000001</v>
      </c>
      <c r="HJ29" s="244">
        <v>12.81355087</v>
      </c>
      <c r="HK29" s="244">
        <v>13.21529606</v>
      </c>
      <c r="HL29" s="244">
        <v>14.00821354</v>
      </c>
      <c r="HM29" s="244">
        <v>14.27251972</v>
      </c>
      <c r="HN29" s="244">
        <v>13.10957369</v>
      </c>
      <c r="HO29" s="244">
        <v>13.10957369</v>
      </c>
      <c r="HP29" s="244">
        <v>12.69197026</v>
      </c>
      <c r="HQ29" s="244">
        <v>14.33595307</v>
      </c>
      <c r="HR29" s="244">
        <v>14.312165630000001</v>
      </c>
      <c r="HS29" s="244">
        <v>12.81355087</v>
      </c>
      <c r="HT29" s="244">
        <v>15.48304079</v>
      </c>
      <c r="HU29" s="244">
        <v>15.45925325</v>
      </c>
      <c r="HV29" s="244">
        <v>15.85835516</v>
      </c>
      <c r="HW29" s="244">
        <v>15.805494080000001</v>
      </c>
      <c r="HX29" s="244">
        <v>16.386967120000001</v>
      </c>
      <c r="HY29" s="244">
        <v>16.915578960000001</v>
      </c>
      <c r="HZ29" s="244">
        <v>16.70413392</v>
      </c>
      <c r="IA29" s="244">
        <v>17.000156059999998</v>
      </c>
      <c r="IB29" s="244">
        <v>17.000156059999998</v>
      </c>
      <c r="IC29" s="244">
        <v>17.502336060000001</v>
      </c>
      <c r="ID29" s="244">
        <v>17.000156059999998</v>
      </c>
      <c r="IE29" s="244">
        <v>17.000156059999998</v>
      </c>
      <c r="IF29" s="244">
        <v>17.502336060000001</v>
      </c>
      <c r="IG29" s="244">
        <v>9.1643692780000006</v>
      </c>
      <c r="IH29" s="244">
        <v>9.1643692780000006</v>
      </c>
      <c r="II29" s="244">
        <v>9.1643692780000006</v>
      </c>
      <c r="IJ29" s="244">
        <v>9.1643692780000006</v>
      </c>
      <c r="IK29" s="244">
        <v>9.1643692780000006</v>
      </c>
      <c r="IL29" s="244">
        <v>9.1643692780000006</v>
      </c>
      <c r="IM29" s="244">
        <v>11.628066069999999</v>
      </c>
      <c r="IN29" s="244">
        <v>11.628066069999999</v>
      </c>
      <c r="IO29" s="244">
        <v>11.628066069999999</v>
      </c>
      <c r="IP29" s="244">
        <v>11.628066069999999</v>
      </c>
      <c r="IQ29" s="244">
        <v>11.628066069999999</v>
      </c>
      <c r="IR29" s="244">
        <v>11.628066069999999</v>
      </c>
      <c r="IS29" s="244">
        <v>4.2661167210000004</v>
      </c>
      <c r="IT29" s="244">
        <v>4.2661167210000004</v>
      </c>
      <c r="IU29" s="244">
        <v>4.6129613599999999</v>
      </c>
      <c r="IV29" s="244">
        <v>4.6129613599999999</v>
      </c>
      <c r="IW29" s="244">
        <v>4.6823122039999996</v>
      </c>
      <c r="IX29" s="244">
        <v>5.5101550030000004</v>
      </c>
      <c r="IY29" s="244">
        <v>9.306286493</v>
      </c>
      <c r="IZ29" s="244">
        <v>13.612180240000001</v>
      </c>
      <c r="JA29" s="244">
        <v>13.612180240000001</v>
      </c>
      <c r="JB29" s="244">
        <v>13.612180240000001</v>
      </c>
      <c r="JC29" s="244">
        <v>5.570062053</v>
      </c>
      <c r="JD29" s="244">
        <v>5.6966418719999998</v>
      </c>
      <c r="JE29" s="244">
        <v>5.6966418719999998</v>
      </c>
      <c r="JF29" s="244">
        <v>5.6966418719999998</v>
      </c>
      <c r="JG29" s="244">
        <v>5.6966418719999998</v>
      </c>
      <c r="JH29" s="244">
        <v>9.6286497369999999</v>
      </c>
      <c r="JI29" s="244">
        <v>9.6950669529999995</v>
      </c>
      <c r="JJ29" s="244">
        <v>9.6950669529999995</v>
      </c>
      <c r="JK29" s="244">
        <v>9.6950669529999995</v>
      </c>
    </row>
    <row r="30" spans="1:271">
      <c r="A30" s="251" t="s">
        <v>2557</v>
      </c>
      <c r="B30" s="236">
        <f t="shared" ref="B30:AN30" si="65">B29*0.75</f>
        <v>8.1000000000000003E-2</v>
      </c>
      <c r="C30" s="236">
        <f t="shared" si="65"/>
        <v>8.1000000000000003E-2</v>
      </c>
      <c r="D30" s="236">
        <f t="shared" si="65"/>
        <v>8.7000000000000008E-2</v>
      </c>
      <c r="E30" s="236">
        <f t="shared" si="65"/>
        <v>8.9249999999999996E-2</v>
      </c>
      <c r="F30" s="236">
        <f t="shared" si="65"/>
        <v>8.9485458612975396E-2</v>
      </c>
      <c r="G30" s="236">
        <f t="shared" si="65"/>
        <v>0.17325000000000002</v>
      </c>
      <c r="H30" s="236">
        <f t="shared" si="65"/>
        <v>0.27964205816554799</v>
      </c>
      <c r="I30" s="236">
        <f t="shared" si="65"/>
        <v>8.4000000000000005E-2</v>
      </c>
      <c r="J30" s="236">
        <f t="shared" si="65"/>
        <v>8.4000000000000005E-2</v>
      </c>
      <c r="K30" s="236">
        <f t="shared" si="65"/>
        <v>5.6249999999999994E-2</v>
      </c>
      <c r="L30" s="236">
        <f t="shared" si="65"/>
        <v>5.6249999999999994E-2</v>
      </c>
      <c r="M30" s="236">
        <f t="shared" si="65"/>
        <v>0.15975</v>
      </c>
      <c r="N30" s="236">
        <f t="shared" si="65"/>
        <v>0.33524999999999999</v>
      </c>
      <c r="O30" s="236">
        <f t="shared" si="65"/>
        <v>0.129</v>
      </c>
      <c r="P30" s="236">
        <f t="shared" si="65"/>
        <v>0.29082774049216953</v>
      </c>
      <c r="Q30" s="236">
        <f t="shared" si="65"/>
        <v>0.33600000000000002</v>
      </c>
      <c r="R30" s="236">
        <f t="shared" si="65"/>
        <v>0.23549999999999999</v>
      </c>
      <c r="S30" s="236">
        <f t="shared" si="65"/>
        <v>0.23549999999999999</v>
      </c>
      <c r="T30" s="236">
        <f t="shared" si="65"/>
        <v>0.16778523489932884</v>
      </c>
      <c r="U30" s="236">
        <f t="shared" si="65"/>
        <v>0.16778523489932884</v>
      </c>
      <c r="V30" s="236">
        <f t="shared" si="65"/>
        <v>0.16778523489932884</v>
      </c>
      <c r="W30" s="236">
        <f t="shared" si="65"/>
        <v>0.17337807606263983</v>
      </c>
      <c r="X30" s="236">
        <f t="shared" si="65"/>
        <v>0.12863534675615212</v>
      </c>
      <c r="Y30" s="236">
        <f t="shared" si="65"/>
        <v>5.6249999999999994E-2</v>
      </c>
      <c r="Z30" s="236">
        <f t="shared" si="65"/>
        <v>0.504</v>
      </c>
      <c r="AA30" s="236">
        <f t="shared" si="65"/>
        <v>8.9485458612975396E-2</v>
      </c>
      <c r="AB30" s="236">
        <f t="shared" si="65"/>
        <v>0.11185682326621925</v>
      </c>
      <c r="AC30" s="236">
        <f t="shared" si="65"/>
        <v>0.17337807606263983</v>
      </c>
      <c r="AD30" s="236">
        <f t="shared" si="65"/>
        <v>0.1761744966442953</v>
      </c>
      <c r="AE30" s="236">
        <f t="shared" si="65"/>
        <v>6.9910514541387025E-2</v>
      </c>
      <c r="AF30" s="236">
        <f t="shared" si="65"/>
        <v>0.16778523489932884</v>
      </c>
      <c r="AG30" s="236">
        <f t="shared" si="65"/>
        <v>9.375E-2</v>
      </c>
      <c r="AH30" s="236">
        <f t="shared" si="65"/>
        <v>0.10067114093959731</v>
      </c>
      <c r="AI30" s="236">
        <f t="shared" si="65"/>
        <v>5.6249999999999994E-2</v>
      </c>
      <c r="AJ30" s="236">
        <f t="shared" si="65"/>
        <v>3.6000000000000004E-2</v>
      </c>
      <c r="AK30" s="236">
        <f t="shared" si="65"/>
        <v>0.67114093959731536</v>
      </c>
      <c r="AL30" s="236">
        <f t="shared" si="65"/>
        <v>0.19574944071588365</v>
      </c>
      <c r="AM30" s="236">
        <f t="shared" si="65"/>
        <v>0.11185682326621925</v>
      </c>
      <c r="AN30" s="236">
        <f t="shared" si="65"/>
        <v>0.44924999999999998</v>
      </c>
      <c r="AO30" s="351">
        <v>0.17899999999999999</v>
      </c>
      <c r="AP30" s="236">
        <f>0.75*AP29</f>
        <v>8.9249999999999996E-2</v>
      </c>
      <c r="AQ30" s="236">
        <f>0.75*AQ29</f>
        <v>8.4000000000000005E-2</v>
      </c>
      <c r="AR30" s="236">
        <f>0.75*AR29</f>
        <v>0.10067114093959731</v>
      </c>
      <c r="AS30" s="236">
        <f t="shared" ref="AS30:AT30" si="66">0.75*AS29</f>
        <v>0.16778523489932884</v>
      </c>
      <c r="AT30" s="236">
        <f t="shared" si="66"/>
        <v>0.16778523489932884</v>
      </c>
      <c r="AU30" s="347">
        <f>AU28*AU14*1000/10^6</f>
        <v>0</v>
      </c>
      <c r="AV30" s="348">
        <f>AV28*AV14*1000/10^6</f>
        <v>0</v>
      </c>
      <c r="AW30" s="236">
        <f>0.75*AW29</f>
        <v>0.27900000000000003</v>
      </c>
      <c r="AX30" s="236">
        <f>0.65*AX29</f>
        <v>0.19370000000000001</v>
      </c>
      <c r="AY30" s="236">
        <f>0.45*AY29</f>
        <v>0.14400000000000002</v>
      </c>
      <c r="AZ30" s="236">
        <f>0.75*AZ29</f>
        <v>0.27975</v>
      </c>
      <c r="BA30" s="236">
        <f>0.75*BA29</f>
        <v>0.47539149888143173</v>
      </c>
      <c r="BB30" s="236">
        <f>0.55*BB29</f>
        <v>0.14740000000000003</v>
      </c>
      <c r="BC30" s="236">
        <f>0.55*BC29</f>
        <v>0.14740000000000003</v>
      </c>
      <c r="BD30" s="236">
        <f>0.75*BD29</f>
        <v>0.19800000000000001</v>
      </c>
      <c r="BE30" s="236">
        <f>0.75*BE29</f>
        <v>0.83850000000000002</v>
      </c>
      <c r="BF30" s="236">
        <f>0.75*BF29</f>
        <v>0.88349999999999995</v>
      </c>
      <c r="BG30" s="236">
        <f>0.75*BG29</f>
        <v>1.3425</v>
      </c>
      <c r="BH30" s="236">
        <f>0.75*BH29</f>
        <v>0.33557046979865701</v>
      </c>
      <c r="BI30" s="236">
        <f>0.79*BI29</f>
        <v>0.44772557792692019</v>
      </c>
      <c r="BJ30" s="236">
        <f>0.75*BJ29</f>
        <v>6.4317673378076062E-2</v>
      </c>
      <c r="BK30" s="236">
        <f t="shared" ref="BK30:BQ30" si="67">0.75*BK29</f>
        <v>1.1745000000000001</v>
      </c>
      <c r="BL30" s="236">
        <f t="shared" si="67"/>
        <v>1.1745000000000001</v>
      </c>
      <c r="BM30" s="236">
        <f t="shared" si="67"/>
        <v>0.95100000000000007</v>
      </c>
      <c r="BN30" s="236">
        <f t="shared" si="67"/>
        <v>0.95100000000000007</v>
      </c>
      <c r="BO30" s="236">
        <f t="shared" si="67"/>
        <v>1.1745000000000001</v>
      </c>
      <c r="BP30" s="236">
        <f t="shared" si="67"/>
        <v>1.3422818791946309</v>
      </c>
      <c r="BQ30" s="236">
        <f t="shared" si="67"/>
        <v>0.16800000000000001</v>
      </c>
      <c r="BR30" s="345">
        <f>(BR28*BR14*1000/10^6)</f>
        <v>1.9790998078087563</v>
      </c>
      <c r="BS30" s="345"/>
      <c r="BT30" s="345"/>
      <c r="BU30" s="345"/>
      <c r="BV30" s="345"/>
      <c r="BW30" s="345"/>
      <c r="BX30" s="345"/>
      <c r="BY30" s="319"/>
      <c r="BZ30" s="319"/>
      <c r="CA30" s="319"/>
      <c r="CB30" s="319"/>
      <c r="CC30" s="236">
        <f>1.59*2</f>
        <v>3.18</v>
      </c>
      <c r="CD30" s="236">
        <f>1.21*2</f>
        <v>2.42</v>
      </c>
      <c r="CE30" s="236">
        <f>1.27*2</f>
        <v>2.54</v>
      </c>
      <c r="CF30" s="236">
        <f>1.59*2</f>
        <v>3.18</v>
      </c>
      <c r="CG30" s="236">
        <f>1.27*2</f>
        <v>2.54</v>
      </c>
      <c r="CH30" s="236">
        <v>3.18</v>
      </c>
      <c r="CI30" s="236">
        <f>1.59*2</f>
        <v>3.18</v>
      </c>
      <c r="CJ30" s="236">
        <f>1.558*2</f>
        <v>3.1160000000000001</v>
      </c>
      <c r="CK30" s="236">
        <f>2*1.59</f>
        <v>3.18</v>
      </c>
      <c r="CL30" s="319"/>
      <c r="CM30" s="319"/>
      <c r="CN30" s="319"/>
      <c r="CO30" s="236">
        <f t="shared" ref="CO30:CW30" si="68">CO28*CO14*1000/10^6</f>
        <v>47.17988888888889</v>
      </c>
      <c r="CP30" s="236">
        <f t="shared" si="68"/>
        <v>44.953422222222223</v>
      </c>
      <c r="CQ30" s="236">
        <f t="shared" si="68"/>
        <v>31.015095206666668</v>
      </c>
      <c r="CR30" s="236">
        <f t="shared" si="68"/>
        <v>30.992670367555554</v>
      </c>
      <c r="CS30" s="236">
        <f t="shared" si="68"/>
        <v>31.844854586222219</v>
      </c>
      <c r="CT30" s="236">
        <f t="shared" si="68"/>
        <v>31.844854586222219</v>
      </c>
      <c r="CU30" s="236">
        <f t="shared" si="68"/>
        <v>30.992670367555554</v>
      </c>
      <c r="CV30" s="236">
        <f t="shared" si="68"/>
        <v>31.015095206666668</v>
      </c>
      <c r="CW30" s="236">
        <f t="shared" si="68"/>
        <v>57.659825455555549</v>
      </c>
      <c r="CX30" s="319"/>
      <c r="CY30" s="236">
        <f>CY28*CY14*1000/10^6</f>
        <v>53.083333333333329</v>
      </c>
      <c r="CZ30" s="319"/>
      <c r="DA30" s="319"/>
      <c r="DB30" s="319"/>
      <c r="DC30" s="236">
        <f>DC28*DC14*1000/10^6</f>
        <v>23.856000000000002</v>
      </c>
      <c r="DD30" s="319"/>
      <c r="DE30" s="319"/>
      <c r="DF30" s="319"/>
      <c r="DG30" s="319"/>
      <c r="DH30" s="236">
        <f t="shared" ref="DH30:DN30" si="69">DH28*DH14*1000/10^6</f>
        <v>30.72066666666667</v>
      </c>
      <c r="DI30" s="236">
        <f t="shared" si="69"/>
        <v>31.099000000000004</v>
      </c>
      <c r="DJ30" s="236">
        <f t="shared" si="69"/>
        <v>36.28</v>
      </c>
      <c r="DK30" s="236">
        <f t="shared" si="69"/>
        <v>36.28</v>
      </c>
      <c r="DL30" s="236">
        <f t="shared" si="69"/>
        <v>35.862499999999997</v>
      </c>
      <c r="DM30" s="236">
        <f t="shared" si="69"/>
        <v>40.875333333333337</v>
      </c>
      <c r="DN30" s="236">
        <f t="shared" si="69"/>
        <v>63.583333333333336</v>
      </c>
      <c r="DO30" s="319"/>
      <c r="DP30" s="236">
        <f>DP28*DP14*1000/10^6</f>
        <v>54.213333333333331</v>
      </c>
      <c r="DQ30" s="319"/>
      <c r="DR30" s="244">
        <v>11.203839110000001</v>
      </c>
      <c r="DS30" s="244">
        <v>16.338936409999999</v>
      </c>
      <c r="DT30" s="244">
        <v>16.338936409999999</v>
      </c>
      <c r="DU30" s="244">
        <v>16.33893011</v>
      </c>
      <c r="DV30" s="244">
        <v>16.805758409999999</v>
      </c>
      <c r="DW30" s="244">
        <v>16.805758409999999</v>
      </c>
      <c r="DX30" s="244">
        <v>16.805758409999999</v>
      </c>
      <c r="DY30" s="244">
        <v>16.805758409999999</v>
      </c>
      <c r="DZ30" s="244">
        <v>20.21072281</v>
      </c>
      <c r="EA30" s="244">
        <v>20.21072281</v>
      </c>
      <c r="EB30" s="244">
        <v>20.21072281</v>
      </c>
      <c r="EC30" s="244">
        <v>10.325098260000001</v>
      </c>
      <c r="ED30" s="244">
        <v>15.22951539</v>
      </c>
      <c r="EE30" s="244">
        <v>15.22951539</v>
      </c>
      <c r="EF30" s="244">
        <v>15.05743899</v>
      </c>
      <c r="EG30" s="244">
        <v>15.057433189999999</v>
      </c>
      <c r="EH30" s="244">
        <v>15.487647389999999</v>
      </c>
      <c r="EI30" s="244">
        <v>16.593292389999998</v>
      </c>
      <c r="EJ30" s="244">
        <v>7.4501836360000002</v>
      </c>
      <c r="EK30" s="244">
        <v>8.5332933559999997</v>
      </c>
      <c r="EL30" s="244">
        <v>9.0344459849999996</v>
      </c>
      <c r="EM30" s="244">
        <v>9.3571182410000002</v>
      </c>
      <c r="EN30" s="244">
        <v>9.0344459849999996</v>
      </c>
      <c r="EO30" s="244">
        <v>9.3571182410000002</v>
      </c>
      <c r="EP30" s="244">
        <v>9.3571182410000002</v>
      </c>
      <c r="EQ30" s="244">
        <v>10.002433740000001</v>
      </c>
      <c r="ER30" s="244">
        <v>10.32509149</v>
      </c>
      <c r="ES30" s="244">
        <v>11.22853609</v>
      </c>
      <c r="ET30" s="244">
        <v>5.3822289699999999</v>
      </c>
      <c r="EU30" s="244">
        <v>5.574460599</v>
      </c>
      <c r="EV30" s="244">
        <v>5.574460599</v>
      </c>
      <c r="EW30" s="244">
        <v>5.9589074719999999</v>
      </c>
      <c r="EX30" s="244">
        <v>5.9589074719999999</v>
      </c>
      <c r="EY30" s="244">
        <v>6.1511289370000002</v>
      </c>
      <c r="EZ30" s="244">
        <v>6.1511289370000002</v>
      </c>
      <c r="FA30" s="244">
        <v>6.1511289370000002</v>
      </c>
      <c r="FB30" s="244">
        <v>6.1511289370000002</v>
      </c>
      <c r="FC30" s="244">
        <v>8.0468328600000003</v>
      </c>
      <c r="FD30" s="244">
        <v>8.8475127619999991</v>
      </c>
      <c r="FE30" s="244">
        <v>8.8475127619999991</v>
      </c>
      <c r="FF30" s="244">
        <v>9.4079886839999993</v>
      </c>
      <c r="FG30" s="244">
        <v>8.0468325000000007</v>
      </c>
      <c r="FH30" s="244">
        <v>7.5708640000000003</v>
      </c>
      <c r="FI30" s="244">
        <v>8.4302360000000007</v>
      </c>
      <c r="FJ30" s="244">
        <v>9.9035203200000002</v>
      </c>
      <c r="FK30" s="244">
        <v>10.7629144</v>
      </c>
      <c r="FL30" s="244">
        <v>10.7629144</v>
      </c>
      <c r="FM30" s="244">
        <v>8.4302360000000007</v>
      </c>
      <c r="FN30" s="244">
        <v>9.9035203200000002</v>
      </c>
      <c r="FO30" s="244">
        <v>11.473319999999999</v>
      </c>
      <c r="FP30" s="244">
        <v>11.997719999999999</v>
      </c>
      <c r="FQ30" s="244">
        <v>11.997719999999999</v>
      </c>
      <c r="FR30" s="244">
        <v>11.997719999999999</v>
      </c>
      <c r="FS30" s="244">
        <v>11.997719999999999</v>
      </c>
      <c r="FT30" s="244">
        <v>11.997719999999999</v>
      </c>
      <c r="FU30" s="244">
        <v>11.997719999999999</v>
      </c>
      <c r="FV30" s="244">
        <v>16.145872480000001</v>
      </c>
      <c r="FW30" s="244">
        <v>17.595687689999998</v>
      </c>
      <c r="FX30" s="244">
        <v>15.797400079999999</v>
      </c>
      <c r="FY30" s="244">
        <v>17.040708429999999</v>
      </c>
      <c r="FZ30" s="244">
        <v>16.145872480000001</v>
      </c>
      <c r="GA30" s="244">
        <v>17.595687689999998</v>
      </c>
      <c r="GB30" s="244">
        <v>17.595687689999998</v>
      </c>
      <c r="GC30" s="244">
        <v>18.49913132</v>
      </c>
      <c r="GD30" s="244">
        <v>17.040708429999999</v>
      </c>
      <c r="GE30" s="244">
        <v>18.301231860000001</v>
      </c>
      <c r="GF30" s="244">
        <v>20.210779599999999</v>
      </c>
      <c r="GG30" s="244">
        <v>19.760247289999999</v>
      </c>
      <c r="GH30" s="244">
        <v>21.052899050000001</v>
      </c>
      <c r="GI30" s="244">
        <v>20.49288765</v>
      </c>
      <c r="GJ30" s="244">
        <v>21.979226839999999</v>
      </c>
      <c r="GK30" s="244">
        <v>21.873961909999998</v>
      </c>
      <c r="GL30" s="244">
        <v>24.076095339999998</v>
      </c>
      <c r="GM30" s="244">
        <v>23.895040819999998</v>
      </c>
      <c r="GN30" s="244">
        <v>23.945567149999999</v>
      </c>
      <c r="GO30" s="244">
        <v>25.031896580000002</v>
      </c>
      <c r="GP30" s="244">
        <v>21.515706890000001</v>
      </c>
      <c r="GQ30" s="244">
        <v>21.089520289999999</v>
      </c>
      <c r="GR30" s="244">
        <v>21.515706890000001</v>
      </c>
      <c r="GS30" s="244">
        <v>21.515706890000001</v>
      </c>
      <c r="GT30" s="244">
        <v>21.968254089999999</v>
      </c>
      <c r="GU30" s="244">
        <v>23.04909168</v>
      </c>
      <c r="GV30" s="244">
        <v>21.968254089999999</v>
      </c>
      <c r="GW30" s="244">
        <v>24.604443629999999</v>
      </c>
      <c r="GX30" s="244">
        <v>23.04909168</v>
      </c>
      <c r="GY30" s="244">
        <v>9.0948517669999998</v>
      </c>
      <c r="GZ30" s="244">
        <v>9.3053813440000006</v>
      </c>
      <c r="HA30" s="244">
        <v>9.8106506450000008</v>
      </c>
      <c r="HB30" s="244">
        <v>10.02117956</v>
      </c>
      <c r="HC30" s="244">
        <v>9.0619170439999994</v>
      </c>
      <c r="HD30" s="244">
        <v>9.6797750239999996</v>
      </c>
      <c r="HE30" s="244">
        <v>11.12144363</v>
      </c>
      <c r="HF30" s="244">
        <v>9.4902961999999995</v>
      </c>
      <c r="HG30" s="244">
        <v>10.21525141</v>
      </c>
      <c r="HH30" s="244">
        <v>9.8898466799999998</v>
      </c>
      <c r="HI30" s="244">
        <v>11.170871379999999</v>
      </c>
      <c r="HJ30" s="244">
        <v>9.9845848139999998</v>
      </c>
      <c r="HK30" s="244">
        <v>10.297632999999999</v>
      </c>
      <c r="HL30" s="244">
        <v>10.915490760000001</v>
      </c>
      <c r="HM30" s="244">
        <v>11.12144363</v>
      </c>
      <c r="HN30" s="244">
        <v>10.21525194</v>
      </c>
      <c r="HO30" s="244">
        <v>10.21525194</v>
      </c>
      <c r="HP30" s="244">
        <v>9.8898466799999998</v>
      </c>
      <c r="HQ30" s="244">
        <v>11.170872210000001</v>
      </c>
      <c r="HR30" s="244">
        <v>11.15233654</v>
      </c>
      <c r="HS30" s="244">
        <v>9.9845848139999998</v>
      </c>
      <c r="HT30" s="244">
        <v>12.064706770000001</v>
      </c>
      <c r="HU30" s="244">
        <v>12.046171019999999</v>
      </c>
      <c r="HV30" s="244">
        <v>12.357159510000001</v>
      </c>
      <c r="HW30" s="244">
        <v>12.31596907</v>
      </c>
      <c r="HX30" s="244">
        <v>12.76906492</v>
      </c>
      <c r="HY30" s="244">
        <v>13.18097025</v>
      </c>
      <c r="HZ30" s="244">
        <v>13.01620788</v>
      </c>
      <c r="IA30" s="244">
        <v>13.246874480000001</v>
      </c>
      <c r="IB30" s="244">
        <v>13.246874480000001</v>
      </c>
      <c r="IC30" s="244">
        <v>13.63818356</v>
      </c>
      <c r="ID30" s="244">
        <v>13.246874480000001</v>
      </c>
      <c r="IE30" s="244">
        <v>13.246874480000001</v>
      </c>
      <c r="IF30" s="244">
        <v>13.63818356</v>
      </c>
      <c r="IG30" s="244">
        <v>6.1095512640000003</v>
      </c>
      <c r="IH30" s="244">
        <v>6.1095512640000003</v>
      </c>
      <c r="II30" s="244">
        <v>6.1095512640000003</v>
      </c>
      <c r="IJ30" s="244">
        <v>6.1095512640000003</v>
      </c>
      <c r="IK30" s="244">
        <v>6.1095512640000003</v>
      </c>
      <c r="IL30" s="244">
        <v>6.1095512640000003</v>
      </c>
      <c r="IM30" s="244">
        <v>7.924308313</v>
      </c>
      <c r="IN30" s="244">
        <v>7.924308313</v>
      </c>
      <c r="IO30" s="244">
        <v>7.924308313</v>
      </c>
      <c r="IP30" s="244">
        <v>7.924308313</v>
      </c>
      <c r="IQ30" s="244">
        <v>7.924308313</v>
      </c>
      <c r="IR30" s="244">
        <v>7.924308313</v>
      </c>
      <c r="IS30" s="244">
        <v>3.1215459999999999</v>
      </c>
      <c r="IT30" s="244">
        <v>3.1215459999999999</v>
      </c>
      <c r="IU30" s="244">
        <v>3.1215459999999999</v>
      </c>
      <c r="IV30" s="244">
        <v>3.1215459999999999</v>
      </c>
      <c r="IW30" s="244">
        <v>3.1215459999999999</v>
      </c>
      <c r="IX30" s="244">
        <v>3.6734420000000001</v>
      </c>
      <c r="IY30" s="244">
        <v>6.5213333330000003</v>
      </c>
      <c r="IZ30" s="244">
        <v>9.5386666669999993</v>
      </c>
      <c r="JA30" s="244">
        <v>9.5386666669999993</v>
      </c>
      <c r="JB30" s="244">
        <v>9.5386666669999993</v>
      </c>
      <c r="JC30" s="244">
        <v>3.5783329450000001</v>
      </c>
      <c r="JD30" s="244">
        <v>3.5783329450000001</v>
      </c>
      <c r="JE30" s="244">
        <v>3.5783329450000001</v>
      </c>
      <c r="JF30" s="244">
        <v>3.5445877779999999</v>
      </c>
      <c r="JG30" s="244">
        <v>3.5445877779999999</v>
      </c>
      <c r="JH30" s="244">
        <v>5.870145344</v>
      </c>
      <c r="JI30" s="244">
        <v>6.0826626560000001</v>
      </c>
      <c r="JJ30" s="244">
        <v>6.0826626560000001</v>
      </c>
      <c r="JK30" s="244">
        <v>6.2420248239999996</v>
      </c>
    </row>
    <row r="31" spans="1:271">
      <c r="A31" s="251" t="s">
        <v>2558</v>
      </c>
      <c r="B31" s="236">
        <f>B25*B26</f>
        <v>112.8</v>
      </c>
      <c r="C31" s="236">
        <f t="shared" ref="C31:BN31" si="70">C25*C26</f>
        <v>112.8</v>
      </c>
      <c r="D31" s="236">
        <f t="shared" si="70"/>
        <v>124.71655328798185</v>
      </c>
      <c r="E31" s="236">
        <f t="shared" si="70"/>
        <v>126</v>
      </c>
      <c r="F31" s="236">
        <f t="shared" si="70"/>
        <v>126</v>
      </c>
      <c r="G31" s="236">
        <f t="shared" si="70"/>
        <v>499.1</v>
      </c>
      <c r="H31" s="236">
        <f t="shared" si="70"/>
        <v>344.30839002267572</v>
      </c>
      <c r="I31" s="236">
        <f t="shared" si="70"/>
        <v>112.9</v>
      </c>
      <c r="J31" s="236">
        <f t="shared" si="70"/>
        <v>112.9</v>
      </c>
      <c r="K31" s="236">
        <f t="shared" si="70"/>
        <v>98</v>
      </c>
      <c r="L31" s="236">
        <f t="shared" si="70"/>
        <v>98</v>
      </c>
      <c r="M31" s="236">
        <f t="shared" si="70"/>
        <v>186.39455782312925</v>
      </c>
      <c r="N31" s="236">
        <f t="shared" si="70"/>
        <v>163.26530612244898</v>
      </c>
      <c r="O31" s="236">
        <f t="shared" si="70"/>
        <v>193.6</v>
      </c>
      <c r="P31" s="236">
        <f t="shared" si="70"/>
        <v>406.4</v>
      </c>
      <c r="Q31" s="236">
        <f t="shared" si="70"/>
        <v>372.78911564625849</v>
      </c>
      <c r="R31" s="236">
        <f t="shared" si="70"/>
        <v>296.59863945578229</v>
      </c>
      <c r="S31" s="236">
        <f t="shared" si="70"/>
        <v>296.59863945578229</v>
      </c>
      <c r="T31" s="236">
        <f t="shared" si="70"/>
        <v>187.30158730158729</v>
      </c>
      <c r="U31" s="236">
        <f t="shared" si="70"/>
        <v>187.30158730158729</v>
      </c>
      <c r="V31" s="236">
        <f t="shared" si="70"/>
        <v>186.39455782312925</v>
      </c>
      <c r="W31" s="236">
        <f t="shared" si="70"/>
        <v>241.26984126984127</v>
      </c>
      <c r="X31" s="236">
        <f t="shared" si="70"/>
        <v>173.24263038548753</v>
      </c>
      <c r="Y31" s="236">
        <f t="shared" si="70"/>
        <v>89.3</v>
      </c>
      <c r="Z31" s="236">
        <f t="shared" si="70"/>
        <v>291.15646258503398</v>
      </c>
      <c r="AA31" s="236">
        <f t="shared" si="70"/>
        <v>126.07709750566893</v>
      </c>
      <c r="AB31" s="236">
        <f t="shared" si="70"/>
        <v>172.2</v>
      </c>
      <c r="AC31" s="236">
        <f t="shared" si="70"/>
        <v>226.4</v>
      </c>
      <c r="AD31" s="236">
        <f t="shared" si="70"/>
        <v>285</v>
      </c>
      <c r="AE31" s="236">
        <f t="shared" si="70"/>
        <v>125.9</v>
      </c>
      <c r="AF31" s="236">
        <f t="shared" si="70"/>
        <v>265</v>
      </c>
      <c r="AG31" s="236">
        <f t="shared" si="70"/>
        <v>186</v>
      </c>
      <c r="AH31" s="236">
        <f t="shared" si="70"/>
        <v>136.05442176870747</v>
      </c>
      <c r="AI31" s="236">
        <f t="shared" si="70"/>
        <v>56.6</v>
      </c>
      <c r="AJ31" s="236">
        <f t="shared" si="70"/>
        <v>29.1</v>
      </c>
      <c r="AK31" s="236">
        <f t="shared" si="70"/>
        <v>270.3</v>
      </c>
      <c r="AL31" s="236">
        <f t="shared" si="70"/>
        <v>269.84126984126982</v>
      </c>
      <c r="AM31" s="236">
        <f t="shared" si="70"/>
        <v>147.84580498866214</v>
      </c>
      <c r="AN31" s="236">
        <f t="shared" si="70"/>
        <v>150.1</v>
      </c>
      <c r="AO31" s="236">
        <f t="shared" si="70"/>
        <v>226.4</v>
      </c>
      <c r="AP31" s="236">
        <f t="shared" si="70"/>
        <v>126.1</v>
      </c>
      <c r="AQ31" s="236">
        <f t="shared" si="70"/>
        <v>121.54195011337868</v>
      </c>
      <c r="AR31" s="236">
        <f t="shared" si="70"/>
        <v>125</v>
      </c>
      <c r="AS31" s="236">
        <f t="shared" si="70"/>
        <v>207.2562358276644</v>
      </c>
      <c r="AT31" s="236">
        <f t="shared" si="70"/>
        <v>207.2562358276644</v>
      </c>
      <c r="AU31" s="252">
        <f t="shared" si="70"/>
        <v>212.69841269841268</v>
      </c>
      <c r="AV31" s="253">
        <f t="shared" si="70"/>
        <v>241.7233560090703</v>
      </c>
      <c r="AW31" s="236">
        <f t="shared" si="70"/>
        <v>439.90929705215416</v>
      </c>
      <c r="AX31" s="236">
        <f t="shared" si="70"/>
        <v>278</v>
      </c>
      <c r="AY31" s="236">
        <f t="shared" si="70"/>
        <v>291.15646258503398</v>
      </c>
      <c r="AZ31" s="236">
        <f t="shared" si="70"/>
        <v>190</v>
      </c>
      <c r="BA31" s="236">
        <f t="shared" si="70"/>
        <v>385.4875283446712</v>
      </c>
      <c r="BB31" s="236">
        <f t="shared" si="70"/>
        <v>270.29478458049886</v>
      </c>
      <c r="BC31" s="236">
        <f t="shared" si="70"/>
        <v>313.83219954648524</v>
      </c>
      <c r="BD31" s="236">
        <f t="shared" si="70"/>
        <v>372</v>
      </c>
      <c r="BE31" s="236">
        <f t="shared" si="70"/>
        <v>300.2</v>
      </c>
      <c r="BF31" s="236">
        <f t="shared" si="70"/>
        <v>206.8</v>
      </c>
      <c r="BG31" s="236">
        <f t="shared" si="70"/>
        <v>413.6</v>
      </c>
      <c r="BH31" s="236">
        <f t="shared" si="70"/>
        <v>448</v>
      </c>
      <c r="BI31" s="236">
        <f t="shared" si="70"/>
        <v>558.73015873015868</v>
      </c>
      <c r="BJ31" s="236">
        <f t="shared" si="70"/>
        <v>112.47165532879818</v>
      </c>
      <c r="BK31" s="236">
        <f t="shared" si="70"/>
        <v>430.84</v>
      </c>
      <c r="BL31" s="236">
        <f t="shared" si="70"/>
        <v>430.84</v>
      </c>
      <c r="BM31" s="236">
        <f t="shared" si="70"/>
        <v>408</v>
      </c>
      <c r="BN31" s="236">
        <f t="shared" si="70"/>
        <v>408</v>
      </c>
      <c r="BO31" s="236">
        <f t="shared" ref="BO31:BW31" si="71">BO25*BO26</f>
        <v>430.84</v>
      </c>
      <c r="BP31" s="236">
        <f t="shared" si="71"/>
        <v>458.95691609977325</v>
      </c>
      <c r="BQ31" s="236">
        <f t="shared" si="71"/>
        <v>219.8</v>
      </c>
      <c r="BR31" s="236">
        <f t="shared" si="71"/>
        <v>822.8</v>
      </c>
      <c r="BS31" s="236">
        <f t="shared" si="71"/>
        <v>900</v>
      </c>
      <c r="BT31" s="236">
        <f t="shared" si="71"/>
        <v>900</v>
      </c>
      <c r="BU31" s="236">
        <f t="shared" si="71"/>
        <v>1746.2</v>
      </c>
      <c r="BV31" s="236">
        <f t="shared" si="71"/>
        <v>846.4</v>
      </c>
      <c r="BW31" s="236">
        <f t="shared" si="71"/>
        <v>846.4</v>
      </c>
      <c r="BX31" s="236">
        <f>BX25*BX26</f>
        <v>710.4</v>
      </c>
      <c r="BY31" s="236">
        <f t="shared" ref="BY31:CK31" si="72">BY25*BY26</f>
        <v>781</v>
      </c>
      <c r="BZ31" s="236">
        <f t="shared" si="72"/>
        <v>781</v>
      </c>
      <c r="CA31" s="236">
        <f t="shared" si="72"/>
        <v>785.6</v>
      </c>
      <c r="CB31" s="236">
        <f t="shared" si="72"/>
        <v>785.6</v>
      </c>
      <c r="CC31" s="236">
        <f t="shared" si="72"/>
        <v>963.4</v>
      </c>
      <c r="CD31" s="236">
        <f t="shared" si="72"/>
        <v>834.6</v>
      </c>
      <c r="CE31" s="236">
        <f t="shared" si="72"/>
        <v>846.4</v>
      </c>
      <c r="CF31" s="236">
        <f t="shared" si="72"/>
        <v>963.4</v>
      </c>
      <c r="CG31" s="236">
        <f t="shared" si="72"/>
        <v>868</v>
      </c>
      <c r="CH31" s="236">
        <f t="shared" si="72"/>
        <v>963.4</v>
      </c>
      <c r="CI31" s="236">
        <f t="shared" si="72"/>
        <v>960.2</v>
      </c>
      <c r="CJ31" s="236">
        <f t="shared" si="72"/>
        <v>961.6</v>
      </c>
      <c r="CK31" s="236">
        <f t="shared" si="72"/>
        <v>961.6</v>
      </c>
      <c r="CL31" s="236">
        <f>CL25*CL26</f>
        <v>13694</v>
      </c>
      <c r="CM31" s="236">
        <f>CM25*CM26</f>
        <v>14280</v>
      </c>
      <c r="CN31" s="236">
        <f>CN25*CN26</f>
        <v>17522</v>
      </c>
      <c r="CO31" s="236">
        <f>CO25*CO26</f>
        <v>19831.2</v>
      </c>
      <c r="CP31" s="236">
        <f>CP25*CP26</f>
        <v>11960</v>
      </c>
      <c r="CQ31" s="236">
        <f t="shared" ref="CQ31:CV31" si="73">CQ25*CQ26</f>
        <v>10577.6</v>
      </c>
      <c r="CR31" s="236">
        <f t="shared" si="73"/>
        <v>10577.6</v>
      </c>
      <c r="CS31" s="236">
        <f t="shared" si="73"/>
        <v>10577.6</v>
      </c>
      <c r="CT31" s="236">
        <f t="shared" si="73"/>
        <v>10577.6</v>
      </c>
      <c r="CU31" s="236">
        <f t="shared" si="73"/>
        <v>10577.6</v>
      </c>
      <c r="CV31" s="236">
        <f t="shared" si="73"/>
        <v>10577.6</v>
      </c>
      <c r="CW31" s="236">
        <f>CW25*CW26</f>
        <v>17762.8</v>
      </c>
      <c r="CX31" s="236">
        <f>CX25*CX26</f>
        <v>17091.36</v>
      </c>
      <c r="CY31" s="236">
        <f>CY25*CY26</f>
        <v>23100</v>
      </c>
      <c r="CZ31" s="236">
        <f t="shared" ref="CZ31" si="74">CZ25*CZ26</f>
        <v>10182</v>
      </c>
      <c r="DA31" s="236">
        <f>DA25*DA26</f>
        <v>8544.2176870748299</v>
      </c>
      <c r="DB31" s="236">
        <f>DB25*DB26</f>
        <v>8544.2176870748299</v>
      </c>
      <c r="DC31" s="236">
        <f>DC25*DC26</f>
        <v>8881.4</v>
      </c>
      <c r="DD31" s="236">
        <f>DD25*DD26</f>
        <v>8544.2176870748299</v>
      </c>
      <c r="DE31" s="236">
        <f>DE25*DE26</f>
        <v>9044</v>
      </c>
      <c r="DF31" s="236">
        <f t="shared" ref="DF31:DM31" si="75">DF25*DF26</f>
        <v>14554</v>
      </c>
      <c r="DG31" s="236">
        <f t="shared" si="75"/>
        <v>15098</v>
      </c>
      <c r="DH31" s="236">
        <f t="shared" si="75"/>
        <v>12201</v>
      </c>
      <c r="DI31" s="236">
        <f t="shared" si="75"/>
        <v>12201</v>
      </c>
      <c r="DJ31" s="236">
        <f t="shared" si="75"/>
        <v>12201</v>
      </c>
      <c r="DK31" s="236">
        <f t="shared" si="75"/>
        <v>12201</v>
      </c>
      <c r="DL31" s="236">
        <f t="shared" si="75"/>
        <v>11499</v>
      </c>
      <c r="DM31" s="236">
        <f t="shared" si="75"/>
        <v>12429</v>
      </c>
      <c r="DN31" s="236">
        <f>DN25*DN26</f>
        <v>25744</v>
      </c>
      <c r="DO31" s="236">
        <f t="shared" ref="DO31:FZ31" si="76">DO25*DO26</f>
        <v>17088.43537414966</v>
      </c>
      <c r="DP31" s="236">
        <f t="shared" si="76"/>
        <v>22812</v>
      </c>
      <c r="DQ31" s="236">
        <f t="shared" si="76"/>
        <v>17762.8</v>
      </c>
      <c r="DR31" s="244">
        <f t="shared" si="76"/>
        <v>6341.22</v>
      </c>
      <c r="DS31" s="244">
        <f t="shared" si="76"/>
        <v>9253.2839999999997</v>
      </c>
      <c r="DT31" s="244">
        <f t="shared" si="76"/>
        <v>9253.2839999999997</v>
      </c>
      <c r="DU31" s="244">
        <f t="shared" si="76"/>
        <v>8240</v>
      </c>
      <c r="DV31" s="244">
        <f t="shared" si="76"/>
        <v>7874.3639999999996</v>
      </c>
      <c r="DW31" s="244">
        <f t="shared" si="76"/>
        <v>7874.3639999999996</v>
      </c>
      <c r="DX31" s="244">
        <f t="shared" si="76"/>
        <v>7874.3639999999996</v>
      </c>
      <c r="DY31" s="244">
        <f t="shared" si="76"/>
        <v>7874.3639999999996</v>
      </c>
      <c r="DZ31" s="244">
        <f t="shared" si="76"/>
        <v>8556</v>
      </c>
      <c r="EA31" s="244">
        <f t="shared" si="76"/>
        <v>8556</v>
      </c>
      <c r="EB31" s="244">
        <f t="shared" si="76"/>
        <v>8556</v>
      </c>
      <c r="EC31" s="244">
        <f t="shared" si="76"/>
        <v>6341.22</v>
      </c>
      <c r="ED31" s="244">
        <f t="shared" si="76"/>
        <v>7520.56</v>
      </c>
      <c r="EE31" s="244">
        <f t="shared" si="76"/>
        <v>7520.56</v>
      </c>
      <c r="EF31" s="244">
        <f t="shared" si="76"/>
        <v>9253.2839999999997</v>
      </c>
      <c r="EG31" s="244">
        <f t="shared" si="76"/>
        <v>8240</v>
      </c>
      <c r="EH31" s="244">
        <f t="shared" si="76"/>
        <v>7602.2079999999996</v>
      </c>
      <c r="EI31" s="244">
        <f t="shared" si="76"/>
        <v>7874.3639999999996</v>
      </c>
      <c r="EJ31" s="244">
        <f t="shared" si="76"/>
        <v>4170</v>
      </c>
      <c r="EK31" s="244">
        <f t="shared" si="76"/>
        <v>4170</v>
      </c>
      <c r="EL31" s="244">
        <f t="shared" si="76"/>
        <v>4361.2905000000001</v>
      </c>
      <c r="EM31" s="244">
        <f t="shared" si="76"/>
        <v>4425.2460000000001</v>
      </c>
      <c r="EN31" s="244">
        <f t="shared" si="76"/>
        <v>4361.2905000000001</v>
      </c>
      <c r="EO31" s="244">
        <f t="shared" si="76"/>
        <v>4425.2460000000001</v>
      </c>
      <c r="EP31" s="244">
        <f t="shared" si="76"/>
        <v>4425.2460000000001</v>
      </c>
      <c r="EQ31" s="244">
        <f t="shared" si="76"/>
        <v>4645.692</v>
      </c>
      <c r="ER31" s="244">
        <f t="shared" si="76"/>
        <v>4667.4659999999994</v>
      </c>
      <c r="ES31" s="244">
        <f t="shared" si="76"/>
        <v>4755.915</v>
      </c>
      <c r="ET31" s="244">
        <f t="shared" si="76"/>
        <v>2907.527</v>
      </c>
      <c r="EU31" s="244">
        <f t="shared" si="76"/>
        <v>3086.2424000000001</v>
      </c>
      <c r="EV31" s="244">
        <f t="shared" si="76"/>
        <v>3086.2424000000001</v>
      </c>
      <c r="EW31" s="244">
        <f t="shared" si="76"/>
        <v>3151.56</v>
      </c>
      <c r="EX31" s="244">
        <f t="shared" si="76"/>
        <v>3151.56</v>
      </c>
      <c r="EY31" s="244">
        <f t="shared" si="76"/>
        <v>3152.4659999999999</v>
      </c>
      <c r="EZ31" s="244">
        <f t="shared" si="76"/>
        <v>3152.4659999999999</v>
      </c>
      <c r="FA31" s="244">
        <f t="shared" si="76"/>
        <v>3152.4659999999999</v>
      </c>
      <c r="FB31" s="244">
        <f t="shared" si="76"/>
        <v>3152.4659999999999</v>
      </c>
      <c r="FC31" s="244">
        <f t="shared" si="76"/>
        <v>3932</v>
      </c>
      <c r="FD31" s="244">
        <f t="shared" si="76"/>
        <v>3932</v>
      </c>
      <c r="FE31" s="244">
        <f t="shared" si="76"/>
        <v>3932</v>
      </c>
      <c r="FF31" s="244">
        <f t="shared" si="76"/>
        <v>3932</v>
      </c>
      <c r="FG31" s="244">
        <f t="shared" si="76"/>
        <v>3932</v>
      </c>
      <c r="FH31" s="244">
        <f t="shared" si="76"/>
        <v>4772</v>
      </c>
      <c r="FI31" s="244">
        <f t="shared" si="76"/>
        <v>4772</v>
      </c>
      <c r="FJ31" s="244">
        <f t="shared" si="76"/>
        <v>4772</v>
      </c>
      <c r="FK31" s="244">
        <f t="shared" si="76"/>
        <v>4772</v>
      </c>
      <c r="FL31" s="244">
        <f t="shared" si="76"/>
        <v>4772</v>
      </c>
      <c r="FM31" s="244">
        <f t="shared" si="76"/>
        <v>4772</v>
      </c>
      <c r="FN31" s="244">
        <f t="shared" si="76"/>
        <v>4772</v>
      </c>
      <c r="FO31" s="244">
        <f t="shared" si="76"/>
        <v>5560</v>
      </c>
      <c r="FP31" s="244">
        <f t="shared" si="76"/>
        <v>5560</v>
      </c>
      <c r="FQ31" s="244">
        <f t="shared" si="76"/>
        <v>5560</v>
      </c>
      <c r="FR31" s="244">
        <f t="shared" si="76"/>
        <v>5560</v>
      </c>
      <c r="FS31" s="244">
        <f t="shared" si="76"/>
        <v>5560</v>
      </c>
      <c r="FT31" s="244">
        <f t="shared" si="76"/>
        <v>5560</v>
      </c>
      <c r="FU31" s="244">
        <f t="shared" si="76"/>
        <v>5560</v>
      </c>
      <c r="FV31" s="244">
        <f t="shared" si="76"/>
        <v>6442</v>
      </c>
      <c r="FW31" s="244">
        <f t="shared" si="76"/>
        <v>6442</v>
      </c>
      <c r="FX31" s="244">
        <f t="shared" si="76"/>
        <v>6968</v>
      </c>
      <c r="FY31" s="244">
        <f t="shared" si="76"/>
        <v>6898</v>
      </c>
      <c r="FZ31" s="244">
        <f t="shared" si="76"/>
        <v>6442</v>
      </c>
      <c r="GA31" s="244">
        <f t="shared" ref="GA31:IF31" si="77">GA25*GA26</f>
        <v>6442</v>
      </c>
      <c r="GB31" s="244">
        <f t="shared" si="77"/>
        <v>6442</v>
      </c>
      <c r="GC31" s="244">
        <f t="shared" si="77"/>
        <v>6442</v>
      </c>
      <c r="GD31" s="244">
        <f t="shared" si="77"/>
        <v>6898</v>
      </c>
      <c r="GE31" s="244">
        <f t="shared" si="77"/>
        <v>6898</v>
      </c>
      <c r="GF31" s="244">
        <f t="shared" si="77"/>
        <v>8105.6956600000003</v>
      </c>
      <c r="GG31" s="244">
        <f t="shared" si="77"/>
        <v>7961.4531999999999</v>
      </c>
      <c r="GH31" s="244">
        <f t="shared" si="77"/>
        <v>8087.5519999999997</v>
      </c>
      <c r="GI31" s="244">
        <f t="shared" si="77"/>
        <v>7961.4531999999999</v>
      </c>
      <c r="GJ31" s="244">
        <f t="shared" si="77"/>
        <v>8545.6802599999992</v>
      </c>
      <c r="GK31" s="244">
        <f t="shared" si="77"/>
        <v>8772.4760000000006</v>
      </c>
      <c r="GL31" s="244">
        <f t="shared" si="77"/>
        <v>8772.4760000000006</v>
      </c>
      <c r="GM31" s="244">
        <f t="shared" si="77"/>
        <v>8545.68</v>
      </c>
      <c r="GN31" s="244">
        <f t="shared" si="77"/>
        <v>11550</v>
      </c>
      <c r="GO31" s="244">
        <f t="shared" si="77"/>
        <v>11550</v>
      </c>
      <c r="GP31" s="244">
        <f t="shared" si="77"/>
        <v>7946.9380000000001</v>
      </c>
      <c r="GQ31" s="244">
        <f t="shared" si="77"/>
        <v>8087.5519999999997</v>
      </c>
      <c r="GR31" s="244">
        <f t="shared" si="77"/>
        <v>7946.9380000000001</v>
      </c>
      <c r="GS31" s="244">
        <f t="shared" si="77"/>
        <v>7946.9380000000001</v>
      </c>
      <c r="GT31" s="244">
        <f t="shared" si="77"/>
        <v>8105.6959999999999</v>
      </c>
      <c r="GU31" s="244">
        <f t="shared" si="77"/>
        <v>8600.1119999999992</v>
      </c>
      <c r="GV31" s="244">
        <f t="shared" si="77"/>
        <v>8105.6959999999999</v>
      </c>
      <c r="GW31" s="244">
        <f t="shared" si="77"/>
        <v>8545.68</v>
      </c>
      <c r="GX31" s="244">
        <f t="shared" si="77"/>
        <v>8600.1119999999992</v>
      </c>
      <c r="GY31" s="244">
        <f t="shared" si="77"/>
        <v>4910.3999999999996</v>
      </c>
      <c r="GZ31" s="244">
        <f t="shared" si="77"/>
        <v>4898.7979999999998</v>
      </c>
      <c r="HA31" s="244">
        <f t="shared" si="77"/>
        <v>4910.3999999999996</v>
      </c>
      <c r="HB31" s="244">
        <f t="shared" si="77"/>
        <v>4898.7979999999998</v>
      </c>
      <c r="HC31" s="244">
        <f t="shared" si="77"/>
        <v>4910.3999999999996</v>
      </c>
      <c r="HD31" s="244">
        <f t="shared" si="77"/>
        <v>4662</v>
      </c>
      <c r="HE31" s="244">
        <f t="shared" si="77"/>
        <v>4910.3999999999996</v>
      </c>
      <c r="HF31" s="244">
        <f t="shared" si="77"/>
        <v>4808</v>
      </c>
      <c r="HG31" s="244">
        <f t="shared" si="77"/>
        <v>4808</v>
      </c>
      <c r="HH31" s="244">
        <f t="shared" si="77"/>
        <v>5980</v>
      </c>
      <c r="HI31" s="244">
        <f t="shared" si="77"/>
        <v>5980</v>
      </c>
      <c r="HJ31" s="244">
        <f t="shared" si="77"/>
        <v>5715.2640000000001</v>
      </c>
      <c r="HK31" s="244">
        <f t="shared" si="77"/>
        <v>4662</v>
      </c>
      <c r="HL31" s="244">
        <f t="shared" si="77"/>
        <v>4662</v>
      </c>
      <c r="HM31" s="244">
        <f t="shared" si="77"/>
        <v>4910.3999999999996</v>
      </c>
      <c r="HN31" s="244">
        <f t="shared" si="77"/>
        <v>4808</v>
      </c>
      <c r="HO31" s="244">
        <f t="shared" si="77"/>
        <v>4808</v>
      </c>
      <c r="HP31" s="244">
        <f t="shared" si="77"/>
        <v>5980</v>
      </c>
      <c r="HQ31" s="244">
        <f t="shared" si="77"/>
        <v>5980</v>
      </c>
      <c r="HR31" s="244">
        <f t="shared" si="77"/>
        <v>5715.2640000000001</v>
      </c>
      <c r="HS31" s="244">
        <f t="shared" si="77"/>
        <v>5715.2640000000001</v>
      </c>
      <c r="HT31" s="244">
        <f t="shared" si="77"/>
        <v>5980</v>
      </c>
      <c r="HU31" s="244">
        <f t="shared" si="77"/>
        <v>5715.2640000000001</v>
      </c>
      <c r="HV31" s="244">
        <f t="shared" si="77"/>
        <v>4910.3999999999996</v>
      </c>
      <c r="HW31" s="244">
        <f t="shared" si="77"/>
        <v>4808</v>
      </c>
      <c r="HX31" s="244">
        <f t="shared" si="77"/>
        <v>4910.3999999999996</v>
      </c>
      <c r="HY31" s="244">
        <f t="shared" si="77"/>
        <v>4910.3999999999996</v>
      </c>
      <c r="HZ31" s="244">
        <f t="shared" si="77"/>
        <v>4808</v>
      </c>
      <c r="IA31" s="244">
        <f t="shared" si="77"/>
        <v>5980</v>
      </c>
      <c r="IB31" s="244">
        <f t="shared" si="77"/>
        <v>5980</v>
      </c>
      <c r="IC31" s="244">
        <f t="shared" si="77"/>
        <v>5715.2640000000001</v>
      </c>
      <c r="ID31" s="244">
        <f t="shared" si="77"/>
        <v>5980</v>
      </c>
      <c r="IE31" s="244">
        <f t="shared" si="77"/>
        <v>5980</v>
      </c>
      <c r="IF31" s="244">
        <f t="shared" si="77"/>
        <v>5715.2640000000001</v>
      </c>
      <c r="IG31" s="244">
        <f>IG25*IG26</f>
        <v>2855.4546799999998</v>
      </c>
      <c r="IH31" s="244">
        <f t="shared" ref="IH31:II31" si="78">IH25*IH26</f>
        <v>2855.4546799999998</v>
      </c>
      <c r="II31" s="244">
        <f t="shared" si="78"/>
        <v>2855.4546799999998</v>
      </c>
      <c r="IJ31" s="244">
        <f>IJ25*IJ26</f>
        <v>2855.4546799999998</v>
      </c>
      <c r="IK31" s="244">
        <f t="shared" ref="IK31:IL31" si="79">IK25*IK26</f>
        <v>2855.4546799999998</v>
      </c>
      <c r="IL31" s="244">
        <f t="shared" si="79"/>
        <v>2855.4546799999998</v>
      </c>
      <c r="IM31" s="244">
        <f t="shared" ref="IM31:IR31" si="80">IM25*IM26</f>
        <v>4158.7162799999996</v>
      </c>
      <c r="IN31" s="244">
        <f t="shared" si="80"/>
        <v>4158.7162799999996</v>
      </c>
      <c r="IO31" s="244">
        <f t="shared" si="80"/>
        <v>4158.7162799999996</v>
      </c>
      <c r="IP31" s="244">
        <f t="shared" si="80"/>
        <v>4158.7162799999996</v>
      </c>
      <c r="IQ31" s="244">
        <f t="shared" si="80"/>
        <v>4158.7162799999996</v>
      </c>
      <c r="IR31" s="244">
        <f t="shared" si="80"/>
        <v>4158.7162799999996</v>
      </c>
      <c r="IS31" s="244">
        <f t="shared" ref="IS31:JK31" si="81">IS25*IS26</f>
        <v>1503.2</v>
      </c>
      <c r="IT31" s="244">
        <f t="shared" si="81"/>
        <v>1503.2</v>
      </c>
      <c r="IU31" s="244">
        <f t="shared" si="81"/>
        <v>1503.2</v>
      </c>
      <c r="IV31" s="244">
        <f t="shared" si="81"/>
        <v>1503.2</v>
      </c>
      <c r="IW31" s="244">
        <f t="shared" si="81"/>
        <v>1503.2</v>
      </c>
      <c r="IX31" s="244">
        <f t="shared" si="81"/>
        <v>1503.2</v>
      </c>
      <c r="IY31" s="244">
        <f t="shared" si="81"/>
        <v>3448</v>
      </c>
      <c r="IZ31" s="244">
        <f t="shared" si="81"/>
        <v>4354</v>
      </c>
      <c r="JA31" s="244">
        <f t="shared" si="81"/>
        <v>4354</v>
      </c>
      <c r="JB31" s="244">
        <f t="shared" si="81"/>
        <v>4354</v>
      </c>
      <c r="JC31" s="244">
        <f t="shared" si="81"/>
        <v>1501.3907999999999</v>
      </c>
      <c r="JD31" s="244">
        <f t="shared" si="81"/>
        <v>1501.3907999999999</v>
      </c>
      <c r="JE31" s="244">
        <f t="shared" si="81"/>
        <v>1501.3907999999999</v>
      </c>
      <c r="JF31" s="244">
        <f t="shared" si="81"/>
        <v>1514.9985999999999</v>
      </c>
      <c r="JG31" s="244">
        <f t="shared" si="81"/>
        <v>1514.9985999999999</v>
      </c>
      <c r="JH31" s="244">
        <f t="shared" si="81"/>
        <v>2522</v>
      </c>
      <c r="JI31" s="244">
        <f t="shared" si="81"/>
        <v>2522</v>
      </c>
      <c r="JJ31" s="244">
        <f t="shared" si="81"/>
        <v>2522</v>
      </c>
      <c r="JK31" s="244">
        <f t="shared" si="81"/>
        <v>2522</v>
      </c>
    </row>
    <row r="32" spans="1:271">
      <c r="A32" s="251" t="s">
        <v>2559</v>
      </c>
      <c r="B32" s="236">
        <f>B31/B20 *100</f>
        <v>10.811847023866578</v>
      </c>
      <c r="C32" s="236">
        <f t="shared" ref="C32:BN32" si="82">C31/C20 *100</f>
        <v>10.811847023866578</v>
      </c>
      <c r="D32" s="236">
        <f t="shared" si="82"/>
        <v>11.458333333333334</v>
      </c>
      <c r="E32" s="236">
        <f t="shared" si="82"/>
        <v>10.893057836949943</v>
      </c>
      <c r="F32" s="236">
        <f t="shared" si="82"/>
        <v>11.34</v>
      </c>
      <c r="G32" s="236">
        <f t="shared" si="82"/>
        <v>32.367055771725035</v>
      </c>
      <c r="H32" s="236">
        <f t="shared" si="82"/>
        <v>14.741747572815534</v>
      </c>
      <c r="I32" s="236">
        <f t="shared" si="82"/>
        <v>10.823672877735637</v>
      </c>
      <c r="J32" s="236">
        <f t="shared" si="82"/>
        <v>10.823673913043478</v>
      </c>
      <c r="K32" s="236">
        <f t="shared" si="82"/>
        <v>13.506063947078278</v>
      </c>
      <c r="L32" s="236">
        <f t="shared" si="82"/>
        <v>13.506063947078278</v>
      </c>
      <c r="M32" s="236">
        <f t="shared" si="82"/>
        <v>10.815789473684211</v>
      </c>
      <c r="N32" s="236">
        <f t="shared" si="82"/>
        <v>4.1142857142857139</v>
      </c>
      <c r="O32" s="236">
        <f t="shared" si="82"/>
        <v>12.935996883600751</v>
      </c>
      <c r="P32" s="236">
        <f t="shared" si="82"/>
        <v>17.232923076923075</v>
      </c>
      <c r="Q32" s="236">
        <f t="shared" si="82"/>
        <v>14.945454545454545</v>
      </c>
      <c r="R32" s="236">
        <f t="shared" si="82"/>
        <v>14.125269978401727</v>
      </c>
      <c r="S32" s="236">
        <f t="shared" si="82"/>
        <v>15.571428571428573</v>
      </c>
      <c r="T32" s="236">
        <f t="shared" si="82"/>
        <v>10.868421052631579</v>
      </c>
      <c r="U32" s="236">
        <f t="shared" si="82"/>
        <v>12.147058823529411</v>
      </c>
      <c r="V32" s="236">
        <f t="shared" si="82"/>
        <v>11.416666666666668</v>
      </c>
      <c r="W32" s="236">
        <f t="shared" si="82"/>
        <v>14.777777777777779</v>
      </c>
      <c r="X32" s="236">
        <f t="shared" si="82"/>
        <v>12.32258064516129</v>
      </c>
      <c r="Y32" s="236">
        <f t="shared" si="82"/>
        <v>14.915650576248538</v>
      </c>
      <c r="Z32" s="236">
        <f t="shared" si="82"/>
        <v>7.4651162790697665</v>
      </c>
      <c r="AA32" s="236">
        <f t="shared" si="82"/>
        <v>14.008566389518769</v>
      </c>
      <c r="AB32" s="236">
        <f t="shared" si="82"/>
        <v>12.652461425422482</v>
      </c>
      <c r="AC32" s="236">
        <f t="shared" si="82"/>
        <v>14.682230869001298</v>
      </c>
      <c r="AD32" s="236">
        <f t="shared" si="82"/>
        <v>17.45254133496632</v>
      </c>
      <c r="AE32" s="236">
        <f t="shared" si="82"/>
        <v>15.737500000000001</v>
      </c>
      <c r="AF32" s="236">
        <f t="shared" si="82"/>
        <v>13.256628314157078</v>
      </c>
      <c r="AG32" s="236">
        <f t="shared" si="82"/>
        <v>14.201177285318559</v>
      </c>
      <c r="AH32" s="236">
        <f t="shared" si="82"/>
        <v>11.342155009451796</v>
      </c>
      <c r="AI32" s="236">
        <f t="shared" si="82"/>
        <v>12.577777777777779</v>
      </c>
      <c r="AJ32" s="236">
        <f t="shared" si="82"/>
        <v>9.7000000000000011</v>
      </c>
      <c r="AK32" s="236">
        <f t="shared" si="82"/>
        <v>5.7025316455696204</v>
      </c>
      <c r="AL32" s="236">
        <f t="shared" si="82"/>
        <v>13.704482978225993</v>
      </c>
      <c r="AM32" s="236">
        <f t="shared" si="82"/>
        <v>12.53846153846154</v>
      </c>
      <c r="AN32" s="236">
        <f t="shared" si="82"/>
        <v>4.9033058931138118</v>
      </c>
      <c r="AO32" s="236">
        <f t="shared" si="82"/>
        <v>22.691454545454548</v>
      </c>
      <c r="AP32" s="236">
        <f t="shared" si="82"/>
        <v>11.969625059326056</v>
      </c>
      <c r="AQ32" s="236">
        <f t="shared" si="82"/>
        <v>12.465116279069766</v>
      </c>
      <c r="AR32" s="236">
        <f t="shared" si="82"/>
        <v>10.808823529411764</v>
      </c>
      <c r="AS32" s="236">
        <f t="shared" si="82"/>
        <v>13.438876564968572</v>
      </c>
      <c r="AT32" s="236">
        <f t="shared" si="82"/>
        <v>15.755922134839603</v>
      </c>
      <c r="AU32" s="252">
        <f t="shared" si="82"/>
        <v>13.025009963160606</v>
      </c>
      <c r="AV32" s="253">
        <f t="shared" si="82"/>
        <v>14.802410043421329</v>
      </c>
      <c r="AW32" s="236">
        <f t="shared" si="82"/>
        <v>18.650656174307418</v>
      </c>
      <c r="AX32" s="236">
        <f t="shared" si="82"/>
        <v>15.32213127539106</v>
      </c>
      <c r="AY32" s="236">
        <f t="shared" si="82"/>
        <v>14.565105682092746</v>
      </c>
      <c r="AZ32" s="236">
        <f t="shared" si="82"/>
        <v>8.2286704200952805</v>
      </c>
      <c r="BA32" s="236">
        <f t="shared" si="82"/>
        <v>7.5892857142857135</v>
      </c>
      <c r="BB32" s="236">
        <f t="shared" si="82"/>
        <v>15.684210526315789</v>
      </c>
      <c r="BC32" s="236">
        <f t="shared" si="82"/>
        <v>17.630573248407639</v>
      </c>
      <c r="BD32" s="236">
        <f t="shared" si="82"/>
        <v>16.173913043478262</v>
      </c>
      <c r="BE32" s="236">
        <f t="shared" si="82"/>
        <v>5.2945326278659612</v>
      </c>
      <c r="BF32" s="236">
        <f t="shared" si="82"/>
        <v>6.9302949061662202</v>
      </c>
      <c r="BG32" s="236">
        <f t="shared" si="82"/>
        <v>7.8946363809887385</v>
      </c>
      <c r="BH32" s="236">
        <f t="shared" si="82"/>
        <v>17.955911823647295</v>
      </c>
      <c r="BI32" s="236">
        <f t="shared" si="82"/>
        <v>18.181391445027238</v>
      </c>
      <c r="BJ32" s="236">
        <f t="shared" si="82"/>
        <v>14.803436543298812</v>
      </c>
      <c r="BK32" s="236">
        <f t="shared" si="82"/>
        <v>6.3321575543797763</v>
      </c>
      <c r="BL32" s="236">
        <f t="shared" si="82"/>
        <v>5.756814537680385</v>
      </c>
      <c r="BM32" s="236">
        <f t="shared" si="82"/>
        <v>7.1957671957671954</v>
      </c>
      <c r="BN32" s="236">
        <f t="shared" si="82"/>
        <v>7.1957671957671954</v>
      </c>
      <c r="BO32" s="236">
        <f t="shared" ref="BO32:BW32" si="83">BO31/BO20 *100</f>
        <v>5.756814537680385</v>
      </c>
      <c r="BP32" s="236">
        <f t="shared" si="83"/>
        <v>6.7919463087248335</v>
      </c>
      <c r="BQ32" s="236">
        <f t="shared" si="83"/>
        <v>12.734646581691775</v>
      </c>
      <c r="BR32" s="236">
        <f t="shared" si="83"/>
        <v>5.8813438170121506</v>
      </c>
      <c r="BS32" s="236">
        <f t="shared" si="83"/>
        <v>5.4658083323211466</v>
      </c>
      <c r="BT32" s="236">
        <f t="shared" si="83"/>
        <v>4.8283261802575108</v>
      </c>
      <c r="BU32" s="236">
        <f t="shared" si="83"/>
        <v>6.2393254010790722</v>
      </c>
      <c r="BV32" s="236">
        <f t="shared" si="83"/>
        <v>5.4096000000000002</v>
      </c>
      <c r="BW32" s="236">
        <f t="shared" si="83"/>
        <v>5.4096000000000002</v>
      </c>
      <c r="BX32" s="236">
        <f>BX31/BX20 *100</f>
        <v>5.4002280501710374</v>
      </c>
      <c r="BY32" s="236">
        <f t="shared" ref="BY32:CK32" si="84">BY31/BY20 *100</f>
        <v>6.7913043478260864</v>
      </c>
      <c r="BZ32" s="236">
        <f t="shared" si="84"/>
        <v>6.5137614678899087</v>
      </c>
      <c r="CA32" s="236">
        <f t="shared" si="84"/>
        <v>6.8313043478260864</v>
      </c>
      <c r="CB32" s="236">
        <f t="shared" si="84"/>
        <v>6.5521267723102588</v>
      </c>
      <c r="CC32" s="236">
        <f t="shared" si="84"/>
        <v>5.1795698924731184</v>
      </c>
      <c r="CD32" s="236">
        <f t="shared" si="84"/>
        <v>4.9384615384615387</v>
      </c>
      <c r="CE32" s="236">
        <f t="shared" si="84"/>
        <v>5.0082840236686392</v>
      </c>
      <c r="CF32" s="236">
        <f t="shared" si="84"/>
        <v>5.1795698924731184</v>
      </c>
      <c r="CG32" s="236">
        <f t="shared" si="84"/>
        <v>4.8491620111731848</v>
      </c>
      <c r="CH32" s="236">
        <f t="shared" si="84"/>
        <v>4.1886956521739123</v>
      </c>
      <c r="CI32" s="236">
        <f t="shared" si="84"/>
        <v>4.3645454545454552</v>
      </c>
      <c r="CJ32" s="236">
        <f t="shared" si="84"/>
        <v>4.4725581395348835</v>
      </c>
      <c r="CK32" s="236">
        <f t="shared" si="84"/>
        <v>4.4725581395348835</v>
      </c>
      <c r="CL32" s="236">
        <f>CL31/CL20 *100</f>
        <v>5.6439846680130241</v>
      </c>
      <c r="CM32" s="236">
        <f>CM31/CM20 *100</f>
        <v>4.7991127690679036</v>
      </c>
      <c r="CN32" s="236">
        <f>CN31/CN20 *100</f>
        <v>5.0377355778215431</v>
      </c>
      <c r="CO32" s="236">
        <f>CO31/CO20 *100</f>
        <v>5.330967741935484</v>
      </c>
      <c r="CP32" s="236">
        <f>CP31/CP20 *100</f>
        <v>3.25</v>
      </c>
      <c r="CQ32" s="236">
        <f t="shared" ref="CQ32:CV32" si="85">CQ31/CQ20 *100</f>
        <v>4.0683076923076928</v>
      </c>
      <c r="CR32" s="236">
        <f t="shared" si="85"/>
        <v>4.0683076923076928</v>
      </c>
      <c r="CS32" s="236">
        <f t="shared" si="85"/>
        <v>4.0683076923076928</v>
      </c>
      <c r="CT32" s="236">
        <f t="shared" si="85"/>
        <v>4.1726232741617357</v>
      </c>
      <c r="CU32" s="236">
        <f t="shared" si="85"/>
        <v>4.0683076923076928</v>
      </c>
      <c r="CV32" s="236">
        <f t="shared" si="85"/>
        <v>4.0683076923076928</v>
      </c>
      <c r="CW32" s="236">
        <f>CW31/CW20 *100</f>
        <v>4.4754518838783151</v>
      </c>
      <c r="CX32" s="236">
        <f>CX31/CX20 *100</f>
        <v>4.3062782506160335</v>
      </c>
      <c r="CY32" s="236">
        <f>CY31/CY20 *100</f>
        <v>5.8201938048950099</v>
      </c>
      <c r="CZ32" s="236">
        <f t="shared" ref="CZ32" si="86">CZ31/CZ20 *100</f>
        <v>4.4269565217391307</v>
      </c>
      <c r="DA32" s="236">
        <f>DA31/DA20 *100</f>
        <v>5.3819131552897046</v>
      </c>
      <c r="DB32" s="236">
        <f>DB31/DB20 *100</f>
        <v>4.709192550072383</v>
      </c>
      <c r="DC32" s="236">
        <f>DC31/DC20 *100</f>
        <v>4.7575530319262906</v>
      </c>
      <c r="DD32" s="236">
        <f>DD31/DD20 *100</f>
        <v>4.1859617507078468</v>
      </c>
      <c r="DE32" s="236">
        <f>DE31/DE20 *100</f>
        <v>4.4308138509475006</v>
      </c>
      <c r="DF32" s="236">
        <f t="shared" ref="DF32:DM32" si="87">DF31/DF20 *100</f>
        <v>5.4305970149253726</v>
      </c>
      <c r="DG32" s="236">
        <f t="shared" si="87"/>
        <v>4.7778481012658229</v>
      </c>
      <c r="DH32" s="236">
        <f t="shared" si="87"/>
        <v>5.9117668435206046</v>
      </c>
      <c r="DI32" s="236">
        <f t="shared" si="87"/>
        <v>5.9117668435206046</v>
      </c>
      <c r="DJ32" s="236">
        <f t="shared" si="87"/>
        <v>4.8465901868564893</v>
      </c>
      <c r="DK32" s="236">
        <f t="shared" si="87"/>
        <v>4.8465901868564893</v>
      </c>
      <c r="DL32" s="236">
        <f t="shared" si="87"/>
        <v>4.5677354773102836</v>
      </c>
      <c r="DM32" s="236">
        <f t="shared" si="87"/>
        <v>4.9371583831193595</v>
      </c>
      <c r="DN32" s="236">
        <f>DN31/DN20 *100</f>
        <v>4.597142857142857</v>
      </c>
      <c r="DO32" s="236">
        <f t="shared" ref="DO32:DQ32" si="88">DO31/DO20 *100</f>
        <v>4.1399412200861647</v>
      </c>
      <c r="DP32" s="236">
        <f t="shared" si="88"/>
        <v>5.5265644305545463</v>
      </c>
      <c r="DQ32" s="236">
        <f t="shared" si="88"/>
        <v>4.3033166170022046</v>
      </c>
      <c r="DR32" s="244">
        <f t="shared" ref="DR32:GC32" si="89">100*(DR31/DR19)</f>
        <v>7.2433834028214061</v>
      </c>
      <c r="DS32" s="244">
        <f t="shared" si="89"/>
        <v>10.225753121891922</v>
      </c>
      <c r="DT32" s="244">
        <f t="shared" si="89"/>
        <v>9.8549273124234524</v>
      </c>
      <c r="DU32" s="244">
        <f t="shared" si="89"/>
        <v>8.7757601576228765</v>
      </c>
      <c r="DV32" s="244">
        <f t="shared" si="89"/>
        <v>7.9998821509483804</v>
      </c>
      <c r="DW32" s="244">
        <f t="shared" si="89"/>
        <v>7.2332120811287464</v>
      </c>
      <c r="DX32" s="244">
        <f t="shared" si="89"/>
        <v>7.2332120811287464</v>
      </c>
      <c r="DY32" s="244">
        <f t="shared" si="89"/>
        <v>6.7285578788163614</v>
      </c>
      <c r="DZ32" s="244">
        <f t="shared" si="89"/>
        <v>7.859347442680777</v>
      </c>
      <c r="EA32" s="244">
        <f t="shared" si="89"/>
        <v>7.859347442680777</v>
      </c>
      <c r="EB32" s="244">
        <f t="shared" si="89"/>
        <v>7.3110083825376622</v>
      </c>
      <c r="EC32" s="244">
        <f t="shared" si="89"/>
        <v>7.9763773584905664</v>
      </c>
      <c r="ED32" s="244">
        <f t="shared" si="89"/>
        <v>9.4598238993710702</v>
      </c>
      <c r="EE32" s="244">
        <f t="shared" si="89"/>
        <v>8.7144380069524914</v>
      </c>
      <c r="EF32" s="244">
        <f t="shared" si="89"/>
        <v>9.8439191489361697</v>
      </c>
      <c r="EG32" s="244">
        <f t="shared" si="89"/>
        <v>8.7659574468085104</v>
      </c>
      <c r="EH32" s="244">
        <f t="shared" si="89"/>
        <v>8.0874553191489351</v>
      </c>
      <c r="EI32" s="244">
        <f t="shared" si="89"/>
        <v>7.0244103479036575</v>
      </c>
      <c r="EJ32" s="244">
        <f t="shared" si="89"/>
        <v>9.0125137781235818</v>
      </c>
      <c r="EK32" s="244">
        <f t="shared" si="89"/>
        <v>8.3570483786925323</v>
      </c>
      <c r="EL32" s="244">
        <f t="shared" si="89"/>
        <v>6.9892475961538469</v>
      </c>
      <c r="EM32" s="244">
        <f t="shared" si="89"/>
        <v>6.8396383307573414</v>
      </c>
      <c r="EN32" s="244">
        <f t="shared" si="89"/>
        <v>6.9892475961538469</v>
      </c>
      <c r="EO32" s="244">
        <f t="shared" si="89"/>
        <v>6.8396383307573414</v>
      </c>
      <c r="EP32" s="244">
        <f t="shared" si="89"/>
        <v>6.4981585903083703</v>
      </c>
      <c r="EQ32" s="244">
        <f t="shared" si="89"/>
        <v>6.6272353780313837</v>
      </c>
      <c r="ER32" s="244">
        <f t="shared" si="89"/>
        <v>6.6582967189728945</v>
      </c>
      <c r="ES32" s="244">
        <f t="shared" si="89"/>
        <v>6.5060396716826272</v>
      </c>
      <c r="ET32" s="244">
        <f t="shared" si="89"/>
        <v>6.5408238099523075</v>
      </c>
      <c r="EU32" s="244">
        <f t="shared" si="89"/>
        <v>6.8726726940720617</v>
      </c>
      <c r="EV32" s="244">
        <f t="shared" si="89"/>
        <v>6.6058270547945206</v>
      </c>
      <c r="EW32" s="244">
        <f t="shared" si="89"/>
        <v>6.7456335616438352</v>
      </c>
      <c r="EX32" s="244">
        <f t="shared" si="89"/>
        <v>6.6171709324542807</v>
      </c>
      <c r="EY32" s="244">
        <f t="shared" si="89"/>
        <v>6.4953764371368514</v>
      </c>
      <c r="EZ32" s="244">
        <f t="shared" si="89"/>
        <v>6.4953764371368514</v>
      </c>
      <c r="FA32" s="244">
        <f t="shared" si="89"/>
        <v>6.7475727739726032</v>
      </c>
      <c r="FB32" s="244">
        <f t="shared" si="89"/>
        <v>6.4953764371368514</v>
      </c>
      <c r="FC32" s="244">
        <f t="shared" si="89"/>
        <v>7.6039450783214084</v>
      </c>
      <c r="FD32" s="244">
        <f t="shared" si="89"/>
        <v>7.6039450783214084</v>
      </c>
      <c r="FE32" s="244">
        <f t="shared" si="89"/>
        <v>7.1640703288694541</v>
      </c>
      <c r="FF32" s="244">
        <f t="shared" si="89"/>
        <v>6.9907193400419576</v>
      </c>
      <c r="FG32" s="244">
        <f t="shared" si="89"/>
        <v>7.8805491532217653</v>
      </c>
      <c r="FH32" s="244">
        <f t="shared" si="89"/>
        <v>8.7306524205056899</v>
      </c>
      <c r="FI32" s="244">
        <f t="shared" si="89"/>
        <v>8.1427888881305037</v>
      </c>
      <c r="FJ32" s="244">
        <f t="shared" si="89"/>
        <v>7.3059081096804812</v>
      </c>
      <c r="FK32" s="244">
        <f t="shared" si="89"/>
        <v>7.1422157032957161</v>
      </c>
      <c r="FL32" s="244">
        <f t="shared" si="89"/>
        <v>6.6881569726699368</v>
      </c>
      <c r="FM32" s="244">
        <f t="shared" si="89"/>
        <v>7.8511376910547703</v>
      </c>
      <c r="FN32" s="244">
        <f t="shared" si="89"/>
        <v>7.1910789632308623</v>
      </c>
      <c r="FO32" s="244">
        <f t="shared" si="89"/>
        <v>8.4187574761897555</v>
      </c>
      <c r="FP32" s="244">
        <f t="shared" si="89"/>
        <v>8.0221619437871521</v>
      </c>
      <c r="FQ32" s="244">
        <f t="shared" si="89"/>
        <v>8.0221619437871521</v>
      </c>
      <c r="FR32" s="244">
        <f t="shared" si="89"/>
        <v>7.4788480421828547</v>
      </c>
      <c r="FS32" s="244">
        <f t="shared" si="89"/>
        <v>7.322437476129644</v>
      </c>
      <c r="FT32" s="244">
        <f t="shared" si="89"/>
        <v>8.0221619437871521</v>
      </c>
      <c r="FU32" s="244">
        <f t="shared" si="89"/>
        <v>7.4788480421828547</v>
      </c>
      <c r="FV32" s="244">
        <f t="shared" si="89"/>
        <v>7.1737193763919818</v>
      </c>
      <c r="FW32" s="244">
        <f t="shared" si="89"/>
        <v>6.7632545931758532</v>
      </c>
      <c r="FX32" s="244">
        <f t="shared" si="89"/>
        <v>7.7594654788418707</v>
      </c>
      <c r="FY32" s="244">
        <f t="shared" si="89"/>
        <v>7.2419947506561684</v>
      </c>
      <c r="FZ32" s="244">
        <f t="shared" si="89"/>
        <v>6.9831978319783206</v>
      </c>
      <c r="GA32" s="244">
        <f t="shared" si="89"/>
        <v>6.9831978319783206</v>
      </c>
      <c r="GB32" s="244">
        <f t="shared" si="89"/>
        <v>6.3399271725223905</v>
      </c>
      <c r="GC32" s="244">
        <f t="shared" si="89"/>
        <v>6.3399271725223905</v>
      </c>
      <c r="GD32" s="244">
        <f t="shared" ref="GD32:IE32" si="90">100*(GD31/GD19)</f>
        <v>6.7887018994193484</v>
      </c>
      <c r="GE32" s="244">
        <f t="shared" si="90"/>
        <v>6.7887018994193484</v>
      </c>
      <c r="GF32" s="244">
        <f t="shared" si="90"/>
        <v>6.9533216611050594</v>
      </c>
      <c r="GG32" s="244">
        <f t="shared" si="90"/>
        <v>6.5007374867314454</v>
      </c>
      <c r="GH32" s="244">
        <f t="shared" si="90"/>
        <v>6.603700498081162</v>
      </c>
      <c r="GI32" s="244">
        <f t="shared" si="90"/>
        <v>6.4529476320545971</v>
      </c>
      <c r="GJ32" s="244">
        <f t="shared" si="90"/>
        <v>6.9777743610680165</v>
      </c>
      <c r="GK32" s="244">
        <f t="shared" si="90"/>
        <v>7.1103009475023713</v>
      </c>
      <c r="GL32" s="244">
        <f t="shared" si="90"/>
        <v>6.9568164695992838</v>
      </c>
      <c r="GM32" s="244">
        <f t="shared" si="90"/>
        <v>6.7769609592463071</v>
      </c>
      <c r="GN32" s="244">
        <f t="shared" si="90"/>
        <v>8.9345111932793913</v>
      </c>
      <c r="GO32" s="244">
        <f t="shared" si="90"/>
        <v>8.9345111932793913</v>
      </c>
      <c r="GP32" s="244">
        <f t="shared" si="90"/>
        <v>6.7062767932489455</v>
      </c>
      <c r="GQ32" s="244">
        <f t="shared" si="90"/>
        <v>6.7678259414225934</v>
      </c>
      <c r="GR32" s="244">
        <f t="shared" si="90"/>
        <v>6.5138836065573775</v>
      </c>
      <c r="GS32" s="244">
        <f t="shared" si="90"/>
        <v>6.5138836065573775</v>
      </c>
      <c r="GT32" s="244">
        <f t="shared" si="90"/>
        <v>6.6440131147540979</v>
      </c>
      <c r="GU32" s="244">
        <f t="shared" si="90"/>
        <v>6.9919609756097554</v>
      </c>
      <c r="GV32" s="244">
        <f t="shared" si="90"/>
        <v>6.5368516129032255</v>
      </c>
      <c r="GW32" s="244">
        <f t="shared" si="90"/>
        <v>6.8916774193548385</v>
      </c>
      <c r="GX32" s="244">
        <f t="shared" si="90"/>
        <v>6.935574193548387</v>
      </c>
      <c r="GY32" s="244">
        <f t="shared" si="90"/>
        <v>8.7685714285714287</v>
      </c>
      <c r="GZ32" s="244">
        <f t="shared" si="90"/>
        <v>8.7478535714285712</v>
      </c>
      <c r="HA32" s="244">
        <f t="shared" si="90"/>
        <v>8.5398260869565217</v>
      </c>
      <c r="HB32" s="244">
        <f t="shared" si="90"/>
        <v>8.5196486956521742</v>
      </c>
      <c r="HC32" s="244">
        <f t="shared" si="90"/>
        <v>8.0498360655737713</v>
      </c>
      <c r="HD32" s="244">
        <f t="shared" si="90"/>
        <v>7.4592000000000009</v>
      </c>
      <c r="HE32" s="244">
        <f t="shared" si="90"/>
        <v>7.8566399999999996</v>
      </c>
      <c r="HF32" s="244">
        <f t="shared" si="90"/>
        <v>7.8819672131147547</v>
      </c>
      <c r="HG32" s="244">
        <f t="shared" si="90"/>
        <v>7.8819672131147547</v>
      </c>
      <c r="HH32" s="244">
        <f t="shared" si="90"/>
        <v>9.5222929936305736</v>
      </c>
      <c r="HI32" s="244">
        <f t="shared" si="90"/>
        <v>9.5222929936305736</v>
      </c>
      <c r="HJ32" s="244">
        <f t="shared" si="90"/>
        <v>8.9440751173708914</v>
      </c>
      <c r="HK32" s="244">
        <f t="shared" si="90"/>
        <v>7.2279069767441859</v>
      </c>
      <c r="HL32" s="244">
        <f t="shared" si="90"/>
        <v>7.2279069767441859</v>
      </c>
      <c r="HM32" s="244">
        <f t="shared" si="90"/>
        <v>7.6130232558139523</v>
      </c>
      <c r="HN32" s="244">
        <f t="shared" si="90"/>
        <v>7.4542635658914724</v>
      </c>
      <c r="HO32" s="244">
        <f t="shared" si="90"/>
        <v>7.4542635658914724</v>
      </c>
      <c r="HP32" s="244">
        <f t="shared" si="90"/>
        <v>9.0196078431372548</v>
      </c>
      <c r="HQ32" s="244">
        <f t="shared" si="90"/>
        <v>8.8724035608308611</v>
      </c>
      <c r="HR32" s="244">
        <f t="shared" si="90"/>
        <v>8.6203076923076924</v>
      </c>
      <c r="HS32" s="244">
        <f t="shared" si="90"/>
        <v>8.479620178041543</v>
      </c>
      <c r="HT32" s="244">
        <f t="shared" si="90"/>
        <v>8.8724035608308611</v>
      </c>
      <c r="HU32" s="244">
        <f t="shared" si="90"/>
        <v>8.479620178041543</v>
      </c>
      <c r="HV32" s="244">
        <f t="shared" si="90"/>
        <v>6.6808163265306115</v>
      </c>
      <c r="HW32" s="244">
        <f t="shared" si="90"/>
        <v>6.5414965986394558</v>
      </c>
      <c r="HX32" s="244">
        <f t="shared" si="90"/>
        <v>6.5038410596026486</v>
      </c>
      <c r="HY32" s="244">
        <f t="shared" si="90"/>
        <v>6.3115681233933154</v>
      </c>
      <c r="HZ32" s="244">
        <f t="shared" si="90"/>
        <v>6.1799485861182522</v>
      </c>
      <c r="IA32" s="244">
        <f t="shared" si="90"/>
        <v>7.7360931435963769</v>
      </c>
      <c r="IB32" s="244">
        <f t="shared" si="90"/>
        <v>7.7360931435963769</v>
      </c>
      <c r="IC32" s="244">
        <f t="shared" si="90"/>
        <v>7.2162424242424255</v>
      </c>
      <c r="ID32" s="244">
        <f t="shared" si="90"/>
        <v>7.7360931435963769</v>
      </c>
      <c r="IE32" s="244">
        <f t="shared" si="90"/>
        <v>7.7360931435963769</v>
      </c>
      <c r="IF32" s="244">
        <f>100*(IF31/IF19)</f>
        <v>7.2162424242424255</v>
      </c>
      <c r="IG32" s="244">
        <f>100*(IG31/IG19)</f>
        <v>8.705654512195121</v>
      </c>
      <c r="IH32" s="244">
        <f t="shared" ref="IH32:II32" si="91">100*(IH31/IH19)</f>
        <v>8.705654512195121</v>
      </c>
      <c r="II32" s="244">
        <f t="shared" si="91"/>
        <v>8.5749389789789792</v>
      </c>
      <c r="IJ32" s="244">
        <f>100*(IJ31/IJ19)</f>
        <v>8.3983961176470583</v>
      </c>
      <c r="IK32" s="244">
        <f t="shared" ref="IK32:IL32" si="92">100*(IK31/IK19)</f>
        <v>8.3983961176470583</v>
      </c>
      <c r="IL32" s="244">
        <f t="shared" si="92"/>
        <v>8.3983961176470583</v>
      </c>
      <c r="IM32" s="244">
        <f t="shared" ref="IM32:IR32" si="93">100*(IM31/IM19)</f>
        <v>9.6714332093023234</v>
      </c>
      <c r="IN32" s="244">
        <f t="shared" si="93"/>
        <v>9.6714332093023234</v>
      </c>
      <c r="IO32" s="244">
        <f t="shared" si="93"/>
        <v>9.4516279090909077</v>
      </c>
      <c r="IP32" s="244">
        <f t="shared" si="93"/>
        <v>9.2415917333333315</v>
      </c>
      <c r="IQ32" s="244">
        <f t="shared" si="93"/>
        <v>9.2415917333333315</v>
      </c>
      <c r="IR32" s="244">
        <f t="shared" si="93"/>
        <v>9.0801665502183404</v>
      </c>
      <c r="IS32" s="244">
        <f t="shared" ref="IS32:JK32" si="94">100*(IS31/IS19)</f>
        <v>8.1254054054054059</v>
      </c>
      <c r="IT32" s="244">
        <f t="shared" si="94"/>
        <v>8.1254054054054059</v>
      </c>
      <c r="IU32" s="244">
        <f t="shared" si="94"/>
        <v>8.038502673796792</v>
      </c>
      <c r="IV32" s="244">
        <f t="shared" si="94"/>
        <v>8.038502673796792</v>
      </c>
      <c r="IW32" s="244">
        <f t="shared" si="94"/>
        <v>7.78860103626943</v>
      </c>
      <c r="IX32" s="244">
        <f t="shared" si="94"/>
        <v>7.516</v>
      </c>
      <c r="IY32" s="244">
        <f t="shared" si="94"/>
        <v>8.6199999999999992</v>
      </c>
      <c r="IZ32" s="244">
        <f t="shared" si="94"/>
        <v>8.8766564729867472</v>
      </c>
      <c r="JA32" s="244">
        <f t="shared" si="94"/>
        <v>8.8766564729867472</v>
      </c>
      <c r="JB32" s="244">
        <f t="shared" si="94"/>
        <v>8.0629629629629633</v>
      </c>
      <c r="JC32" s="244">
        <f t="shared" si="94"/>
        <v>7.4047681988557894</v>
      </c>
      <c r="JD32" s="244">
        <f t="shared" si="94"/>
        <v>7.0425010553965937</v>
      </c>
      <c r="JE32" s="244">
        <f t="shared" si="94"/>
        <v>7.0425010553965937</v>
      </c>
      <c r="JF32" s="244">
        <f t="shared" si="94"/>
        <v>7.106330503306908</v>
      </c>
      <c r="JG32" s="244">
        <f t="shared" si="94"/>
        <v>7.106330503306908</v>
      </c>
      <c r="JH32" s="244">
        <f t="shared" si="94"/>
        <v>8.2987824942415269</v>
      </c>
      <c r="JI32" s="244">
        <f t="shared" si="94"/>
        <v>7.5644871025794842</v>
      </c>
      <c r="JJ32" s="244">
        <f t="shared" si="94"/>
        <v>7.5644871025794842</v>
      </c>
      <c r="JK32" s="244">
        <f t="shared" si="94"/>
        <v>6.8221164250162305</v>
      </c>
    </row>
    <row r="33" spans="1:271">
      <c r="A33" s="251" t="s">
        <v>2560</v>
      </c>
      <c r="B33" s="350">
        <f>1/(B35*(1/(2.205*B20)))</f>
        <v>174.27852272727273</v>
      </c>
      <c r="C33" s="350">
        <f>1/(C35*(1/(2.205*C20)))</f>
        <v>174.27852272727273</v>
      </c>
      <c r="D33" s="350">
        <f>1/(D35*(1/(2.205*D20)))</f>
        <v>173.91304347826085</v>
      </c>
      <c r="E33" s="350">
        <f>1/(E35*(1/(2.205*E20)))</f>
        <v>173.505</v>
      </c>
      <c r="F33" s="350">
        <f>1/(F35*(1/(2.205*F20)))</f>
        <v>173.75886524822695</v>
      </c>
      <c r="G33" s="236">
        <v>141.19999999999999</v>
      </c>
      <c r="H33" s="236">
        <v>189.2</v>
      </c>
      <c r="I33" s="350">
        <f t="shared" ref="I33:Y33" si="95">1/(I35*(1/(2.205*I20)))</f>
        <v>174.24244090909093</v>
      </c>
      <c r="J33" s="350">
        <f t="shared" si="95"/>
        <v>174.24242424242425</v>
      </c>
      <c r="K33" s="350">
        <f t="shared" si="95"/>
        <v>156.85764705882355</v>
      </c>
      <c r="L33" s="350">
        <f t="shared" si="95"/>
        <v>156.85764705882355</v>
      </c>
      <c r="M33" s="350">
        <f t="shared" si="95"/>
        <v>174.31192660550457</v>
      </c>
      <c r="N33" s="350">
        <f t="shared" si="95"/>
        <v>279.55271565495207</v>
      </c>
      <c r="O33" s="350">
        <f t="shared" si="95"/>
        <v>175.53195718085104</v>
      </c>
      <c r="P33" s="350">
        <f t="shared" si="95"/>
        <v>178.69415807560136</v>
      </c>
      <c r="Q33" s="350">
        <f t="shared" si="95"/>
        <v>178.97819720143184</v>
      </c>
      <c r="R33" s="350">
        <f t="shared" si="95"/>
        <v>202.18340611353713</v>
      </c>
      <c r="S33" s="350">
        <f t="shared" si="95"/>
        <v>202.89855072463772</v>
      </c>
      <c r="T33" s="350">
        <f t="shared" si="95"/>
        <v>175.11520737327191</v>
      </c>
      <c r="U33" s="350">
        <f t="shared" si="95"/>
        <v>175.25773195876292</v>
      </c>
      <c r="V33" s="350">
        <f t="shared" si="95"/>
        <v>173.91304347826087</v>
      </c>
      <c r="W33" s="350">
        <f t="shared" si="95"/>
        <v>173.91304347826087</v>
      </c>
      <c r="X33" s="350">
        <f t="shared" si="95"/>
        <v>174.15730337078651</v>
      </c>
      <c r="Y33" s="350">
        <f t="shared" si="95"/>
        <v>120.01213636363639</v>
      </c>
      <c r="Z33" s="236">
        <v>225</v>
      </c>
      <c r="AA33" s="236">
        <v>140</v>
      </c>
      <c r="AB33" s="236">
        <v>135.19999999999999</v>
      </c>
      <c r="AC33" s="236">
        <v>144.9</v>
      </c>
      <c r="AD33" s="236">
        <v>144.9</v>
      </c>
      <c r="AE33" s="236">
        <v>125</v>
      </c>
      <c r="AF33" s="236">
        <v>148</v>
      </c>
      <c r="AG33" s="349">
        <f>1/(AG35*(1/(2.205*AG20)))</f>
        <v>172.31503579952266</v>
      </c>
      <c r="AH33" s="236">
        <v>135</v>
      </c>
      <c r="AI33" s="236">
        <v>134.5</v>
      </c>
      <c r="AJ33" s="236">
        <v>76.4238</v>
      </c>
      <c r="AK33" s="349">
        <f>1/(AK35*(1/(2.205*AK20)))</f>
        <v>277.82296650717706</v>
      </c>
      <c r="AL33" s="236">
        <v>175</v>
      </c>
      <c r="AM33" s="236">
        <v>160</v>
      </c>
      <c r="AN33" s="236">
        <v>240</v>
      </c>
      <c r="AO33" s="349">
        <f>1/(AO35*(1/(2.205*AO20)))</f>
        <v>82.397003745318358</v>
      </c>
      <c r="AP33" s="236">
        <v>170</v>
      </c>
      <c r="AQ33" s="236">
        <v>160</v>
      </c>
      <c r="AR33" s="349">
        <f>1/(AR35*(1/(2.205*AR20)))</f>
        <v>170</v>
      </c>
      <c r="AS33" s="236">
        <v>174.5</v>
      </c>
      <c r="AT33" s="236">
        <v>174.5</v>
      </c>
      <c r="AU33" s="252"/>
      <c r="AV33" s="253"/>
      <c r="AW33" s="236">
        <v>207</v>
      </c>
      <c r="AX33" s="236">
        <v>208.7</v>
      </c>
      <c r="AY33" s="236">
        <v>208.7</v>
      </c>
      <c r="AZ33" s="236">
        <v>183</v>
      </c>
      <c r="BA33" s="236">
        <v>293</v>
      </c>
      <c r="BB33" s="236">
        <v>183.8</v>
      </c>
      <c r="BC33" s="236">
        <v>183.8</v>
      </c>
      <c r="BD33" s="236">
        <v>184.1</v>
      </c>
      <c r="BE33" s="236">
        <v>420</v>
      </c>
      <c r="BF33" s="236">
        <v>193.75</v>
      </c>
      <c r="BG33" s="236">
        <v>172.2</v>
      </c>
      <c r="BH33" s="236">
        <v>199</v>
      </c>
      <c r="BI33" s="236">
        <v>212.9</v>
      </c>
      <c r="BJ33" s="236">
        <v>129.80000000000001</v>
      </c>
      <c r="BK33" s="236">
        <v>310</v>
      </c>
      <c r="BL33" s="236">
        <v>310</v>
      </c>
      <c r="BM33" s="236">
        <v>310</v>
      </c>
      <c r="BN33" s="236">
        <v>310</v>
      </c>
      <c r="BO33" s="236">
        <v>310</v>
      </c>
      <c r="BP33" s="236">
        <v>280.88</v>
      </c>
      <c r="BQ33" s="236">
        <v>181</v>
      </c>
      <c r="BR33" s="236">
        <f>(68+10/12)^2/11</f>
        <v>430.72979797979792</v>
      </c>
      <c r="BS33" s="236">
        <v>585</v>
      </c>
      <c r="BT33" s="236">
        <v>605</v>
      </c>
      <c r="BU33" s="319"/>
      <c r="BV33" s="236">
        <v>585</v>
      </c>
      <c r="BW33" s="236">
        <v>585</v>
      </c>
      <c r="BX33" s="236">
        <v>450</v>
      </c>
      <c r="BY33" s="236">
        <v>424.4</v>
      </c>
      <c r="BZ33" s="236">
        <v>424.4</v>
      </c>
      <c r="CA33" s="236">
        <v>424.4</v>
      </c>
      <c r="CB33" s="236">
        <v>424.4</v>
      </c>
      <c r="CC33" s="236">
        <v>585.6</v>
      </c>
      <c r="CD33" s="236">
        <v>586</v>
      </c>
      <c r="CE33" s="236">
        <v>586</v>
      </c>
      <c r="CF33" s="236">
        <v>586</v>
      </c>
      <c r="CG33" s="236">
        <v>586</v>
      </c>
      <c r="CH33" s="236">
        <v>656.6</v>
      </c>
      <c r="CI33" s="236">
        <v>657</v>
      </c>
      <c r="CJ33" s="236">
        <v>657</v>
      </c>
      <c r="CK33" s="236">
        <v>657</v>
      </c>
      <c r="CL33" s="236">
        <v>4605</v>
      </c>
      <c r="CM33" s="236">
        <v>4605</v>
      </c>
      <c r="CN33" s="236">
        <v>4605</v>
      </c>
      <c r="CO33" s="236">
        <v>4707.1000000000004</v>
      </c>
      <c r="CP33" s="236">
        <v>4707.1000000000004</v>
      </c>
      <c r="CQ33" s="236">
        <v>3892.6</v>
      </c>
      <c r="CR33" s="236">
        <v>3892.6</v>
      </c>
      <c r="CS33" s="236">
        <v>3892.6</v>
      </c>
      <c r="CT33" s="236">
        <v>3892.6</v>
      </c>
      <c r="CU33" s="236">
        <v>3892.6</v>
      </c>
      <c r="CV33" s="236">
        <v>3892.6</v>
      </c>
      <c r="CW33" s="277">
        <v>5825</v>
      </c>
      <c r="CX33" s="277">
        <v>5825</v>
      </c>
      <c r="CY33" s="277">
        <v>5825</v>
      </c>
      <c r="CZ33" s="236">
        <v>3892.5</v>
      </c>
      <c r="DA33" s="236">
        <v>3050</v>
      </c>
      <c r="DB33" s="236">
        <v>3050</v>
      </c>
      <c r="DC33" s="236">
        <v>3050</v>
      </c>
      <c r="DD33" s="236">
        <v>3129</v>
      </c>
      <c r="DE33" s="236">
        <v>3129</v>
      </c>
      <c r="DF33" s="236">
        <v>4768.3999999999996</v>
      </c>
      <c r="DG33" s="236">
        <v>4768.3999999999996</v>
      </c>
      <c r="DH33" s="319"/>
      <c r="DI33" s="319"/>
      <c r="DJ33" s="236">
        <v>3958</v>
      </c>
      <c r="DK33" s="236">
        <v>3958</v>
      </c>
      <c r="DL33" s="236">
        <v>3958</v>
      </c>
      <c r="DM33" s="236">
        <v>3958</v>
      </c>
      <c r="DN33" s="236">
        <v>9095.5</v>
      </c>
      <c r="DO33" s="277">
        <v>5825</v>
      </c>
      <c r="DP33" s="277">
        <v>5825</v>
      </c>
      <c r="DQ33" s="277">
        <v>5825</v>
      </c>
      <c r="DR33" s="244">
        <v>2773</v>
      </c>
      <c r="DS33" s="244">
        <v>2773</v>
      </c>
      <c r="DT33" s="244">
        <v>2773</v>
      </c>
      <c r="DU33" s="244">
        <v>2773</v>
      </c>
      <c r="DV33" s="244">
        <v>2773</v>
      </c>
      <c r="DW33" s="244">
        <v>2884</v>
      </c>
      <c r="DX33" s="244">
        <v>2927</v>
      </c>
      <c r="DY33" s="244">
        <v>2927</v>
      </c>
      <c r="DZ33" s="244">
        <v>2884</v>
      </c>
      <c r="EA33" s="244">
        <v>2927</v>
      </c>
      <c r="EB33" s="244">
        <v>2927</v>
      </c>
      <c r="EC33" s="294">
        <v>2433.5810000000001</v>
      </c>
      <c r="ED33" s="294">
        <v>2521.5500000000002</v>
      </c>
      <c r="EE33" s="294">
        <v>2521.5500000000002</v>
      </c>
      <c r="EF33" s="244">
        <v>3050</v>
      </c>
      <c r="EG33" s="244">
        <v>3050</v>
      </c>
      <c r="EH33" s="244">
        <v>3050</v>
      </c>
      <c r="EI33" s="244">
        <v>3050</v>
      </c>
      <c r="EJ33" s="244">
        <v>1000.7</v>
      </c>
      <c r="EK33" s="244">
        <v>1000.7</v>
      </c>
      <c r="EL33" s="244">
        <v>1700</v>
      </c>
      <c r="EM33" s="244">
        <v>1700</v>
      </c>
      <c r="EN33" s="244">
        <v>1700</v>
      </c>
      <c r="EO33" s="244">
        <v>1700</v>
      </c>
      <c r="EP33" s="244">
        <v>1700</v>
      </c>
      <c r="EQ33" s="244">
        <v>1700</v>
      </c>
      <c r="ER33" s="244">
        <v>1700</v>
      </c>
      <c r="ES33" s="244">
        <v>1700</v>
      </c>
      <c r="ET33" s="352">
        <v>1098</v>
      </c>
      <c r="EU33" s="352">
        <v>1098</v>
      </c>
      <c r="EV33" s="352">
        <v>1098</v>
      </c>
      <c r="EW33" s="352">
        <v>1098</v>
      </c>
      <c r="EX33" s="352">
        <v>1098</v>
      </c>
      <c r="EY33" s="352">
        <v>1098</v>
      </c>
      <c r="EZ33" s="352">
        <v>1098</v>
      </c>
      <c r="FA33" s="352">
        <v>1098</v>
      </c>
      <c r="FB33" s="352">
        <v>1098</v>
      </c>
      <c r="FC33" s="352">
        <v>1134</v>
      </c>
      <c r="FD33" s="352">
        <v>1134</v>
      </c>
      <c r="FE33" s="352">
        <v>1134</v>
      </c>
      <c r="FF33" s="352">
        <v>1134</v>
      </c>
      <c r="FG33" s="352">
        <v>1134</v>
      </c>
      <c r="FH33" s="244">
        <v>1345.5</v>
      </c>
      <c r="FI33" s="244">
        <v>1345.5</v>
      </c>
      <c r="FJ33" s="244">
        <v>1345.5</v>
      </c>
      <c r="FK33" s="244">
        <v>1345.5</v>
      </c>
      <c r="FL33" s="244">
        <v>1345.5</v>
      </c>
      <c r="FM33" s="244">
        <v>1345.5</v>
      </c>
      <c r="FN33" s="244">
        <v>1345.5</v>
      </c>
      <c r="FO33" s="352">
        <v>1370</v>
      </c>
      <c r="FP33" s="352">
        <v>1370</v>
      </c>
      <c r="FQ33" s="352">
        <v>1370</v>
      </c>
      <c r="FR33" s="352">
        <v>1370</v>
      </c>
      <c r="FS33" s="352">
        <v>1370</v>
      </c>
      <c r="FT33" s="352">
        <v>1370</v>
      </c>
      <c r="FU33" s="352">
        <v>1370</v>
      </c>
      <c r="FV33" s="244">
        <v>1994</v>
      </c>
      <c r="FW33" s="244">
        <v>1994</v>
      </c>
      <c r="FX33" s="244">
        <v>1994</v>
      </c>
      <c r="FY33" s="244">
        <v>1994</v>
      </c>
      <c r="FZ33" s="244">
        <v>1994</v>
      </c>
      <c r="GA33" s="244">
        <v>1994</v>
      </c>
      <c r="GB33" s="244">
        <v>1994</v>
      </c>
      <c r="GC33" s="244">
        <v>1994</v>
      </c>
      <c r="GD33" s="244">
        <v>1994</v>
      </c>
      <c r="GE33" s="244">
        <v>1994</v>
      </c>
      <c r="GF33" s="244">
        <v>3050</v>
      </c>
      <c r="GG33" s="244">
        <v>3050</v>
      </c>
      <c r="GH33" s="244">
        <v>3050</v>
      </c>
      <c r="GI33" s="244">
        <v>3050</v>
      </c>
      <c r="GJ33" s="244">
        <v>3050</v>
      </c>
      <c r="GK33" s="244">
        <v>3050</v>
      </c>
      <c r="GL33" s="244">
        <v>3050</v>
      </c>
      <c r="GM33" s="244">
        <v>3050</v>
      </c>
      <c r="GN33" s="244">
        <v>3050</v>
      </c>
      <c r="GO33" s="244">
        <v>3050</v>
      </c>
      <c r="GP33" s="244">
        <v>2357.3000000000002</v>
      </c>
      <c r="GQ33" s="244">
        <v>2357.3000000000002</v>
      </c>
      <c r="GR33" s="244">
        <v>2357.3000000000002</v>
      </c>
      <c r="GS33" s="244">
        <v>2357.3000000000002</v>
      </c>
      <c r="GT33" s="244">
        <v>2357.3000000000002</v>
      </c>
      <c r="GU33" s="244">
        <v>2357.3000000000002</v>
      </c>
      <c r="GV33" s="244">
        <v>2357.3000000000002</v>
      </c>
      <c r="GW33" s="244">
        <v>2357.3000000000002</v>
      </c>
      <c r="GX33" s="244">
        <v>2357.3000000000002</v>
      </c>
      <c r="GY33" s="244">
        <v>1317.5</v>
      </c>
      <c r="GZ33" s="244">
        <v>1317.5</v>
      </c>
      <c r="HA33" s="244">
        <v>1317.5</v>
      </c>
      <c r="HB33" s="244">
        <v>1317.5</v>
      </c>
      <c r="HC33" s="244">
        <v>1317.5</v>
      </c>
      <c r="HD33" s="244">
        <v>1317.5</v>
      </c>
      <c r="HE33" s="244">
        <v>1317.5</v>
      </c>
      <c r="HF33" s="244">
        <v>1317.5</v>
      </c>
      <c r="HG33" s="244">
        <v>1317.5</v>
      </c>
      <c r="HH33" s="244">
        <v>1317.5</v>
      </c>
      <c r="HI33" s="244">
        <v>1317.5</v>
      </c>
      <c r="HJ33" s="244">
        <v>1317.5</v>
      </c>
      <c r="HK33" s="244">
        <v>1317.5</v>
      </c>
      <c r="HL33" s="244">
        <v>1317.5</v>
      </c>
      <c r="HM33" s="244">
        <v>1317.5</v>
      </c>
      <c r="HN33" s="244">
        <v>1317.5</v>
      </c>
      <c r="HO33" s="244">
        <v>1317.5</v>
      </c>
      <c r="HP33" s="244">
        <v>1317.5</v>
      </c>
      <c r="HQ33" s="244">
        <v>1317.5</v>
      </c>
      <c r="HR33" s="244">
        <v>1317.5</v>
      </c>
      <c r="HS33" s="244">
        <v>1317.5</v>
      </c>
      <c r="HT33" s="244">
        <v>1317.5</v>
      </c>
      <c r="HU33" s="244">
        <v>1317.5</v>
      </c>
      <c r="HV33" s="244">
        <v>1317.5</v>
      </c>
      <c r="HW33" s="244">
        <v>1317.5</v>
      </c>
      <c r="HX33" s="244">
        <v>1317.5</v>
      </c>
      <c r="HY33" s="244">
        <v>1317.5</v>
      </c>
      <c r="HZ33" s="244">
        <v>1317.5</v>
      </c>
      <c r="IA33" s="244">
        <v>1317.5</v>
      </c>
      <c r="IB33" s="244">
        <v>1317.5</v>
      </c>
      <c r="IC33" s="244">
        <v>1317.5</v>
      </c>
      <c r="ID33" s="244">
        <v>1317.5</v>
      </c>
      <c r="IE33" s="244">
        <v>1317.5</v>
      </c>
      <c r="IF33" s="244">
        <v>1317.5</v>
      </c>
      <c r="IG33" s="244">
        <v>782.8</v>
      </c>
      <c r="IH33" s="244">
        <v>782.8</v>
      </c>
      <c r="II33" s="244">
        <v>782.8</v>
      </c>
      <c r="IJ33" s="244">
        <v>782.8</v>
      </c>
      <c r="IK33" s="244">
        <v>782.8</v>
      </c>
      <c r="IL33" s="244">
        <v>782.8</v>
      </c>
      <c r="IM33" s="244">
        <v>996</v>
      </c>
      <c r="IN33" s="244">
        <v>996</v>
      </c>
      <c r="IO33" s="244">
        <v>996</v>
      </c>
      <c r="IP33" s="244">
        <v>996</v>
      </c>
      <c r="IQ33" s="244">
        <v>996</v>
      </c>
      <c r="IR33" s="244">
        <v>996</v>
      </c>
      <c r="IS33" s="244">
        <v>551</v>
      </c>
      <c r="IT33" s="244">
        <v>551</v>
      </c>
      <c r="IU33" s="244">
        <v>551</v>
      </c>
      <c r="IV33" s="244">
        <v>551</v>
      </c>
      <c r="IW33" s="244">
        <v>551</v>
      </c>
      <c r="IX33" s="244">
        <v>551</v>
      </c>
      <c r="IY33" s="294">
        <f xml:space="preserve"> (101.71^2)/11</f>
        <v>940.4476454545453</v>
      </c>
      <c r="IZ33" s="244">
        <v>1110</v>
      </c>
      <c r="JA33" s="244">
        <v>1110</v>
      </c>
      <c r="JB33" s="244">
        <v>1110</v>
      </c>
      <c r="JC33" s="244">
        <v>521</v>
      </c>
      <c r="JD33" s="244">
        <v>521</v>
      </c>
      <c r="JE33" s="244">
        <v>521</v>
      </c>
      <c r="JF33" s="244">
        <v>521</v>
      </c>
      <c r="JG33" s="244">
        <v>521</v>
      </c>
      <c r="JH33" s="244">
        <v>760</v>
      </c>
      <c r="JI33" s="244">
        <v>765</v>
      </c>
      <c r="JJ33" s="244">
        <v>765</v>
      </c>
      <c r="JK33" s="244">
        <v>833</v>
      </c>
    </row>
    <row r="34" spans="1:271">
      <c r="A34" s="251" t="s">
        <v>2561</v>
      </c>
      <c r="B34" s="236">
        <v>6.2893081761006289E-2</v>
      </c>
      <c r="C34" s="236">
        <v>6.2893081761006289E-2</v>
      </c>
      <c r="D34" s="236">
        <v>6.6666666666666666E-2</v>
      </c>
      <c r="E34" s="236">
        <v>7.0422535211267609E-2</v>
      </c>
      <c r="F34" s="236">
        <v>7.5757575757575801E-2</v>
      </c>
      <c r="G34" s="236">
        <v>8.6132644272179162E-2</v>
      </c>
      <c r="H34" s="236">
        <v>9.7087378640776698E-2</v>
      </c>
      <c r="I34" s="236">
        <v>7.575757575757576E-2</v>
      </c>
      <c r="J34" s="236">
        <v>7.575757575757576E-2</v>
      </c>
      <c r="K34" s="236">
        <v>6.25E-2</v>
      </c>
      <c r="L34" s="236">
        <v>6.25E-2</v>
      </c>
      <c r="M34" s="236">
        <v>8.1300813008130079E-2</v>
      </c>
      <c r="N34" s="236">
        <v>7.6923076923076927E-2</v>
      </c>
      <c r="O34" s="236">
        <v>7.874015748031496E-2</v>
      </c>
      <c r="P34" s="236">
        <v>0.1</v>
      </c>
      <c r="Q34" s="236">
        <v>0.10362694300518134</v>
      </c>
      <c r="R34" s="236">
        <v>9.0909090909090912E-2</v>
      </c>
      <c r="S34" s="236">
        <v>0.1</v>
      </c>
      <c r="T34" s="236">
        <v>7.874015748031496E-2</v>
      </c>
      <c r="U34" s="236">
        <v>8.8495575221238937E-2</v>
      </c>
      <c r="V34" s="236">
        <v>8.3333333333333329E-2</v>
      </c>
      <c r="W34" s="236">
        <v>8.6206896551724144E-2</v>
      </c>
      <c r="X34" s="236">
        <v>7.407407407407407E-2</v>
      </c>
      <c r="Y34" s="236">
        <v>7.575757575757576E-2</v>
      </c>
      <c r="Z34" s="236">
        <v>0.10416666666666667</v>
      </c>
      <c r="AA34" s="319"/>
      <c r="AB34" s="236">
        <v>6.6666666666666666E-2</v>
      </c>
      <c r="AC34" s="236">
        <v>9.0909090909090912E-2</v>
      </c>
      <c r="AD34" s="236">
        <v>8.771929824561403E-2</v>
      </c>
      <c r="AE34" s="236">
        <v>7.0771408351026188E-2</v>
      </c>
      <c r="AF34" s="236">
        <v>5.7971014492753624E-2</v>
      </c>
      <c r="AG34" s="236">
        <v>5.0530570995452252E-2</v>
      </c>
      <c r="AH34" s="319"/>
      <c r="AI34" s="319"/>
      <c r="AJ34" s="319"/>
      <c r="AK34" s="236">
        <v>0.11481056257175659</v>
      </c>
      <c r="AL34" s="236">
        <v>8.0645161290322578E-2</v>
      </c>
      <c r="AM34" s="236">
        <v>7.6923076923076927E-2</v>
      </c>
      <c r="AN34" s="236">
        <v>0.1111111111111111</v>
      </c>
      <c r="AO34" s="236">
        <v>0.14084507042253522</v>
      </c>
      <c r="AP34" s="236">
        <v>6.8965517241379309E-2</v>
      </c>
      <c r="AQ34" s="236">
        <v>6.9930069930069921E-2</v>
      </c>
      <c r="AR34" s="236">
        <v>7.0422535211267609E-2</v>
      </c>
      <c r="AS34" s="236">
        <v>8.8495575221238937E-2</v>
      </c>
      <c r="AT34" s="236">
        <v>8.8495575221238937E-2</v>
      </c>
      <c r="AU34" s="252"/>
      <c r="AV34" s="253"/>
      <c r="AW34" s="236">
        <v>9.6153846153846145E-2</v>
      </c>
      <c r="AX34" s="236">
        <v>9.5238095238095233E-2</v>
      </c>
      <c r="AY34" s="236">
        <v>9.0909090909090912E-2</v>
      </c>
      <c r="AZ34" s="236">
        <v>9.8039215686274522E-2</v>
      </c>
      <c r="BA34" s="236">
        <v>0.12853470437017994</v>
      </c>
      <c r="BB34" s="236">
        <v>9.4786729857819899E-2</v>
      </c>
      <c r="BC34" s="236">
        <v>9.1743119266055037E-2</v>
      </c>
      <c r="BD34" s="236">
        <v>7.1022727272727279E-2</v>
      </c>
      <c r="BE34" s="236">
        <v>9.9206349206349201E-2</v>
      </c>
      <c r="BF34" s="236">
        <v>0.10638297872340426</v>
      </c>
      <c r="BG34" s="236">
        <v>0.14727540500736377</v>
      </c>
      <c r="BH34" s="236">
        <v>0.10905125408942203</v>
      </c>
      <c r="BI34" s="236">
        <v>0.11235955056179775</v>
      </c>
      <c r="BJ34" s="236">
        <v>6.8493150684931503E-2</v>
      </c>
      <c r="BK34" s="319"/>
      <c r="BL34" s="319"/>
      <c r="BM34" s="319"/>
      <c r="BN34" s="319"/>
      <c r="BO34" s="319"/>
      <c r="BP34" s="236">
        <v>0.1610305958132045</v>
      </c>
      <c r="BQ34" s="236">
        <v>8.2169268693508629E-2</v>
      </c>
      <c r="BR34" s="236">
        <v>0.12315270935960593</v>
      </c>
      <c r="BS34" s="236">
        <v>0.11848341232227488</v>
      </c>
      <c r="BT34" s="236">
        <v>0.11587485515643105</v>
      </c>
      <c r="BU34" s="319"/>
      <c r="BV34" s="236">
        <v>0.11587485515643105</v>
      </c>
      <c r="BW34" s="236">
        <v>0.11587485515643105</v>
      </c>
      <c r="BX34" s="236">
        <v>0.12903225806451613</v>
      </c>
      <c r="BY34" s="236">
        <v>0.13623978201634879</v>
      </c>
      <c r="BZ34" s="236">
        <v>0.13623978201634879</v>
      </c>
      <c r="CA34" s="236">
        <v>0.13623978201634879</v>
      </c>
      <c r="CB34" s="236">
        <v>0.13623978201634879</v>
      </c>
      <c r="CC34" s="236">
        <v>0.15408320493066255</v>
      </c>
      <c r="CD34" s="236">
        <v>9.6586402608380625E-2</v>
      </c>
      <c r="CE34" s="236">
        <v>0.10220021736505253</v>
      </c>
      <c r="CF34" s="236">
        <v>0.105284178187404</v>
      </c>
      <c r="CG34" s="236">
        <v>0.10056778018469958</v>
      </c>
      <c r="CH34" s="236">
        <v>9.852216748768472E-2</v>
      </c>
      <c r="CI34" s="236">
        <v>0.10228200371057514</v>
      </c>
      <c r="CJ34" s="236">
        <v>9.1139629805410544E-2</v>
      </c>
      <c r="CK34" s="236">
        <v>0.10443436165163741</v>
      </c>
      <c r="CL34" s="319"/>
      <c r="CM34" s="319"/>
      <c r="CN34" s="319"/>
      <c r="CO34" s="319"/>
      <c r="CP34" s="319"/>
      <c r="CQ34" s="319"/>
      <c r="CR34" s="319"/>
      <c r="CS34" s="319"/>
      <c r="CT34" s="319"/>
      <c r="CU34" s="319"/>
      <c r="CV34" s="319"/>
      <c r="CW34" s="319"/>
      <c r="CX34" s="319"/>
      <c r="CY34" s="319"/>
      <c r="CZ34" s="319"/>
      <c r="DA34" s="319"/>
      <c r="DB34" s="319"/>
      <c r="DC34" s="319"/>
      <c r="DD34" s="319"/>
      <c r="DE34" s="319"/>
      <c r="DF34" s="319"/>
      <c r="DG34" s="319"/>
      <c r="DH34" s="319"/>
      <c r="DI34" s="319"/>
      <c r="DJ34" s="319"/>
      <c r="DK34" s="319"/>
      <c r="DL34" s="319"/>
      <c r="DM34" s="319"/>
      <c r="DN34" s="319"/>
      <c r="DO34" s="319"/>
      <c r="DP34" s="319"/>
      <c r="DQ34" s="319"/>
      <c r="DR34" s="353"/>
      <c r="DS34" s="353"/>
      <c r="DT34" s="353"/>
      <c r="DU34" s="353"/>
      <c r="DV34" s="353"/>
      <c r="DW34" s="353"/>
      <c r="DX34" s="353"/>
      <c r="DY34" s="353"/>
      <c r="DZ34" s="353"/>
      <c r="EA34" s="353"/>
      <c r="EB34" s="353"/>
      <c r="EC34" s="244">
        <v>4.7699999999999996</v>
      </c>
      <c r="ED34" s="244">
        <v>3.25</v>
      </c>
      <c r="EE34" s="275"/>
      <c r="EF34" s="275"/>
      <c r="EG34" s="275"/>
      <c r="EH34" s="275"/>
      <c r="EI34" s="275"/>
      <c r="EJ34" s="275"/>
      <c r="EK34" s="275"/>
      <c r="EL34" s="275"/>
      <c r="EM34" s="275"/>
      <c r="EN34" s="275"/>
      <c r="EO34" s="275"/>
      <c r="EP34" s="275"/>
      <c r="EQ34" s="275"/>
      <c r="ER34" s="275"/>
      <c r="ES34" s="275"/>
      <c r="ET34" s="275"/>
      <c r="EU34" s="275"/>
      <c r="EV34" s="275"/>
      <c r="EW34" s="275"/>
      <c r="EX34" s="275"/>
      <c r="EY34" s="275"/>
      <c r="EZ34" s="275"/>
      <c r="FA34" s="275"/>
      <c r="FB34" s="275"/>
      <c r="FC34" s="275"/>
      <c r="FD34" s="275"/>
      <c r="FE34" s="275"/>
      <c r="FF34" s="275"/>
      <c r="FG34" s="275"/>
      <c r="FH34" s="275"/>
      <c r="FI34" s="275"/>
      <c r="FJ34" s="275"/>
      <c r="FK34" s="275"/>
      <c r="FL34" s="275"/>
      <c r="FM34" s="275"/>
      <c r="FN34" s="275"/>
      <c r="FO34" s="275"/>
      <c r="FP34" s="275"/>
      <c r="FQ34" s="275"/>
      <c r="FR34" s="275"/>
      <c r="FS34" s="275"/>
      <c r="FT34" s="275"/>
      <c r="FU34" s="275"/>
      <c r="FV34" s="275"/>
      <c r="FW34" s="275"/>
      <c r="FX34" s="275"/>
      <c r="FY34" s="275"/>
      <c r="FZ34" s="275"/>
      <c r="GA34" s="275"/>
      <c r="GB34" s="275"/>
      <c r="GC34" s="275"/>
      <c r="GD34" s="275"/>
      <c r="GE34" s="275"/>
      <c r="GF34" s="275"/>
      <c r="GG34" s="275"/>
      <c r="GH34" s="275"/>
      <c r="GI34" s="275"/>
      <c r="GJ34" s="275"/>
      <c r="GK34" s="275"/>
      <c r="GL34" s="275"/>
      <c r="GM34" s="275"/>
      <c r="GN34" s="275"/>
      <c r="GO34" s="275"/>
      <c r="GP34" s="275"/>
      <c r="GQ34" s="275"/>
      <c r="GR34" s="275"/>
      <c r="GS34" s="275"/>
      <c r="GT34" s="275"/>
      <c r="GU34" s="275"/>
      <c r="GV34" s="275"/>
      <c r="GW34" s="275"/>
      <c r="GX34" s="275"/>
      <c r="GY34" s="275"/>
      <c r="GZ34" s="275"/>
      <c r="HA34" s="275"/>
      <c r="HB34" s="275"/>
      <c r="HC34" s="275"/>
      <c r="HD34" s="275"/>
      <c r="HE34" s="275"/>
      <c r="HF34" s="275"/>
      <c r="HG34" s="275"/>
      <c r="HH34" s="275"/>
      <c r="HI34" s="275"/>
      <c r="HJ34" s="275"/>
      <c r="HK34" s="275"/>
      <c r="HL34" s="275"/>
      <c r="HM34" s="275"/>
      <c r="HN34" s="275"/>
      <c r="HO34" s="275"/>
      <c r="HP34" s="275"/>
      <c r="HQ34" s="275"/>
      <c r="HR34" s="275"/>
      <c r="HS34" s="275"/>
      <c r="HT34" s="275"/>
      <c r="HU34" s="275"/>
      <c r="HV34" s="275"/>
      <c r="HW34" s="275"/>
      <c r="HX34" s="275"/>
      <c r="HY34" s="275"/>
      <c r="HZ34" s="275"/>
      <c r="IA34" s="275"/>
      <c r="IB34" s="275"/>
      <c r="IC34" s="275"/>
      <c r="ID34" s="275"/>
      <c r="IE34" s="275"/>
      <c r="IF34" s="275"/>
      <c r="IG34" s="275"/>
      <c r="IH34" s="275"/>
      <c r="II34" s="275"/>
      <c r="IJ34" s="275"/>
      <c r="IK34" s="275"/>
      <c r="IL34" s="275"/>
      <c r="IM34" s="275"/>
      <c r="IN34" s="275"/>
      <c r="IO34" s="275"/>
      <c r="IP34" s="275"/>
      <c r="IQ34" s="275"/>
      <c r="IR34" s="275"/>
      <c r="IS34" s="275"/>
      <c r="IT34" s="275"/>
      <c r="IU34" s="275"/>
      <c r="IV34" s="275"/>
      <c r="IW34" s="275"/>
      <c r="IX34" s="275"/>
      <c r="IY34" s="275"/>
      <c r="IZ34" s="275"/>
      <c r="JA34" s="275"/>
      <c r="JB34" s="275"/>
      <c r="JC34" s="275"/>
      <c r="JD34" s="275"/>
      <c r="JE34" s="275"/>
      <c r="JF34" s="275"/>
      <c r="JG34" s="275"/>
      <c r="JH34" s="275"/>
      <c r="JI34" s="275"/>
      <c r="JJ34" s="275"/>
      <c r="JK34" s="275"/>
    </row>
    <row r="35" spans="1:271">
      <c r="A35" s="236" t="s">
        <v>1215</v>
      </c>
      <c r="B35" s="236">
        <v>13.2</v>
      </c>
      <c r="C35" s="236">
        <v>13.2</v>
      </c>
      <c r="D35" s="236">
        <v>13.8</v>
      </c>
      <c r="E35" s="236">
        <v>14.7</v>
      </c>
      <c r="F35" s="236">
        <v>14.1</v>
      </c>
      <c r="G35" s="236">
        <v>25.5</v>
      </c>
      <c r="H35" s="236">
        <v>27.2</v>
      </c>
      <c r="I35" s="236">
        <v>13.2</v>
      </c>
      <c r="J35" s="236">
        <v>13.2</v>
      </c>
      <c r="K35" s="236">
        <v>10.199999999999999</v>
      </c>
      <c r="L35" s="236">
        <v>10.199999999999999</v>
      </c>
      <c r="M35" s="236">
        <v>21.8</v>
      </c>
      <c r="N35" s="236">
        <v>31.3</v>
      </c>
      <c r="O35" s="236">
        <v>18.8</v>
      </c>
      <c r="P35" s="236">
        <v>29.1</v>
      </c>
      <c r="Q35" s="236">
        <v>30.73</v>
      </c>
      <c r="R35" s="236">
        <v>22.9</v>
      </c>
      <c r="S35" s="236">
        <v>20.7</v>
      </c>
      <c r="T35" s="236">
        <v>21.7</v>
      </c>
      <c r="U35" s="236">
        <v>19.399999999999999</v>
      </c>
      <c r="V35" s="236">
        <v>20.7</v>
      </c>
      <c r="W35" s="236">
        <v>20.7</v>
      </c>
      <c r="X35" s="236">
        <v>17.8</v>
      </c>
      <c r="Y35" s="236">
        <v>11</v>
      </c>
      <c r="Z35" s="236">
        <v>38.200000000000003</v>
      </c>
      <c r="AA35" s="354">
        <f>AA20*2.205/AA33</f>
        <v>14.175000000000001</v>
      </c>
      <c r="AB35" s="281">
        <v>22.2</v>
      </c>
      <c r="AC35" s="236">
        <v>23.5</v>
      </c>
      <c r="AD35" s="236">
        <v>24.8</v>
      </c>
      <c r="AE35" s="236">
        <v>14.11</v>
      </c>
      <c r="AF35" s="236">
        <v>22.04</v>
      </c>
      <c r="AG35" s="236">
        <v>16.760000000000002</v>
      </c>
      <c r="AH35" s="354">
        <f>AH20*2.205/AH33</f>
        <v>19.592592592592592</v>
      </c>
      <c r="AI35" s="354">
        <f t="shared" ref="AI35:AJ35" si="96">AI20*2.205/AI33</f>
        <v>7.3773234200743492</v>
      </c>
      <c r="AJ35" s="354">
        <f t="shared" si="96"/>
        <v>8.6556805602443223</v>
      </c>
      <c r="AK35" s="236">
        <v>37.619999999999997</v>
      </c>
      <c r="AL35" s="236">
        <v>24.8</v>
      </c>
      <c r="AM35" s="236">
        <v>16.3</v>
      </c>
      <c r="AN35" s="236">
        <v>28</v>
      </c>
      <c r="AO35" s="236">
        <v>26.7</v>
      </c>
      <c r="AP35" s="281">
        <v>13.7</v>
      </c>
      <c r="AQ35" s="236">
        <v>13.4</v>
      </c>
      <c r="AR35" s="236">
        <v>15</v>
      </c>
      <c r="AS35" s="236">
        <v>19.5</v>
      </c>
      <c r="AT35" s="236">
        <v>19.5</v>
      </c>
      <c r="AU35" s="252"/>
      <c r="AV35" s="253"/>
      <c r="AW35" s="236">
        <v>25.1</v>
      </c>
      <c r="AX35" s="236">
        <v>20.100000000000001</v>
      </c>
      <c r="AY35" s="236">
        <v>21.1</v>
      </c>
      <c r="AZ35" s="236">
        <v>27.8</v>
      </c>
      <c r="BA35" s="236">
        <v>38.22</v>
      </c>
      <c r="BB35" s="236">
        <v>21.1</v>
      </c>
      <c r="BC35" s="236">
        <v>21.4</v>
      </c>
      <c r="BD35" s="236">
        <v>27.54</v>
      </c>
      <c r="BE35" s="236">
        <v>29.76</v>
      </c>
      <c r="BF35" s="236">
        <v>34</v>
      </c>
      <c r="BG35" s="236">
        <v>67.069999999999993</v>
      </c>
      <c r="BH35" s="354">
        <f>BH20*2.205/BH33</f>
        <v>27.64560301507538</v>
      </c>
      <c r="BI35" s="236">
        <v>31.8</v>
      </c>
      <c r="BJ35" s="281">
        <v>12.9</v>
      </c>
      <c r="BK35" s="354">
        <f>BK20*2.205/BK33</f>
        <v>48.396193548387096</v>
      </c>
      <c r="BL35" s="354">
        <f>BL20*2.205/BL33</f>
        <v>53.232967741935489</v>
      </c>
      <c r="BM35" s="354">
        <f>BM20*2.205/BM33</f>
        <v>40.330161290322579</v>
      </c>
      <c r="BN35" s="354">
        <f>BN20*2.205/BN33</f>
        <v>40.330161290322579</v>
      </c>
      <c r="BO35" s="354">
        <f>BO20*2.205/BO33</f>
        <v>53.232967741935489</v>
      </c>
      <c r="BP35" s="236">
        <v>53.05</v>
      </c>
      <c r="BQ35" s="281">
        <v>20.170000000000002</v>
      </c>
      <c r="BR35" s="236">
        <v>71.63</v>
      </c>
      <c r="BS35" s="236">
        <v>62.05</v>
      </c>
      <c r="BT35" s="236">
        <v>67.930000000000007</v>
      </c>
      <c r="BU35" s="319"/>
      <c r="BV35" s="236">
        <v>58.97</v>
      </c>
      <c r="BW35" s="236">
        <v>58.97</v>
      </c>
      <c r="BX35" s="236">
        <v>64.44</v>
      </c>
      <c r="BY35" s="236">
        <v>62.28</v>
      </c>
      <c r="BZ35" s="236">
        <v>62.28</v>
      </c>
      <c r="CA35" s="236">
        <v>62.28</v>
      </c>
      <c r="CB35" s="236">
        <v>62.28</v>
      </c>
      <c r="CC35" s="236">
        <v>69.900000000000006</v>
      </c>
      <c r="CD35" s="354">
        <f>CD20*2.205/CD33</f>
        <v>63.591296928327644</v>
      </c>
      <c r="CE35" s="354">
        <f t="shared" ref="CE35:CK35" si="97">CE20*2.205/CE33</f>
        <v>63.591296928327644</v>
      </c>
      <c r="CF35" s="354">
        <f t="shared" si="97"/>
        <v>69.988054607508531</v>
      </c>
      <c r="CG35" s="354">
        <f t="shared" si="97"/>
        <v>67.354095563139936</v>
      </c>
      <c r="CH35" s="236">
        <v>76.56</v>
      </c>
      <c r="CI35" s="354">
        <f t="shared" si="97"/>
        <v>73.835616438356169</v>
      </c>
      <c r="CJ35" s="354">
        <f t="shared" si="97"/>
        <v>72.157534246575338</v>
      </c>
      <c r="CK35" s="354">
        <f t="shared" si="97"/>
        <v>72.157534246575338</v>
      </c>
      <c r="CL35" s="349">
        <v>118.35</v>
      </c>
      <c r="CM35" s="236">
        <v>142.44999999999999</v>
      </c>
      <c r="CN35" s="349">
        <f>CN20*2.205/CN33</f>
        <v>166.543338762215</v>
      </c>
      <c r="CO35" s="236">
        <v>174.36</v>
      </c>
      <c r="CP35" s="236">
        <v>172.48</v>
      </c>
      <c r="CQ35" s="236">
        <v>155.76</v>
      </c>
      <c r="CR35" s="236">
        <v>155.76</v>
      </c>
      <c r="CS35" s="236">
        <v>155.76</v>
      </c>
      <c r="CT35" s="236">
        <v>143.58000000000001</v>
      </c>
      <c r="CU35" s="236">
        <v>143.58000000000001</v>
      </c>
      <c r="CV35" s="236">
        <v>143.58000000000001</v>
      </c>
      <c r="CW35" s="254">
        <v>137.34</v>
      </c>
      <c r="CX35" s="254">
        <v>137.34</v>
      </c>
      <c r="CY35" s="254">
        <v>137.34</v>
      </c>
      <c r="CZ35" s="236">
        <v>129.72999999999999</v>
      </c>
      <c r="DA35" s="349">
        <f t="shared" ref="DA35" si="98">DA20/DA33*2.205</f>
        <v>114.7742262295082</v>
      </c>
      <c r="DB35" s="236">
        <v>135.08000000000001</v>
      </c>
      <c r="DC35" s="236">
        <v>135.08000000000001</v>
      </c>
      <c r="DD35" s="236">
        <v>143.82</v>
      </c>
      <c r="DE35" s="236">
        <v>143.82</v>
      </c>
      <c r="DF35" s="236">
        <v>123.91</v>
      </c>
      <c r="DG35" s="236">
        <v>137.78</v>
      </c>
      <c r="DH35" s="319"/>
      <c r="DI35" s="319"/>
      <c r="DJ35" s="236">
        <v>144.5</v>
      </c>
      <c r="DK35" s="236">
        <v>144.5</v>
      </c>
      <c r="DL35" s="236">
        <v>140.19999999999999</v>
      </c>
      <c r="DM35" s="236">
        <v>144.5</v>
      </c>
      <c r="DN35" s="236">
        <v>135.74</v>
      </c>
      <c r="DO35" s="355">
        <f>DO20/DO33*2.205</f>
        <v>156.25027467811159</v>
      </c>
      <c r="DP35" s="355">
        <f>DP20/DP33*2.205</f>
        <v>156.25027467811159</v>
      </c>
      <c r="DQ35" s="355">
        <f>DQ20/DQ33*2.205</f>
        <v>156.25027467811159</v>
      </c>
      <c r="DR35" s="244">
        <v>98.5</v>
      </c>
      <c r="DS35" s="244">
        <v>99.6</v>
      </c>
      <c r="DT35" s="244">
        <v>109.2</v>
      </c>
      <c r="DU35" s="244">
        <v>109.2</v>
      </c>
      <c r="DV35" s="244">
        <v>109.2</v>
      </c>
      <c r="DW35" s="275"/>
      <c r="DX35" s="275"/>
      <c r="DY35" s="275"/>
      <c r="DZ35" s="275"/>
      <c r="EA35" s="275"/>
      <c r="EB35" s="275"/>
      <c r="EC35" s="244">
        <v>94.1</v>
      </c>
      <c r="ED35" s="244">
        <v>92.8</v>
      </c>
      <c r="EE35" s="242">
        <f t="shared" ref="EE35:ES35" si="99">2.20462*EE19/EE33</f>
        <v>75.453076877317514</v>
      </c>
      <c r="EF35" s="242">
        <f t="shared" si="99"/>
        <v>67.945665573770484</v>
      </c>
      <c r="EG35" s="242">
        <f t="shared" si="99"/>
        <v>67.945665573770484</v>
      </c>
      <c r="EH35" s="242">
        <f t="shared" si="99"/>
        <v>67.945665573770484</v>
      </c>
      <c r="EI35" s="242">
        <f t="shared" si="99"/>
        <v>81.028820327868843</v>
      </c>
      <c r="EJ35" s="242">
        <f t="shared" si="99"/>
        <v>101.93420883381631</v>
      </c>
      <c r="EK35" s="242">
        <f t="shared" si="99"/>
        <v>109.92917833516537</v>
      </c>
      <c r="EL35" s="242">
        <f t="shared" si="99"/>
        <v>80.922522352941172</v>
      </c>
      <c r="EM35" s="242">
        <f t="shared" si="99"/>
        <v>83.905243529411763</v>
      </c>
      <c r="EN35" s="242">
        <f t="shared" si="99"/>
        <v>80.922522352941172</v>
      </c>
      <c r="EO35" s="242">
        <f t="shared" si="99"/>
        <v>83.905243529411763</v>
      </c>
      <c r="EP35" s="242">
        <f t="shared" si="99"/>
        <v>88.314483529411746</v>
      </c>
      <c r="EQ35" s="242">
        <f t="shared" si="99"/>
        <v>90.908154117647058</v>
      </c>
      <c r="ER35" s="242">
        <f t="shared" si="99"/>
        <v>90.908154117647058</v>
      </c>
      <c r="ES35" s="242">
        <f t="shared" si="99"/>
        <v>94.798659999999984</v>
      </c>
      <c r="ET35" s="242">
        <f t="shared" ref="ET35:HE35" si="100">2.20462*ET19/ET33</f>
        <v>89.252976539162105</v>
      </c>
      <c r="EU35" s="242">
        <f t="shared" si="100"/>
        <v>90.164540728597444</v>
      </c>
      <c r="EV35" s="242">
        <f t="shared" si="100"/>
        <v>93.806781785063748</v>
      </c>
      <c r="EW35" s="242">
        <f t="shared" si="100"/>
        <v>93.806781785063748</v>
      </c>
      <c r="EX35" s="242">
        <f t="shared" si="100"/>
        <v>95.6279023132969</v>
      </c>
      <c r="EY35" s="242">
        <f t="shared" si="100"/>
        <v>97.449022841530038</v>
      </c>
      <c r="EZ35" s="242">
        <f t="shared" si="100"/>
        <v>97.449022841530038</v>
      </c>
      <c r="FA35" s="242">
        <f t="shared" si="100"/>
        <v>93.806781785063748</v>
      </c>
      <c r="FB35" s="242">
        <f t="shared" si="100"/>
        <v>97.449022841530038</v>
      </c>
      <c r="FC35" s="242">
        <f t="shared" si="100"/>
        <v>100.52989435626101</v>
      </c>
      <c r="FD35" s="242">
        <f t="shared" si="100"/>
        <v>100.52989435626101</v>
      </c>
      <c r="FE35" s="242">
        <f t="shared" si="100"/>
        <v>106.70244153439153</v>
      </c>
      <c r="FF35" s="242">
        <f t="shared" si="100"/>
        <v>109.348374356261</v>
      </c>
      <c r="FG35" s="242">
        <f t="shared" si="100"/>
        <v>97.001335890652555</v>
      </c>
      <c r="FH35" s="242">
        <f t="shared" si="100"/>
        <v>89.557874366406537</v>
      </c>
      <c r="FI35" s="242">
        <f t="shared" si="100"/>
        <v>96.023448888888879</v>
      </c>
      <c r="FJ35" s="242">
        <f t="shared" si="100"/>
        <v>107.02279044221478</v>
      </c>
      <c r="FK35" s="242">
        <f t="shared" si="100"/>
        <v>109.47564524712001</v>
      </c>
      <c r="FL35" s="242">
        <f t="shared" si="100"/>
        <v>116.90794277220363</v>
      </c>
      <c r="FM35" s="242">
        <f t="shared" si="100"/>
        <v>99.590492917131172</v>
      </c>
      <c r="FN35" s="242">
        <f t="shared" si="100"/>
        <v>108.73176008918617</v>
      </c>
      <c r="FO35" s="242">
        <f t="shared" si="100"/>
        <v>106.27716690510948</v>
      </c>
      <c r="FP35" s="242">
        <f t="shared" si="100"/>
        <v>111.53124303649633</v>
      </c>
      <c r="FQ35" s="242">
        <f t="shared" si="100"/>
        <v>111.53124303649633</v>
      </c>
      <c r="FR35" s="242">
        <f t="shared" si="100"/>
        <v>119.63362383941605</v>
      </c>
      <c r="FS35" s="242">
        <f t="shared" si="100"/>
        <v>122.18905198540145</v>
      </c>
      <c r="FT35" s="242">
        <f t="shared" si="100"/>
        <v>111.53124303649633</v>
      </c>
      <c r="FU35" s="242">
        <f t="shared" si="100"/>
        <v>119.63362383941605</v>
      </c>
      <c r="FV35" s="242">
        <f t="shared" si="100"/>
        <v>99.285293881644932</v>
      </c>
      <c r="FW35" s="242">
        <f t="shared" si="100"/>
        <v>105.31096038114343</v>
      </c>
      <c r="FX35" s="242">
        <f t="shared" si="100"/>
        <v>99.285293881644932</v>
      </c>
      <c r="FY35" s="242">
        <f t="shared" si="100"/>
        <v>105.31096038114343</v>
      </c>
      <c r="FZ35" s="242">
        <f t="shared" si="100"/>
        <v>101.99407973921764</v>
      </c>
      <c r="GA35" s="242">
        <f t="shared" si="100"/>
        <v>101.99407973921764</v>
      </c>
      <c r="GB35" s="242">
        <f t="shared" si="100"/>
        <v>112.34274734202607</v>
      </c>
      <c r="GC35" s="242">
        <f t="shared" si="100"/>
        <v>112.34274734202607</v>
      </c>
      <c r="GD35" s="242">
        <f t="shared" si="100"/>
        <v>112.34274734202607</v>
      </c>
      <c r="GE35" s="242">
        <f t="shared" si="100"/>
        <v>112.34274734202607</v>
      </c>
      <c r="GF35" s="242">
        <f t="shared" si="100"/>
        <v>84.262022052459017</v>
      </c>
      <c r="GG35" s="242">
        <f t="shared" si="100"/>
        <v>88.524528327868836</v>
      </c>
      <c r="GH35" s="242">
        <f t="shared" si="100"/>
        <v>88.524528327868836</v>
      </c>
      <c r="GI35" s="242">
        <f t="shared" si="100"/>
        <v>89.180131718032783</v>
      </c>
      <c r="GJ35" s="242">
        <f t="shared" si="100"/>
        <v>88.524528327868836</v>
      </c>
      <c r="GK35" s="242">
        <f t="shared" si="100"/>
        <v>89.180131718032783</v>
      </c>
      <c r="GL35" s="242">
        <f t="shared" si="100"/>
        <v>91.147664714754086</v>
      </c>
      <c r="GM35" s="242">
        <f t="shared" si="100"/>
        <v>91.147664714754086</v>
      </c>
      <c r="GN35" s="242">
        <f t="shared" si="100"/>
        <v>93.442637993442617</v>
      </c>
      <c r="GO35" s="242">
        <f t="shared" si="100"/>
        <v>93.442637993442617</v>
      </c>
      <c r="GP35" s="242">
        <f t="shared" si="100"/>
        <v>110.82487167522163</v>
      </c>
      <c r="GQ35" s="242">
        <f t="shared" si="100"/>
        <v>111.76010265982265</v>
      </c>
      <c r="GR35" s="242">
        <f t="shared" si="100"/>
        <v>114.09818012132521</v>
      </c>
      <c r="GS35" s="242">
        <f t="shared" si="100"/>
        <v>114.09818012132521</v>
      </c>
      <c r="GT35" s="242">
        <f t="shared" si="100"/>
        <v>114.09818012132521</v>
      </c>
      <c r="GU35" s="242">
        <f t="shared" si="100"/>
        <v>115.03341110592625</v>
      </c>
      <c r="GV35" s="242">
        <f t="shared" si="100"/>
        <v>115.96864209052727</v>
      </c>
      <c r="GW35" s="242">
        <f t="shared" si="100"/>
        <v>115.96864209052727</v>
      </c>
      <c r="GX35" s="242">
        <f t="shared" si="100"/>
        <v>115.96864209052727</v>
      </c>
      <c r="GY35" s="242">
        <f t="shared" si="100"/>
        <v>93.706808349146101</v>
      </c>
      <c r="GZ35" s="242">
        <f t="shared" si="100"/>
        <v>93.706808349146101</v>
      </c>
      <c r="HA35" s="242">
        <f t="shared" si="100"/>
        <v>96.216812144212525</v>
      </c>
      <c r="HB35" s="242">
        <f t="shared" si="100"/>
        <v>96.216812144212525</v>
      </c>
      <c r="HC35" s="242">
        <f t="shared" si="100"/>
        <v>102.07348766603414</v>
      </c>
      <c r="HD35" s="242">
        <f t="shared" si="100"/>
        <v>104.58349146110056</v>
      </c>
      <c r="HE35" s="242">
        <f t="shared" si="100"/>
        <v>104.58349146110056</v>
      </c>
      <c r="HF35" s="242">
        <f t="shared" ref="HF35:JK35" si="101">2.20462*HF19/HF33</f>
        <v>102.07348766603414</v>
      </c>
      <c r="HG35" s="242">
        <f t="shared" si="101"/>
        <v>102.07348766603414</v>
      </c>
      <c r="HH35" s="242">
        <f t="shared" si="101"/>
        <v>105.08549222011385</v>
      </c>
      <c r="HI35" s="242">
        <f t="shared" si="101"/>
        <v>105.08549222011385</v>
      </c>
      <c r="HJ35" s="242">
        <f t="shared" si="101"/>
        <v>106.92616166982921</v>
      </c>
      <c r="HK35" s="242">
        <f t="shared" si="101"/>
        <v>107.93016318785578</v>
      </c>
      <c r="HL35" s="242">
        <f t="shared" si="101"/>
        <v>107.93016318785578</v>
      </c>
      <c r="HM35" s="242">
        <f t="shared" si="101"/>
        <v>107.93016318785578</v>
      </c>
      <c r="HN35" s="242">
        <f t="shared" si="101"/>
        <v>107.93016318785578</v>
      </c>
      <c r="HO35" s="242">
        <f t="shared" si="101"/>
        <v>107.93016318785578</v>
      </c>
      <c r="HP35" s="242">
        <f t="shared" si="101"/>
        <v>110.94216774193546</v>
      </c>
      <c r="HQ35" s="242">
        <f t="shared" si="101"/>
        <v>112.78283719165084</v>
      </c>
      <c r="HR35" s="242">
        <f t="shared" si="101"/>
        <v>110.94216774193546</v>
      </c>
      <c r="HS35" s="242">
        <f t="shared" si="101"/>
        <v>112.78283719165084</v>
      </c>
      <c r="HT35" s="242">
        <f t="shared" si="101"/>
        <v>112.78283719165084</v>
      </c>
      <c r="HU35" s="242">
        <f t="shared" si="101"/>
        <v>112.78283719165084</v>
      </c>
      <c r="HV35" s="242">
        <f t="shared" si="101"/>
        <v>122.99018595825426</v>
      </c>
      <c r="HW35" s="242">
        <f t="shared" si="101"/>
        <v>122.99018595825426</v>
      </c>
      <c r="HX35" s="242">
        <f t="shared" si="101"/>
        <v>126.33685768500949</v>
      </c>
      <c r="HY35" s="242">
        <f t="shared" si="101"/>
        <v>130.18553017077798</v>
      </c>
      <c r="HZ35" s="242">
        <f t="shared" si="101"/>
        <v>130.18553017077798</v>
      </c>
      <c r="IA35" s="242">
        <f t="shared" si="101"/>
        <v>129.34886223908919</v>
      </c>
      <c r="IB35" s="242">
        <f t="shared" si="101"/>
        <v>129.34886223908919</v>
      </c>
      <c r="IC35" s="242">
        <f t="shared" si="101"/>
        <v>132.52820037950661</v>
      </c>
      <c r="ID35" s="242">
        <f t="shared" si="101"/>
        <v>129.34886223908919</v>
      </c>
      <c r="IE35" s="242">
        <f t="shared" si="101"/>
        <v>129.34886223908919</v>
      </c>
      <c r="IF35" s="242">
        <f t="shared" si="101"/>
        <v>132.52820037950661</v>
      </c>
      <c r="IG35" s="242">
        <f t="shared" si="101"/>
        <v>92.375493101686246</v>
      </c>
      <c r="IH35" s="242">
        <f t="shared" si="101"/>
        <v>92.375493101686246</v>
      </c>
      <c r="II35" s="242">
        <f t="shared" si="101"/>
        <v>93.783656106285122</v>
      </c>
      <c r="IJ35" s="242">
        <f t="shared" si="101"/>
        <v>95.75508431272354</v>
      </c>
      <c r="IK35" s="242">
        <f t="shared" si="101"/>
        <v>95.75508431272354</v>
      </c>
      <c r="IL35" s="242">
        <f t="shared" si="101"/>
        <v>95.75508431272354</v>
      </c>
      <c r="IM35" s="242">
        <f t="shared" si="101"/>
        <v>95.179377510040155</v>
      </c>
      <c r="IN35" s="242">
        <f t="shared" si="101"/>
        <v>95.179377510040155</v>
      </c>
      <c r="IO35" s="242">
        <f t="shared" si="101"/>
        <v>97.39285140562248</v>
      </c>
      <c r="IP35" s="242">
        <f t="shared" si="101"/>
        <v>99.606325301204819</v>
      </c>
      <c r="IQ35" s="242">
        <f t="shared" si="101"/>
        <v>99.606325301204819</v>
      </c>
      <c r="IR35" s="242">
        <f t="shared" si="101"/>
        <v>101.37710441767068</v>
      </c>
      <c r="IS35" s="242">
        <f t="shared" si="101"/>
        <v>74.020816696914693</v>
      </c>
      <c r="IT35" s="242">
        <f t="shared" si="101"/>
        <v>74.020816696914693</v>
      </c>
      <c r="IU35" s="242">
        <f t="shared" si="101"/>
        <v>74.821041742286738</v>
      </c>
      <c r="IV35" s="242">
        <f t="shared" si="101"/>
        <v>74.821041742286738</v>
      </c>
      <c r="IW35" s="242">
        <f t="shared" si="101"/>
        <v>77.221716878402901</v>
      </c>
      <c r="IX35" s="242">
        <f t="shared" si="101"/>
        <v>80.022504537205066</v>
      </c>
      <c r="IY35" s="242">
        <f t="shared" si="101"/>
        <v>93.768962500169536</v>
      </c>
      <c r="IZ35" s="242">
        <f t="shared" si="101"/>
        <v>97.420370270270254</v>
      </c>
      <c r="JA35" s="242">
        <f t="shared" si="101"/>
        <v>97.420370270270254</v>
      </c>
      <c r="JB35" s="242">
        <f t="shared" si="101"/>
        <v>107.25178378378378</v>
      </c>
      <c r="JC35" s="242">
        <f t="shared" si="101"/>
        <v>85.798224798464489</v>
      </c>
      <c r="JD35" s="242">
        <f t="shared" si="101"/>
        <v>90.21169631477926</v>
      </c>
      <c r="JE35" s="242">
        <f t="shared" si="101"/>
        <v>90.21169631477926</v>
      </c>
      <c r="JF35" s="242">
        <f t="shared" si="101"/>
        <v>90.21169631477926</v>
      </c>
      <c r="JG35" s="242">
        <f t="shared" si="101"/>
        <v>90.21169631477926</v>
      </c>
      <c r="JH35" s="242">
        <f t="shared" si="101"/>
        <v>88.155791842105259</v>
      </c>
      <c r="JI35" s="242">
        <f t="shared" si="101"/>
        <v>96.081086013071882</v>
      </c>
      <c r="JJ35" s="242">
        <f t="shared" si="101"/>
        <v>96.081086013071882</v>
      </c>
      <c r="JK35" s="242">
        <f t="shared" si="101"/>
        <v>97.83960643457381</v>
      </c>
    </row>
    <row r="36" spans="1:271">
      <c r="A36" s="236" t="s">
        <v>2562</v>
      </c>
      <c r="B36" s="356"/>
      <c r="C36" s="356"/>
      <c r="D36" s="356"/>
      <c r="E36" s="356"/>
      <c r="F36" s="356"/>
      <c r="G36" s="356"/>
      <c r="H36" s="356"/>
      <c r="I36" s="356"/>
      <c r="J36" s="356"/>
      <c r="K36" s="356"/>
      <c r="L36" s="356"/>
      <c r="M36" s="356"/>
      <c r="N36" s="319"/>
      <c r="O36" s="319"/>
      <c r="P36" s="319"/>
      <c r="Q36" s="319"/>
      <c r="R36" s="319"/>
      <c r="S36" s="319"/>
      <c r="T36" s="319"/>
      <c r="U36" s="319"/>
      <c r="V36" s="319"/>
      <c r="W36" s="319"/>
      <c r="X36" s="319"/>
      <c r="Y36" s="319"/>
      <c r="Z36" s="319"/>
      <c r="AA36" s="319"/>
      <c r="AB36" s="319"/>
      <c r="AC36" s="319"/>
      <c r="AD36" s="319"/>
      <c r="AE36" s="319"/>
      <c r="AF36" s="319"/>
      <c r="AG36" s="319"/>
      <c r="AH36" s="319"/>
      <c r="AI36" s="319"/>
      <c r="AJ36" s="319"/>
      <c r="AK36" s="319"/>
      <c r="AL36" s="319"/>
      <c r="AM36" s="319"/>
      <c r="AN36" s="319"/>
      <c r="AO36" s="319"/>
      <c r="AP36" s="357"/>
      <c r="AQ36" s="319"/>
      <c r="AR36" s="319"/>
      <c r="AS36" s="319"/>
      <c r="AT36" s="319"/>
      <c r="AU36" s="252"/>
      <c r="AV36" s="253"/>
      <c r="AW36" s="319"/>
      <c r="AX36" s="319"/>
      <c r="AY36" s="319"/>
      <c r="AZ36" s="319"/>
      <c r="BA36" s="319"/>
      <c r="BB36" s="319"/>
      <c r="BC36" s="319"/>
      <c r="BD36" s="319"/>
      <c r="BE36" s="319"/>
      <c r="BF36" s="319"/>
      <c r="BG36" s="319"/>
      <c r="BH36" s="319"/>
      <c r="BI36" s="319"/>
      <c r="BJ36" s="319"/>
      <c r="BK36" s="319"/>
      <c r="BL36" s="319"/>
      <c r="BM36" s="319"/>
      <c r="BN36" s="319"/>
      <c r="BO36" s="319"/>
      <c r="BP36" s="319"/>
      <c r="BQ36" s="319"/>
      <c r="BR36" s="319"/>
      <c r="BS36" s="319"/>
      <c r="BT36" s="319"/>
      <c r="BU36" s="319"/>
      <c r="BV36" s="319"/>
      <c r="BW36" s="319"/>
      <c r="BX36" s="319"/>
      <c r="BY36" s="319"/>
      <c r="BZ36" s="319"/>
      <c r="CA36" s="319"/>
      <c r="CB36" s="319"/>
      <c r="CC36" s="319"/>
      <c r="CD36" s="319"/>
      <c r="CE36" s="319"/>
      <c r="CF36" s="319"/>
      <c r="CG36" s="319"/>
      <c r="CH36" s="319"/>
      <c r="CI36" s="319"/>
      <c r="CJ36" s="319"/>
      <c r="CK36" s="319"/>
      <c r="CL36" s="236">
        <v>0.89</v>
      </c>
      <c r="CM36" s="236">
        <v>0.89</v>
      </c>
      <c r="CN36" s="236">
        <v>0.89</v>
      </c>
      <c r="CO36" s="236">
        <v>0.86</v>
      </c>
      <c r="CP36" s="236">
        <v>0.86</v>
      </c>
      <c r="CQ36" s="236">
        <v>0.86</v>
      </c>
      <c r="CR36" s="236">
        <v>0.86</v>
      </c>
      <c r="CS36" s="236">
        <v>0.86</v>
      </c>
      <c r="CT36" s="236">
        <v>0.86</v>
      </c>
      <c r="CU36" s="236">
        <v>0.86</v>
      </c>
      <c r="CV36" s="236">
        <v>0.86</v>
      </c>
      <c r="CW36" s="319"/>
      <c r="CX36" s="319"/>
      <c r="CY36" s="319"/>
      <c r="CZ36" s="236">
        <v>0.86</v>
      </c>
      <c r="DA36" s="319"/>
      <c r="DB36" s="319"/>
      <c r="DC36" s="319"/>
      <c r="DD36" s="319"/>
      <c r="DE36" s="357"/>
      <c r="DF36" s="236">
        <v>0.89</v>
      </c>
      <c r="DG36" s="236">
        <v>0.89</v>
      </c>
      <c r="DH36" s="236">
        <v>0.95</v>
      </c>
      <c r="DI36" s="236">
        <v>0.95</v>
      </c>
      <c r="DJ36" s="236">
        <v>0.95</v>
      </c>
      <c r="DK36" s="236">
        <v>0.95</v>
      </c>
      <c r="DL36" s="236">
        <v>0.95</v>
      </c>
      <c r="DM36" s="236">
        <v>0.95</v>
      </c>
      <c r="DN36" s="236">
        <v>0.89</v>
      </c>
      <c r="DO36" s="319"/>
      <c r="DP36" s="319"/>
      <c r="DQ36" s="319"/>
      <c r="DR36" s="244">
        <v>0.85</v>
      </c>
      <c r="DS36" s="244">
        <v>0.85</v>
      </c>
      <c r="DT36" s="244">
        <v>0.84699999999999998</v>
      </c>
      <c r="DU36" s="244">
        <v>0.84699999999999998</v>
      </c>
      <c r="DV36" s="244">
        <v>0.85</v>
      </c>
      <c r="DW36" s="244">
        <v>0.84699999999999998</v>
      </c>
      <c r="DX36" s="244">
        <v>0.84699999999999998</v>
      </c>
      <c r="DY36" s="244">
        <v>0.84699999999999998</v>
      </c>
      <c r="DZ36" s="244">
        <v>0.86299999999999999</v>
      </c>
      <c r="EA36" s="244">
        <v>0.86299999999999999</v>
      </c>
      <c r="EB36" s="244">
        <v>0.86299999999999999</v>
      </c>
      <c r="EC36" s="244">
        <v>0.90600000000000003</v>
      </c>
      <c r="ED36" s="244">
        <v>0.90600000000000003</v>
      </c>
      <c r="EE36" s="244">
        <v>0.88400000000000001</v>
      </c>
      <c r="EF36" s="244">
        <v>0.88700000000000001</v>
      </c>
      <c r="EG36" s="244">
        <v>0.85199999999999998</v>
      </c>
      <c r="EH36" s="244">
        <v>0.88700000000000001</v>
      </c>
      <c r="EI36" s="244">
        <v>0.88700000000000001</v>
      </c>
      <c r="EJ36" s="244">
        <v>0.82</v>
      </c>
      <c r="EK36" s="244">
        <v>0.82</v>
      </c>
      <c r="EL36" s="244">
        <v>0.88</v>
      </c>
      <c r="EM36" s="244">
        <v>0.88</v>
      </c>
      <c r="EN36" s="244">
        <v>0.88</v>
      </c>
      <c r="EO36" s="244">
        <v>0.88</v>
      </c>
      <c r="EP36" s="244">
        <v>0.9</v>
      </c>
      <c r="EQ36" s="244">
        <v>0.9</v>
      </c>
      <c r="ER36" s="244">
        <v>0.9</v>
      </c>
      <c r="ES36" s="244">
        <v>0.88</v>
      </c>
      <c r="ET36" s="244">
        <v>0.84</v>
      </c>
      <c r="EU36" s="244">
        <v>0.84</v>
      </c>
      <c r="EV36" s="244">
        <v>0.84</v>
      </c>
      <c r="EW36" s="244">
        <v>0.84</v>
      </c>
      <c r="EX36" s="244">
        <v>0.84</v>
      </c>
      <c r="EY36" s="244">
        <v>0.84</v>
      </c>
      <c r="EZ36" s="244">
        <v>0.84</v>
      </c>
      <c r="FA36" s="244">
        <v>0.84</v>
      </c>
      <c r="FB36" s="244">
        <v>0.84</v>
      </c>
      <c r="FC36" s="244">
        <v>0.82</v>
      </c>
      <c r="FD36" s="244">
        <v>0.82</v>
      </c>
      <c r="FE36" s="244">
        <v>0.82</v>
      </c>
      <c r="FF36" s="244">
        <v>0.82</v>
      </c>
      <c r="FG36" s="244">
        <v>0.82</v>
      </c>
      <c r="FH36" s="244">
        <v>0.82</v>
      </c>
      <c r="FI36" s="244">
        <v>0.82</v>
      </c>
      <c r="FJ36" s="244">
        <v>0.82</v>
      </c>
      <c r="FK36" s="244">
        <v>0.82</v>
      </c>
      <c r="FL36" s="244">
        <v>0.82</v>
      </c>
      <c r="FM36" s="244">
        <v>0.82</v>
      </c>
      <c r="FN36" s="244">
        <v>0.82</v>
      </c>
      <c r="FO36" s="244">
        <v>0.82</v>
      </c>
      <c r="FP36" s="244">
        <v>0.82</v>
      </c>
      <c r="FQ36" s="244">
        <v>0.82</v>
      </c>
      <c r="FR36" s="244">
        <v>0.82</v>
      </c>
      <c r="FS36" s="244">
        <v>0.82</v>
      </c>
      <c r="FT36" s="244">
        <v>0.82</v>
      </c>
      <c r="FU36" s="244">
        <v>0.82</v>
      </c>
      <c r="FV36" s="244">
        <v>0.86</v>
      </c>
      <c r="FW36" s="244">
        <v>0.86</v>
      </c>
      <c r="FX36" s="244">
        <v>0.86</v>
      </c>
      <c r="FY36" s="244">
        <v>0.86</v>
      </c>
      <c r="FZ36" s="244">
        <v>0.86</v>
      </c>
      <c r="GA36" s="244">
        <v>0.86</v>
      </c>
      <c r="GB36" s="244">
        <v>0.86</v>
      </c>
      <c r="GC36" s="244">
        <v>0.86</v>
      </c>
      <c r="GD36" s="244">
        <v>0.86</v>
      </c>
      <c r="GE36" s="244">
        <v>0.86</v>
      </c>
      <c r="GF36" s="244">
        <v>0.86</v>
      </c>
      <c r="GG36" s="244">
        <v>0.86</v>
      </c>
      <c r="GH36" s="244">
        <v>0.86</v>
      </c>
      <c r="GI36" s="244">
        <v>0.86</v>
      </c>
      <c r="GJ36" s="244">
        <v>0.86</v>
      </c>
      <c r="GK36" s="244">
        <v>0.86</v>
      </c>
      <c r="GL36" s="244">
        <v>0.86</v>
      </c>
      <c r="GM36" s="244">
        <v>0.86</v>
      </c>
      <c r="GN36" s="244">
        <v>0.86</v>
      </c>
      <c r="GO36" s="244">
        <v>0.86</v>
      </c>
      <c r="GP36" s="244">
        <v>0.84</v>
      </c>
      <c r="GQ36" s="244">
        <v>0.84</v>
      </c>
      <c r="GR36" s="244">
        <v>0.84</v>
      </c>
      <c r="GS36" s="244">
        <v>0.84</v>
      </c>
      <c r="GT36" s="244">
        <v>0.84</v>
      </c>
      <c r="GU36" s="244">
        <v>0.84</v>
      </c>
      <c r="GV36" s="244">
        <v>0.84</v>
      </c>
      <c r="GW36" s="244">
        <v>0.84</v>
      </c>
      <c r="GX36" s="244">
        <v>0.84</v>
      </c>
      <c r="GY36" s="244">
        <v>0.82</v>
      </c>
      <c r="GZ36" s="244">
        <v>0.82</v>
      </c>
      <c r="HA36" s="244">
        <v>0.82</v>
      </c>
      <c r="HB36" s="244">
        <v>0.82</v>
      </c>
      <c r="HC36" s="244">
        <v>0.82</v>
      </c>
      <c r="HD36" s="244">
        <v>0.82</v>
      </c>
      <c r="HE36" s="244">
        <v>0.82</v>
      </c>
      <c r="HF36" s="244">
        <v>0.82</v>
      </c>
      <c r="HG36" s="244">
        <v>0.82</v>
      </c>
      <c r="HH36" s="244">
        <v>0.82</v>
      </c>
      <c r="HI36" s="244">
        <v>0.82</v>
      </c>
      <c r="HJ36" s="244">
        <v>0.82</v>
      </c>
      <c r="HK36" s="244">
        <v>0.82</v>
      </c>
      <c r="HL36" s="244">
        <v>0.82</v>
      </c>
      <c r="HM36" s="244">
        <v>0.82</v>
      </c>
      <c r="HN36" s="244">
        <v>0.82</v>
      </c>
      <c r="HO36" s="244">
        <v>0.82</v>
      </c>
      <c r="HP36" s="244">
        <v>0.82</v>
      </c>
      <c r="HQ36" s="244">
        <v>0.82</v>
      </c>
      <c r="HR36" s="244">
        <v>0.82</v>
      </c>
      <c r="HS36" s="244">
        <v>0.82</v>
      </c>
      <c r="HT36" s="244">
        <v>0.82</v>
      </c>
      <c r="HU36" s="244">
        <v>0.82</v>
      </c>
      <c r="HV36" s="244">
        <v>0.82</v>
      </c>
      <c r="HW36" s="244">
        <v>0.82</v>
      </c>
      <c r="HX36" s="244">
        <v>0.82</v>
      </c>
      <c r="HY36" s="244">
        <v>0.82</v>
      </c>
      <c r="HZ36" s="244">
        <v>0.82</v>
      </c>
      <c r="IA36" s="244">
        <v>0.82</v>
      </c>
      <c r="IB36" s="244">
        <v>0.82</v>
      </c>
      <c r="IC36" s="244">
        <v>0.82</v>
      </c>
      <c r="ID36" s="244">
        <v>0.82</v>
      </c>
      <c r="IE36" s="244">
        <v>0.82</v>
      </c>
      <c r="IF36" s="244">
        <v>0.82</v>
      </c>
      <c r="IG36" s="244">
        <v>0.82</v>
      </c>
      <c r="IH36" s="244">
        <v>0.82</v>
      </c>
      <c r="II36" s="244">
        <v>0.82</v>
      </c>
      <c r="IJ36" s="244">
        <v>0.82</v>
      </c>
      <c r="IK36" s="244">
        <v>0.82</v>
      </c>
      <c r="IL36" s="244">
        <v>0.82</v>
      </c>
      <c r="IM36" s="244">
        <v>0.82</v>
      </c>
      <c r="IN36" s="244">
        <v>0.82</v>
      </c>
      <c r="IO36" s="244">
        <v>0.82</v>
      </c>
      <c r="IP36" s="244">
        <v>0.82</v>
      </c>
      <c r="IQ36" s="244">
        <v>0.82</v>
      </c>
      <c r="IR36" s="244">
        <v>0.82</v>
      </c>
      <c r="IS36" s="244">
        <v>0.78</v>
      </c>
      <c r="IT36" s="244">
        <v>0.78</v>
      </c>
      <c r="IU36" s="244">
        <v>0.78</v>
      </c>
      <c r="IV36" s="244">
        <v>0.78</v>
      </c>
      <c r="IW36" s="244">
        <v>0.78</v>
      </c>
      <c r="IX36" s="244">
        <v>0.8</v>
      </c>
      <c r="IY36" s="294">
        <v>0.82</v>
      </c>
      <c r="IZ36" s="294">
        <v>0.82</v>
      </c>
      <c r="JA36" s="294">
        <v>0.82</v>
      </c>
      <c r="JB36" s="294">
        <v>0.82</v>
      </c>
      <c r="JC36" s="244">
        <v>0.85</v>
      </c>
      <c r="JD36" s="244">
        <v>0.85</v>
      </c>
      <c r="JE36" s="244">
        <v>0.85</v>
      </c>
      <c r="JF36" s="244">
        <v>0.85</v>
      </c>
      <c r="JG36" s="244">
        <v>0.85</v>
      </c>
      <c r="JH36" s="244">
        <v>0.85</v>
      </c>
      <c r="JI36" s="244">
        <v>0.85</v>
      </c>
      <c r="JJ36" s="244">
        <v>0.85</v>
      </c>
      <c r="JK36" s="244">
        <v>0.85</v>
      </c>
    </row>
    <row r="37" spans="1:271">
      <c r="A37" s="236" t="s">
        <v>1804</v>
      </c>
      <c r="B37" s="356"/>
      <c r="C37" s="356"/>
      <c r="D37" s="356"/>
      <c r="E37" s="356"/>
      <c r="F37" s="356"/>
      <c r="G37" s="356"/>
      <c r="H37" s="356"/>
      <c r="I37" s="356"/>
      <c r="J37" s="356"/>
      <c r="K37" s="356"/>
      <c r="L37" s="356"/>
      <c r="M37" s="356"/>
      <c r="N37" s="319"/>
      <c r="O37" s="319"/>
      <c r="P37" s="319"/>
      <c r="Q37" s="319"/>
      <c r="R37" s="319"/>
      <c r="S37" s="319"/>
      <c r="T37" s="319"/>
      <c r="U37" s="319"/>
      <c r="V37" s="319"/>
      <c r="W37" s="319"/>
      <c r="X37" s="319"/>
      <c r="Y37" s="319"/>
      <c r="Z37" s="319"/>
      <c r="AA37" s="319"/>
      <c r="AB37" s="319"/>
      <c r="AC37" s="319"/>
      <c r="AD37" s="319"/>
      <c r="AE37" s="319"/>
      <c r="AF37" s="319"/>
      <c r="AG37" s="319"/>
      <c r="AH37" s="319"/>
      <c r="AI37" s="319"/>
      <c r="AJ37" s="319"/>
      <c r="AK37" s="319"/>
      <c r="AL37" s="319"/>
      <c r="AM37" s="319"/>
      <c r="AN37" s="319"/>
      <c r="AO37" s="319"/>
      <c r="AP37" s="357"/>
      <c r="AQ37" s="319"/>
      <c r="AR37" s="319"/>
      <c r="AS37" s="319"/>
      <c r="AT37" s="319"/>
      <c r="AU37" s="252"/>
      <c r="AV37" s="253"/>
      <c r="AW37" s="319"/>
      <c r="AX37" s="319"/>
      <c r="AY37" s="319"/>
      <c r="AZ37" s="319"/>
      <c r="BA37" s="319"/>
      <c r="BB37" s="319"/>
      <c r="BC37" s="319"/>
      <c r="BD37" s="319"/>
      <c r="BE37" s="319"/>
      <c r="BF37" s="319"/>
      <c r="BG37" s="319"/>
      <c r="BH37" s="319"/>
      <c r="BI37" s="319"/>
      <c r="BJ37" s="319"/>
      <c r="BK37" s="319"/>
      <c r="BL37" s="319"/>
      <c r="BM37" s="319"/>
      <c r="BN37" s="319"/>
      <c r="BO37" s="319"/>
      <c r="BP37" s="319"/>
      <c r="BQ37" s="319"/>
      <c r="BR37" s="319"/>
      <c r="BS37" s="319"/>
      <c r="BT37" s="319"/>
      <c r="BU37" s="319"/>
      <c r="BV37" s="319"/>
      <c r="BW37" s="319"/>
      <c r="BX37" s="319"/>
      <c r="BY37" s="319"/>
      <c r="BZ37" s="319"/>
      <c r="CA37" s="319"/>
      <c r="CB37" s="319"/>
      <c r="CC37" s="319"/>
      <c r="CD37" s="319"/>
      <c r="CE37" s="319"/>
      <c r="CF37" s="319"/>
      <c r="CG37" s="319"/>
      <c r="CH37" s="319"/>
      <c r="CI37" s="319"/>
      <c r="CJ37" s="319"/>
      <c r="CK37" s="319"/>
      <c r="CL37" s="236">
        <v>6.2</v>
      </c>
      <c r="CM37" s="236">
        <v>6.3</v>
      </c>
      <c r="CN37" s="319"/>
      <c r="CO37" s="236">
        <v>7.5</v>
      </c>
      <c r="CP37" s="236">
        <v>7.6</v>
      </c>
      <c r="CQ37" s="236">
        <v>6.6</v>
      </c>
      <c r="CR37" s="236">
        <v>6.5</v>
      </c>
      <c r="CS37" s="236">
        <v>6.4</v>
      </c>
      <c r="CT37" s="236">
        <v>6.4</v>
      </c>
      <c r="CU37" s="236">
        <v>6.5</v>
      </c>
      <c r="CV37" s="236">
        <v>6.6</v>
      </c>
      <c r="CW37" s="236">
        <v>5.15</v>
      </c>
      <c r="CX37" s="236">
        <v>4.9000000000000004</v>
      </c>
      <c r="CY37" s="236">
        <v>4.3</v>
      </c>
      <c r="CZ37" s="319"/>
      <c r="DA37" s="236">
        <v>5.0999999999999996</v>
      </c>
      <c r="DB37" s="236">
        <v>4.8</v>
      </c>
      <c r="DC37" s="319"/>
      <c r="DD37" s="236">
        <v>4.8</v>
      </c>
      <c r="DE37" s="358"/>
      <c r="DF37" s="319"/>
      <c r="DG37" s="319"/>
      <c r="DH37" s="236">
        <v>5.9</v>
      </c>
      <c r="DI37" s="236">
        <v>5.9</v>
      </c>
      <c r="DJ37" s="236">
        <v>4.4000000000000004</v>
      </c>
      <c r="DK37" s="236">
        <v>4.4000000000000004</v>
      </c>
      <c r="DL37" s="236">
        <v>5.2</v>
      </c>
      <c r="DM37" s="236">
        <v>4.9000000000000004</v>
      </c>
      <c r="DN37" s="319"/>
      <c r="DO37" s="236">
        <v>4.8</v>
      </c>
      <c r="DP37" s="236">
        <v>4.0999999999999996</v>
      </c>
      <c r="DQ37" s="319"/>
      <c r="DR37" s="275"/>
      <c r="DS37" s="275"/>
      <c r="DT37" s="275"/>
      <c r="DU37" s="244">
        <v>0.3</v>
      </c>
      <c r="DV37" s="244">
        <v>1.36</v>
      </c>
      <c r="DW37" s="244">
        <v>1.36</v>
      </c>
      <c r="DX37" s="244">
        <v>1.36</v>
      </c>
      <c r="DY37" s="244">
        <v>1.36</v>
      </c>
      <c r="DZ37" s="244">
        <v>6</v>
      </c>
      <c r="EA37" s="244">
        <v>6</v>
      </c>
      <c r="EB37" s="244">
        <v>6</v>
      </c>
      <c r="EC37" s="275"/>
      <c r="ED37" s="244">
        <v>1.42</v>
      </c>
      <c r="EE37" s="244">
        <v>1.42</v>
      </c>
      <c r="EF37" s="275"/>
      <c r="EG37" s="244">
        <v>0.3</v>
      </c>
      <c r="EH37" s="244">
        <v>1.36</v>
      </c>
      <c r="EI37" s="244">
        <v>1.4</v>
      </c>
      <c r="EJ37" s="244">
        <v>4.68</v>
      </c>
      <c r="EK37" s="244">
        <v>4.55</v>
      </c>
      <c r="EL37" s="244">
        <v>1.07</v>
      </c>
      <c r="EM37" s="244">
        <v>1.04</v>
      </c>
      <c r="EN37" s="244">
        <v>1.07</v>
      </c>
      <c r="EO37" s="244">
        <v>1.04</v>
      </c>
      <c r="EP37" s="244">
        <v>1.04</v>
      </c>
      <c r="EQ37" s="244">
        <v>1.03</v>
      </c>
      <c r="ER37" s="244">
        <v>1.02</v>
      </c>
      <c r="ES37" s="244">
        <v>0.97</v>
      </c>
      <c r="ET37" s="244">
        <v>1.07</v>
      </c>
      <c r="EU37" s="244">
        <v>1.04</v>
      </c>
      <c r="EV37" s="244">
        <v>1.04</v>
      </c>
      <c r="EW37" s="244">
        <v>1.03</v>
      </c>
      <c r="EX37" s="244">
        <v>1.03</v>
      </c>
      <c r="EY37" s="244">
        <v>1.02</v>
      </c>
      <c r="EZ37" s="244">
        <v>1.02</v>
      </c>
      <c r="FA37" s="244">
        <v>1.02</v>
      </c>
      <c r="FB37" s="244">
        <v>1.02</v>
      </c>
      <c r="FC37" s="244">
        <v>5</v>
      </c>
      <c r="FD37" s="244">
        <v>4.9000000000000004</v>
      </c>
      <c r="FE37" s="244">
        <v>4.9000000000000004</v>
      </c>
      <c r="FF37" s="244">
        <v>5</v>
      </c>
      <c r="FG37" s="244">
        <v>5</v>
      </c>
      <c r="FH37" s="244">
        <v>5.5</v>
      </c>
      <c r="FI37" s="244">
        <v>5.4</v>
      </c>
      <c r="FJ37" s="244">
        <v>5.3</v>
      </c>
      <c r="FK37" s="244">
        <v>5.0999999999999996</v>
      </c>
      <c r="FL37" s="244">
        <v>5.0999999999999996</v>
      </c>
      <c r="FM37" s="244">
        <v>5.4</v>
      </c>
      <c r="FN37" s="244">
        <v>5.3</v>
      </c>
      <c r="FO37" s="244">
        <v>9</v>
      </c>
      <c r="FP37" s="244">
        <v>9</v>
      </c>
      <c r="FQ37" s="244">
        <v>9</v>
      </c>
      <c r="FR37" s="244">
        <v>9</v>
      </c>
      <c r="FS37" s="244">
        <v>9</v>
      </c>
      <c r="FT37" s="244">
        <v>9</v>
      </c>
      <c r="FU37" s="244">
        <v>9</v>
      </c>
      <c r="FV37" s="244">
        <v>5.77</v>
      </c>
      <c r="FW37" s="244">
        <v>5.5</v>
      </c>
      <c r="FX37" s="244">
        <v>4.4000000000000004</v>
      </c>
      <c r="FY37" s="244">
        <v>4.4000000000000004</v>
      </c>
      <c r="FZ37" s="244">
        <v>5.77</v>
      </c>
      <c r="GA37" s="244">
        <v>5.5</v>
      </c>
      <c r="GB37" s="244">
        <v>5.5</v>
      </c>
      <c r="GC37" s="244">
        <v>5.3</v>
      </c>
      <c r="GD37" s="244">
        <v>4.4000000000000004</v>
      </c>
      <c r="GE37" s="244">
        <v>4.4000000000000004</v>
      </c>
      <c r="GF37" s="244">
        <v>5</v>
      </c>
      <c r="GG37" s="244">
        <v>4.7</v>
      </c>
      <c r="GH37" s="244">
        <v>5</v>
      </c>
      <c r="GI37" s="244">
        <v>4.5999999999999996</v>
      </c>
      <c r="GJ37" s="244">
        <v>5.0999999999999996</v>
      </c>
      <c r="GK37" s="244">
        <v>5.3</v>
      </c>
      <c r="GL37" s="244">
        <v>5.3</v>
      </c>
      <c r="GM37" s="244">
        <v>4.9000000000000004</v>
      </c>
      <c r="GN37" s="244">
        <v>4.3</v>
      </c>
      <c r="GO37" s="244">
        <v>4.3</v>
      </c>
      <c r="GP37" s="244">
        <v>4.5999999999999996</v>
      </c>
      <c r="GQ37" s="244">
        <v>5</v>
      </c>
      <c r="GR37" s="244">
        <v>4.5999999999999996</v>
      </c>
      <c r="GS37" s="244">
        <v>4.5999999999999996</v>
      </c>
      <c r="GT37" s="244">
        <v>5</v>
      </c>
      <c r="GU37" s="244">
        <v>5.3</v>
      </c>
      <c r="GV37" s="244">
        <v>5</v>
      </c>
      <c r="GW37" s="244">
        <v>4.9000000000000004</v>
      </c>
      <c r="GX37" s="244">
        <v>5.3</v>
      </c>
      <c r="GY37" s="359">
        <v>5.5</v>
      </c>
      <c r="GZ37" s="244">
        <v>5</v>
      </c>
      <c r="HA37" s="359">
        <v>5.5</v>
      </c>
      <c r="HB37" s="244">
        <v>4.8</v>
      </c>
      <c r="HC37" s="244">
        <v>6</v>
      </c>
      <c r="HD37" s="244">
        <v>6</v>
      </c>
      <c r="HE37" s="244">
        <v>5.7</v>
      </c>
      <c r="HF37" s="244">
        <v>4.9000000000000004</v>
      </c>
      <c r="HG37" s="244">
        <v>4.8</v>
      </c>
      <c r="HH37" s="244">
        <v>11</v>
      </c>
      <c r="HI37" s="244">
        <v>11</v>
      </c>
      <c r="HJ37" s="244">
        <v>11</v>
      </c>
      <c r="HK37" s="244">
        <v>6</v>
      </c>
      <c r="HL37" s="244">
        <v>6</v>
      </c>
      <c r="HM37" s="244">
        <v>5.7</v>
      </c>
      <c r="HN37" s="244">
        <v>4.5999999999999996</v>
      </c>
      <c r="HO37" s="244">
        <v>4.8</v>
      </c>
      <c r="HP37" s="244">
        <v>11</v>
      </c>
      <c r="HQ37" s="244">
        <v>11</v>
      </c>
      <c r="HR37" s="244">
        <v>12.5</v>
      </c>
      <c r="HS37" s="244">
        <v>12.5</v>
      </c>
      <c r="HT37" s="244">
        <v>11</v>
      </c>
      <c r="HU37" s="244">
        <v>12.5</v>
      </c>
      <c r="HV37" s="244">
        <v>5.5</v>
      </c>
      <c r="HW37" s="244">
        <v>4.5999999999999996</v>
      </c>
      <c r="HX37" s="244">
        <v>5.5</v>
      </c>
      <c r="HY37" s="244">
        <v>5.4</v>
      </c>
      <c r="HZ37" s="244">
        <v>4.5999999999999996</v>
      </c>
      <c r="IA37" s="244">
        <v>11</v>
      </c>
      <c r="IB37" s="244">
        <v>11</v>
      </c>
      <c r="IC37" s="244">
        <v>12.5</v>
      </c>
      <c r="ID37" s="244">
        <v>11</v>
      </c>
      <c r="IE37" s="244">
        <v>11</v>
      </c>
      <c r="IF37" s="244">
        <v>12.5</v>
      </c>
      <c r="IG37" s="244">
        <v>4.9000000000000004</v>
      </c>
      <c r="IH37" s="244">
        <v>4.9000000000000004</v>
      </c>
      <c r="II37" s="244">
        <v>4.9000000000000004</v>
      </c>
      <c r="IJ37" s="244">
        <v>4.9000000000000004</v>
      </c>
      <c r="IK37" s="244">
        <v>4.9000000000000004</v>
      </c>
      <c r="IL37" s="244">
        <v>4.9000000000000004</v>
      </c>
      <c r="IM37" s="244"/>
      <c r="IN37" s="244"/>
      <c r="IO37" s="244">
        <v>4</v>
      </c>
      <c r="IP37" s="244"/>
      <c r="IQ37" s="244"/>
      <c r="IR37" s="244"/>
      <c r="IS37" s="244">
        <v>4.8</v>
      </c>
      <c r="IT37" s="244">
        <v>4.8</v>
      </c>
      <c r="IU37" s="244">
        <v>4.8</v>
      </c>
      <c r="IV37" s="244">
        <v>4.8</v>
      </c>
      <c r="IW37" s="244">
        <v>4.8</v>
      </c>
      <c r="IX37" s="244">
        <v>4.8</v>
      </c>
      <c r="IY37" s="244">
        <v>9</v>
      </c>
      <c r="IZ37" s="244">
        <v>12</v>
      </c>
      <c r="JA37" s="244">
        <v>12</v>
      </c>
      <c r="JB37" s="244">
        <v>12</v>
      </c>
      <c r="JC37" s="244">
        <v>6.2</v>
      </c>
      <c r="JD37" s="244">
        <v>6.2</v>
      </c>
      <c r="JE37" s="244">
        <v>6.2</v>
      </c>
      <c r="JF37" s="244">
        <v>6.2</v>
      </c>
      <c r="JG37" s="244">
        <v>6.2</v>
      </c>
      <c r="JH37" s="244">
        <v>4.9000000000000004</v>
      </c>
      <c r="JI37" s="244">
        <v>4.9000000000000004</v>
      </c>
      <c r="JJ37" s="244">
        <v>4.9000000000000004</v>
      </c>
      <c r="JK37" s="275"/>
    </row>
    <row r="38" spans="1:271">
      <c r="A38" s="236" t="s">
        <v>2563</v>
      </c>
      <c r="B38" s="356"/>
      <c r="C38" s="356"/>
      <c r="D38" s="356"/>
      <c r="E38" s="356"/>
      <c r="F38" s="356"/>
      <c r="G38" s="356"/>
      <c r="H38" s="356"/>
      <c r="I38" s="356"/>
      <c r="J38" s="356"/>
      <c r="K38" s="356"/>
      <c r="L38" s="356"/>
      <c r="M38" s="356"/>
      <c r="N38" s="319"/>
      <c r="O38" s="319"/>
      <c r="P38" s="319"/>
      <c r="Q38" s="319"/>
      <c r="R38" s="319"/>
      <c r="S38" s="319"/>
      <c r="T38" s="319"/>
      <c r="U38" s="319"/>
      <c r="V38" s="319"/>
      <c r="W38" s="319"/>
      <c r="X38" s="319"/>
      <c r="Y38" s="319"/>
      <c r="Z38" s="319"/>
      <c r="AA38" s="319"/>
      <c r="AB38" s="319"/>
      <c r="AC38" s="319"/>
      <c r="AD38" s="319"/>
      <c r="AE38" s="319"/>
      <c r="AF38" s="319"/>
      <c r="AG38" s="319"/>
      <c r="AH38" s="319"/>
      <c r="AI38" s="319"/>
      <c r="AJ38" s="319"/>
      <c r="AK38" s="319"/>
      <c r="AL38" s="319"/>
      <c r="AM38" s="319"/>
      <c r="AN38" s="282">
        <v>0.59499999999999997</v>
      </c>
      <c r="AO38" s="236">
        <f>0.48*AO29</f>
        <v>0.116331096196868</v>
      </c>
      <c r="AP38" s="319"/>
      <c r="AQ38" s="319"/>
      <c r="AR38" s="319"/>
      <c r="AS38" s="319"/>
      <c r="AT38" s="319"/>
      <c r="AU38" s="252"/>
      <c r="AV38" s="253"/>
      <c r="AW38" s="319"/>
      <c r="AX38" s="319"/>
      <c r="AY38" s="319"/>
      <c r="AZ38" s="282">
        <v>0.60099999999999998</v>
      </c>
      <c r="BA38" s="282">
        <v>0.59099999999999997</v>
      </c>
      <c r="BB38" s="319"/>
      <c r="BC38" s="319"/>
      <c r="BD38" s="319"/>
      <c r="BE38" s="282">
        <v>0.59499999999999997</v>
      </c>
      <c r="BF38" s="282">
        <v>0.70299999999999996</v>
      </c>
      <c r="BG38" s="319"/>
      <c r="BH38" s="319"/>
      <c r="BI38" s="319"/>
      <c r="BJ38" s="319"/>
      <c r="BK38" s="282">
        <v>0.54800000000000004</v>
      </c>
      <c r="BL38" s="282">
        <v>0.54800000000000004</v>
      </c>
      <c r="BM38" s="319"/>
      <c r="BN38" s="319"/>
      <c r="BO38" s="282"/>
      <c r="BP38" s="282"/>
      <c r="BQ38" s="319"/>
      <c r="BR38" s="236">
        <f>82.8*0.00591448931</f>
        <v>0.48971971486799998</v>
      </c>
      <c r="BS38" s="236">
        <f>81.6*0.00591448931</f>
        <v>0.48262232769599994</v>
      </c>
      <c r="BT38" s="236">
        <f>79.4*0.00591448931</f>
        <v>0.46961045121400002</v>
      </c>
      <c r="BU38" s="236">
        <f>73.2*0.00591448931</f>
        <v>0.43294061749200002</v>
      </c>
      <c r="BV38" s="236">
        <f>80.6*0.00591448931</f>
        <v>0.47670783838599995</v>
      </c>
      <c r="BW38" s="360">
        <f>82*0.00591448931</f>
        <v>0.48498812341999997</v>
      </c>
      <c r="BX38" s="360"/>
      <c r="BY38" s="360">
        <f>84.2*0.00591448931</f>
        <v>0.497999999902</v>
      </c>
      <c r="BZ38" s="360">
        <f>84.2*0.00591448931</f>
        <v>0.497999999902</v>
      </c>
      <c r="CA38" s="360">
        <f>85.2*0.00591448931</f>
        <v>0.50391448921199999</v>
      </c>
      <c r="CB38" s="360">
        <f>85.2*0.00591448931</f>
        <v>0.50391448921199999</v>
      </c>
      <c r="CC38" s="236">
        <f>77.6*0.00591448931</f>
        <v>0.45896437045599997</v>
      </c>
      <c r="CD38" s="236">
        <f>82*0.00591448931</f>
        <v>0.48498812341999997</v>
      </c>
      <c r="CE38" s="236">
        <f>80.6*0.00591448931</f>
        <v>0.47670783838599995</v>
      </c>
      <c r="CF38" s="236">
        <f>77.6*0.00591448931</f>
        <v>0.45896437045599997</v>
      </c>
      <c r="CG38" s="236">
        <f>80.1*0.00591448931</f>
        <v>0.47375059373099998</v>
      </c>
      <c r="CH38" s="236">
        <f>77.6*0.00591448931</f>
        <v>0.45896437045599997</v>
      </c>
      <c r="CI38" s="236">
        <f>77.6*0.00591448931</f>
        <v>0.45896437045599997</v>
      </c>
      <c r="CJ38" s="236">
        <f>79.1*0.00591448931</f>
        <v>0.46783610442099993</v>
      </c>
      <c r="CK38" s="236">
        <f>77.6*0.00591448931</f>
        <v>0.45896437045599997</v>
      </c>
      <c r="CL38" s="319"/>
      <c r="CM38" s="319"/>
      <c r="CN38" s="319"/>
      <c r="CO38" s="236">
        <v>0.53900000000000003</v>
      </c>
      <c r="CP38" s="236">
        <v>0.53900000000000003</v>
      </c>
      <c r="CQ38" s="236">
        <v>0.54500000000000004</v>
      </c>
      <c r="CR38" s="236">
        <v>0.54500000000000004</v>
      </c>
      <c r="CS38" s="236">
        <v>0.54500000000000004</v>
      </c>
      <c r="CT38" s="236">
        <v>0.54500000000000004</v>
      </c>
      <c r="CU38" s="236">
        <v>0.54500000000000004</v>
      </c>
      <c r="CV38" s="236">
        <v>0.54500000000000004</v>
      </c>
      <c r="CW38" s="254">
        <v>0.56399999999999995</v>
      </c>
      <c r="CX38" s="361"/>
      <c r="CY38" s="236">
        <v>0.58199999999999996</v>
      </c>
      <c r="CZ38" s="319"/>
      <c r="DA38" s="319"/>
      <c r="DB38" s="319"/>
      <c r="DC38" s="319"/>
      <c r="DD38" s="319"/>
      <c r="DE38" s="319"/>
      <c r="DF38" s="319"/>
      <c r="DG38" s="319"/>
      <c r="DH38" s="236">
        <v>0.64600000000000002</v>
      </c>
      <c r="DI38" s="236">
        <v>0.64600000000000002</v>
      </c>
      <c r="DJ38" s="236">
        <v>0.65700000000000003</v>
      </c>
      <c r="DK38" s="236">
        <v>0.65700000000000003</v>
      </c>
      <c r="DL38" s="236">
        <v>0.624</v>
      </c>
      <c r="DM38" s="319"/>
      <c r="DN38" s="236">
        <v>0.51800000000000002</v>
      </c>
      <c r="DO38" s="361"/>
      <c r="DP38" s="236">
        <v>0.57199999999999995</v>
      </c>
      <c r="DQ38" s="361"/>
      <c r="DR38" s="244"/>
      <c r="DS38" s="244"/>
      <c r="DT38" s="244"/>
      <c r="DU38" s="352">
        <v>0.9</v>
      </c>
      <c r="DV38" s="244"/>
      <c r="DW38" s="244"/>
      <c r="DX38" s="244"/>
      <c r="DY38" s="244"/>
      <c r="DZ38" s="352">
        <v>0.65100000000000002</v>
      </c>
      <c r="EA38" s="352">
        <v>0.65100000000000002</v>
      </c>
      <c r="EB38" s="352">
        <v>0.65100000000000002</v>
      </c>
      <c r="EC38" s="275"/>
      <c r="ED38" s="352">
        <v>0.78</v>
      </c>
      <c r="EE38" s="352">
        <v>0.78</v>
      </c>
      <c r="EF38" s="244"/>
      <c r="EG38" s="352">
        <v>0.82499999999999996</v>
      </c>
      <c r="EH38" s="244"/>
      <c r="EI38" s="244"/>
      <c r="EJ38" s="352">
        <v>0.62</v>
      </c>
      <c r="EK38" s="352">
        <v>0.62</v>
      </c>
      <c r="EL38" s="244">
        <v>0.77300000000000002</v>
      </c>
      <c r="EM38" s="244">
        <v>0.8</v>
      </c>
      <c r="EN38" s="244">
        <v>0.79600000000000004</v>
      </c>
      <c r="EO38" s="244">
        <v>0.8</v>
      </c>
      <c r="EP38" s="244">
        <v>0.8</v>
      </c>
      <c r="EQ38" s="244">
        <v>0.81</v>
      </c>
      <c r="ER38" s="244">
        <v>0.81399999999999995</v>
      </c>
      <c r="ES38" s="244">
        <v>0.82</v>
      </c>
      <c r="ET38" s="245">
        <v>0.79600000000000004</v>
      </c>
      <c r="EU38" s="245">
        <v>0.8</v>
      </c>
      <c r="EV38" s="244">
        <v>0.8</v>
      </c>
      <c r="EW38" s="245">
        <v>0.81</v>
      </c>
      <c r="EX38" s="244">
        <v>0.81</v>
      </c>
      <c r="EY38" s="245">
        <v>0.77300000000000002</v>
      </c>
      <c r="EZ38" s="244">
        <v>0.77300000000000002</v>
      </c>
      <c r="FA38" s="245">
        <v>0.77300000000000002</v>
      </c>
      <c r="FB38" s="244">
        <v>0.77300000000000002</v>
      </c>
      <c r="FC38" s="244">
        <v>0.66700000000000004</v>
      </c>
      <c r="FD38" s="244">
        <v>0.66700000000000004</v>
      </c>
      <c r="FE38" s="244">
        <v>0.66700000000000004</v>
      </c>
      <c r="FF38" s="244">
        <v>0.66700000000000004</v>
      </c>
      <c r="FG38" s="244">
        <v>0.66700000000000004</v>
      </c>
      <c r="FH38" s="244"/>
      <c r="FI38" s="244">
        <v>0.63300000000000001</v>
      </c>
      <c r="FJ38" s="244">
        <v>0.627</v>
      </c>
      <c r="FK38" s="244"/>
      <c r="FL38" s="244"/>
      <c r="FM38" s="244">
        <v>0.63300000000000001</v>
      </c>
      <c r="FN38" s="244">
        <v>0.627</v>
      </c>
      <c r="FO38" s="352">
        <v>0.53</v>
      </c>
      <c r="FP38" s="352">
        <v>0.53</v>
      </c>
      <c r="FQ38" s="352">
        <v>0.53</v>
      </c>
      <c r="FR38" s="352">
        <v>0.53</v>
      </c>
      <c r="FS38" s="352">
        <v>0.53</v>
      </c>
      <c r="FT38" s="352">
        <v>0.53</v>
      </c>
      <c r="FU38" s="352">
        <v>0.53</v>
      </c>
      <c r="FV38" s="244">
        <v>0.58199999999999996</v>
      </c>
      <c r="FW38" s="244">
        <v>0.58199999999999996</v>
      </c>
      <c r="FX38" s="244">
        <v>0.64600000000000002</v>
      </c>
      <c r="FY38" s="244"/>
      <c r="FZ38" s="244">
        <v>0.58199999999999996</v>
      </c>
      <c r="GA38" s="244">
        <v>0.58199999999999996</v>
      </c>
      <c r="GB38" s="244">
        <v>0.58199999999999996</v>
      </c>
      <c r="GC38" s="244"/>
      <c r="GD38" s="244"/>
      <c r="GE38" s="244"/>
      <c r="GF38" s="352">
        <v>0.61499999999999999</v>
      </c>
      <c r="GG38" s="244">
        <v>0.623</v>
      </c>
      <c r="GH38" s="352">
        <v>0.61499999999999999</v>
      </c>
      <c r="GI38" s="244">
        <v>0.623</v>
      </c>
      <c r="GJ38" s="244"/>
      <c r="GK38" s="244">
        <v>0.57599999999999996</v>
      </c>
      <c r="GL38" s="244"/>
      <c r="GM38" s="244"/>
      <c r="GN38" s="352">
        <v>0.57199999999999995</v>
      </c>
      <c r="GO38" s="352">
        <v>0.57199999999999995</v>
      </c>
      <c r="GP38" s="244">
        <v>0.623</v>
      </c>
      <c r="GQ38" s="352">
        <v>0.61499999999999999</v>
      </c>
      <c r="GR38" s="244">
        <v>0.623</v>
      </c>
      <c r="GS38" s="244">
        <v>0.623</v>
      </c>
      <c r="GT38" s="352">
        <v>0.61499999999999999</v>
      </c>
      <c r="GU38" s="244">
        <v>0.57799999999999996</v>
      </c>
      <c r="GV38" s="352">
        <v>0.61499999999999999</v>
      </c>
      <c r="GW38" s="244"/>
      <c r="GX38" s="244">
        <v>0.57799999999999996</v>
      </c>
      <c r="GY38" s="352">
        <v>0.6</v>
      </c>
      <c r="GZ38" s="244"/>
      <c r="HA38" s="352">
        <v>0.6</v>
      </c>
      <c r="HB38" s="244"/>
      <c r="HC38" s="352">
        <v>0.6</v>
      </c>
      <c r="HD38" s="352">
        <v>0.59599999999999997</v>
      </c>
      <c r="HE38" s="352">
        <v>0.6</v>
      </c>
      <c r="HF38" s="352">
        <v>0.57499999999999996</v>
      </c>
      <c r="HG38" s="352">
        <v>0.57499999999999996</v>
      </c>
      <c r="HH38" s="352">
        <v>0.51</v>
      </c>
      <c r="HI38" s="352">
        <v>0.51</v>
      </c>
      <c r="HJ38" s="352">
        <v>0.51</v>
      </c>
      <c r="HK38" s="352">
        <v>0.59599999999999997</v>
      </c>
      <c r="HL38" s="352">
        <v>0.59599999999999997</v>
      </c>
      <c r="HM38" s="352">
        <v>0.6</v>
      </c>
      <c r="HN38" s="352">
        <v>0.57499999999999996</v>
      </c>
      <c r="HO38" s="352">
        <v>0.57499999999999996</v>
      </c>
      <c r="HP38" s="352">
        <v>0.51</v>
      </c>
      <c r="HQ38" s="352">
        <v>0.51</v>
      </c>
      <c r="HR38" s="352">
        <v>0.51</v>
      </c>
      <c r="HS38" s="352">
        <v>0.51</v>
      </c>
      <c r="HT38" s="352">
        <v>0.51</v>
      </c>
      <c r="HU38" s="352">
        <v>0.51</v>
      </c>
      <c r="HV38" s="352">
        <v>0.6</v>
      </c>
      <c r="HW38" s="352">
        <v>0.57499999999999996</v>
      </c>
      <c r="HX38" s="352">
        <v>0.6</v>
      </c>
      <c r="HY38" s="352">
        <v>0.6</v>
      </c>
      <c r="HZ38" s="352">
        <v>0.57499999999999996</v>
      </c>
      <c r="IA38" s="352">
        <v>0.51</v>
      </c>
      <c r="IB38" s="352">
        <v>0.51</v>
      </c>
      <c r="IC38" s="352">
        <v>0.51</v>
      </c>
      <c r="ID38" s="352">
        <v>0.51</v>
      </c>
      <c r="IE38" s="352">
        <v>0.51</v>
      </c>
      <c r="IF38" s="352">
        <v>0.51</v>
      </c>
      <c r="IG38" s="245"/>
      <c r="IH38" s="245"/>
      <c r="II38" s="245"/>
      <c r="IJ38" s="245"/>
      <c r="IK38" s="245"/>
      <c r="IL38" s="245"/>
      <c r="IM38" s="275"/>
      <c r="IN38" s="275"/>
      <c r="IO38" s="245"/>
      <c r="IP38" s="275"/>
      <c r="IQ38" s="275"/>
      <c r="IR38" s="244"/>
      <c r="IS38" s="245"/>
      <c r="IT38" s="245"/>
      <c r="IU38" s="245"/>
      <c r="IV38" s="245"/>
      <c r="IW38" s="245"/>
      <c r="IX38" s="245"/>
      <c r="IY38" s="245"/>
      <c r="IZ38" s="245"/>
      <c r="JA38" s="275"/>
      <c r="JB38" s="275"/>
      <c r="JC38" s="245"/>
      <c r="JD38" s="245"/>
      <c r="JE38" s="245"/>
      <c r="JF38" s="245"/>
      <c r="JG38" s="245"/>
      <c r="JH38" s="245"/>
      <c r="JI38" s="245"/>
      <c r="JJ38" s="245"/>
      <c r="JK38" s="275"/>
    </row>
    <row r="39" spans="1:271">
      <c r="A39" s="236" t="s">
        <v>2564</v>
      </c>
      <c r="B39" s="236">
        <v>865</v>
      </c>
      <c r="C39" s="236">
        <v>865</v>
      </c>
      <c r="D39" s="236">
        <v>890</v>
      </c>
      <c r="E39" s="236">
        <v>960</v>
      </c>
      <c r="F39" s="236">
        <v>945</v>
      </c>
      <c r="G39" s="236">
        <v>1300</v>
      </c>
      <c r="H39" s="236">
        <v>1275</v>
      </c>
      <c r="I39" s="236">
        <v>865</v>
      </c>
      <c r="J39" s="236">
        <v>865</v>
      </c>
      <c r="K39" s="236">
        <v>735</v>
      </c>
      <c r="L39" s="236">
        <v>735</v>
      </c>
      <c r="M39" s="236">
        <v>1030</v>
      </c>
      <c r="N39" s="236">
        <v>1405</v>
      </c>
      <c r="O39" s="236">
        <v>685</v>
      </c>
      <c r="P39" s="236">
        <v>1451</v>
      </c>
      <c r="Q39" s="236">
        <v>1335</v>
      </c>
      <c r="R39" s="236">
        <v>1000</v>
      </c>
      <c r="S39" s="236">
        <v>800</v>
      </c>
      <c r="T39" s="236">
        <v>1100</v>
      </c>
      <c r="U39" s="236">
        <v>850</v>
      </c>
      <c r="V39" s="236">
        <v>900</v>
      </c>
      <c r="W39" s="236">
        <v>910</v>
      </c>
      <c r="X39" s="236">
        <v>795</v>
      </c>
      <c r="Y39" s="236">
        <v>640</v>
      </c>
      <c r="Z39" s="236">
        <v>2400</v>
      </c>
      <c r="AA39" s="236">
        <v>1050</v>
      </c>
      <c r="AB39" s="236">
        <v>1287</v>
      </c>
      <c r="AC39" s="236">
        <v>605</v>
      </c>
      <c r="AD39" s="236">
        <v>1352</v>
      </c>
      <c r="AE39" s="236">
        <v>1256</v>
      </c>
      <c r="AF39" s="236">
        <v>1250</v>
      </c>
      <c r="AG39" s="236">
        <v>1214</v>
      </c>
      <c r="AH39" s="236">
        <v>1000</v>
      </c>
      <c r="AI39" s="319"/>
      <c r="AJ39" s="236">
        <v>329</v>
      </c>
      <c r="AK39" s="362">
        <v>2485</v>
      </c>
      <c r="AL39" s="362">
        <v>2090</v>
      </c>
      <c r="AM39" s="236">
        <v>770</v>
      </c>
      <c r="AN39" s="236">
        <v>1000</v>
      </c>
      <c r="AO39" s="236">
        <v>800</v>
      </c>
      <c r="AP39" s="236">
        <v>1450</v>
      </c>
      <c r="AQ39" s="236">
        <v>800</v>
      </c>
      <c r="AR39" s="236">
        <v>1135</v>
      </c>
      <c r="AS39" s="236">
        <v>1050</v>
      </c>
      <c r="AT39" s="236">
        <v>750</v>
      </c>
      <c r="AU39" s="252"/>
      <c r="AV39" s="253"/>
      <c r="AW39" s="319"/>
      <c r="AX39" s="236">
        <v>750</v>
      </c>
      <c r="AY39" s="236">
        <v>1100</v>
      </c>
      <c r="AZ39" s="236">
        <v>1804</v>
      </c>
      <c r="BA39" s="236">
        <v>1465</v>
      </c>
      <c r="BB39" s="236">
        <v>1100</v>
      </c>
      <c r="BC39" s="236">
        <v>1300</v>
      </c>
      <c r="BD39" s="236">
        <v>1574</v>
      </c>
      <c r="BE39" s="236">
        <v>700</v>
      </c>
      <c r="BF39" s="236">
        <v>1378</v>
      </c>
      <c r="BG39" s="236">
        <v>2850</v>
      </c>
      <c r="BH39" s="236">
        <v>1373</v>
      </c>
      <c r="BI39" s="236">
        <v>2075</v>
      </c>
      <c r="BJ39" s="236">
        <v>700</v>
      </c>
      <c r="BK39" s="236">
        <v>3300</v>
      </c>
      <c r="BL39" s="236">
        <v>4057</v>
      </c>
      <c r="BM39" s="236">
        <v>1715</v>
      </c>
      <c r="BN39" s="236">
        <v>2111</v>
      </c>
      <c r="BO39" s="236">
        <v>4057</v>
      </c>
      <c r="BP39" s="236">
        <v>3113</v>
      </c>
      <c r="BQ39" s="236">
        <v>1300</v>
      </c>
      <c r="BR39" s="236"/>
      <c r="BS39" s="236">
        <v>3280</v>
      </c>
      <c r="BT39" s="236">
        <v>3600</v>
      </c>
      <c r="BU39" s="236">
        <v>4600</v>
      </c>
      <c r="BV39" s="236">
        <v>3250</v>
      </c>
      <c r="BW39" s="236">
        <v>3250</v>
      </c>
      <c r="BX39" s="236">
        <v>5493</v>
      </c>
      <c r="BY39" s="236">
        <v>5086</v>
      </c>
      <c r="BZ39" s="236">
        <v>5086</v>
      </c>
      <c r="CA39" s="236">
        <v>5086</v>
      </c>
      <c r="CB39" s="236">
        <v>5086</v>
      </c>
      <c r="CC39" s="236">
        <v>3823</v>
      </c>
      <c r="CD39" s="319"/>
      <c r="CE39" s="319"/>
      <c r="CF39" s="319"/>
      <c r="CG39" s="319"/>
      <c r="CH39" s="236">
        <v>3855</v>
      </c>
      <c r="CI39" s="319"/>
      <c r="CJ39" s="319"/>
      <c r="CK39" s="319"/>
      <c r="CL39" s="236">
        <v>8450</v>
      </c>
      <c r="CM39" s="236">
        <v>11700</v>
      </c>
      <c r="CN39" s="236">
        <v>10000</v>
      </c>
      <c r="CO39" s="236">
        <v>11550</v>
      </c>
      <c r="CP39" s="236">
        <v>11500</v>
      </c>
      <c r="CQ39" s="236">
        <v>9100</v>
      </c>
      <c r="CR39" s="236">
        <v>9150</v>
      </c>
      <c r="CS39" s="236">
        <v>8900</v>
      </c>
      <c r="CT39" s="236">
        <v>9500</v>
      </c>
      <c r="CU39" s="236">
        <v>8202</v>
      </c>
      <c r="CV39" s="236">
        <v>9700</v>
      </c>
      <c r="CW39" s="254">
        <v>10500</v>
      </c>
      <c r="CX39" s="254">
        <v>10500</v>
      </c>
      <c r="CY39" s="254">
        <v>10500</v>
      </c>
      <c r="CZ39" s="236">
        <v>7217.8</v>
      </c>
      <c r="DA39" s="236">
        <v>7750</v>
      </c>
      <c r="DB39" s="236">
        <v>10500</v>
      </c>
      <c r="DC39" s="236">
        <v>8400</v>
      </c>
      <c r="DD39" s="236">
        <v>10750</v>
      </c>
      <c r="DE39" s="236">
        <v>10350</v>
      </c>
      <c r="DF39" s="236">
        <v>9186</v>
      </c>
      <c r="DG39" s="236">
        <v>10171</v>
      </c>
      <c r="DH39" s="236">
        <v>10170.6</v>
      </c>
      <c r="DI39" s="236">
        <v>10000</v>
      </c>
      <c r="DJ39" s="236">
        <v>10400</v>
      </c>
      <c r="DK39" s="236">
        <v>10171</v>
      </c>
      <c r="DL39" s="236">
        <v>10280</v>
      </c>
      <c r="DM39" s="236">
        <v>10100</v>
      </c>
      <c r="DN39" s="236">
        <v>12500</v>
      </c>
      <c r="DO39" s="254">
        <v>10100</v>
      </c>
      <c r="DP39" s="254">
        <v>10950</v>
      </c>
      <c r="DQ39" s="254">
        <v>10500</v>
      </c>
      <c r="DR39" s="363">
        <v>9380</v>
      </c>
      <c r="DS39" s="363">
        <v>8240</v>
      </c>
      <c r="DT39" s="363">
        <v>9900</v>
      </c>
      <c r="DU39" s="363">
        <v>9650</v>
      </c>
      <c r="DV39" s="363">
        <v>10560</v>
      </c>
      <c r="DW39" s="363">
        <v>9980</v>
      </c>
      <c r="DX39" s="363">
        <v>9780</v>
      </c>
      <c r="DY39" s="363">
        <v>11500</v>
      </c>
      <c r="DZ39" s="294">
        <v>9100</v>
      </c>
      <c r="EA39" s="294">
        <v>9750</v>
      </c>
      <c r="EB39" s="294">
        <v>10000</v>
      </c>
      <c r="EC39" s="294">
        <v>9400</v>
      </c>
      <c r="ED39" s="294">
        <v>6450</v>
      </c>
      <c r="EE39" s="294">
        <v>7545.9319999999998</v>
      </c>
      <c r="EF39" s="294">
        <v>10498.69</v>
      </c>
      <c r="EG39" s="294">
        <v>10498.69</v>
      </c>
      <c r="EH39" s="294">
        <v>11318.9</v>
      </c>
      <c r="EI39" s="294">
        <v>9924.5409999999993</v>
      </c>
      <c r="EJ39" s="294">
        <v>7545.9319999999998</v>
      </c>
      <c r="EK39" s="294">
        <v>5577.4279999999999</v>
      </c>
      <c r="EL39" s="294">
        <v>7400</v>
      </c>
      <c r="EM39" s="294">
        <v>7750</v>
      </c>
      <c r="EN39" s="294">
        <v>7400</v>
      </c>
      <c r="EO39" s="294">
        <v>7750</v>
      </c>
      <c r="EP39" s="294">
        <v>8000</v>
      </c>
      <c r="EQ39" s="294">
        <v>7400</v>
      </c>
      <c r="ER39" s="294">
        <v>7600</v>
      </c>
      <c r="ES39" s="294">
        <v>9550</v>
      </c>
      <c r="ET39" s="294">
        <v>6700</v>
      </c>
      <c r="EU39" s="294">
        <v>7000</v>
      </c>
      <c r="EV39" s="294">
        <v>8750</v>
      </c>
      <c r="EW39" s="294">
        <v>6700</v>
      </c>
      <c r="EX39" s="294">
        <v>6950</v>
      </c>
      <c r="EY39" s="294">
        <v>7500</v>
      </c>
      <c r="EZ39" s="294">
        <v>8490</v>
      </c>
      <c r="FA39" s="294">
        <v>5290</v>
      </c>
      <c r="FB39" s="294">
        <v>7100</v>
      </c>
      <c r="FC39" s="294">
        <v>6250</v>
      </c>
      <c r="FD39" s="294">
        <v>6850</v>
      </c>
      <c r="FE39" s="294">
        <v>7200</v>
      </c>
      <c r="FF39" s="294">
        <v>6600</v>
      </c>
      <c r="FG39" s="294">
        <v>5200</v>
      </c>
      <c r="FH39" s="294">
        <v>4593.1760000000004</v>
      </c>
      <c r="FI39" s="294">
        <v>9350.3940000000002</v>
      </c>
      <c r="FJ39" s="294">
        <v>5249.3440000000001</v>
      </c>
      <c r="FK39" s="294">
        <v>9186.3520000000008</v>
      </c>
      <c r="FL39" s="294">
        <v>9842.52</v>
      </c>
      <c r="FM39" s="294">
        <v>6889.7640000000001</v>
      </c>
      <c r="FN39" s="294">
        <v>7709.9740000000002</v>
      </c>
      <c r="FO39" s="294">
        <v>7874.0159999999996</v>
      </c>
      <c r="FP39" s="294">
        <v>6233.5959999999995</v>
      </c>
      <c r="FQ39" s="294">
        <v>6233.5959999999995</v>
      </c>
      <c r="FR39" s="294">
        <v>8530.1839999999993</v>
      </c>
      <c r="FS39" s="294">
        <v>8530.1839999999993</v>
      </c>
      <c r="FT39" s="294">
        <v>6233.5959999999995</v>
      </c>
      <c r="FU39" s="294">
        <v>8530.1839999999993</v>
      </c>
      <c r="FV39" s="294">
        <v>7700</v>
      </c>
      <c r="FW39" s="294">
        <v>7500</v>
      </c>
      <c r="FX39" s="294">
        <v>7500</v>
      </c>
      <c r="FY39" s="294">
        <v>6500</v>
      </c>
      <c r="FZ39" s="294">
        <v>7700</v>
      </c>
      <c r="GA39" s="294">
        <v>7500</v>
      </c>
      <c r="GB39" s="294">
        <v>9900</v>
      </c>
      <c r="GC39" s="294">
        <v>8000</v>
      </c>
      <c r="GD39" s="294">
        <v>9050</v>
      </c>
      <c r="GE39" s="294">
        <v>7750</v>
      </c>
      <c r="GF39" s="294">
        <v>4921.26</v>
      </c>
      <c r="GG39" s="294">
        <v>5413.3860000000004</v>
      </c>
      <c r="GH39" s="294">
        <v>5741.47</v>
      </c>
      <c r="GI39" s="294">
        <v>6000</v>
      </c>
      <c r="GJ39" s="294">
        <v>5741.47</v>
      </c>
      <c r="GK39" s="294">
        <v>5800</v>
      </c>
      <c r="GL39" s="294">
        <v>5910</v>
      </c>
      <c r="GM39" s="294">
        <v>6725.7219999999998</v>
      </c>
      <c r="GN39" s="294">
        <v>8000</v>
      </c>
      <c r="GO39" s="294">
        <v>8500</v>
      </c>
      <c r="GP39" s="294">
        <v>5000</v>
      </c>
      <c r="GQ39" s="294">
        <v>4750</v>
      </c>
      <c r="GR39" s="294">
        <v>5150</v>
      </c>
      <c r="GS39" s="294">
        <v>5750</v>
      </c>
      <c r="GT39" s="294">
        <v>5400</v>
      </c>
      <c r="GU39" s="294">
        <v>6200</v>
      </c>
      <c r="GV39" s="294">
        <v>6500</v>
      </c>
      <c r="GW39" s="294">
        <v>7500</v>
      </c>
      <c r="GX39" s="294">
        <v>8000</v>
      </c>
      <c r="GY39" s="294">
        <v>4300</v>
      </c>
      <c r="GZ39" s="294">
        <v>4100</v>
      </c>
      <c r="HA39" s="294">
        <v>6000</v>
      </c>
      <c r="HB39" s="294">
        <v>6000</v>
      </c>
      <c r="HC39" s="294">
        <v>5200</v>
      </c>
      <c r="HD39" s="294">
        <v>8000</v>
      </c>
      <c r="HE39" s="294">
        <v>8000</v>
      </c>
      <c r="HF39" s="294">
        <v>7800</v>
      </c>
      <c r="HG39" s="294">
        <v>7800</v>
      </c>
      <c r="HH39" s="294">
        <v>5000</v>
      </c>
      <c r="HI39" s="294">
        <v>5900</v>
      </c>
      <c r="HJ39" s="294">
        <v>5000</v>
      </c>
      <c r="HK39" s="294">
        <v>5850</v>
      </c>
      <c r="HL39" s="294">
        <v>5850</v>
      </c>
      <c r="HM39" s="294">
        <v>6500</v>
      </c>
      <c r="HN39" s="294">
        <v>6100</v>
      </c>
      <c r="HO39" s="294">
        <v>7150</v>
      </c>
      <c r="HP39" s="294">
        <v>5790</v>
      </c>
      <c r="HQ39" s="294">
        <v>6490</v>
      </c>
      <c r="HR39" s="294">
        <v>5900</v>
      </c>
      <c r="HS39" s="294">
        <v>5500</v>
      </c>
      <c r="HT39" s="294">
        <v>6490</v>
      </c>
      <c r="HU39" s="294">
        <v>5900</v>
      </c>
      <c r="HV39" s="294">
        <v>5500</v>
      </c>
      <c r="HW39" s="294">
        <v>5500</v>
      </c>
      <c r="HX39" s="294">
        <v>7250</v>
      </c>
      <c r="HY39" s="294">
        <v>8050</v>
      </c>
      <c r="HZ39" s="294">
        <v>8800</v>
      </c>
      <c r="IA39" s="294">
        <v>6450</v>
      </c>
      <c r="IB39" s="294">
        <v>7250</v>
      </c>
      <c r="IC39" s="294">
        <v>7250</v>
      </c>
      <c r="ID39" s="294">
        <v>8800</v>
      </c>
      <c r="IE39" s="294">
        <v>9000</v>
      </c>
      <c r="IF39" s="294">
        <v>9000</v>
      </c>
      <c r="IG39" s="244">
        <v>4866</v>
      </c>
      <c r="IH39" s="244">
        <v>5191</v>
      </c>
      <c r="II39" s="244">
        <v>5394</v>
      </c>
      <c r="IJ39" s="244">
        <v>5289</v>
      </c>
      <c r="IK39" s="244">
        <v>5657</v>
      </c>
      <c r="IL39" s="244">
        <v>7363</v>
      </c>
      <c r="IM39" s="244">
        <v>5243</v>
      </c>
      <c r="IN39" s="244">
        <v>6004</v>
      </c>
      <c r="IO39" s="244">
        <v>6890</v>
      </c>
      <c r="IP39" s="244">
        <v>5716</v>
      </c>
      <c r="IQ39" s="244">
        <v>6536</v>
      </c>
      <c r="IR39" s="244">
        <v>7149</v>
      </c>
      <c r="IS39" s="294">
        <v>5381</v>
      </c>
      <c r="IT39" s="294">
        <v>5774</v>
      </c>
      <c r="IU39" s="294">
        <v>6070</v>
      </c>
      <c r="IV39" s="294">
        <v>6660</v>
      </c>
      <c r="IW39" s="294">
        <v>7448</v>
      </c>
      <c r="IX39" s="294">
        <v>6791</v>
      </c>
      <c r="IY39" s="363">
        <v>5676</v>
      </c>
      <c r="IZ39" s="294">
        <v>5299</v>
      </c>
      <c r="JA39" s="294">
        <v>5299</v>
      </c>
      <c r="JB39" s="244">
        <v>5922</v>
      </c>
      <c r="JC39" s="294">
        <v>5200</v>
      </c>
      <c r="JD39" s="294">
        <v>6000</v>
      </c>
      <c r="JE39" s="294">
        <v>7000</v>
      </c>
      <c r="JF39" s="294">
        <v>5500</v>
      </c>
      <c r="JG39" s="294">
        <v>6000</v>
      </c>
      <c r="JH39" s="294">
        <v>5270</v>
      </c>
      <c r="JI39" s="294">
        <v>6105</v>
      </c>
      <c r="JJ39" s="294">
        <v>6105</v>
      </c>
      <c r="JK39" s="294">
        <v>6736</v>
      </c>
    </row>
    <row r="40" spans="1:271">
      <c r="A40" s="236" t="s">
        <v>2565</v>
      </c>
      <c r="B40" s="236">
        <v>520</v>
      </c>
      <c r="C40" s="236">
        <v>520</v>
      </c>
      <c r="D40" s="236">
        <v>540</v>
      </c>
      <c r="E40" s="236">
        <v>575</v>
      </c>
      <c r="F40" s="236">
        <v>550</v>
      </c>
      <c r="G40" s="236">
        <v>1250</v>
      </c>
      <c r="H40" s="236">
        <v>820</v>
      </c>
      <c r="I40" s="236">
        <v>520</v>
      </c>
      <c r="J40" s="236">
        <v>520</v>
      </c>
      <c r="K40" s="236">
        <v>445</v>
      </c>
      <c r="L40" s="236">
        <v>445</v>
      </c>
      <c r="M40" s="236">
        <v>765</v>
      </c>
      <c r="N40" s="236">
        <v>915</v>
      </c>
      <c r="O40" s="236">
        <v>625</v>
      </c>
      <c r="P40" s="236">
        <v>1002</v>
      </c>
      <c r="Q40" s="236">
        <v>640</v>
      </c>
      <c r="R40" s="236">
        <v>700</v>
      </c>
      <c r="S40" s="236">
        <v>700</v>
      </c>
      <c r="T40" s="236">
        <v>765</v>
      </c>
      <c r="U40" s="236">
        <v>765</v>
      </c>
      <c r="V40" s="236">
        <v>735</v>
      </c>
      <c r="W40" s="236">
        <v>735</v>
      </c>
      <c r="X40" s="236">
        <v>590</v>
      </c>
      <c r="Y40" s="236">
        <v>671</v>
      </c>
      <c r="Z40" s="236">
        <v>952</v>
      </c>
      <c r="AA40" s="236">
        <v>764</v>
      </c>
      <c r="AB40" s="236">
        <v>962</v>
      </c>
      <c r="AC40" s="236">
        <v>1082</v>
      </c>
      <c r="AD40" s="236">
        <v>1117</v>
      </c>
      <c r="AE40" s="236">
        <v>661</v>
      </c>
      <c r="AF40" s="236">
        <v>1129</v>
      </c>
      <c r="AG40" s="236">
        <v>886</v>
      </c>
      <c r="AH40" s="236">
        <v>1000</v>
      </c>
      <c r="AI40" s="319"/>
      <c r="AJ40" s="236">
        <v>427</v>
      </c>
      <c r="AK40" s="362">
        <v>2170</v>
      </c>
      <c r="AL40" s="362">
        <v>1968</v>
      </c>
      <c r="AM40" s="236">
        <v>780</v>
      </c>
      <c r="AN40" s="236">
        <v>867</v>
      </c>
      <c r="AO40" s="236">
        <v>900</v>
      </c>
      <c r="AP40" s="236">
        <v>650</v>
      </c>
      <c r="AQ40" s="236">
        <v>535</v>
      </c>
      <c r="AR40" s="236">
        <v>919</v>
      </c>
      <c r="AS40" s="236">
        <v>630</v>
      </c>
      <c r="AT40" s="236">
        <v>540</v>
      </c>
      <c r="AU40" s="252"/>
      <c r="AV40" s="253"/>
      <c r="AW40" s="319"/>
      <c r="AX40" s="236">
        <v>705</v>
      </c>
      <c r="AY40" s="236">
        <v>2600</v>
      </c>
      <c r="AZ40" s="236">
        <v>1017.06</v>
      </c>
      <c r="BA40" s="236">
        <v>1914</v>
      </c>
      <c r="BB40" s="236">
        <v>770</v>
      </c>
      <c r="BC40" s="236">
        <v>580</v>
      </c>
      <c r="BD40" s="236">
        <v>1446</v>
      </c>
      <c r="BE40" s="236">
        <v>515</v>
      </c>
      <c r="BF40" s="236">
        <v>1030</v>
      </c>
      <c r="BG40" s="236">
        <v>2860</v>
      </c>
      <c r="BH40" s="236">
        <v>1440</v>
      </c>
      <c r="BI40" s="236">
        <v>1318</v>
      </c>
      <c r="BJ40" s="236">
        <v>650</v>
      </c>
      <c r="BK40" s="236">
        <v>2692</v>
      </c>
      <c r="BL40" s="236">
        <v>2981</v>
      </c>
      <c r="BM40" s="236">
        <v>1750</v>
      </c>
      <c r="BN40" s="236">
        <v>2845</v>
      </c>
      <c r="BO40" s="236">
        <v>2981</v>
      </c>
      <c r="BP40" s="236">
        <v>2388</v>
      </c>
      <c r="BQ40" s="236">
        <v>920</v>
      </c>
      <c r="BR40" s="236"/>
      <c r="BS40" s="236">
        <v>2560</v>
      </c>
      <c r="BT40" s="236">
        <v>3314</v>
      </c>
      <c r="BU40" s="236">
        <v>4221</v>
      </c>
      <c r="BV40" s="236">
        <v>2575</v>
      </c>
      <c r="BW40" s="236">
        <v>2575</v>
      </c>
      <c r="BX40" s="236">
        <v>3938</v>
      </c>
      <c r="BY40" s="236">
        <v>4561</v>
      </c>
      <c r="BZ40" s="236">
        <v>4561</v>
      </c>
      <c r="CA40" s="236">
        <v>4561</v>
      </c>
      <c r="CB40" s="236">
        <v>4561</v>
      </c>
      <c r="CC40" s="236">
        <v>3462</v>
      </c>
      <c r="CD40" s="319"/>
      <c r="CE40" s="319"/>
      <c r="CF40" s="319"/>
      <c r="CG40" s="319"/>
      <c r="CH40" s="236">
        <v>3308</v>
      </c>
      <c r="CI40" s="319"/>
      <c r="CJ40" s="319"/>
      <c r="CK40" s="319"/>
      <c r="CL40" s="236">
        <v>1555</v>
      </c>
      <c r="CM40" s="236">
        <v>5250</v>
      </c>
      <c r="CN40" s="236">
        <v>6102</v>
      </c>
      <c r="CO40" s="236">
        <v>5000</v>
      </c>
      <c r="CP40" s="236">
        <v>6300</v>
      </c>
      <c r="CQ40" s="236">
        <v>5450</v>
      </c>
      <c r="CR40" s="236">
        <v>5250</v>
      </c>
      <c r="CS40" s="236"/>
      <c r="CT40" s="236">
        <v>5100</v>
      </c>
      <c r="CU40" s="236">
        <v>4900</v>
      </c>
      <c r="CV40" s="236">
        <v>56000</v>
      </c>
      <c r="CW40" s="254">
        <v>7400</v>
      </c>
      <c r="CX40" s="254">
        <v>7400</v>
      </c>
      <c r="CY40" s="254">
        <v>7400</v>
      </c>
      <c r="CZ40" s="236">
        <v>5577.4</v>
      </c>
      <c r="DA40" s="236">
        <v>5200</v>
      </c>
      <c r="DB40" s="236">
        <v>5650</v>
      </c>
      <c r="DC40" s="236">
        <v>5600</v>
      </c>
      <c r="DD40" s="236">
        <v>6300</v>
      </c>
      <c r="DE40" s="236">
        <v>6300</v>
      </c>
      <c r="DF40" s="236">
        <v>6530</v>
      </c>
      <c r="DG40" s="236">
        <v>6890</v>
      </c>
      <c r="DH40" s="236">
        <v>5741.47</v>
      </c>
      <c r="DI40" s="236">
        <v>5750</v>
      </c>
      <c r="DJ40" s="236">
        <v>9351</v>
      </c>
      <c r="DK40" s="236">
        <v>6069</v>
      </c>
      <c r="DL40" s="236">
        <v>6562</v>
      </c>
      <c r="DM40" s="236">
        <v>6000</v>
      </c>
      <c r="DN40" s="236">
        <v>6600</v>
      </c>
      <c r="DO40" s="254">
        <v>7750</v>
      </c>
      <c r="DP40" s="254">
        <v>7750</v>
      </c>
      <c r="DQ40" s="254">
        <v>7750</v>
      </c>
      <c r="DR40" s="363">
        <v>6400</v>
      </c>
      <c r="DS40" s="363">
        <v>6400</v>
      </c>
      <c r="DT40" s="363">
        <v>6800</v>
      </c>
      <c r="DU40" s="363">
        <v>6800</v>
      </c>
      <c r="DV40" s="363">
        <v>5620</v>
      </c>
      <c r="DW40" s="363">
        <v>6140</v>
      </c>
      <c r="DX40" s="363">
        <v>6140</v>
      </c>
      <c r="DY40" s="294">
        <v>6250</v>
      </c>
      <c r="DZ40" s="294">
        <v>6400</v>
      </c>
      <c r="EA40" s="294">
        <v>6200</v>
      </c>
      <c r="EB40" s="294">
        <v>6900</v>
      </c>
      <c r="EC40" s="294">
        <v>6200</v>
      </c>
      <c r="ED40" s="294">
        <v>6350</v>
      </c>
      <c r="EE40" s="294">
        <v>6528.8710000000001</v>
      </c>
      <c r="EF40" s="294">
        <v>7217.848</v>
      </c>
      <c r="EG40" s="294">
        <v>7217.848</v>
      </c>
      <c r="EH40" s="294">
        <v>6069.5540000000001</v>
      </c>
      <c r="EI40" s="294">
        <v>6233.5959999999995</v>
      </c>
      <c r="EJ40" s="294">
        <v>4757.2179999999998</v>
      </c>
      <c r="EK40" s="294">
        <v>5000</v>
      </c>
      <c r="EL40" s="294">
        <v>4593.1760000000004</v>
      </c>
      <c r="EM40" s="294">
        <v>4757.2179999999998</v>
      </c>
      <c r="EN40" s="294">
        <v>4593.1760000000004</v>
      </c>
      <c r="EO40" s="294">
        <v>4757.2179999999998</v>
      </c>
      <c r="EP40" s="294">
        <v>5150.9189999999999</v>
      </c>
      <c r="EQ40" s="294">
        <v>4429.134</v>
      </c>
      <c r="ER40" s="294">
        <v>4429.134</v>
      </c>
      <c r="ES40" s="294">
        <v>4429.134</v>
      </c>
      <c r="ET40" s="294">
        <v>4757.2179999999998</v>
      </c>
      <c r="EU40" s="294">
        <v>4527.5590000000002</v>
      </c>
      <c r="EV40" s="294">
        <v>4576.7719999999999</v>
      </c>
      <c r="EW40" s="294">
        <v>4101.05</v>
      </c>
      <c r="EX40" s="294">
        <v>4265.0919999999996</v>
      </c>
      <c r="EY40" s="294">
        <v>4500</v>
      </c>
      <c r="EZ40" s="294">
        <v>4500</v>
      </c>
      <c r="FA40" s="294">
        <v>4101.05</v>
      </c>
      <c r="FB40" s="294">
        <v>4500</v>
      </c>
      <c r="FC40" s="294">
        <v>4593.1760000000004</v>
      </c>
      <c r="FD40" s="294">
        <v>4593.1760000000004</v>
      </c>
      <c r="FE40" s="294">
        <v>4921.26</v>
      </c>
      <c r="FF40" s="294">
        <v>5085.3019999999997</v>
      </c>
      <c r="FG40" s="294">
        <v>4429.134</v>
      </c>
      <c r="FH40" s="294">
        <v>4429.134</v>
      </c>
      <c r="FI40" s="294">
        <v>4757.2179999999998</v>
      </c>
      <c r="FJ40" s="294">
        <v>5577.4279999999999</v>
      </c>
      <c r="FK40" s="294">
        <v>5905.5119999999997</v>
      </c>
      <c r="FL40" s="294">
        <v>5577.4279999999999</v>
      </c>
      <c r="FM40" s="294">
        <v>4970.4719999999998</v>
      </c>
      <c r="FN40" s="294">
        <v>5741.47</v>
      </c>
      <c r="FO40" s="294">
        <v>4921.26</v>
      </c>
      <c r="FP40" s="294">
        <v>5000</v>
      </c>
      <c r="FQ40" s="294">
        <v>5000</v>
      </c>
      <c r="FR40" s="294">
        <v>5249.3440000000001</v>
      </c>
      <c r="FS40" s="294">
        <v>5380.5770000000002</v>
      </c>
      <c r="FT40" s="294">
        <v>5000</v>
      </c>
      <c r="FU40" s="294">
        <v>5249.3440000000001</v>
      </c>
      <c r="FV40" s="294">
        <v>4757.2179999999998</v>
      </c>
      <c r="FW40" s="294">
        <v>5052.4930000000004</v>
      </c>
      <c r="FX40" s="294">
        <v>4625.9840000000004</v>
      </c>
      <c r="FY40" s="294">
        <v>4921.26</v>
      </c>
      <c r="FZ40" s="294">
        <v>4921.26</v>
      </c>
      <c r="GA40" s="294">
        <v>4921.26</v>
      </c>
      <c r="GB40" s="294">
        <v>5610.2359999999999</v>
      </c>
      <c r="GC40" s="294">
        <v>5610.2359999999999</v>
      </c>
      <c r="GD40" s="294">
        <v>5577.4279999999999</v>
      </c>
      <c r="GE40" s="294">
        <v>5577.4279999999999</v>
      </c>
      <c r="GF40" s="294">
        <v>4593.1760000000004</v>
      </c>
      <c r="GG40" s="294">
        <v>4757.2179999999998</v>
      </c>
      <c r="GH40" s="294">
        <v>4757.2179999999998</v>
      </c>
      <c r="GI40" s="294">
        <v>4855.643</v>
      </c>
      <c r="GJ40" s="294">
        <v>4757.2179999999998</v>
      </c>
      <c r="GK40" s="294">
        <v>4855.643</v>
      </c>
      <c r="GL40" s="294">
        <v>4921.26</v>
      </c>
      <c r="GM40" s="294">
        <v>4921.26</v>
      </c>
      <c r="GN40" s="294">
        <v>5000</v>
      </c>
      <c r="GO40" s="294">
        <v>5000</v>
      </c>
      <c r="GP40" s="294">
        <v>4822.835</v>
      </c>
      <c r="GQ40" s="294">
        <v>4700</v>
      </c>
      <c r="GR40" s="294">
        <v>4950</v>
      </c>
      <c r="GS40" s="294">
        <v>4950</v>
      </c>
      <c r="GT40" s="294">
        <v>4750</v>
      </c>
      <c r="GU40" s="294">
        <v>5040</v>
      </c>
      <c r="GV40" s="294">
        <v>4900</v>
      </c>
      <c r="GW40" s="294">
        <v>4900</v>
      </c>
      <c r="GX40" s="294">
        <v>5100</v>
      </c>
      <c r="GY40" s="294">
        <v>4265.0919999999996</v>
      </c>
      <c r="GZ40" s="294">
        <v>4101.05</v>
      </c>
      <c r="HA40" s="294">
        <v>4429.134</v>
      </c>
      <c r="HB40" s="294">
        <v>4265.0919999999996</v>
      </c>
      <c r="HC40" s="294">
        <v>4350</v>
      </c>
      <c r="HD40" s="294">
        <v>4500</v>
      </c>
      <c r="HE40" s="294">
        <v>4500</v>
      </c>
      <c r="HF40" s="294">
        <v>4290</v>
      </c>
      <c r="HG40" s="294">
        <v>4290</v>
      </c>
      <c r="HH40" s="294">
        <v>4480</v>
      </c>
      <c r="HI40" s="294">
        <v>4480</v>
      </c>
      <c r="HJ40" s="294">
        <v>4500</v>
      </c>
      <c r="HK40" s="294">
        <v>4800</v>
      </c>
      <c r="HL40" s="294">
        <v>4800</v>
      </c>
      <c r="HM40" s="294">
        <v>4800</v>
      </c>
      <c r="HN40" s="294">
        <v>4750</v>
      </c>
      <c r="HO40" s="294">
        <v>4750</v>
      </c>
      <c r="HP40" s="294">
        <v>4500</v>
      </c>
      <c r="HQ40" s="294">
        <v>4550</v>
      </c>
      <c r="HR40" s="294">
        <v>4550</v>
      </c>
      <c r="HS40" s="294">
        <v>4700</v>
      </c>
      <c r="HT40" s="294">
        <v>4550</v>
      </c>
      <c r="HU40" s="294">
        <v>4700</v>
      </c>
      <c r="HV40" s="294">
        <v>5250</v>
      </c>
      <c r="HW40" s="294">
        <v>5250</v>
      </c>
      <c r="HX40" s="294">
        <v>5450</v>
      </c>
      <c r="HY40" s="294">
        <v>5600</v>
      </c>
      <c r="HZ40" s="294">
        <v>5600</v>
      </c>
      <c r="IA40" s="294">
        <v>5200</v>
      </c>
      <c r="IB40" s="294">
        <v>5200</v>
      </c>
      <c r="IC40" s="294">
        <v>5250</v>
      </c>
      <c r="ID40" s="294">
        <v>5200</v>
      </c>
      <c r="IE40" s="294">
        <v>5200</v>
      </c>
      <c r="IF40" s="294">
        <v>5250</v>
      </c>
      <c r="IG40" s="244">
        <v>4029</v>
      </c>
      <c r="IH40" s="244">
        <v>4029</v>
      </c>
      <c r="II40" s="244">
        <v>4072</v>
      </c>
      <c r="IJ40" s="244">
        <v>4131</v>
      </c>
      <c r="IK40" s="244">
        <v>4131</v>
      </c>
      <c r="IL40" s="244">
        <v>4138</v>
      </c>
      <c r="IM40" s="244">
        <v>4157</v>
      </c>
      <c r="IN40" s="244">
        <v>4157</v>
      </c>
      <c r="IO40" s="244">
        <v>4082</v>
      </c>
      <c r="IP40" s="244">
        <v>4134</v>
      </c>
      <c r="IQ40" s="244">
        <v>4134</v>
      </c>
      <c r="IR40" s="244">
        <v>4184</v>
      </c>
      <c r="IS40" s="294">
        <v>4462</v>
      </c>
      <c r="IT40" s="294">
        <v>4462</v>
      </c>
      <c r="IU40" s="294">
        <v>4528</v>
      </c>
      <c r="IV40" s="294">
        <v>4593</v>
      </c>
      <c r="IW40" s="294">
        <v>4593</v>
      </c>
      <c r="IX40" s="294">
        <v>4692</v>
      </c>
      <c r="IY40" s="363">
        <v>4413</v>
      </c>
      <c r="IZ40" s="294">
        <v>3987</v>
      </c>
      <c r="JA40" s="294">
        <v>3987</v>
      </c>
      <c r="JB40" s="244">
        <v>4232</v>
      </c>
      <c r="JC40" s="294">
        <v>4700</v>
      </c>
      <c r="JD40" s="294">
        <v>4900</v>
      </c>
      <c r="JE40" s="294">
        <v>4900</v>
      </c>
      <c r="JF40" s="294">
        <v>4900</v>
      </c>
      <c r="JG40" s="294">
        <v>4900</v>
      </c>
      <c r="JH40" s="294">
        <v>5090</v>
      </c>
      <c r="JI40" s="294">
        <v>5350</v>
      </c>
      <c r="JJ40" s="294">
        <v>5350</v>
      </c>
      <c r="JK40" s="294">
        <v>5732</v>
      </c>
    </row>
    <row r="41" spans="1:271">
      <c r="A41" s="236" t="s">
        <v>2566</v>
      </c>
      <c r="B41" s="242">
        <f>36.166^2/B33</f>
        <v>7.5051104148205807</v>
      </c>
      <c r="C41" s="242">
        <f>36.166^2/C33</f>
        <v>7.5051104148205807</v>
      </c>
      <c r="D41" s="242">
        <f>36^2/D33</f>
        <v>7.4520000000000008</v>
      </c>
      <c r="E41" s="236">
        <v>7.5</v>
      </c>
      <c r="F41" s="242">
        <f>36.083^2/F33</f>
        <v>7.4930443815918357</v>
      </c>
      <c r="G41" s="242">
        <f>36.166^2/G33</f>
        <v>9.2633113031161471</v>
      </c>
      <c r="H41" s="364">
        <f>35.8^2/H33</f>
        <v>6.7739957716701902</v>
      </c>
      <c r="I41" s="242">
        <f>39.416^2/I33</f>
        <v>8.9164330337324902</v>
      </c>
      <c r="J41" s="242">
        <f>36.083^2/J33</f>
        <v>7.4722496238260856</v>
      </c>
      <c r="K41" s="242">
        <f>32.708^2/K33</f>
        <v>6.8202812171395557</v>
      </c>
      <c r="L41" s="242">
        <f>33.33^2/L33</f>
        <v>7.0821469072744856</v>
      </c>
      <c r="M41" s="242">
        <f>36^2/M33</f>
        <v>7.4349473684210539</v>
      </c>
      <c r="N41" s="242">
        <f>52.08^2/N33</f>
        <v>9.7023790079999994</v>
      </c>
      <c r="O41" s="242">
        <f>36.58^2/O33</f>
        <v>7.6230928059518854</v>
      </c>
      <c r="P41" s="242">
        <f>36.916^2/P33</f>
        <v>7.6263884095384604</v>
      </c>
      <c r="Q41" s="242">
        <f>36.916^2/Q33</f>
        <v>7.6142853001599979</v>
      </c>
      <c r="R41" s="242">
        <f>38.16^2/R33</f>
        <v>7.2023002678185728</v>
      </c>
      <c r="S41" s="242">
        <f>38.16^2/S33</f>
        <v>7.1769147428571403</v>
      </c>
      <c r="T41" s="236">
        <v>8.1300000000000008</v>
      </c>
      <c r="U41" s="242">
        <f>38.83^2/U33</f>
        <v>8.6031519588235259</v>
      </c>
      <c r="V41" s="242">
        <f>36^2/V33</f>
        <v>7.452</v>
      </c>
      <c r="W41" s="236">
        <v>7.4</v>
      </c>
      <c r="X41" s="236">
        <v>7.4</v>
      </c>
      <c r="Y41" s="242">
        <f>30.1837^2/Y33</f>
        <v>7.5913634511888377</v>
      </c>
      <c r="Z41" s="236">
        <v>8.65</v>
      </c>
      <c r="AA41" s="236">
        <v>5.42</v>
      </c>
      <c r="AB41" s="242">
        <f>38.3^2/AB33</f>
        <v>10.849778106508875</v>
      </c>
      <c r="AC41" s="242">
        <f>38.3 ^2/AC33</f>
        <v>10.123464458247065</v>
      </c>
      <c r="AD41" s="236">
        <v>9.9</v>
      </c>
      <c r="AE41" s="236">
        <v>10.199999999999999</v>
      </c>
      <c r="AF41" s="242">
        <f>44^2/AF33</f>
        <v>13.081081081081081</v>
      </c>
      <c r="AG41" s="236">
        <f>38.25 ^2/AG33</f>
        <v>8.4906258656509692</v>
      </c>
      <c r="AH41" s="319"/>
      <c r="AI41" s="242">
        <f>31^2/AI33</f>
        <v>7.1449814126394049</v>
      </c>
      <c r="AJ41" s="242">
        <f>25.5906^2/AJ33</f>
        <v>8.5690427374718325</v>
      </c>
      <c r="AK41" s="236">
        <v>10.3</v>
      </c>
      <c r="AL41" s="236">
        <v>10.6</v>
      </c>
      <c r="AM41" s="236">
        <v>7.4</v>
      </c>
      <c r="AN41" s="236">
        <v>8.4</v>
      </c>
      <c r="AO41" s="236">
        <v>7.9</v>
      </c>
      <c r="AP41" s="236">
        <v>7.2</v>
      </c>
      <c r="AQ41" s="242">
        <f>30^2/AQ33</f>
        <v>5.625</v>
      </c>
      <c r="AR41" s="236">
        <v>7.2</v>
      </c>
      <c r="AS41" s="242">
        <f>32.8^2/AS33</f>
        <v>6.1652722063037242</v>
      </c>
      <c r="AT41" s="242">
        <f>32.8^2/AT33</f>
        <v>6.1652722063037242</v>
      </c>
      <c r="AU41" s="252"/>
      <c r="AV41" s="253"/>
      <c r="AW41" s="242">
        <f>37.3125^2/AW33</f>
        <v>6.7257133152173916</v>
      </c>
      <c r="AX41" s="242">
        <f>38.88^2/AX33</f>
        <v>7.2431931001437482</v>
      </c>
      <c r="AY41" s="242">
        <f>43^2/AY33</f>
        <v>8.859607091518928</v>
      </c>
      <c r="AZ41" s="242">
        <f>47.67^2/AZ33</f>
        <v>12.417644262295084</v>
      </c>
      <c r="BA41" s="242">
        <f>38.9058^2/BA33</f>
        <v>5.1660794322184298</v>
      </c>
      <c r="BB41" s="242">
        <f>38.55^2/BB33</f>
        <v>8.0854325353645251</v>
      </c>
      <c r="BC41" s="242">
        <f>38.55^2/BC33</f>
        <v>8.0854325353645251</v>
      </c>
      <c r="BD41" s="236">
        <v>12.8</v>
      </c>
      <c r="BE41" s="236">
        <v>10.1</v>
      </c>
      <c r="BF41" s="236">
        <v>8.2159999999999993</v>
      </c>
      <c r="BG41" s="236">
        <v>11.96</v>
      </c>
      <c r="BH41" s="242">
        <f>37.83^2/BH33</f>
        <v>7.1915020100502511</v>
      </c>
      <c r="BI41" s="242">
        <f>39.25^2/BI33</f>
        <v>7.2360850164396426</v>
      </c>
      <c r="BJ41" s="242">
        <f>30^2/BJ33</f>
        <v>6.9337442218798149</v>
      </c>
      <c r="BK41" s="236">
        <v>10.8</v>
      </c>
      <c r="BL41" s="242">
        <f>57.916^2/BL33</f>
        <v>10.820203406451613</v>
      </c>
      <c r="BM41" s="236">
        <v>10.8</v>
      </c>
      <c r="BN41" s="236">
        <v>9.4</v>
      </c>
      <c r="BO41" s="236">
        <v>10.8</v>
      </c>
      <c r="BP41" s="242">
        <f>54.39583^2/BP33</f>
        <v>10.534414416793291</v>
      </c>
      <c r="BQ41" s="242">
        <f>33.5^2/BQ33</f>
        <v>6.2002762430939224</v>
      </c>
      <c r="BR41" s="236">
        <v>11</v>
      </c>
      <c r="BS41" s="236">
        <v>12.4</v>
      </c>
      <c r="BT41" s="236">
        <v>13.4</v>
      </c>
      <c r="BU41" s="236"/>
      <c r="BV41" s="236">
        <v>12.4</v>
      </c>
      <c r="BW41" s="236">
        <v>12.4</v>
      </c>
      <c r="BX41" s="236">
        <v>11</v>
      </c>
      <c r="BY41" s="236">
        <v>9.9</v>
      </c>
      <c r="BZ41" s="236">
        <v>9.9</v>
      </c>
      <c r="CA41" s="236">
        <v>9.9</v>
      </c>
      <c r="CB41" s="236">
        <v>9.9</v>
      </c>
      <c r="CC41" s="236">
        <v>11.1</v>
      </c>
      <c r="CD41" s="236">
        <f>80.583^2/CD33</f>
        <v>11.081262609215017</v>
      </c>
      <c r="CE41" s="236">
        <f t="shared" ref="CE41:CG41" si="102">80.583^2/CE33</f>
        <v>11.081262609215017</v>
      </c>
      <c r="CF41" s="236">
        <f t="shared" si="102"/>
        <v>11.081262609215017</v>
      </c>
      <c r="CG41" s="236">
        <f t="shared" si="102"/>
        <v>11.081262609215017</v>
      </c>
      <c r="CH41" s="236">
        <v>12</v>
      </c>
      <c r="CI41" s="236">
        <f>88.75^2/CI33</f>
        <v>11.988679604261796</v>
      </c>
      <c r="CJ41" s="236">
        <f>88.75^2/CJ33</f>
        <v>11.988679604261796</v>
      </c>
      <c r="CK41" s="236">
        <f>88.75^2/CK33</f>
        <v>11.988679604261796</v>
      </c>
      <c r="CL41" s="236">
        <v>8.6999999999999993</v>
      </c>
      <c r="CM41" s="236">
        <v>8.6999999999999993</v>
      </c>
      <c r="CN41" s="236">
        <v>8.6999999999999993</v>
      </c>
      <c r="CO41" s="236">
        <v>9.1999999999999993</v>
      </c>
      <c r="CP41" s="236">
        <v>9.1999999999999993</v>
      </c>
      <c r="CQ41" s="236">
        <v>10.1</v>
      </c>
      <c r="CR41" s="236">
        <v>10.1</v>
      </c>
      <c r="CS41" s="236">
        <v>10.1</v>
      </c>
      <c r="CT41" s="236">
        <v>10.1</v>
      </c>
      <c r="CU41" s="236">
        <v>10.1</v>
      </c>
      <c r="CV41" s="236">
        <v>10.1</v>
      </c>
      <c r="CW41" s="254">
        <v>7.7</v>
      </c>
      <c r="CX41" s="254">
        <v>7.7</v>
      </c>
      <c r="CY41" s="254">
        <v>7.7</v>
      </c>
      <c r="CZ41" s="236">
        <v>10.1</v>
      </c>
      <c r="DA41" s="236">
        <v>8</v>
      </c>
      <c r="DB41" s="236">
        <v>8</v>
      </c>
      <c r="DC41" s="236">
        <v>8</v>
      </c>
      <c r="DD41" s="236">
        <v>9.3000000000000007</v>
      </c>
      <c r="DE41" s="236">
        <v>9.3000000000000007</v>
      </c>
      <c r="DF41" s="236">
        <v>9.25</v>
      </c>
      <c r="DG41" s="236">
        <v>9.25</v>
      </c>
      <c r="DH41" s="287">
        <v>7.5</v>
      </c>
      <c r="DI41" s="287">
        <v>7.5</v>
      </c>
      <c r="DJ41" s="236">
        <v>7.5</v>
      </c>
      <c r="DK41" s="236">
        <v>7.5</v>
      </c>
      <c r="DL41" s="236">
        <v>7.5</v>
      </c>
      <c r="DM41" s="236">
        <v>7.5</v>
      </c>
      <c r="DN41" s="236">
        <v>7.5</v>
      </c>
      <c r="DO41" s="254">
        <v>7.7</v>
      </c>
      <c r="DP41" s="254">
        <v>7.7</v>
      </c>
      <c r="DQ41" s="254">
        <v>7.7</v>
      </c>
      <c r="DR41" s="294">
        <v>7.31</v>
      </c>
      <c r="DS41" s="294">
        <v>7.31</v>
      </c>
      <c r="DT41" s="294">
        <v>7.31</v>
      </c>
      <c r="DU41" s="294">
        <v>7.31</v>
      </c>
      <c r="DV41" s="294">
        <v>7.31</v>
      </c>
      <c r="DW41" s="294">
        <v>7.03</v>
      </c>
      <c r="DX41" s="294">
        <v>7.53</v>
      </c>
      <c r="DY41" s="294">
        <v>7.53</v>
      </c>
      <c r="DZ41" s="294">
        <v>7.03</v>
      </c>
      <c r="EA41" s="294">
        <v>7.53</v>
      </c>
      <c r="EB41" s="294">
        <v>7.53</v>
      </c>
      <c r="EC41" s="242">
        <f>(130.8333^2)/EC33</f>
        <v>7.0338124717812969</v>
      </c>
      <c r="ED41" s="242">
        <f>(130.8333^2)/ED33</f>
        <v>6.7884247343459378</v>
      </c>
      <c r="EE41" s="242">
        <f>(130.8333^2)/EE33</f>
        <v>6.7884247343459378</v>
      </c>
      <c r="EF41" s="242">
        <f>(142.41667^2)/EF33</f>
        <v>6.6500025881602953</v>
      </c>
      <c r="EG41" s="242">
        <f>(142.41667^2)/EG33</f>
        <v>6.6500025881602953</v>
      </c>
      <c r="EH41" s="244">
        <v>7.056</v>
      </c>
      <c r="EI41" s="244">
        <v>7.056</v>
      </c>
      <c r="EJ41" s="244">
        <v>8.6999999999999993</v>
      </c>
      <c r="EK41" s="244">
        <v>8.6999999999999993</v>
      </c>
      <c r="EL41" s="242">
        <f>(108^2)/EL33</f>
        <v>6.8611764705882354</v>
      </c>
      <c r="EM41" s="242">
        <f>(108^2)/EM33</f>
        <v>6.8611764705882354</v>
      </c>
      <c r="EN41" s="242">
        <f>(108^2)/EN33</f>
        <v>6.8611764705882354</v>
      </c>
      <c r="EO41" s="242">
        <f>(108^2)/EO33</f>
        <v>6.8611764705882354</v>
      </c>
      <c r="EP41" s="244">
        <v>7.07</v>
      </c>
      <c r="EQ41" s="244">
        <v>7.07</v>
      </c>
      <c r="ER41" s="244">
        <v>7.07</v>
      </c>
      <c r="ES41" s="244">
        <v>7.07</v>
      </c>
      <c r="ET41" s="242">
        <f>(93^2)/ET33</f>
        <v>7.8770491803278686</v>
      </c>
      <c r="EU41" s="242">
        <f t="shared" ref="EU41:FB41" si="103">(93^2)/EU33</f>
        <v>7.8770491803278686</v>
      </c>
      <c r="EV41" s="242">
        <f t="shared" si="103"/>
        <v>7.8770491803278686</v>
      </c>
      <c r="EW41" s="242">
        <f t="shared" si="103"/>
        <v>7.8770491803278686</v>
      </c>
      <c r="EX41" s="242">
        <f t="shared" si="103"/>
        <v>7.8770491803278686</v>
      </c>
      <c r="EY41" s="242">
        <f t="shared" si="103"/>
        <v>7.8770491803278686</v>
      </c>
      <c r="EZ41" s="242">
        <f t="shared" si="103"/>
        <v>7.8770491803278686</v>
      </c>
      <c r="FA41" s="242">
        <f t="shared" si="103"/>
        <v>7.8770491803278686</v>
      </c>
      <c r="FB41" s="242">
        <f t="shared" si="103"/>
        <v>7.8770491803278686</v>
      </c>
      <c r="FC41" s="242">
        <f>(94.75^2)/FC33</f>
        <v>7.9167217813051147</v>
      </c>
      <c r="FD41" s="242">
        <f t="shared" ref="FD41:FG41" si="104">(94.75^2)/FD33</f>
        <v>7.9167217813051147</v>
      </c>
      <c r="FE41" s="242">
        <f t="shared" si="104"/>
        <v>7.9167217813051147</v>
      </c>
      <c r="FF41" s="242">
        <f t="shared" si="104"/>
        <v>7.9167217813051147</v>
      </c>
      <c r="FG41" s="242">
        <f t="shared" si="104"/>
        <v>7.9167217813051147</v>
      </c>
      <c r="FH41" s="244">
        <v>9.4</v>
      </c>
      <c r="FI41" s="244">
        <v>9.4</v>
      </c>
      <c r="FJ41" s="244">
        <v>9.4</v>
      </c>
      <c r="FK41" s="244">
        <v>9.4</v>
      </c>
      <c r="FL41" s="244">
        <v>9.4</v>
      </c>
      <c r="FM41" s="244">
        <v>9.4</v>
      </c>
      <c r="FN41" s="244">
        <v>9.4</v>
      </c>
      <c r="FO41" s="242">
        <f>(117.833^2)/FO33</f>
        <v>10.134756123357663</v>
      </c>
      <c r="FP41" s="242">
        <f t="shared" ref="FP41:FU41" si="105">(117.833^2)/FP33</f>
        <v>10.134756123357663</v>
      </c>
      <c r="FQ41" s="242">
        <f t="shared" si="105"/>
        <v>10.134756123357663</v>
      </c>
      <c r="FR41" s="242">
        <f t="shared" si="105"/>
        <v>10.134756123357663</v>
      </c>
      <c r="FS41" s="242">
        <f t="shared" si="105"/>
        <v>10.134756123357663</v>
      </c>
      <c r="FT41" s="242">
        <f t="shared" si="105"/>
        <v>10.134756123357663</v>
      </c>
      <c r="FU41" s="242">
        <f t="shared" si="105"/>
        <v>10.134756123357663</v>
      </c>
      <c r="FV41" s="242">
        <f>(124.833^2)/FV33</f>
        <v>7.8150841970912737</v>
      </c>
      <c r="FW41" s="242">
        <f t="shared" ref="FW41:GE41" si="106">(124.833^2)/FW33</f>
        <v>7.8150841970912737</v>
      </c>
      <c r="FX41" s="242">
        <f t="shared" si="106"/>
        <v>7.8150841970912737</v>
      </c>
      <c r="FY41" s="242">
        <f t="shared" si="106"/>
        <v>7.8150841970912737</v>
      </c>
      <c r="FZ41" s="242">
        <f t="shared" si="106"/>
        <v>7.8150841970912737</v>
      </c>
      <c r="GA41" s="242">
        <f t="shared" si="106"/>
        <v>7.8150841970912737</v>
      </c>
      <c r="GB41" s="242">
        <f t="shared" si="106"/>
        <v>7.8150841970912737</v>
      </c>
      <c r="GC41" s="242">
        <f t="shared" si="106"/>
        <v>7.8150841970912737</v>
      </c>
      <c r="GD41" s="242">
        <f t="shared" si="106"/>
        <v>7.8150841970912737</v>
      </c>
      <c r="GE41" s="242">
        <f t="shared" si="106"/>
        <v>7.8150841970912737</v>
      </c>
      <c r="GF41" s="242">
        <f>(156.083^2)/GF33</f>
        <v>7.9875091439344263</v>
      </c>
      <c r="GG41" s="242">
        <f t="shared" ref="GG41:GO41" si="107">(156.083^2)/GG33</f>
        <v>7.9875091439344263</v>
      </c>
      <c r="GH41" s="242">
        <f t="shared" si="107"/>
        <v>7.9875091439344263</v>
      </c>
      <c r="GI41" s="242">
        <f t="shared" si="107"/>
        <v>7.9875091439344263</v>
      </c>
      <c r="GJ41" s="242">
        <f t="shared" si="107"/>
        <v>7.9875091439344263</v>
      </c>
      <c r="GK41" s="242">
        <f t="shared" si="107"/>
        <v>7.9875091439344263</v>
      </c>
      <c r="GL41" s="242">
        <f t="shared" si="107"/>
        <v>7.9875091439344263</v>
      </c>
      <c r="GM41" s="242">
        <f t="shared" si="107"/>
        <v>7.9875091439344263</v>
      </c>
      <c r="GN41" s="242">
        <f t="shared" si="107"/>
        <v>7.9875091439344263</v>
      </c>
      <c r="GO41" s="242">
        <f t="shared" si="107"/>
        <v>7.9875091439344263</v>
      </c>
      <c r="GP41" s="244">
        <v>8.8000000000000007</v>
      </c>
      <c r="GQ41" s="244">
        <v>8.8000000000000007</v>
      </c>
      <c r="GR41" s="244">
        <v>8.8000000000000007</v>
      </c>
      <c r="GS41" s="244">
        <v>8.8000000000000007</v>
      </c>
      <c r="GT41" s="244">
        <v>8.8000000000000007</v>
      </c>
      <c r="GU41" s="244">
        <v>8.8000000000000007</v>
      </c>
      <c r="GV41" s="244">
        <v>8.8000000000000007</v>
      </c>
      <c r="GW41" s="244">
        <v>8.8000000000000007</v>
      </c>
      <c r="GX41" s="244">
        <v>8.8000000000000007</v>
      </c>
      <c r="GY41" s="244">
        <v>9.5</v>
      </c>
      <c r="GZ41" s="244">
        <v>9.5</v>
      </c>
      <c r="HA41" s="244">
        <v>9.5</v>
      </c>
      <c r="HB41" s="244">
        <v>9.5</v>
      </c>
      <c r="HC41" s="244">
        <v>9.5</v>
      </c>
      <c r="HD41" s="244">
        <v>9.5</v>
      </c>
      <c r="HE41" s="244">
        <v>9.5</v>
      </c>
      <c r="HF41" s="244">
        <v>9.5</v>
      </c>
      <c r="HG41" s="244">
        <v>9.5</v>
      </c>
      <c r="HH41" s="244">
        <v>9.5</v>
      </c>
      <c r="HI41" s="244">
        <v>9.5</v>
      </c>
      <c r="HJ41" s="244">
        <v>9.5</v>
      </c>
      <c r="HK41" s="244">
        <v>9.5</v>
      </c>
      <c r="HL41" s="244">
        <v>9.5</v>
      </c>
      <c r="HM41" s="244">
        <v>9.5</v>
      </c>
      <c r="HN41" s="244">
        <v>9.5</v>
      </c>
      <c r="HO41" s="244">
        <v>9.5</v>
      </c>
      <c r="HP41" s="244">
        <v>9.5</v>
      </c>
      <c r="HQ41" s="244">
        <v>9.5</v>
      </c>
      <c r="HR41" s="244">
        <v>9.5</v>
      </c>
      <c r="HS41" s="244">
        <v>9.5</v>
      </c>
      <c r="HT41" s="244">
        <v>9.5</v>
      </c>
      <c r="HU41" s="244">
        <v>9.5</v>
      </c>
      <c r="HV41" s="244">
        <v>9.5</v>
      </c>
      <c r="HW41" s="244">
        <v>9.5</v>
      </c>
      <c r="HX41" s="244">
        <v>9.5</v>
      </c>
      <c r="HY41" s="244">
        <v>9.5</v>
      </c>
      <c r="HZ41" s="244">
        <v>9.5</v>
      </c>
      <c r="IA41" s="244">
        <v>9.5</v>
      </c>
      <c r="IB41" s="244">
        <v>9.5</v>
      </c>
      <c r="IC41" s="244">
        <v>9.5</v>
      </c>
      <c r="ID41" s="244">
        <v>9.5</v>
      </c>
      <c r="IE41" s="244">
        <v>9.5</v>
      </c>
      <c r="IF41" s="244">
        <v>9.5</v>
      </c>
      <c r="IG41" s="242">
        <f>(85.29^2)/IG33</f>
        <v>9.2927747828308647</v>
      </c>
      <c r="IH41" s="242">
        <f t="shared" ref="IH41:IL41" si="108">(85.29^2)/IH33</f>
        <v>9.2927747828308647</v>
      </c>
      <c r="II41" s="242">
        <f t="shared" si="108"/>
        <v>9.2927747828308647</v>
      </c>
      <c r="IJ41" s="242">
        <f t="shared" si="108"/>
        <v>9.2927747828308647</v>
      </c>
      <c r="IK41" s="242">
        <f t="shared" si="108"/>
        <v>9.2927747828308647</v>
      </c>
      <c r="IL41" s="242">
        <f t="shared" si="108"/>
        <v>9.2927747828308647</v>
      </c>
      <c r="IM41" s="242">
        <f>(94.229^2)/IM33</f>
        <v>8.914763494979919</v>
      </c>
      <c r="IN41" s="242">
        <f t="shared" ref="IN41:IR41" si="109">(94.229^2)/IN33</f>
        <v>8.914763494979919</v>
      </c>
      <c r="IO41" s="242">
        <f t="shared" si="109"/>
        <v>8.914763494979919</v>
      </c>
      <c r="IP41" s="242">
        <f t="shared" si="109"/>
        <v>8.914763494979919</v>
      </c>
      <c r="IQ41" s="242">
        <f t="shared" si="109"/>
        <v>8.914763494979919</v>
      </c>
      <c r="IR41" s="242">
        <f t="shared" si="109"/>
        <v>8.914763494979919</v>
      </c>
      <c r="IS41" s="244">
        <v>7.8</v>
      </c>
      <c r="IT41" s="244">
        <v>7.8</v>
      </c>
      <c r="IU41" s="244">
        <v>7.8</v>
      </c>
      <c r="IV41" s="244">
        <v>7.8</v>
      </c>
      <c r="IW41" s="244">
        <v>7.8</v>
      </c>
      <c r="IX41" s="244">
        <v>7.8</v>
      </c>
      <c r="IY41" s="244">
        <v>11</v>
      </c>
      <c r="IZ41" s="244">
        <v>11</v>
      </c>
      <c r="JA41" s="244">
        <v>11</v>
      </c>
      <c r="JB41" s="244">
        <v>11.5</v>
      </c>
      <c r="JC41" s="244">
        <v>8.9</v>
      </c>
      <c r="JD41" s="244">
        <v>8.9</v>
      </c>
      <c r="JE41" s="244">
        <v>8.9</v>
      </c>
      <c r="JF41" s="244">
        <v>8.9</v>
      </c>
      <c r="JG41" s="244">
        <v>8.9</v>
      </c>
      <c r="JH41" s="244">
        <v>7.4</v>
      </c>
      <c r="JI41" s="244">
        <v>9</v>
      </c>
      <c r="JJ41" s="244">
        <v>9</v>
      </c>
      <c r="JK41" s="242">
        <f t="shared" ref="JK41" si="110">(94.229^2)/JK33</f>
        <v>10.65918900480192</v>
      </c>
    </row>
    <row r="42" spans="1:271">
      <c r="A42" s="236" t="s">
        <v>2567</v>
      </c>
      <c r="B42" s="349">
        <f>1/(B20/B27)</f>
        <v>3.8594843285727986E-3</v>
      </c>
      <c r="C42" s="349">
        <f>C27/C20</f>
        <v>3.8594843285727981E-3</v>
      </c>
      <c r="D42" s="349">
        <f t="shared" ref="D42:BO42" si="111">D27/D20</f>
        <v>3.7660259853092176E-3</v>
      </c>
      <c r="E42" s="349">
        <f t="shared" si="111"/>
        <v>3.635703848353251E-3</v>
      </c>
      <c r="F42" s="349">
        <f t="shared" si="111"/>
        <v>3.7945622794514043E-3</v>
      </c>
      <c r="G42" s="349">
        <f t="shared" si="111"/>
        <v>3.8820131594812395E-3</v>
      </c>
      <c r="H42" s="349">
        <f t="shared" si="111"/>
        <v>4.1368710934957652E-3</v>
      </c>
      <c r="I42" s="349">
        <f t="shared" si="111"/>
        <v>4.0032570083841125E-3</v>
      </c>
      <c r="J42" s="349">
        <f t="shared" si="111"/>
        <v>4.0032573913043479E-3</v>
      </c>
      <c r="K42" s="349">
        <f t="shared" si="111"/>
        <v>4.6244487320837926E-3</v>
      </c>
      <c r="L42" s="349">
        <f t="shared" si="111"/>
        <v>4.2040443018943573E-3</v>
      </c>
      <c r="M42" s="349">
        <f t="shared" si="111"/>
        <v>4.3674965600954442E-3</v>
      </c>
      <c r="N42" s="349">
        <f t="shared" si="111"/>
        <v>2.9190226238053874E-3</v>
      </c>
      <c r="O42" s="349">
        <f t="shared" si="111"/>
        <v>4.2848707859174922E-3</v>
      </c>
      <c r="P42" s="349">
        <f t="shared" si="111"/>
        <v>4.0869873228933564E-3</v>
      </c>
      <c r="Q42" s="349">
        <f t="shared" si="111"/>
        <v>4.2056825295019428E-3</v>
      </c>
      <c r="R42" s="349">
        <f t="shared" si="111"/>
        <v>4.1815110421166311E-3</v>
      </c>
      <c r="S42" s="349">
        <f t="shared" si="111"/>
        <v>4.609618125000001E-3</v>
      </c>
      <c r="T42" s="349">
        <f t="shared" si="111"/>
        <v>3.6298900565171319E-3</v>
      </c>
      <c r="U42" s="349">
        <f t="shared" si="111"/>
        <v>4.0569359455191467E-3</v>
      </c>
      <c r="V42" s="349">
        <f t="shared" si="111"/>
        <v>5.3262215328757989E-3</v>
      </c>
      <c r="W42" s="349">
        <f t="shared" si="111"/>
        <v>5.0034202278530235E-3</v>
      </c>
      <c r="X42" s="349">
        <f t="shared" si="111"/>
        <v>3.9517127501981731E-3</v>
      </c>
      <c r="Y42" s="349">
        <f t="shared" si="111"/>
        <v>4.8693687176545415E-3</v>
      </c>
      <c r="Z42" s="349">
        <f t="shared" si="111"/>
        <v>3.4199635995955514E-3</v>
      </c>
      <c r="AA42" s="349">
        <f t="shared" si="111"/>
        <v>4.4595034419917046E-3</v>
      </c>
      <c r="AB42" s="349">
        <f t="shared" si="111"/>
        <v>3.0425359121127563E-3</v>
      </c>
      <c r="AC42" s="349">
        <f t="shared" si="111"/>
        <v>3.9913181097118366E-3</v>
      </c>
      <c r="AD42" s="349">
        <f t="shared" si="111"/>
        <v>3.3682797884483215E-3</v>
      </c>
      <c r="AE42" s="349">
        <f t="shared" si="111"/>
        <v>3.198626812722585E-3</v>
      </c>
      <c r="AF42" s="349">
        <f t="shared" si="111"/>
        <v>3.1799057022698003E-3</v>
      </c>
      <c r="AG42" s="349">
        <f t="shared" si="111"/>
        <v>2.7684537699434793E-3</v>
      </c>
      <c r="AH42" s="349">
        <f t="shared" si="111"/>
        <v>3.2459550577015853E-3</v>
      </c>
      <c r="AI42" s="349">
        <f t="shared" si="111"/>
        <v>8.57088122605364E-3</v>
      </c>
      <c r="AJ42" s="349">
        <f t="shared" si="111"/>
        <v>7.1986659999999985E-3</v>
      </c>
      <c r="AK42" s="349">
        <f t="shared" si="111"/>
        <v>2.7381673563856251E-3</v>
      </c>
      <c r="AL42" s="349">
        <f t="shared" si="111"/>
        <v>3.7014762847645622E-3</v>
      </c>
      <c r="AM42" s="349">
        <f t="shared" si="111"/>
        <v>4.3530042492355347E-3</v>
      </c>
      <c r="AN42" s="349">
        <f t="shared" si="111"/>
        <v>5.8363299795287267E-3</v>
      </c>
      <c r="AO42" s="349">
        <f t="shared" si="111"/>
        <v>7.8751237941127056E-3</v>
      </c>
      <c r="AP42" s="349">
        <f t="shared" si="111"/>
        <v>3.9918544294164273E-3</v>
      </c>
      <c r="AQ42" s="349">
        <f t="shared" si="111"/>
        <v>4.282554418604651E-3</v>
      </c>
      <c r="AR42" s="349">
        <f t="shared" si="111"/>
        <v>3.7596857879123287E-3</v>
      </c>
      <c r="AS42" s="349">
        <f t="shared" si="111"/>
        <v>4.6357048770984425E-3</v>
      </c>
      <c r="AT42" s="349">
        <f t="shared" si="111"/>
        <v>5.944491447930726E-3</v>
      </c>
      <c r="AU42" s="349">
        <f t="shared" si="111"/>
        <v>5.0236697653407133E-3</v>
      </c>
      <c r="AV42" s="349">
        <f t="shared" si="111"/>
        <v>4.6711315361939966E-3</v>
      </c>
      <c r="AW42" s="349">
        <f t="shared" si="111"/>
        <v>4.1506964513551448E-3</v>
      </c>
      <c r="AX42" s="349">
        <f t="shared" si="111"/>
        <v>4.322526907993585E-3</v>
      </c>
      <c r="AY42" s="349">
        <f t="shared" si="111"/>
        <v>4.3670615795702731E-3</v>
      </c>
      <c r="AZ42" s="349">
        <f t="shared" si="111"/>
        <v>3.8280613443342558E-3</v>
      </c>
      <c r="BA42" s="349">
        <f t="shared" si="111"/>
        <v>2.5529821257205426E-3</v>
      </c>
      <c r="BB42" s="349">
        <f t="shared" si="111"/>
        <v>4.3160923991119246E-3</v>
      </c>
      <c r="BC42" s="349">
        <f t="shared" si="111"/>
        <v>3.8013336400626882E-3</v>
      </c>
      <c r="BD42" s="349">
        <f t="shared" si="111"/>
        <v>2.8606138107416879E-3</v>
      </c>
      <c r="BE42" s="349">
        <f t="shared" si="111"/>
        <v>5.5274120044379038E-3</v>
      </c>
      <c r="BF42" s="349">
        <f t="shared" si="111"/>
        <v>8.1769002581670129E-3</v>
      </c>
      <c r="BG42" s="349">
        <f t="shared" si="111"/>
        <v>6.2038302888178833E-3</v>
      </c>
      <c r="BH42" s="349">
        <f t="shared" si="111"/>
        <v>3.759702552569535E-3</v>
      </c>
      <c r="BI42" s="349">
        <f t="shared" si="111"/>
        <v>4.1671641399627368E-3</v>
      </c>
      <c r="BJ42" s="349">
        <f t="shared" si="111"/>
        <v>3.9173389911765734E-3</v>
      </c>
      <c r="BK42" s="349">
        <f t="shared" si="111"/>
        <v>5.0230739450251652E-3</v>
      </c>
      <c r="BL42" s="349">
        <f t="shared" si="111"/>
        <v>4.6253377429161134E-3</v>
      </c>
      <c r="BM42" s="349">
        <f t="shared" si="111"/>
        <v>4.9433534795853638E-3</v>
      </c>
      <c r="BN42" s="349">
        <f t="shared" si="111"/>
        <v>5.26597233825304E-3</v>
      </c>
      <c r="BO42" s="349">
        <f t="shared" si="111"/>
        <v>7.6539871995877839E-3</v>
      </c>
      <c r="BP42" s="349">
        <f t="shared" ref="BP42:BR42" si="112">BP27/BP20</f>
        <v>5.4298409985990663E-3</v>
      </c>
      <c r="BQ42" s="349">
        <f t="shared" si="112"/>
        <v>3.3640497926202629E-3</v>
      </c>
      <c r="BR42" s="349">
        <f t="shared" si="112"/>
        <v>4.1070576380084402E-3</v>
      </c>
      <c r="BS42" s="349"/>
      <c r="BT42" s="236"/>
      <c r="BU42" s="236"/>
      <c r="BV42" s="236"/>
      <c r="BW42" s="236"/>
      <c r="BX42" s="349">
        <f>1/(BX20/BX27)</f>
        <v>3.0638253643314761E-3</v>
      </c>
      <c r="BY42" s="349">
        <f t="shared" ref="BY42:CK42" si="113">1/(BY20/BY27)</f>
        <v>4.7163175052040386E-3</v>
      </c>
      <c r="BZ42" s="349">
        <f t="shared" si="113"/>
        <v>4.523573920754499E-3</v>
      </c>
      <c r="CA42" s="349">
        <f t="shared" si="113"/>
        <v>4.7163175052040386E-3</v>
      </c>
      <c r="CB42" s="349">
        <f t="shared" si="113"/>
        <v>4.523573920754499E-3</v>
      </c>
      <c r="CC42" s="349">
        <f t="shared" si="113"/>
        <v>3.0062539102580139E-3</v>
      </c>
      <c r="CD42" s="349">
        <f t="shared" si="113"/>
        <v>2.8580032075320458E-3</v>
      </c>
      <c r="CE42" s="349">
        <f t="shared" si="113"/>
        <v>3.0241166577462775E-3</v>
      </c>
      <c r="CF42" s="349">
        <f t="shared" si="113"/>
        <v>3.0041081621404483E-3</v>
      </c>
      <c r="CG42" s="349">
        <f t="shared" si="113"/>
        <v>2.8953852774771193E-3</v>
      </c>
      <c r="CH42" s="349">
        <f t="shared" si="113"/>
        <v>2.7180152370944437E-3</v>
      </c>
      <c r="CI42" s="349">
        <f t="shared" si="113"/>
        <v>2.8423127508988575E-3</v>
      </c>
      <c r="CJ42" s="349">
        <f t="shared" si="113"/>
        <v>2.532677524006469E-3</v>
      </c>
      <c r="CK42" s="349">
        <f t="shared" si="113"/>
        <v>2.9534896237226002E-3</v>
      </c>
      <c r="CL42" s="236">
        <v>2.7777777777777779E-3</v>
      </c>
      <c r="CM42" s="236">
        <f>1/371.2</f>
        <v>2.6939655172413795E-3</v>
      </c>
      <c r="CN42" s="236">
        <f>1/355.9</f>
        <v>2.8097780275358249E-3</v>
      </c>
      <c r="CO42" s="349">
        <f t="shared" ref="CO42:CV42" si="114">1/(CO20/CO27)</f>
        <v>2.5354838709677422E-3</v>
      </c>
      <c r="CP42" s="349">
        <f t="shared" si="114"/>
        <v>2.4455434782608698E-3</v>
      </c>
      <c r="CQ42" s="349">
        <f t="shared" si="114"/>
        <v>2.1350769230769231E-3</v>
      </c>
      <c r="CR42" s="349">
        <f t="shared" si="114"/>
        <v>2.2241538461538458E-3</v>
      </c>
      <c r="CS42" s="349">
        <f t="shared" si="114"/>
        <v>2.3269230769230771E-3</v>
      </c>
      <c r="CT42" s="349">
        <f t="shared" si="114"/>
        <v>2.3865877712031559E-3</v>
      </c>
      <c r="CU42" s="349">
        <f t="shared" si="114"/>
        <v>2.2241538461538458E-3</v>
      </c>
      <c r="CV42" s="349">
        <f t="shared" si="114"/>
        <v>2.1350769230769231E-3</v>
      </c>
      <c r="CW42" s="254">
        <f>1/351.8</f>
        <v>2.8425241614553724E-3</v>
      </c>
      <c r="CX42" s="254">
        <f>1/358.9</f>
        <v>2.7862914460852605E-3</v>
      </c>
      <c r="CY42" s="254">
        <f>1/351.8</f>
        <v>2.8425241614553724E-3</v>
      </c>
      <c r="CZ42" s="349">
        <f t="shared" ref="CZ42" si="115">1/(CZ20/CZ27)</f>
        <v>2.7843478260869562E-3</v>
      </c>
      <c r="DA42" s="349">
        <f>1/(DA20/DA27)</f>
        <v>2.9239471396717014E-3</v>
      </c>
      <c r="DB42" s="236">
        <f>1/331.4</f>
        <v>3.0175015087507548E-3</v>
      </c>
      <c r="DC42" s="236">
        <f>1/338.5</f>
        <v>2.9542097488921715E-3</v>
      </c>
      <c r="DD42" s="236">
        <f>1/362</f>
        <v>2.7624309392265192E-3</v>
      </c>
      <c r="DE42" s="236">
        <f>1/361</f>
        <v>2.7700831024930748E-3</v>
      </c>
      <c r="DF42" s="236">
        <f>1/367</f>
        <v>2.7247956403269754E-3</v>
      </c>
      <c r="DG42" s="236">
        <f>1/342</f>
        <v>2.9239766081871343E-3</v>
      </c>
      <c r="DH42" s="349">
        <f>1/(DH20/DH27)</f>
        <v>2.9580638127770916E-3</v>
      </c>
      <c r="DI42" s="349">
        <f t="shared" ref="DI42:DQ42" si="116">1/(DI20/DI27)</f>
        <v>2.6513554764154373E-3</v>
      </c>
      <c r="DJ42" s="349">
        <f t="shared" si="116"/>
        <v>2.7027456463709167E-3</v>
      </c>
      <c r="DK42" s="349">
        <f t="shared" si="116"/>
        <v>2.7825886614973941E-3</v>
      </c>
      <c r="DL42" s="349">
        <f t="shared" si="116"/>
        <v>2.4548747934409559E-3</v>
      </c>
      <c r="DM42" s="349">
        <f t="shared" si="116"/>
        <v>2.8123808313207069E-3</v>
      </c>
      <c r="DN42" s="236">
        <f>1/463</f>
        <v>2.1598272138228943E-3</v>
      </c>
      <c r="DO42" s="349">
        <f t="shared" si="116"/>
        <v>2.6726748552462634E-3</v>
      </c>
      <c r="DP42" s="349">
        <f t="shared" si="116"/>
        <v>2.6125929694502995E-3</v>
      </c>
      <c r="DQ42" s="349">
        <f t="shared" si="116"/>
        <v>2.5873973399229595E-3</v>
      </c>
      <c r="DR42" s="365">
        <v>1.724673990338511E-3</v>
      </c>
      <c r="DS42" s="365">
        <v>2.4870255588480546E-3</v>
      </c>
      <c r="DT42" s="365">
        <v>2.1792195069329978E-3</v>
      </c>
      <c r="DU42" s="365">
        <v>2.1792186668356359E-3</v>
      </c>
      <c r="DV42" s="365">
        <v>2.1725136018393557E-3</v>
      </c>
      <c r="DW42" s="365">
        <v>2.1725136018393557E-3</v>
      </c>
      <c r="DX42" s="365">
        <v>2.0173340591012694E-3</v>
      </c>
      <c r="DY42" s="365">
        <v>1.9889209030680244E-3</v>
      </c>
      <c r="DZ42" s="365">
        <v>2.8966761637477596E-3</v>
      </c>
      <c r="EA42" s="365">
        <v>2.8102082183790148E-3</v>
      </c>
      <c r="EB42" s="365">
        <v>2.6518866282962943E-3</v>
      </c>
      <c r="EC42" s="365">
        <v>2.053025384420083E-3</v>
      </c>
      <c r="ED42" s="365">
        <v>2.96548022600971E-3</v>
      </c>
      <c r="EE42" s="365">
        <v>2.69174358950477E-3</v>
      </c>
      <c r="EF42" s="365">
        <v>2.1974283698390669E-3</v>
      </c>
      <c r="EG42" s="365">
        <v>2.1974275228869144E-3</v>
      </c>
      <c r="EH42" s="365">
        <v>2.1567135352825455E-3</v>
      </c>
      <c r="EI42" s="365">
        <v>2.2649227724967583E-3</v>
      </c>
      <c r="EJ42" s="365">
        <v>3.1100067256072447E-3</v>
      </c>
      <c r="EK42" s="365">
        <v>3.4738721667567584E-3</v>
      </c>
      <c r="EL42" s="365">
        <v>2.5733471077192772E-3</v>
      </c>
      <c r="EM42" s="365">
        <v>2.5227848759674354E-3</v>
      </c>
      <c r="EN42" s="365">
        <v>2.5733471077192772E-3</v>
      </c>
      <c r="EO42" s="365">
        <v>2.5227848759674354E-3</v>
      </c>
      <c r="EP42" s="365">
        <v>2.4649375798199633E-3</v>
      </c>
      <c r="EQ42" s="365">
        <v>2.4653420738220211E-3</v>
      </c>
      <c r="ER42" s="365">
        <v>2.4683757225418615E-3</v>
      </c>
      <c r="ES42" s="365">
        <v>2.4416088325976927E-3</v>
      </c>
      <c r="ET42" s="365">
        <v>2.6658818495336116E-3</v>
      </c>
      <c r="EU42" s="365">
        <v>2.585397863822616E-3</v>
      </c>
      <c r="EV42" s="365">
        <v>2.4622719294648365E-3</v>
      </c>
      <c r="EW42" s="365">
        <v>2.6320843671351363E-3</v>
      </c>
      <c r="EX42" s="365">
        <v>2.5983587711587374E-3</v>
      </c>
      <c r="EY42" s="365">
        <v>2.5205958917457372E-3</v>
      </c>
      <c r="EZ42" s="365">
        <v>2.4497563239755812E-3</v>
      </c>
      <c r="FA42" s="365">
        <v>2.7169897155483696E-3</v>
      </c>
      <c r="FB42" s="365">
        <v>2.4497563239755812E-3</v>
      </c>
      <c r="FC42" s="365">
        <v>3.1664985838026653E-3</v>
      </c>
      <c r="FD42" s="365">
        <v>3.1639051645206435E-3</v>
      </c>
      <c r="FE42" s="365">
        <v>3.1296084991273743E-3</v>
      </c>
      <c r="FF42" s="365">
        <v>3.2344696561834021E-3</v>
      </c>
      <c r="FG42" s="365">
        <v>3.413218170951761E-3</v>
      </c>
      <c r="FH42" s="365">
        <v>2.926197884145376E-3</v>
      </c>
      <c r="FI42" s="365">
        <v>2.615097031997271E-3</v>
      </c>
      <c r="FJ42" s="365">
        <v>3.0523424159954473E-3</v>
      </c>
      <c r="FK42" s="365">
        <v>2.9611268607592387E-3</v>
      </c>
      <c r="FL42" s="365">
        <v>2.7481694641067786E-3</v>
      </c>
      <c r="FM42" s="365">
        <v>2.36277138898794E-3</v>
      </c>
      <c r="FN42" s="365">
        <v>2.7247221411328261E-3</v>
      </c>
      <c r="FO42" s="365">
        <v>3.1066824440197345E-3</v>
      </c>
      <c r="FP42" s="365">
        <v>3.1559459853759942E-3</v>
      </c>
      <c r="FQ42" s="365">
        <v>3.1559459853759942E-3</v>
      </c>
      <c r="FR42" s="365">
        <v>2.9533256331293789E-3</v>
      </c>
      <c r="FS42" s="365">
        <v>2.9055868102797464E-3</v>
      </c>
      <c r="FT42" s="365">
        <v>3.1559459853759942E-3</v>
      </c>
      <c r="FU42" s="365">
        <v>2.9533256331293789E-3</v>
      </c>
      <c r="FV42" s="365">
        <v>2.944299118027426E-3</v>
      </c>
      <c r="FW42" s="365">
        <v>3.1462561171426711E-3</v>
      </c>
      <c r="FX42" s="365">
        <v>3.0011703631052126E-3</v>
      </c>
      <c r="FY42" s="365">
        <v>3.047021184221602E-3</v>
      </c>
      <c r="FZ42" s="365">
        <v>2.944299118027426E-3</v>
      </c>
      <c r="GA42" s="365">
        <v>3.1192843549428112E-3</v>
      </c>
      <c r="GB42" s="365">
        <v>2.971050216230836E-3</v>
      </c>
      <c r="GC42" s="365">
        <v>3.1235976159486038E-3</v>
      </c>
      <c r="GD42" s="365">
        <v>2.8773413900511236E-3</v>
      </c>
      <c r="GE42" s="365">
        <v>3.0901820850641015E-3</v>
      </c>
      <c r="GF42" s="365">
        <v>3.3384347175283782E-3</v>
      </c>
      <c r="GG42" s="365">
        <v>3.0681667866400164E-3</v>
      </c>
      <c r="GH42" s="365">
        <v>3.1634272551015448E-3</v>
      </c>
      <c r="GI42" s="365">
        <v>3.0304013098907236E-3</v>
      </c>
      <c r="GJ42" s="365">
        <v>3.3026180889953018E-3</v>
      </c>
      <c r="GK42" s="365">
        <v>3.2346287146584117E-3</v>
      </c>
      <c r="GL42" s="365">
        <v>3.3477145851362692E-3</v>
      </c>
      <c r="GM42" s="365">
        <v>3.1710947106496972E-3</v>
      </c>
      <c r="GN42" s="365">
        <v>2.9352868623914691E-3</v>
      </c>
      <c r="GO42" s="365">
        <v>3.0129516916769547E-3</v>
      </c>
      <c r="GP42" s="365">
        <v>3.3004454549182129E-3</v>
      </c>
      <c r="GQ42" s="365">
        <v>3.2350696969610671E-3</v>
      </c>
      <c r="GR42" s="365">
        <v>3.1432813854387889E-3</v>
      </c>
      <c r="GS42" s="365">
        <v>3.0680197186278434E-3</v>
      </c>
      <c r="GT42" s="365">
        <v>3.1325504225034741E-3</v>
      </c>
      <c r="GU42" s="365">
        <v>3.1113826662291706E-3</v>
      </c>
      <c r="GV42" s="365">
        <v>2.9073343792757559E-3</v>
      </c>
      <c r="GW42" s="365">
        <v>3.1137549997894867E-3</v>
      </c>
      <c r="GX42" s="365">
        <v>2.8457768293648489E-3</v>
      </c>
      <c r="GY42" s="365">
        <v>3.2570027117592871E-3</v>
      </c>
      <c r="GZ42" s="365">
        <v>3.3323965089215677E-3</v>
      </c>
      <c r="HA42" s="365">
        <v>3.0483399998867786E-3</v>
      </c>
      <c r="HB42" s="365">
        <v>3.1137549997894867E-3</v>
      </c>
      <c r="HC42" s="365">
        <v>3.0581523504551924E-3</v>
      </c>
      <c r="HD42" s="365">
        <v>2.7690915920460654E-3</v>
      </c>
      <c r="HE42" s="365">
        <v>3.1815094832791432E-3</v>
      </c>
      <c r="HF42" s="365">
        <v>2.7148874175377349E-3</v>
      </c>
      <c r="HG42" s="365">
        <v>2.9222752322040188E-3</v>
      </c>
      <c r="HH42" s="365">
        <v>3.3375562498046359E-3</v>
      </c>
      <c r="HI42" s="365">
        <v>3.1956492712839689E-3</v>
      </c>
      <c r="HJ42" s="365">
        <v>3.3695278127025591E-3</v>
      </c>
      <c r="HK42" s="365">
        <v>3.0260010883466811E-3</v>
      </c>
      <c r="HL42" s="365">
        <v>3.2075610888108457E-3</v>
      </c>
      <c r="HM42" s="365">
        <v>3.0795380254189293E-3</v>
      </c>
      <c r="HN42" s="365">
        <v>3.0017930793710388E-3</v>
      </c>
      <c r="HO42" s="365">
        <v>2.8286127096685833E-3</v>
      </c>
      <c r="HP42" s="365">
        <v>2.906171428876394E-3</v>
      </c>
      <c r="HQ42" s="365">
        <v>3.0540701009060087E-3</v>
      </c>
      <c r="HR42" s="365">
        <v>3.0490025267660204E-3</v>
      </c>
      <c r="HS42" s="365">
        <v>2.9340106122060657E-3</v>
      </c>
      <c r="HT42" s="365">
        <v>3.2984407590723221E-3</v>
      </c>
      <c r="HU42" s="365">
        <v>3.2933731647891698E-3</v>
      </c>
      <c r="HV42" s="365">
        <v>3.2155818556137638E-3</v>
      </c>
      <c r="HW42" s="365">
        <v>3.204863271818801E-3</v>
      </c>
      <c r="HX42" s="365">
        <v>3.0987611143768437E-3</v>
      </c>
      <c r="HY42" s="365">
        <v>3.0447720046162981E-3</v>
      </c>
      <c r="HZ42" s="365">
        <v>3.0067122990922322E-3</v>
      </c>
      <c r="IA42" s="365">
        <v>3.2147146066978907E-3</v>
      </c>
      <c r="IB42" s="365">
        <v>3.0599957219729808E-3</v>
      </c>
      <c r="IC42" s="365">
        <v>3.1503871655863122E-3</v>
      </c>
      <c r="ID42" s="365">
        <v>2.9495835053589426E-3</v>
      </c>
      <c r="IE42" s="365">
        <v>2.832768316730076E-3</v>
      </c>
      <c r="IF42" s="365">
        <v>2.9164475251641816E-3</v>
      </c>
      <c r="IG42" s="365">
        <v>3.5867571545717476E-3</v>
      </c>
      <c r="IH42" s="365">
        <v>3.4700911296142857E-3</v>
      </c>
      <c r="II42" s="365">
        <v>3.3442329017966408E-3</v>
      </c>
      <c r="IJ42" s="365">
        <v>3.4423303995739746E-3</v>
      </c>
      <c r="IK42" s="365">
        <v>3.3278522818659295E-3</v>
      </c>
      <c r="IL42" s="365">
        <v>3.1976068864485612E-3</v>
      </c>
      <c r="IM42" s="365">
        <v>3.5034735296917809E-3</v>
      </c>
      <c r="IN42" s="365">
        <v>3.328648111327475E-3</v>
      </c>
      <c r="IO42" s="365">
        <v>3.2322586874474497E-3</v>
      </c>
      <c r="IP42" s="365">
        <v>3.4316663248898593E-3</v>
      </c>
      <c r="IQ42" s="365">
        <v>3.2965347510398378E-3</v>
      </c>
      <c r="IR42" s="365">
        <v>3.201969784185629E-3</v>
      </c>
      <c r="IS42" s="365">
        <v>3.5484210528743654E-3</v>
      </c>
      <c r="IT42" s="365">
        <v>3.3709999996325611E-3</v>
      </c>
      <c r="IU42" s="365">
        <v>3.1952606636182616E-3</v>
      </c>
      <c r="IV42" s="365">
        <v>3.2120057167663186E-3</v>
      </c>
      <c r="IW42" s="365">
        <v>3.064545454211419E-3</v>
      </c>
      <c r="IX42" s="365">
        <v>3.2921161824843691E-3</v>
      </c>
      <c r="IY42" s="365">
        <v>3.0044843048923167E-3</v>
      </c>
      <c r="IZ42" s="365">
        <v>3.4751773054574717E-3</v>
      </c>
      <c r="JA42" s="365">
        <v>3.4751773054574717E-3</v>
      </c>
      <c r="JB42" s="365">
        <v>3.1869918699601561E-3</v>
      </c>
      <c r="JC42" s="365">
        <v>3.8110486456567239E-3</v>
      </c>
      <c r="JD42" s="365">
        <v>3.5458090172742936E-3</v>
      </c>
      <c r="JE42" s="365">
        <v>3.4118880245208733E-3</v>
      </c>
      <c r="JF42" s="365">
        <v>3.5458090172742936E-3</v>
      </c>
      <c r="JG42" s="365">
        <v>3.4118880245208733E-3</v>
      </c>
      <c r="JH42" s="365">
        <v>3.9116336853439087E-3</v>
      </c>
      <c r="JI42" s="365">
        <v>3.367685043151135E-3</v>
      </c>
      <c r="JJ42" s="365">
        <v>3.367685043151135E-3</v>
      </c>
      <c r="JK42" s="365">
        <v>3.0999039381618266E-3</v>
      </c>
    </row>
    <row r="43" spans="1:271">
      <c r="A43" s="277" t="s">
        <v>2568</v>
      </c>
      <c r="B43" s="316"/>
      <c r="C43" s="316"/>
      <c r="D43" s="316"/>
      <c r="E43" s="316"/>
      <c r="F43" s="316"/>
      <c r="G43" s="316"/>
      <c r="H43" s="316"/>
      <c r="I43" s="316"/>
      <c r="J43" s="316"/>
      <c r="K43" s="316"/>
      <c r="L43" s="316"/>
      <c r="M43" s="316"/>
      <c r="N43" s="316"/>
      <c r="O43" s="316"/>
      <c r="P43" s="316"/>
      <c r="Q43" s="316"/>
      <c r="R43" s="316"/>
      <c r="S43" s="316"/>
      <c r="T43" s="316"/>
      <c r="U43" s="316"/>
      <c r="V43" s="316"/>
      <c r="W43" s="316"/>
      <c r="X43" s="316"/>
      <c r="Y43" s="316"/>
      <c r="Z43" s="277">
        <v>0.63700000000000001</v>
      </c>
      <c r="AA43" s="316"/>
      <c r="AB43" s="316"/>
      <c r="AC43" s="316"/>
      <c r="AD43" s="316"/>
      <c r="AE43" s="316"/>
      <c r="AF43" s="316"/>
      <c r="AG43" s="316"/>
      <c r="AH43" s="316"/>
      <c r="AI43" s="316"/>
      <c r="AJ43" s="316"/>
      <c r="AK43" s="316"/>
      <c r="AL43" s="316"/>
      <c r="AM43" s="316"/>
      <c r="AN43" s="277">
        <v>0.59499999999999997</v>
      </c>
      <c r="AO43" s="316"/>
      <c r="AP43" s="316"/>
      <c r="AQ43" s="316"/>
      <c r="AR43" s="316"/>
      <c r="AS43" s="316"/>
      <c r="AT43" s="316"/>
      <c r="AU43" s="318"/>
      <c r="AV43" s="366"/>
      <c r="AW43" s="316"/>
      <c r="AX43" s="316"/>
      <c r="AY43" s="316"/>
      <c r="AZ43" s="316"/>
      <c r="BA43" s="277">
        <v>0.59099999999999997</v>
      </c>
      <c r="BB43" s="316"/>
      <c r="BC43" s="316"/>
      <c r="BD43" s="316"/>
      <c r="BE43" s="277">
        <v>0.59499999999999997</v>
      </c>
      <c r="BF43" s="277">
        <v>0.70299999999999996</v>
      </c>
      <c r="BG43" s="316"/>
      <c r="BH43" s="316"/>
      <c r="BI43" s="316"/>
      <c r="BJ43" s="316"/>
      <c r="BK43" s="277">
        <v>0.54800000000000004</v>
      </c>
      <c r="BL43" s="277">
        <v>0.54800000000000004</v>
      </c>
      <c r="BM43" s="277">
        <v>0.60099999999999998</v>
      </c>
      <c r="BN43" s="277">
        <v>0.60099999999999998</v>
      </c>
      <c r="BO43" s="277">
        <v>0.54800000000000004</v>
      </c>
      <c r="BP43" s="277">
        <v>0.54900000000000004</v>
      </c>
      <c r="BQ43" s="316"/>
      <c r="BR43" s="277">
        <v>0.49</v>
      </c>
      <c r="BS43" s="277">
        <v>0.48299999999999998</v>
      </c>
      <c r="BT43" s="277">
        <v>0.47</v>
      </c>
      <c r="BU43" s="316"/>
      <c r="BV43" s="277">
        <v>0.47599999999999998</v>
      </c>
      <c r="BW43" s="277">
        <v>0.48499999999999999</v>
      </c>
      <c r="BX43" s="316"/>
      <c r="BY43" s="277">
        <v>0.498</v>
      </c>
      <c r="BZ43" s="277">
        <v>0.498</v>
      </c>
      <c r="CA43" s="316"/>
      <c r="CB43" s="316"/>
      <c r="CC43" s="316"/>
      <c r="CD43" s="277">
        <v>0.48499999999999999</v>
      </c>
      <c r="CE43" s="277">
        <v>0.47599999999999998</v>
      </c>
      <c r="CF43" s="316"/>
      <c r="CG43" s="316"/>
      <c r="CH43" s="316"/>
      <c r="CI43" s="277">
        <v>0.45900000000000002</v>
      </c>
      <c r="CJ43" s="277">
        <v>0.46800000000000003</v>
      </c>
      <c r="CK43" s="316"/>
      <c r="CL43" s="277"/>
      <c r="CM43" s="367"/>
      <c r="CN43" s="277"/>
      <c r="CO43" s="277"/>
      <c r="CP43" s="277"/>
      <c r="CQ43" s="277">
        <v>0.32</v>
      </c>
      <c r="CR43" s="277"/>
      <c r="CS43" s="277"/>
      <c r="CT43" s="277"/>
      <c r="CU43" s="277"/>
      <c r="CV43" s="277"/>
      <c r="CW43" s="277">
        <v>0.316</v>
      </c>
      <c r="CX43" s="277">
        <v>0.35899999999999999</v>
      </c>
      <c r="CY43" s="368"/>
      <c r="CZ43" s="277">
        <v>0.34499999999999997</v>
      </c>
      <c r="DA43" s="277">
        <v>0.35099999999999998</v>
      </c>
      <c r="DB43" s="277">
        <v>0.378</v>
      </c>
      <c r="DC43" s="277">
        <v>0.32300000000000001</v>
      </c>
      <c r="DD43" s="277">
        <v>0.378</v>
      </c>
      <c r="DE43" s="369">
        <v>0.32400000000000001</v>
      </c>
      <c r="DF43" s="316"/>
      <c r="DG43" s="316"/>
      <c r="DH43" s="277">
        <v>0.34799999999999998</v>
      </c>
      <c r="DI43" s="277">
        <v>0.35</v>
      </c>
      <c r="DJ43" s="277">
        <v>0.371</v>
      </c>
      <c r="DK43" s="277">
        <v>0.371</v>
      </c>
      <c r="DL43" s="277">
        <v>0.624</v>
      </c>
      <c r="DM43" s="277">
        <v>0.63100000000000001</v>
      </c>
      <c r="DN43" s="277"/>
      <c r="DO43" s="277">
        <v>0.378</v>
      </c>
      <c r="DP43" s="368"/>
      <c r="DQ43" s="277">
        <v>0.32300000000000001</v>
      </c>
      <c r="DR43" s="275"/>
      <c r="DS43" s="244">
        <v>0.8</v>
      </c>
      <c r="DT43" s="244">
        <v>0.8</v>
      </c>
      <c r="DU43" s="365"/>
      <c r="DV43" s="244">
        <v>0.53500000000000003</v>
      </c>
      <c r="DW43" s="244">
        <v>0.53500000000000003</v>
      </c>
      <c r="DX43" s="244">
        <v>0.53500000000000003</v>
      </c>
      <c r="DY43" s="244">
        <v>0.53500000000000003</v>
      </c>
      <c r="DZ43" s="365"/>
      <c r="EA43" s="365"/>
      <c r="EB43" s="365"/>
      <c r="EC43" s="365"/>
      <c r="ED43" s="365"/>
      <c r="EE43" s="365"/>
      <c r="EF43" s="244">
        <v>0.8</v>
      </c>
      <c r="EG43" s="365">
        <v>0.73499999999999999</v>
      </c>
      <c r="EH43" s="244">
        <v>0.53500000000000003</v>
      </c>
      <c r="EI43" s="244">
        <v>0.55000000000000004</v>
      </c>
      <c r="EJ43" s="365"/>
      <c r="EK43" s="365"/>
      <c r="EL43" s="244">
        <v>0.58499999999999996</v>
      </c>
      <c r="EM43" s="244">
        <v>0.59499999999999997</v>
      </c>
      <c r="EN43" s="244">
        <v>0.58499999999999996</v>
      </c>
      <c r="EO43" s="244">
        <v>0.59499999999999997</v>
      </c>
      <c r="EP43" s="244">
        <v>0.59499999999999997</v>
      </c>
      <c r="EQ43" s="244">
        <v>0.63</v>
      </c>
      <c r="ER43" s="244">
        <v>0.64500000000000002</v>
      </c>
      <c r="ES43" s="244">
        <v>0.65500000000000003</v>
      </c>
      <c r="ET43" s="244">
        <v>0.58499999999999996</v>
      </c>
      <c r="EU43" s="244">
        <v>0.59499999999999997</v>
      </c>
      <c r="EV43" s="244">
        <v>0.59499999999999997</v>
      </c>
      <c r="EW43" s="244">
        <v>0.63</v>
      </c>
      <c r="EX43" s="244">
        <v>0.63</v>
      </c>
      <c r="EY43" s="244">
        <v>0.64500000000000002</v>
      </c>
      <c r="EZ43" s="244">
        <v>0.64500000000000002</v>
      </c>
      <c r="FA43" s="244">
        <v>0.64500000000000002</v>
      </c>
      <c r="FB43" s="244">
        <v>0.64500000000000002</v>
      </c>
      <c r="FC43" s="244">
        <v>0.65500000000000003</v>
      </c>
      <c r="FD43" s="244">
        <v>0.65500000000000003</v>
      </c>
      <c r="FE43" s="244">
        <v>0.65500000000000003</v>
      </c>
      <c r="FF43" s="244">
        <v>0.65500000000000003</v>
      </c>
      <c r="FG43" s="244">
        <v>0.65500000000000003</v>
      </c>
      <c r="FH43" s="244">
        <v>0.60299999999999998</v>
      </c>
      <c r="FI43" s="244">
        <v>0.60299999999999998</v>
      </c>
      <c r="FJ43" s="244">
        <v>0.60299999999999998</v>
      </c>
      <c r="FK43" s="244">
        <v>0.60299999999999998</v>
      </c>
      <c r="FL43" s="244">
        <v>0.60299999999999998</v>
      </c>
      <c r="FM43" s="244">
        <v>0.60299999999999998</v>
      </c>
      <c r="FN43" s="244">
        <v>0.60299999999999998</v>
      </c>
      <c r="FO43" s="365"/>
      <c r="FP43" s="365"/>
      <c r="FQ43" s="365"/>
      <c r="FR43" s="365"/>
      <c r="FS43" s="365"/>
      <c r="FT43" s="365"/>
      <c r="FU43" s="365"/>
      <c r="FV43" s="244">
        <v>0.34200000000000003</v>
      </c>
      <c r="FW43" s="244">
        <v>0.35199999999999998</v>
      </c>
      <c r="FX43" s="244">
        <v>0.38100000000000001</v>
      </c>
      <c r="FY43" s="244">
        <v>0.38100000000000001</v>
      </c>
      <c r="FZ43" s="244">
        <v>0.34200000000000003</v>
      </c>
      <c r="GA43" s="244">
        <v>0.35199999999999998</v>
      </c>
      <c r="GB43" s="244">
        <v>0.35199999999999998</v>
      </c>
      <c r="GC43" s="244">
        <v>0.35199999999999998</v>
      </c>
      <c r="GD43" s="244">
        <v>0.38100000000000001</v>
      </c>
      <c r="GE43" s="244">
        <v>0.38100000000000001</v>
      </c>
      <c r="GF43" s="365"/>
      <c r="GG43" s="244">
        <v>0.34399999999999997</v>
      </c>
      <c r="GH43" s="365"/>
      <c r="GI43" s="244">
        <v>0.34899999999999998</v>
      </c>
      <c r="GJ43" s="244">
        <v>0.35099999999999998</v>
      </c>
      <c r="GK43" s="244">
        <v>0.318</v>
      </c>
      <c r="GL43" s="244">
        <v>0.32600000000000001</v>
      </c>
      <c r="GM43" s="244">
        <v>0.35899999999999999</v>
      </c>
      <c r="GN43" s="365"/>
      <c r="GO43" s="365"/>
      <c r="GP43" s="244">
        <v>0.35699999999999998</v>
      </c>
      <c r="GQ43" s="365"/>
      <c r="GR43" s="244">
        <v>0.35699999999999998</v>
      </c>
      <c r="GS43" s="244">
        <v>0.35699999999999998</v>
      </c>
      <c r="GT43" s="365"/>
      <c r="GU43" s="244">
        <v>0.317</v>
      </c>
      <c r="GV43" s="365"/>
      <c r="GW43" s="244">
        <v>0.35899999999999999</v>
      </c>
      <c r="GX43" s="244">
        <v>0.317</v>
      </c>
      <c r="GY43" s="365"/>
      <c r="GZ43" s="244">
        <v>0.36</v>
      </c>
      <c r="HA43" s="365"/>
      <c r="HB43" s="244">
        <v>0.37</v>
      </c>
      <c r="HC43" s="365"/>
      <c r="HD43" s="365"/>
      <c r="HE43" s="365"/>
      <c r="HF43" s="365"/>
      <c r="HG43" s="365"/>
      <c r="HH43" s="365"/>
      <c r="HI43" s="365"/>
      <c r="HJ43" s="365"/>
      <c r="HK43" s="365"/>
      <c r="HL43" s="365"/>
      <c r="HM43" s="365"/>
      <c r="HN43" s="365"/>
      <c r="HO43" s="365"/>
      <c r="HP43" s="365"/>
      <c r="HQ43" s="365"/>
      <c r="HR43" s="365"/>
      <c r="HS43" s="365"/>
      <c r="HT43" s="365"/>
      <c r="HU43" s="365"/>
      <c r="HV43" s="365"/>
      <c r="HW43" s="365"/>
      <c r="HX43" s="365"/>
      <c r="HY43" s="365"/>
      <c r="HZ43" s="365"/>
      <c r="IA43" s="365"/>
      <c r="IB43" s="365"/>
      <c r="IC43" s="365"/>
      <c r="ID43" s="365"/>
      <c r="IE43" s="365"/>
      <c r="IF43" s="365"/>
      <c r="IG43" s="245">
        <v>0.39200000000000002</v>
      </c>
      <c r="IH43" s="245">
        <v>0.39200000000000002</v>
      </c>
      <c r="II43" s="245">
        <v>0.39300000000000002</v>
      </c>
      <c r="IJ43" s="245">
        <v>0.39200000000000002</v>
      </c>
      <c r="IK43" s="245">
        <v>0.39200000000000002</v>
      </c>
      <c r="IL43" s="245">
        <v>0.39300000000000002</v>
      </c>
      <c r="IM43" s="365"/>
      <c r="IN43" s="365"/>
      <c r="IO43" s="245">
        <v>0.39300000000000002</v>
      </c>
      <c r="IP43" s="365"/>
      <c r="IQ43" s="365"/>
      <c r="IR43" s="244">
        <v>0.39300000000000002</v>
      </c>
      <c r="IS43" s="244">
        <v>0.33</v>
      </c>
      <c r="IT43" s="244">
        <v>0.33</v>
      </c>
      <c r="IU43" s="244">
        <v>0.33</v>
      </c>
      <c r="IV43" s="244">
        <v>0.33</v>
      </c>
      <c r="IW43" s="244">
        <v>0.33</v>
      </c>
      <c r="IX43" s="244">
        <v>0.33</v>
      </c>
      <c r="IY43" s="365"/>
      <c r="IZ43" s="365"/>
      <c r="JA43" s="365"/>
      <c r="JB43" s="365"/>
      <c r="JC43" s="245">
        <v>0.35699999999999998</v>
      </c>
      <c r="JD43" s="245">
        <v>0.35699999999999998</v>
      </c>
      <c r="JE43" s="245">
        <v>0.35699999999999998</v>
      </c>
      <c r="JF43" s="245">
        <v>0.34599999999999997</v>
      </c>
      <c r="JG43" s="245">
        <v>0.34599999999999997</v>
      </c>
      <c r="JH43" s="245">
        <v>0.39</v>
      </c>
      <c r="JI43" s="245">
        <v>0.39</v>
      </c>
      <c r="JJ43" s="245">
        <v>0.39</v>
      </c>
      <c r="JK43" s="365"/>
    </row>
    <row r="44" spans="1:271">
      <c r="A44" s="236" t="s">
        <v>2569</v>
      </c>
      <c r="B44" s="258">
        <v>1947</v>
      </c>
      <c r="C44" s="258">
        <v>1947</v>
      </c>
      <c r="D44" s="258"/>
      <c r="E44" s="258"/>
      <c r="F44" s="258"/>
      <c r="G44" s="258"/>
      <c r="H44" s="258"/>
      <c r="I44" s="258"/>
      <c r="J44" s="258"/>
      <c r="K44" s="258"/>
      <c r="L44" s="258"/>
      <c r="M44" s="258"/>
      <c r="N44" s="258"/>
      <c r="O44" s="258"/>
      <c r="P44" s="258"/>
      <c r="Q44" s="258"/>
      <c r="R44" s="258"/>
      <c r="S44" s="258"/>
      <c r="T44" s="258"/>
      <c r="U44" s="258"/>
      <c r="V44" s="258"/>
      <c r="W44" s="258"/>
      <c r="X44" s="258"/>
      <c r="Y44" s="258"/>
      <c r="Z44" s="258"/>
      <c r="AA44" s="258"/>
      <c r="AB44" s="258"/>
      <c r="AC44" s="258"/>
      <c r="AD44" s="258"/>
      <c r="AE44" s="258"/>
      <c r="AF44" s="258"/>
      <c r="AG44" s="258"/>
      <c r="AH44" s="258"/>
      <c r="AI44" s="258"/>
      <c r="AJ44" s="258"/>
      <c r="AK44" s="258"/>
      <c r="AL44" s="258"/>
      <c r="AM44" s="258"/>
      <c r="AN44" s="258"/>
      <c r="AO44" s="258"/>
      <c r="AP44" s="258"/>
      <c r="AQ44" s="258"/>
      <c r="AR44" s="258"/>
      <c r="AS44" s="258"/>
      <c r="AT44" s="258"/>
      <c r="AU44" s="258"/>
      <c r="AV44" s="258"/>
      <c r="AW44" s="258"/>
      <c r="AX44" s="258"/>
      <c r="AY44" s="258"/>
      <c r="AZ44" s="258">
        <v>2000</v>
      </c>
      <c r="BA44" s="258">
        <v>1985</v>
      </c>
      <c r="BB44" s="258"/>
      <c r="BC44" s="258"/>
      <c r="BD44" s="258"/>
      <c r="BE44" s="258"/>
      <c r="BF44" s="258">
        <v>1964</v>
      </c>
      <c r="BG44" s="258">
        <v>2007</v>
      </c>
      <c r="BH44" s="258">
        <v>1984</v>
      </c>
      <c r="BI44" s="258">
        <v>1969</v>
      </c>
      <c r="BJ44" s="258"/>
      <c r="BK44" s="258">
        <v>1984</v>
      </c>
      <c r="BL44" s="258">
        <v>1984</v>
      </c>
      <c r="BM44" s="258">
        <v>2007</v>
      </c>
      <c r="BN44" s="258">
        <v>2007</v>
      </c>
      <c r="BO44" s="258">
        <v>1984</v>
      </c>
      <c r="BP44" s="258">
        <v>2004</v>
      </c>
      <c r="BQ44" s="258">
        <v>1998</v>
      </c>
      <c r="BR44" s="258">
        <v>1992</v>
      </c>
      <c r="BS44" s="258">
        <v>1997</v>
      </c>
      <c r="BT44" s="258">
        <v>1990</v>
      </c>
      <c r="BU44" s="258">
        <v>1998</v>
      </c>
      <c r="BV44" s="258">
        <v>1988</v>
      </c>
      <c r="BW44" s="258">
        <v>1985</v>
      </c>
      <c r="BX44" s="258">
        <v>1985</v>
      </c>
      <c r="BY44" s="258">
        <v>1986</v>
      </c>
      <c r="BZ44" s="258">
        <v>1986</v>
      </c>
      <c r="CA44" s="258">
        <v>1988</v>
      </c>
      <c r="CB44" s="258">
        <v>1988</v>
      </c>
      <c r="CC44" s="258">
        <v>2007</v>
      </c>
      <c r="CD44" s="258">
        <v>1985</v>
      </c>
      <c r="CE44" s="258"/>
      <c r="CF44" s="258"/>
      <c r="CG44" s="258"/>
      <c r="CH44" s="258"/>
      <c r="CI44" s="258"/>
      <c r="CJ44" s="258"/>
      <c r="CK44" s="258"/>
      <c r="CL44" s="370"/>
      <c r="CM44" s="258">
        <v>1997</v>
      </c>
      <c r="CN44" s="258">
        <v>2003</v>
      </c>
      <c r="CO44" s="370"/>
      <c r="CP44" s="370"/>
      <c r="CQ44" s="258">
        <v>1991</v>
      </c>
      <c r="CR44" s="258">
        <v>1991</v>
      </c>
      <c r="CS44" s="258">
        <v>1994</v>
      </c>
      <c r="CT44" s="258">
        <v>1994</v>
      </c>
      <c r="CU44" s="258">
        <v>1991</v>
      </c>
      <c r="CV44" s="258">
        <v>1991</v>
      </c>
      <c r="CW44" s="371">
        <v>1993</v>
      </c>
      <c r="CX44" s="258">
        <v>1997</v>
      </c>
      <c r="CY44" s="370"/>
      <c r="CZ44" s="370"/>
      <c r="DA44" s="371">
        <v>2005</v>
      </c>
      <c r="DB44" s="258">
        <v>1998</v>
      </c>
      <c r="DC44" s="371">
        <v>1993</v>
      </c>
      <c r="DD44" s="258">
        <v>1998</v>
      </c>
      <c r="DE44" s="258">
        <v>2000</v>
      </c>
      <c r="DF44" s="258">
        <v>2013</v>
      </c>
      <c r="DG44" s="258">
        <v>2017</v>
      </c>
      <c r="DH44" s="370"/>
      <c r="DI44" s="370"/>
      <c r="DJ44" s="370"/>
      <c r="DK44" s="370"/>
      <c r="DL44" s="258">
        <v>1972</v>
      </c>
      <c r="DM44" s="258">
        <v>1974</v>
      </c>
      <c r="DN44" s="258">
        <v>2004</v>
      </c>
      <c r="DO44" s="258">
        <v>1998</v>
      </c>
      <c r="DP44" s="371">
        <v>1998</v>
      </c>
      <c r="DQ44" s="258">
        <v>2002</v>
      </c>
      <c r="DR44" s="365"/>
      <c r="DS44" s="365"/>
      <c r="DT44" s="365"/>
      <c r="DU44" s="365"/>
      <c r="DV44" s="365"/>
      <c r="DW44" s="365"/>
      <c r="DX44" s="365"/>
      <c r="DY44" s="365"/>
      <c r="DZ44" s="365"/>
      <c r="EA44" s="365"/>
      <c r="EB44" s="365"/>
      <c r="EC44" s="365"/>
      <c r="ED44" s="365"/>
      <c r="EE44" s="365"/>
      <c r="EF44" s="365"/>
      <c r="EG44" s="365"/>
      <c r="EH44" s="365"/>
      <c r="EI44" s="365"/>
      <c r="EJ44" s="365"/>
      <c r="EK44" s="365"/>
      <c r="EL44" s="365">
        <v>1966</v>
      </c>
      <c r="EM44" s="365">
        <v>1967</v>
      </c>
      <c r="EN44" s="365">
        <v>1966</v>
      </c>
      <c r="EO44" s="365">
        <v>1967</v>
      </c>
      <c r="EP44" s="365">
        <v>1967</v>
      </c>
      <c r="EQ44" s="365">
        <v>1971</v>
      </c>
      <c r="ER44" s="365">
        <v>1974</v>
      </c>
      <c r="ES44" s="365">
        <v>1974</v>
      </c>
      <c r="ET44" s="365">
        <v>1966</v>
      </c>
      <c r="EU44" s="365">
        <v>1967</v>
      </c>
      <c r="EV44" s="365">
        <v>1967</v>
      </c>
      <c r="EW44" s="365">
        <v>1971</v>
      </c>
      <c r="EX44" s="365">
        <v>1971</v>
      </c>
      <c r="EY44" s="365">
        <v>1974</v>
      </c>
      <c r="EZ44" s="365">
        <v>1974</v>
      </c>
      <c r="FA44" s="365">
        <v>1974</v>
      </c>
      <c r="FB44" s="365">
        <v>1974</v>
      </c>
      <c r="FC44" s="365">
        <v>1984</v>
      </c>
      <c r="FD44" s="365">
        <v>1984</v>
      </c>
      <c r="FE44" s="365">
        <v>1984</v>
      </c>
      <c r="FF44" s="365">
        <v>1986</v>
      </c>
      <c r="FG44" s="365">
        <v>1984</v>
      </c>
      <c r="FH44" s="372"/>
      <c r="FI44" s="365">
        <v>1996</v>
      </c>
      <c r="FJ44" s="365">
        <v>1996</v>
      </c>
      <c r="FK44" s="365">
        <v>1996</v>
      </c>
      <c r="FL44" s="365">
        <v>1996</v>
      </c>
      <c r="FM44" s="365">
        <v>1996</v>
      </c>
      <c r="FN44" s="365">
        <v>1996</v>
      </c>
      <c r="FO44" s="365">
        <v>2017</v>
      </c>
      <c r="FP44" s="365">
        <v>2017</v>
      </c>
      <c r="FQ44" s="365">
        <v>2017</v>
      </c>
      <c r="FR44" s="365">
        <v>2017</v>
      </c>
      <c r="FS44" s="365">
        <v>2017</v>
      </c>
      <c r="FT44" s="365">
        <v>2018</v>
      </c>
      <c r="FU44" s="365">
        <v>2018</v>
      </c>
      <c r="FV44" s="372"/>
      <c r="FW44" s="372"/>
      <c r="FX44" s="372"/>
      <c r="FY44" s="372"/>
      <c r="FZ44" s="372"/>
      <c r="GA44" s="372"/>
      <c r="GB44" s="372"/>
      <c r="GC44" s="372"/>
      <c r="GD44" s="373">
        <v>1989</v>
      </c>
      <c r="GE44" s="373">
        <v>1989</v>
      </c>
      <c r="GF44" s="365">
        <v>1980</v>
      </c>
      <c r="GG44" s="365">
        <v>1993</v>
      </c>
      <c r="GH44" s="365">
        <v>1981</v>
      </c>
      <c r="GI44" s="365">
        <v>1993</v>
      </c>
      <c r="GJ44" s="373">
        <v>2004</v>
      </c>
      <c r="GK44" s="365">
        <v>1987</v>
      </c>
      <c r="GL44" s="365">
        <v>1987</v>
      </c>
      <c r="GM44" s="365">
        <v>1987</v>
      </c>
      <c r="GN44" s="365">
        <v>1989</v>
      </c>
      <c r="GO44" s="365">
        <v>1989</v>
      </c>
      <c r="GP44" s="365">
        <v>1982</v>
      </c>
      <c r="GQ44" s="365">
        <v>1981</v>
      </c>
      <c r="GR44" s="365">
        <v>1982</v>
      </c>
      <c r="GS44" s="365">
        <v>1982</v>
      </c>
      <c r="GT44" s="365">
        <v>1981</v>
      </c>
      <c r="GU44" s="365">
        <v>1986</v>
      </c>
      <c r="GV44" s="365">
        <v>1981</v>
      </c>
      <c r="GW44" s="365">
        <v>1991</v>
      </c>
      <c r="GX44" s="365">
        <v>1986</v>
      </c>
      <c r="GY44" s="365">
        <v>2002</v>
      </c>
      <c r="GZ44" s="365">
        <v>2004</v>
      </c>
      <c r="HA44" s="365">
        <v>2002</v>
      </c>
      <c r="HB44" s="365">
        <v>2004</v>
      </c>
      <c r="HC44" s="365">
        <v>1996</v>
      </c>
      <c r="HD44" s="365">
        <v>1996</v>
      </c>
      <c r="HE44" s="365">
        <v>1999</v>
      </c>
      <c r="HF44" s="365">
        <v>1996</v>
      </c>
      <c r="HG44" s="365">
        <v>1999</v>
      </c>
      <c r="HH44" s="365">
        <v>2016</v>
      </c>
      <c r="HI44" s="365">
        <v>2016</v>
      </c>
      <c r="HJ44" s="372"/>
      <c r="HK44" s="372"/>
      <c r="HL44" s="365">
        <v>1990</v>
      </c>
      <c r="HM44" s="365">
        <v>1994</v>
      </c>
      <c r="HN44" s="365">
        <v>1998</v>
      </c>
      <c r="HO44" s="365">
        <v>1992</v>
      </c>
      <c r="HP44" s="365">
        <v>2016</v>
      </c>
      <c r="HQ44" s="365">
        <v>2016</v>
      </c>
      <c r="HR44" s="372"/>
      <c r="HS44" s="372"/>
      <c r="HT44" s="365">
        <v>2018</v>
      </c>
      <c r="HU44" s="372"/>
      <c r="HV44" s="365">
        <v>1994</v>
      </c>
      <c r="HW44" s="365">
        <v>1992</v>
      </c>
      <c r="HX44" s="365">
        <v>1993</v>
      </c>
      <c r="HY44" s="365">
        <v>1996</v>
      </c>
      <c r="HZ44" s="365">
        <v>1996</v>
      </c>
      <c r="IA44" s="365">
        <v>2016</v>
      </c>
      <c r="IB44" s="365">
        <v>2016</v>
      </c>
      <c r="IC44" s="365">
        <v>2016</v>
      </c>
      <c r="ID44" s="365">
        <v>2016</v>
      </c>
      <c r="IE44" s="372"/>
      <c r="IF44" s="365">
        <v>2016</v>
      </c>
      <c r="IG44" s="365">
        <v>2002</v>
      </c>
      <c r="IH44" s="365">
        <v>2002</v>
      </c>
      <c r="II44" s="365">
        <v>2002</v>
      </c>
      <c r="IJ44" s="365">
        <v>2002</v>
      </c>
      <c r="IK44" s="365">
        <v>2002</v>
      </c>
      <c r="IL44" s="365">
        <v>2006</v>
      </c>
      <c r="IM44" s="365">
        <v>2006</v>
      </c>
      <c r="IN44" s="365">
        <v>2006</v>
      </c>
      <c r="IO44" s="365">
        <v>2006</v>
      </c>
      <c r="IP44" s="365">
        <v>2006</v>
      </c>
      <c r="IQ44" s="365">
        <v>2006</v>
      </c>
      <c r="IR44" s="365">
        <v>2006</v>
      </c>
      <c r="IS44" s="365">
        <v>1999</v>
      </c>
      <c r="IT44" s="365">
        <v>1999</v>
      </c>
      <c r="IU44" s="365">
        <v>1999</v>
      </c>
      <c r="IV44" s="365">
        <v>1998</v>
      </c>
      <c r="IW44" s="365">
        <v>1998</v>
      </c>
      <c r="IX44" s="365">
        <v>2003</v>
      </c>
      <c r="IY44" s="372"/>
      <c r="IZ44" s="365">
        <v>2018</v>
      </c>
      <c r="JA44" s="365">
        <v>2018</v>
      </c>
      <c r="JB44" s="365">
        <v>2018</v>
      </c>
      <c r="JC44" s="365">
        <v>1992</v>
      </c>
      <c r="JD44" s="365">
        <v>1992</v>
      </c>
      <c r="JE44" s="365">
        <v>1992</v>
      </c>
      <c r="JF44" s="365">
        <v>1995</v>
      </c>
      <c r="JG44" s="365">
        <v>1995</v>
      </c>
      <c r="JH44" s="365">
        <v>2002</v>
      </c>
      <c r="JI44" s="365">
        <v>2002</v>
      </c>
      <c r="JJ44" s="365">
        <v>2002</v>
      </c>
      <c r="JK44" s="365">
        <v>2002</v>
      </c>
    </row>
    <row r="45" spans="1:271">
      <c r="A45" s="274" t="s">
        <v>2570</v>
      </c>
      <c r="B45" s="236">
        <v>14000</v>
      </c>
      <c r="C45" s="236">
        <v>14000</v>
      </c>
      <c r="D45" s="236">
        <v>14000</v>
      </c>
      <c r="E45" s="236">
        <v>14000</v>
      </c>
      <c r="F45" s="236">
        <v>13500</v>
      </c>
      <c r="G45" s="236">
        <v>14000</v>
      </c>
      <c r="H45" s="236">
        <v>14000</v>
      </c>
      <c r="I45" s="236">
        <v>13000</v>
      </c>
      <c r="J45" s="236">
        <v>14000</v>
      </c>
      <c r="K45" s="236">
        <v>14000</v>
      </c>
      <c r="L45" s="236">
        <v>14000</v>
      </c>
      <c r="M45" s="236">
        <v>26000</v>
      </c>
      <c r="N45" s="236">
        <v>22800</v>
      </c>
      <c r="O45" s="236">
        <v>161000</v>
      </c>
      <c r="P45" s="236">
        <v>19750</v>
      </c>
      <c r="Q45" s="236">
        <v>19750</v>
      </c>
      <c r="R45" s="236">
        <v>19500</v>
      </c>
      <c r="S45" s="236">
        <v>16300</v>
      </c>
      <c r="T45" s="236">
        <v>16000</v>
      </c>
      <c r="U45" s="236">
        <v>29000</v>
      </c>
      <c r="V45" s="236">
        <v>26000</v>
      </c>
      <c r="W45" s="236">
        <v>26000</v>
      </c>
      <c r="X45" s="236">
        <v>18100</v>
      </c>
      <c r="Y45" s="236">
        <v>14625</v>
      </c>
      <c r="Z45" s="236">
        <v>34700</v>
      </c>
      <c r="AA45" s="236">
        <v>15000</v>
      </c>
      <c r="AB45" s="236">
        <v>17500</v>
      </c>
      <c r="AC45" s="236">
        <v>17500</v>
      </c>
      <c r="AD45" s="236"/>
      <c r="AE45" s="236"/>
      <c r="AF45" s="236"/>
      <c r="AG45" s="236"/>
      <c r="AH45" s="236"/>
      <c r="AI45" s="236">
        <v>14700</v>
      </c>
      <c r="AJ45" s="374"/>
      <c r="AK45" s="236"/>
      <c r="AL45" s="236"/>
      <c r="AM45" s="236">
        <v>16200</v>
      </c>
      <c r="AN45" s="236"/>
      <c r="AO45" s="236">
        <v>18000</v>
      </c>
      <c r="AP45" s="236">
        <v>11000</v>
      </c>
      <c r="AQ45" s="236">
        <v>14300</v>
      </c>
      <c r="AR45" s="236">
        <v>13240</v>
      </c>
      <c r="AS45" s="236">
        <v>16000</v>
      </c>
      <c r="AT45" s="236">
        <v>16000</v>
      </c>
      <c r="AU45" s="375"/>
      <c r="AV45" s="375"/>
      <c r="AW45" s="236">
        <v>18950</v>
      </c>
      <c r="AX45" s="236">
        <v>25000</v>
      </c>
      <c r="AY45" s="236">
        <v>25000</v>
      </c>
      <c r="AZ45" s="236">
        <v>30000</v>
      </c>
      <c r="BA45" s="374"/>
      <c r="BB45" s="374"/>
      <c r="BC45" s="374"/>
      <c r="BD45" s="236">
        <v>20000</v>
      </c>
      <c r="BE45" s="236">
        <v>26700</v>
      </c>
      <c r="BF45" s="374"/>
      <c r="BG45" s="236">
        <v>41010</v>
      </c>
      <c r="BH45" s="236">
        <v>20680</v>
      </c>
      <c r="BI45" s="374"/>
      <c r="BJ45" s="236">
        <v>30000</v>
      </c>
      <c r="BK45" s="236"/>
      <c r="BL45" s="236"/>
      <c r="BM45" s="236"/>
      <c r="BN45" s="236">
        <v>35000</v>
      </c>
      <c r="BO45" s="236"/>
      <c r="BP45" s="236">
        <v>41000</v>
      </c>
      <c r="BQ45" s="236"/>
      <c r="BR45" s="236">
        <v>31402</v>
      </c>
      <c r="BS45" s="236"/>
      <c r="BT45" s="236"/>
      <c r="BU45" s="236"/>
      <c r="BV45" s="236">
        <v>25000</v>
      </c>
      <c r="BW45" s="236">
        <v>25000</v>
      </c>
      <c r="BX45" s="236">
        <v>25000</v>
      </c>
      <c r="BY45" s="236"/>
      <c r="BZ45" s="236"/>
      <c r="CA45" s="236"/>
      <c r="CB45" s="236">
        <v>32000</v>
      </c>
      <c r="CC45" s="236"/>
      <c r="CD45" s="236">
        <v>25000</v>
      </c>
      <c r="CE45" s="236">
        <v>25000</v>
      </c>
      <c r="CF45" s="236"/>
      <c r="CG45" s="236"/>
      <c r="CH45" s="236"/>
      <c r="CI45" s="236"/>
      <c r="CJ45" s="236"/>
      <c r="CK45" s="281"/>
      <c r="CL45" s="236"/>
      <c r="CM45" s="236"/>
      <c r="CN45" s="236"/>
      <c r="CO45" s="236"/>
      <c r="CP45" s="236"/>
      <c r="CQ45" s="236"/>
      <c r="CR45" s="236"/>
      <c r="CS45" s="236"/>
      <c r="CT45" s="236"/>
      <c r="CU45" s="236"/>
      <c r="CV45" s="236"/>
      <c r="CW45" s="254"/>
      <c r="CX45" s="254"/>
      <c r="CY45" s="254"/>
      <c r="CZ45" s="236"/>
      <c r="DA45" s="236"/>
      <c r="DB45" s="236"/>
      <c r="DC45" s="236"/>
      <c r="DD45" s="236"/>
      <c r="DE45" s="236"/>
      <c r="DF45" s="236"/>
      <c r="DG45" s="236"/>
      <c r="DH45" s="236"/>
      <c r="DI45" s="236"/>
      <c r="DJ45" s="236"/>
      <c r="DK45" s="236"/>
      <c r="DL45" s="236"/>
      <c r="DM45" s="236"/>
      <c r="DN45" s="236"/>
      <c r="DO45" s="254"/>
      <c r="DP45" s="254"/>
      <c r="DQ45" s="254"/>
      <c r="DR45" s="376"/>
      <c r="DS45" s="376"/>
      <c r="DT45" s="376"/>
      <c r="DU45" s="376"/>
      <c r="DV45" s="376"/>
      <c r="DW45" s="376">
        <v>42000</v>
      </c>
      <c r="DX45" s="376">
        <v>42000</v>
      </c>
      <c r="DY45" s="376">
        <v>42000</v>
      </c>
      <c r="DZ45" s="376">
        <v>42000</v>
      </c>
      <c r="EA45" s="376">
        <v>42000</v>
      </c>
      <c r="EB45" s="376">
        <v>42000</v>
      </c>
      <c r="EC45" s="376">
        <v>42000</v>
      </c>
      <c r="ED45" s="376">
        <v>42000</v>
      </c>
      <c r="EE45" s="376">
        <v>39000</v>
      </c>
      <c r="EF45" s="376">
        <v>42000</v>
      </c>
      <c r="EG45" s="376"/>
      <c r="EH45" s="376">
        <v>42000</v>
      </c>
      <c r="EI45" s="376">
        <v>42000</v>
      </c>
      <c r="EJ45" s="376"/>
      <c r="EK45" s="376"/>
      <c r="EL45" s="376">
        <v>36100</v>
      </c>
      <c r="EM45" s="376">
        <v>36100</v>
      </c>
      <c r="EN45" s="376">
        <v>36100</v>
      </c>
      <c r="EO45" s="376">
        <v>36100</v>
      </c>
      <c r="EP45" s="376">
        <v>42000</v>
      </c>
      <c r="EQ45" s="376">
        <v>42000</v>
      </c>
      <c r="ER45" s="376">
        <v>42000</v>
      </c>
      <c r="ES45" s="376">
        <v>42000</v>
      </c>
      <c r="ET45" s="376">
        <v>35000</v>
      </c>
      <c r="EU45" s="376">
        <v>35000</v>
      </c>
      <c r="EV45" s="376">
        <v>35000</v>
      </c>
      <c r="EW45" s="376">
        <v>37000</v>
      </c>
      <c r="EX45" s="376">
        <v>37000</v>
      </c>
      <c r="EY45" s="376">
        <v>37000</v>
      </c>
      <c r="EZ45" s="376">
        <v>37000</v>
      </c>
      <c r="FA45" s="376">
        <v>37000</v>
      </c>
      <c r="FB45" s="376">
        <v>37000</v>
      </c>
      <c r="FC45" s="376">
        <v>37000</v>
      </c>
      <c r="FD45" s="376">
        <v>37000</v>
      </c>
      <c r="FE45" s="376">
        <v>37000</v>
      </c>
      <c r="FF45" s="376">
        <v>37000</v>
      </c>
      <c r="FG45" s="376">
        <v>37000</v>
      </c>
      <c r="FH45" s="376">
        <v>41000</v>
      </c>
      <c r="FI45" s="376">
        <v>41000</v>
      </c>
      <c r="FJ45" s="376">
        <v>41000</v>
      </c>
      <c r="FK45" s="376">
        <v>41000</v>
      </c>
      <c r="FL45" s="376">
        <v>41000</v>
      </c>
      <c r="FM45" s="376"/>
      <c r="FN45" s="376"/>
      <c r="FO45" s="376">
        <v>41000</v>
      </c>
      <c r="FP45" s="376">
        <v>41000</v>
      </c>
      <c r="FQ45" s="376">
        <v>41000</v>
      </c>
      <c r="FR45" s="376">
        <v>41000</v>
      </c>
      <c r="FS45" s="376">
        <v>41000</v>
      </c>
      <c r="FT45" s="376">
        <v>41000</v>
      </c>
      <c r="FU45" s="376">
        <v>41000</v>
      </c>
      <c r="FV45" s="376"/>
      <c r="FW45" s="376"/>
      <c r="FX45" s="376"/>
      <c r="FY45" s="376"/>
      <c r="FZ45" s="376"/>
      <c r="GA45" s="376"/>
      <c r="GB45" s="376"/>
      <c r="GC45" s="376"/>
      <c r="GD45" s="376"/>
      <c r="GE45" s="376"/>
      <c r="GF45" s="376">
        <v>43199</v>
      </c>
      <c r="GG45" s="376">
        <v>43199</v>
      </c>
      <c r="GH45" s="376">
        <v>43199</v>
      </c>
      <c r="GI45" s="376">
        <v>43199</v>
      </c>
      <c r="GJ45" s="376">
        <v>43199</v>
      </c>
      <c r="GK45" s="376">
        <v>43199</v>
      </c>
      <c r="GL45" s="376">
        <v>43199</v>
      </c>
      <c r="GM45" s="376">
        <v>43199</v>
      </c>
      <c r="GN45" s="376">
        <v>43199</v>
      </c>
      <c r="GO45" s="376">
        <v>43199</v>
      </c>
      <c r="GP45" s="376"/>
      <c r="GQ45" s="376"/>
      <c r="GR45" s="376"/>
      <c r="GS45" s="376"/>
      <c r="GT45" s="376"/>
      <c r="GU45" s="376"/>
      <c r="GV45" s="376"/>
      <c r="GW45" s="376"/>
      <c r="GX45" s="376"/>
      <c r="GY45" s="376"/>
      <c r="GZ45" s="376"/>
      <c r="HA45" s="376"/>
      <c r="HB45" s="376"/>
      <c r="HC45" s="376"/>
      <c r="HD45" s="376"/>
      <c r="HE45" s="376"/>
      <c r="HF45" s="376"/>
      <c r="HG45" s="376"/>
      <c r="HH45" s="376"/>
      <c r="HI45" s="376"/>
      <c r="HJ45" s="376"/>
      <c r="HK45" s="376"/>
      <c r="HL45" s="376"/>
      <c r="HM45" s="376"/>
      <c r="HN45" s="376"/>
      <c r="HO45" s="376"/>
      <c r="HP45" s="376"/>
      <c r="HQ45" s="376"/>
      <c r="HR45" s="376"/>
      <c r="HS45" s="376"/>
      <c r="HT45" s="376"/>
      <c r="HU45" s="376"/>
      <c r="HV45" s="376"/>
      <c r="HW45" s="376"/>
      <c r="HX45" s="376"/>
      <c r="HY45" s="376"/>
      <c r="HZ45" s="376"/>
      <c r="IA45" s="376"/>
      <c r="IB45" s="376"/>
      <c r="IC45" s="376"/>
      <c r="ID45" s="376"/>
      <c r="IE45" s="376"/>
      <c r="IF45" s="376"/>
      <c r="IG45" s="376">
        <v>41000</v>
      </c>
      <c r="IH45" s="376">
        <v>41000</v>
      </c>
      <c r="II45" s="376">
        <v>41000</v>
      </c>
      <c r="IJ45" s="376">
        <v>41000</v>
      </c>
      <c r="IK45" s="376">
        <v>41000</v>
      </c>
      <c r="IL45" s="376">
        <v>41000</v>
      </c>
      <c r="IM45" s="376">
        <v>41000</v>
      </c>
      <c r="IN45" s="376">
        <v>41000</v>
      </c>
      <c r="IO45" s="376">
        <v>41000</v>
      </c>
      <c r="IP45" s="376">
        <v>41000</v>
      </c>
      <c r="IQ45" s="376">
        <v>41000</v>
      </c>
      <c r="IR45" s="376">
        <v>41000</v>
      </c>
      <c r="IS45" s="376">
        <v>37000</v>
      </c>
      <c r="IT45" s="376">
        <v>37000</v>
      </c>
      <c r="IU45" s="376">
        <v>37000</v>
      </c>
      <c r="IV45" s="376">
        <v>37000</v>
      </c>
      <c r="IW45" s="376">
        <v>37000</v>
      </c>
      <c r="IX45" s="376">
        <v>37000</v>
      </c>
      <c r="IY45" s="376">
        <v>41000</v>
      </c>
      <c r="IZ45" s="376">
        <v>41000</v>
      </c>
      <c r="JA45" s="376">
        <v>41000</v>
      </c>
      <c r="JB45" s="376">
        <v>41000</v>
      </c>
      <c r="JC45" s="376">
        <v>41000</v>
      </c>
      <c r="JD45" s="376">
        <v>41000</v>
      </c>
      <c r="JE45" s="376">
        <v>41000</v>
      </c>
      <c r="JF45" s="376">
        <v>41000</v>
      </c>
      <c r="JG45" s="376">
        <v>41000</v>
      </c>
      <c r="JH45" s="376">
        <v>41000</v>
      </c>
      <c r="JI45" s="376">
        <v>41000</v>
      </c>
      <c r="JJ45" s="376">
        <v>41000</v>
      </c>
      <c r="JK45" s="376">
        <v>41000</v>
      </c>
    </row>
    <row r="46" spans="1:271">
      <c r="A46" s="274" t="s">
        <v>2571</v>
      </c>
      <c r="B46" s="236"/>
      <c r="C46" s="236"/>
      <c r="D46" s="236"/>
      <c r="E46" s="236"/>
      <c r="F46" s="236"/>
      <c r="G46" s="236"/>
      <c r="H46" s="236"/>
      <c r="I46" s="236"/>
      <c r="J46" s="236"/>
      <c r="K46" s="236"/>
      <c r="L46" s="236"/>
      <c r="M46" s="236"/>
      <c r="N46" s="236"/>
      <c r="O46" s="236"/>
      <c r="P46" s="236"/>
      <c r="Q46" s="236"/>
      <c r="R46" s="236"/>
      <c r="S46" s="236"/>
      <c r="T46" s="236"/>
      <c r="U46" s="236"/>
      <c r="V46" s="236"/>
      <c r="W46" s="236"/>
      <c r="X46" s="236"/>
      <c r="Y46" s="236"/>
      <c r="Z46" s="236">
        <v>30000</v>
      </c>
      <c r="AA46" s="236"/>
      <c r="AB46" s="236"/>
      <c r="AC46" s="236"/>
      <c r="AD46" s="236"/>
      <c r="AE46" s="236"/>
      <c r="AF46" s="236"/>
      <c r="AG46" s="236"/>
      <c r="AH46" s="236"/>
      <c r="AI46" s="281"/>
      <c r="AJ46" s="374"/>
      <c r="AK46" s="236"/>
      <c r="AL46" s="236"/>
      <c r="AM46" s="236"/>
      <c r="AN46" s="236"/>
      <c r="AO46" s="236"/>
      <c r="AP46" s="236"/>
      <c r="AQ46" s="236"/>
      <c r="AR46" s="236"/>
      <c r="AS46" s="236"/>
      <c r="AT46" s="236"/>
      <c r="AU46" s="374"/>
      <c r="AV46" s="374"/>
      <c r="AW46" s="236"/>
      <c r="AX46" s="236"/>
      <c r="AY46" s="236"/>
      <c r="AZ46" s="236"/>
      <c r="BA46" s="374"/>
      <c r="BB46" s="374"/>
      <c r="BC46" s="374"/>
      <c r="BD46" s="236"/>
      <c r="BE46" s="236"/>
      <c r="BF46" s="374"/>
      <c r="BG46" s="236"/>
      <c r="BH46" s="236"/>
      <c r="BI46" s="374"/>
      <c r="BJ46" s="236"/>
      <c r="BK46" s="236"/>
      <c r="BL46" s="236"/>
      <c r="BM46" s="236"/>
      <c r="BN46" s="236"/>
      <c r="BO46" s="236"/>
      <c r="BP46" s="236"/>
      <c r="BQ46" s="236"/>
      <c r="BR46" s="236"/>
      <c r="BS46" s="236"/>
      <c r="BT46" s="236"/>
      <c r="BU46" s="236"/>
      <c r="BV46" s="236"/>
      <c r="BW46" s="236"/>
      <c r="BX46" s="236"/>
      <c r="BY46" s="236"/>
      <c r="BZ46" s="236"/>
      <c r="CA46" s="236"/>
      <c r="CB46" s="236"/>
      <c r="CC46" s="236">
        <v>25000</v>
      </c>
      <c r="CD46" s="236">
        <v>25000</v>
      </c>
      <c r="CE46" s="236">
        <v>25000</v>
      </c>
      <c r="CF46" s="236">
        <v>19700</v>
      </c>
      <c r="CG46" s="236">
        <v>25000</v>
      </c>
      <c r="CH46" s="236">
        <v>25000</v>
      </c>
      <c r="CI46" s="236">
        <v>25000</v>
      </c>
      <c r="CJ46" s="236">
        <v>25000</v>
      </c>
      <c r="CK46" s="236">
        <v>25000</v>
      </c>
      <c r="CL46" s="236">
        <v>36600</v>
      </c>
      <c r="CM46" s="236">
        <v>36000</v>
      </c>
      <c r="CN46" s="236">
        <v>35000</v>
      </c>
      <c r="CO46" s="236"/>
      <c r="CP46" s="236"/>
      <c r="CQ46" s="236">
        <v>36000</v>
      </c>
      <c r="CR46" s="236">
        <v>36000</v>
      </c>
      <c r="CS46" s="236">
        <v>36000</v>
      </c>
      <c r="CT46" s="236">
        <v>36000</v>
      </c>
      <c r="CU46" s="236">
        <v>36000</v>
      </c>
      <c r="CV46" s="236">
        <v>36000</v>
      </c>
      <c r="CW46" s="236">
        <v>35000</v>
      </c>
      <c r="CX46" s="236">
        <v>35000</v>
      </c>
      <c r="CY46" s="277">
        <v>35000</v>
      </c>
      <c r="CZ46" s="236"/>
      <c r="DA46" s="236">
        <v>37100</v>
      </c>
      <c r="DB46" s="236">
        <v>35000</v>
      </c>
      <c r="DC46" s="236">
        <v>35000</v>
      </c>
      <c r="DD46" s="236">
        <v>33400</v>
      </c>
      <c r="DE46" s="236">
        <v>35000</v>
      </c>
      <c r="DF46" s="236">
        <v>40000</v>
      </c>
      <c r="DG46" s="236">
        <v>40000</v>
      </c>
      <c r="DH46" s="236">
        <v>30000</v>
      </c>
      <c r="DI46" s="236">
        <v>30000</v>
      </c>
      <c r="DJ46" s="277">
        <v>30000</v>
      </c>
      <c r="DK46" s="236">
        <v>35000</v>
      </c>
      <c r="DL46" s="236">
        <v>35000</v>
      </c>
      <c r="DM46" s="236">
        <v>35000</v>
      </c>
      <c r="DN46" s="236">
        <v>35000</v>
      </c>
      <c r="DO46" s="236">
        <v>35000</v>
      </c>
      <c r="DP46" s="236">
        <v>35000</v>
      </c>
      <c r="DQ46" s="236">
        <v>35000</v>
      </c>
      <c r="DR46" s="376">
        <v>35000</v>
      </c>
      <c r="DS46" s="376">
        <v>35000</v>
      </c>
      <c r="DT46" s="376">
        <v>35000</v>
      </c>
      <c r="DU46" s="376">
        <v>35000</v>
      </c>
      <c r="DV46" s="376">
        <v>35000</v>
      </c>
      <c r="DW46" s="376"/>
      <c r="DX46" s="376"/>
      <c r="DY46" s="376"/>
      <c r="DZ46" s="376"/>
      <c r="EA46" s="376"/>
      <c r="EB46" s="376"/>
      <c r="EC46" s="376"/>
      <c r="ED46" s="376"/>
      <c r="EE46" s="376"/>
      <c r="EF46" s="376"/>
      <c r="EG46" s="376">
        <v>35000</v>
      </c>
      <c r="EH46" s="376"/>
      <c r="EI46" s="376"/>
      <c r="EJ46" s="376">
        <v>34100</v>
      </c>
      <c r="EK46" s="376">
        <v>34100</v>
      </c>
      <c r="EL46" s="376"/>
      <c r="EM46" s="376"/>
      <c r="EN46" s="376"/>
      <c r="EO46" s="376"/>
      <c r="EP46" s="376"/>
      <c r="EQ46" s="376"/>
      <c r="ER46" s="376"/>
      <c r="ES46" s="376"/>
      <c r="ET46" s="376">
        <v>30000</v>
      </c>
      <c r="EU46" s="376">
        <v>30000</v>
      </c>
      <c r="EV46" s="376">
        <v>30000</v>
      </c>
      <c r="EW46" s="376">
        <v>30000</v>
      </c>
      <c r="EX46" s="376">
        <v>30000</v>
      </c>
      <c r="EY46" s="376">
        <v>30000</v>
      </c>
      <c r="EZ46" s="376">
        <v>30000</v>
      </c>
      <c r="FA46" s="376">
        <v>30000</v>
      </c>
      <c r="FB46" s="376">
        <v>30000</v>
      </c>
      <c r="FC46" s="376" t="s">
        <v>2572</v>
      </c>
      <c r="FD46" s="376" t="s">
        <v>2572</v>
      </c>
      <c r="FE46" s="376" t="s">
        <v>2572</v>
      </c>
      <c r="FF46" s="376" t="s">
        <v>2572</v>
      </c>
      <c r="FG46" s="376" t="s">
        <v>2572</v>
      </c>
      <c r="FH46" s="376"/>
      <c r="FI46" s="376"/>
      <c r="FJ46" s="376"/>
      <c r="FK46" s="376"/>
      <c r="FL46" s="376"/>
      <c r="FM46" s="376">
        <v>37000</v>
      </c>
      <c r="FN46" s="376">
        <v>37000</v>
      </c>
      <c r="FO46" s="376"/>
      <c r="FP46" s="376"/>
      <c r="FQ46" s="376"/>
      <c r="FR46" s="376"/>
      <c r="FS46" s="376"/>
      <c r="FT46" s="376"/>
      <c r="FU46" s="376"/>
      <c r="FV46" s="376">
        <v>38300</v>
      </c>
      <c r="FW46" s="376">
        <v>35300</v>
      </c>
      <c r="FX46" s="376">
        <v>38700</v>
      </c>
      <c r="FY46" s="376">
        <v>35600</v>
      </c>
      <c r="FZ46" s="376">
        <v>38300</v>
      </c>
      <c r="GA46" s="376">
        <v>35300</v>
      </c>
      <c r="GB46" s="376">
        <v>35000</v>
      </c>
      <c r="GC46" s="376">
        <v>35000</v>
      </c>
      <c r="GD46" s="376">
        <v>35000</v>
      </c>
      <c r="GE46" s="376">
        <v>35000</v>
      </c>
      <c r="GF46" s="376" t="s">
        <v>2573</v>
      </c>
      <c r="GG46" s="376" t="s">
        <v>2573</v>
      </c>
      <c r="GH46" s="376" t="s">
        <v>2573</v>
      </c>
      <c r="GI46" s="376" t="s">
        <v>2573</v>
      </c>
      <c r="GJ46" s="376" t="s">
        <v>2573</v>
      </c>
      <c r="GK46" s="376" t="s">
        <v>2573</v>
      </c>
      <c r="GL46" s="376" t="s">
        <v>2573</v>
      </c>
      <c r="GM46" s="376" t="s">
        <v>2573</v>
      </c>
      <c r="GN46" s="376" t="s">
        <v>2573</v>
      </c>
      <c r="GO46" s="376" t="s">
        <v>2573</v>
      </c>
      <c r="GP46" s="376"/>
      <c r="GQ46" s="376"/>
      <c r="GR46" s="376"/>
      <c r="GS46" s="376"/>
      <c r="GT46" s="376"/>
      <c r="GU46" s="376"/>
      <c r="GV46" s="376"/>
      <c r="GW46" s="376"/>
      <c r="GX46" s="376"/>
      <c r="GY46" s="376">
        <v>36000</v>
      </c>
      <c r="GZ46" s="376">
        <v>36000</v>
      </c>
      <c r="HA46" s="376">
        <v>36000</v>
      </c>
      <c r="HB46" s="376">
        <v>36000</v>
      </c>
      <c r="HC46" s="376">
        <v>36000</v>
      </c>
      <c r="HD46" s="376">
        <v>36000</v>
      </c>
      <c r="HE46" s="376">
        <v>36000</v>
      </c>
      <c r="HF46" s="376">
        <v>36000</v>
      </c>
      <c r="HG46" s="376">
        <v>36000</v>
      </c>
      <c r="HH46" s="376">
        <v>36000</v>
      </c>
      <c r="HI46" s="376">
        <v>36000</v>
      </c>
      <c r="HJ46" s="376">
        <v>36000</v>
      </c>
      <c r="HK46" s="376">
        <v>36000</v>
      </c>
      <c r="HL46" s="376">
        <v>36000</v>
      </c>
      <c r="HM46" s="376">
        <v>36000</v>
      </c>
      <c r="HN46" s="376">
        <v>36000</v>
      </c>
      <c r="HO46" s="376">
        <v>36000</v>
      </c>
      <c r="HP46" s="376">
        <v>36000</v>
      </c>
      <c r="HQ46" s="376">
        <v>36000</v>
      </c>
      <c r="HR46" s="376">
        <v>36000</v>
      </c>
      <c r="HS46" s="376">
        <v>36000</v>
      </c>
      <c r="HT46" s="376">
        <v>36000</v>
      </c>
      <c r="HU46" s="376">
        <v>36000</v>
      </c>
      <c r="HV46" s="376">
        <v>36000</v>
      </c>
      <c r="HW46" s="376">
        <v>36000</v>
      </c>
      <c r="HX46" s="376">
        <v>36000</v>
      </c>
      <c r="HY46" s="376">
        <v>36000</v>
      </c>
      <c r="HZ46" s="376">
        <v>36000</v>
      </c>
      <c r="IA46" s="376">
        <v>36000</v>
      </c>
      <c r="IB46" s="376">
        <v>36000</v>
      </c>
      <c r="IC46" s="376">
        <v>36000</v>
      </c>
      <c r="ID46" s="376">
        <v>36000</v>
      </c>
      <c r="IE46" s="376">
        <v>36000</v>
      </c>
      <c r="IF46" s="376">
        <v>36000</v>
      </c>
      <c r="IG46" s="376"/>
      <c r="IH46" s="376"/>
      <c r="II46" s="376"/>
      <c r="IJ46" s="376"/>
      <c r="IK46" s="376"/>
      <c r="IL46" s="376"/>
      <c r="IM46" s="376"/>
      <c r="IN46" s="376"/>
      <c r="IO46" s="376"/>
      <c r="IP46" s="376"/>
      <c r="IQ46" s="376"/>
      <c r="IR46" s="376"/>
      <c r="IS46" s="376"/>
      <c r="IT46" s="376"/>
      <c r="IU46" s="376"/>
      <c r="IV46" s="376"/>
      <c r="IW46" s="376"/>
      <c r="IX46" s="376"/>
      <c r="IY46" s="376"/>
      <c r="IZ46" s="376"/>
      <c r="JA46" s="376"/>
      <c r="JB46" s="376"/>
      <c r="JC46" s="376"/>
      <c r="JD46" s="376"/>
      <c r="JE46" s="376"/>
      <c r="JF46" s="376"/>
      <c r="JG46" s="376"/>
      <c r="JH46" s="376"/>
      <c r="JI46" s="376"/>
      <c r="JJ46" s="376"/>
      <c r="JK46" s="376"/>
    </row>
    <row r="47" spans="1:271">
      <c r="A47" s="274" t="s">
        <v>2574</v>
      </c>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c r="AD47" s="236">
        <v>25000</v>
      </c>
      <c r="AE47" s="236">
        <v>13100</v>
      </c>
      <c r="AF47" s="236">
        <v>20000</v>
      </c>
      <c r="AG47" s="236">
        <v>16400</v>
      </c>
      <c r="AH47" s="236">
        <v>16400</v>
      </c>
      <c r="AI47" s="236"/>
      <c r="AJ47" s="374"/>
      <c r="AK47" s="236">
        <v>30000</v>
      </c>
      <c r="AL47" s="236">
        <v>25000</v>
      </c>
      <c r="AM47" s="236"/>
      <c r="AN47" s="236">
        <v>25000</v>
      </c>
      <c r="AO47" s="236"/>
      <c r="AP47" s="236"/>
      <c r="AQ47" s="236"/>
      <c r="AR47" s="236"/>
      <c r="AS47" s="236"/>
      <c r="AT47" s="236"/>
      <c r="AU47" s="253"/>
      <c r="AV47" s="253"/>
      <c r="AW47" s="236"/>
      <c r="AX47" s="236"/>
      <c r="AY47" s="236"/>
      <c r="AZ47" s="236"/>
      <c r="BA47" s="374"/>
      <c r="BB47" s="374"/>
      <c r="BC47" s="374"/>
      <c r="BD47" s="236"/>
      <c r="BE47" s="236"/>
      <c r="BF47" s="374"/>
      <c r="BG47" s="236"/>
      <c r="BH47" s="236"/>
      <c r="BI47" s="374"/>
      <c r="BJ47" s="236"/>
      <c r="BK47" s="236">
        <v>35000</v>
      </c>
      <c r="BL47" s="236">
        <v>35000</v>
      </c>
      <c r="BM47" s="236">
        <v>35000</v>
      </c>
      <c r="BN47" s="236"/>
      <c r="BO47" s="236">
        <v>35000</v>
      </c>
      <c r="BP47" s="236"/>
      <c r="BQ47" s="236">
        <v>18500</v>
      </c>
      <c r="BR47" s="236"/>
      <c r="BS47" s="236">
        <v>25000</v>
      </c>
      <c r="BT47" s="236">
        <v>25000</v>
      </c>
      <c r="BU47" s="236">
        <v>27000</v>
      </c>
      <c r="BV47" s="236"/>
      <c r="BW47" s="236"/>
      <c r="BX47" s="236"/>
      <c r="BY47" s="236">
        <v>30000</v>
      </c>
      <c r="BZ47" s="236">
        <v>30000</v>
      </c>
      <c r="CA47" s="236">
        <v>30000</v>
      </c>
      <c r="CB47" s="236">
        <v>30000</v>
      </c>
      <c r="CC47" s="236"/>
      <c r="CD47" s="236"/>
      <c r="CE47" s="236"/>
      <c r="CF47" s="236"/>
      <c r="CG47" s="236"/>
      <c r="CH47" s="236"/>
      <c r="CI47" s="236"/>
      <c r="CJ47" s="236"/>
      <c r="CK47" s="236"/>
      <c r="CL47" s="236"/>
      <c r="CM47" s="236"/>
      <c r="CN47" s="236"/>
      <c r="CO47" s="236">
        <v>41100</v>
      </c>
      <c r="CP47" s="236">
        <v>41100</v>
      </c>
      <c r="CQ47" s="236"/>
      <c r="CR47" s="236"/>
      <c r="CS47" s="236"/>
      <c r="CT47" s="236"/>
      <c r="CU47" s="236"/>
      <c r="CV47" s="236"/>
      <c r="CW47" s="254">
        <v>41000</v>
      </c>
      <c r="CX47" s="254">
        <v>41000</v>
      </c>
      <c r="CY47" s="254"/>
      <c r="CZ47" s="236">
        <v>43100</v>
      </c>
      <c r="DA47" s="236"/>
      <c r="DB47" s="236"/>
      <c r="DC47" s="236"/>
      <c r="DD47" s="236"/>
      <c r="DE47" s="236"/>
      <c r="DF47" s="236"/>
      <c r="DG47" s="236"/>
      <c r="DH47" s="236"/>
      <c r="DI47" s="236"/>
      <c r="DJ47" s="236"/>
      <c r="DK47" s="236"/>
      <c r="DL47" s="236"/>
      <c r="DM47" s="236"/>
      <c r="DN47" s="236"/>
      <c r="DO47" s="254"/>
      <c r="DP47" s="254"/>
      <c r="DQ47" s="254"/>
      <c r="DR47" s="376"/>
      <c r="DS47" s="376"/>
      <c r="DT47" s="376"/>
      <c r="DU47" s="376"/>
      <c r="DV47" s="376"/>
      <c r="DW47" s="376"/>
      <c r="DX47" s="376"/>
      <c r="DY47" s="376"/>
      <c r="DZ47" s="376"/>
      <c r="EA47" s="376"/>
      <c r="EB47" s="376"/>
      <c r="EC47" s="376"/>
      <c r="ED47" s="376"/>
      <c r="EE47" s="376"/>
      <c r="EF47" s="376"/>
      <c r="EG47" s="376"/>
      <c r="EH47" s="376"/>
      <c r="EI47" s="376"/>
      <c r="EJ47" s="376"/>
      <c r="EK47" s="376"/>
      <c r="EL47" s="376"/>
      <c r="EM47" s="376"/>
      <c r="EN47" s="376"/>
      <c r="EO47" s="376"/>
      <c r="EP47" s="376"/>
      <c r="EQ47" s="376"/>
      <c r="ER47" s="376"/>
      <c r="ES47" s="376"/>
      <c r="ET47" s="376"/>
      <c r="EU47" s="376"/>
      <c r="EV47" s="376"/>
      <c r="EW47" s="376"/>
      <c r="EX47" s="376"/>
      <c r="EY47" s="376"/>
      <c r="EZ47" s="376"/>
      <c r="FA47" s="376"/>
      <c r="FB47" s="376"/>
      <c r="FC47" s="376"/>
      <c r="FD47" s="376"/>
      <c r="FE47" s="376"/>
      <c r="FF47" s="376"/>
      <c r="FG47" s="376"/>
      <c r="FH47" s="376"/>
      <c r="FI47" s="376"/>
      <c r="FJ47" s="376"/>
      <c r="FK47" s="376"/>
      <c r="FL47" s="376"/>
      <c r="FM47" s="376"/>
      <c r="FN47" s="376"/>
      <c r="FO47" s="376"/>
      <c r="FP47" s="376"/>
      <c r="FQ47" s="376"/>
      <c r="FR47" s="376"/>
      <c r="FS47" s="376"/>
      <c r="FT47" s="376"/>
      <c r="FU47" s="376"/>
      <c r="FV47" s="376"/>
      <c r="FW47" s="376"/>
      <c r="FX47" s="376"/>
      <c r="FY47" s="376"/>
      <c r="FZ47" s="376"/>
      <c r="GA47" s="376"/>
      <c r="GB47" s="376"/>
      <c r="GC47" s="376"/>
      <c r="GD47" s="376"/>
      <c r="GE47" s="376"/>
      <c r="GF47" s="376"/>
      <c r="GG47" s="376"/>
      <c r="GH47" s="376"/>
      <c r="GI47" s="376"/>
      <c r="GJ47" s="376"/>
      <c r="GK47" s="376"/>
      <c r="GL47" s="376"/>
      <c r="GM47" s="376"/>
      <c r="GN47" s="376"/>
      <c r="GO47" s="376"/>
      <c r="GP47" s="376">
        <v>41000</v>
      </c>
      <c r="GQ47" s="376">
        <v>41100</v>
      </c>
      <c r="GR47" s="376">
        <v>41000</v>
      </c>
      <c r="GS47" s="376">
        <v>41000</v>
      </c>
      <c r="GT47" s="376">
        <v>41000</v>
      </c>
      <c r="GU47" s="376">
        <v>41000</v>
      </c>
      <c r="GV47" s="376">
        <v>41000</v>
      </c>
      <c r="GW47" s="376">
        <v>41000</v>
      </c>
      <c r="GX47" s="376">
        <v>41000</v>
      </c>
      <c r="GY47" s="376"/>
      <c r="GZ47" s="376"/>
      <c r="HA47" s="376"/>
      <c r="HB47" s="376"/>
      <c r="HC47" s="376"/>
      <c r="HD47" s="376"/>
      <c r="HE47" s="376"/>
      <c r="HF47" s="376"/>
      <c r="HG47" s="376"/>
      <c r="HH47" s="376"/>
      <c r="HI47" s="376"/>
      <c r="HJ47" s="376"/>
      <c r="HK47" s="376"/>
      <c r="HL47" s="376"/>
      <c r="HM47" s="376"/>
      <c r="HN47" s="376"/>
      <c r="HO47" s="376"/>
      <c r="HP47" s="376"/>
      <c r="HQ47" s="376"/>
      <c r="HR47" s="376"/>
      <c r="HS47" s="376"/>
      <c r="HT47" s="376"/>
      <c r="HU47" s="376"/>
      <c r="HV47" s="376"/>
      <c r="HW47" s="376"/>
      <c r="HX47" s="376"/>
      <c r="HY47" s="376"/>
      <c r="HZ47" s="376"/>
      <c r="IA47" s="376"/>
      <c r="IB47" s="376"/>
      <c r="IC47" s="376"/>
      <c r="ID47" s="376"/>
      <c r="IE47" s="376"/>
      <c r="IF47" s="376"/>
      <c r="IG47" s="376"/>
      <c r="IH47" s="376"/>
      <c r="II47" s="376"/>
      <c r="IJ47" s="376"/>
      <c r="IK47" s="376"/>
      <c r="IL47" s="376"/>
      <c r="IM47" s="376"/>
      <c r="IN47" s="376"/>
      <c r="IO47" s="376"/>
      <c r="IP47" s="376"/>
      <c r="IQ47" s="376"/>
      <c r="IR47" s="376"/>
      <c r="IS47" s="376"/>
      <c r="IT47" s="376"/>
      <c r="IU47" s="376"/>
      <c r="IV47" s="376"/>
      <c r="IW47" s="376"/>
      <c r="IX47" s="376"/>
      <c r="IY47" s="376"/>
      <c r="IZ47" s="376"/>
      <c r="JA47" s="376"/>
      <c r="JB47" s="376"/>
      <c r="JC47" s="376"/>
      <c r="JD47" s="376"/>
      <c r="JE47" s="376"/>
      <c r="JF47" s="376"/>
      <c r="JG47" s="376"/>
      <c r="JH47" s="376"/>
      <c r="JI47" s="376"/>
      <c r="JJ47" s="376"/>
      <c r="JK47" s="376"/>
    </row>
    <row r="48" spans="1:271">
      <c r="A48" s="274" t="s">
        <v>2575</v>
      </c>
      <c r="B48" s="274"/>
      <c r="C48" s="274"/>
      <c r="D48" s="274"/>
      <c r="E48" s="274"/>
      <c r="F48" s="274"/>
      <c r="G48" s="274"/>
      <c r="H48" s="274"/>
      <c r="I48" s="274"/>
      <c r="J48" s="274"/>
      <c r="K48" s="274"/>
      <c r="L48" s="274"/>
      <c r="M48" s="274"/>
      <c r="N48" s="274"/>
      <c r="O48" s="274"/>
      <c r="P48" s="274"/>
      <c r="Q48" s="274"/>
      <c r="R48" s="274"/>
      <c r="S48" s="274"/>
      <c r="T48" s="274"/>
      <c r="U48" s="274"/>
      <c r="V48" s="274"/>
      <c r="W48" s="274"/>
      <c r="X48" s="274"/>
      <c r="Y48" s="274"/>
      <c r="Z48" s="274"/>
      <c r="AA48" s="274"/>
      <c r="AB48" s="274"/>
      <c r="AC48" s="274"/>
      <c r="AD48" s="274"/>
      <c r="AE48" s="274"/>
      <c r="AF48" s="274"/>
      <c r="AG48" s="274"/>
      <c r="AH48" s="274"/>
      <c r="AI48" s="274"/>
      <c r="AJ48" s="274"/>
      <c r="AK48" s="274"/>
      <c r="AL48" s="274"/>
      <c r="AM48" s="274"/>
      <c r="AN48" s="274"/>
      <c r="AO48" s="274"/>
      <c r="AP48" s="274"/>
      <c r="AQ48" s="274"/>
      <c r="AR48" s="274"/>
      <c r="AS48" s="274"/>
      <c r="AT48" s="274"/>
      <c r="AU48" s="274"/>
      <c r="AV48" s="274"/>
      <c r="AW48" s="274"/>
      <c r="AX48" s="274"/>
      <c r="AY48" s="274"/>
      <c r="AZ48" s="274"/>
      <c r="BA48" s="274"/>
      <c r="BB48" s="274"/>
      <c r="BC48" s="274"/>
      <c r="BD48" s="274"/>
      <c r="BE48" s="274"/>
      <c r="BF48" s="274"/>
      <c r="BG48" s="274"/>
      <c r="BH48" s="274"/>
      <c r="BI48" s="274"/>
      <c r="BJ48" s="274"/>
      <c r="BK48" s="274"/>
      <c r="BL48" s="274"/>
      <c r="BM48" s="274"/>
      <c r="BN48" s="274"/>
      <c r="BO48" s="274"/>
      <c r="BP48" s="274"/>
      <c r="BQ48" s="274"/>
      <c r="BR48" s="274"/>
      <c r="BS48" s="274"/>
      <c r="BT48" s="274"/>
      <c r="BU48" s="274"/>
      <c r="BV48" s="274"/>
      <c r="BW48" s="274"/>
      <c r="BX48" s="274"/>
      <c r="BY48" s="274"/>
      <c r="BZ48" s="274"/>
      <c r="CA48" s="274"/>
      <c r="CB48" s="274"/>
      <c r="CC48" s="274"/>
      <c r="CD48" s="274"/>
      <c r="CE48" s="274"/>
      <c r="CF48" s="274"/>
      <c r="CG48" s="274"/>
      <c r="CH48" s="274"/>
      <c r="CI48" s="274"/>
      <c r="CJ48" s="274"/>
      <c r="CK48" s="274"/>
      <c r="CL48" s="236">
        <v>36600</v>
      </c>
      <c r="CM48" s="236">
        <v>36000</v>
      </c>
      <c r="CN48" s="236">
        <v>35000</v>
      </c>
      <c r="CO48" s="236">
        <v>41100</v>
      </c>
      <c r="CP48" s="236">
        <v>41100</v>
      </c>
      <c r="CQ48" s="236">
        <v>36000</v>
      </c>
      <c r="CR48" s="236">
        <v>36000</v>
      </c>
      <c r="CS48" s="236">
        <v>36000</v>
      </c>
      <c r="CT48" s="236">
        <v>36000</v>
      </c>
      <c r="CU48" s="236">
        <v>36000</v>
      </c>
      <c r="CV48" s="236">
        <v>36000</v>
      </c>
      <c r="CW48" s="236">
        <v>35000</v>
      </c>
      <c r="CX48" s="236">
        <v>35000</v>
      </c>
      <c r="CY48" s="277">
        <v>35000</v>
      </c>
      <c r="CZ48" s="254">
        <v>41000</v>
      </c>
      <c r="DA48" s="236">
        <v>37100</v>
      </c>
      <c r="DB48" s="236">
        <v>35000</v>
      </c>
      <c r="DC48" s="236">
        <v>35000</v>
      </c>
      <c r="DD48" s="236">
        <v>33400</v>
      </c>
      <c r="DE48" s="236">
        <v>35000</v>
      </c>
      <c r="DF48" s="236">
        <v>40000</v>
      </c>
      <c r="DG48" s="236">
        <v>40000</v>
      </c>
      <c r="DH48" s="236">
        <v>30000</v>
      </c>
      <c r="DI48" s="236">
        <v>30000</v>
      </c>
      <c r="DJ48" s="277">
        <v>30000</v>
      </c>
      <c r="DK48" s="236">
        <v>35000</v>
      </c>
      <c r="DL48" s="236">
        <v>35000</v>
      </c>
      <c r="DM48" s="236">
        <v>35000</v>
      </c>
      <c r="DN48" s="236">
        <v>35000</v>
      </c>
      <c r="DO48" s="236">
        <v>35000</v>
      </c>
      <c r="DP48" s="236">
        <v>35000</v>
      </c>
      <c r="DQ48" s="236">
        <v>35000</v>
      </c>
      <c r="DR48" s="376">
        <v>35000</v>
      </c>
      <c r="DS48" s="376">
        <v>35000</v>
      </c>
      <c r="DT48" s="376">
        <v>35000</v>
      </c>
      <c r="DU48" s="376">
        <v>35000</v>
      </c>
      <c r="DV48" s="376">
        <v>35000</v>
      </c>
      <c r="DW48" s="376">
        <v>35000</v>
      </c>
      <c r="DX48" s="376">
        <v>35000</v>
      </c>
      <c r="DY48" s="376">
        <v>35000</v>
      </c>
      <c r="DZ48" s="376">
        <v>35000</v>
      </c>
      <c r="EA48" s="376">
        <v>35000</v>
      </c>
      <c r="EB48" s="376">
        <v>35000</v>
      </c>
      <c r="EC48" s="376">
        <v>39000</v>
      </c>
      <c r="ED48" s="376">
        <v>39000</v>
      </c>
      <c r="EE48" s="376">
        <v>39000</v>
      </c>
      <c r="EF48" s="376">
        <v>39000</v>
      </c>
      <c r="EG48" s="376">
        <v>35000</v>
      </c>
      <c r="EH48" s="376">
        <v>39000</v>
      </c>
      <c r="EI48" s="376">
        <v>39000</v>
      </c>
      <c r="EJ48" s="376">
        <v>34100</v>
      </c>
      <c r="EK48" s="376">
        <v>34100</v>
      </c>
      <c r="EL48" s="376">
        <v>36100</v>
      </c>
      <c r="EM48" s="376">
        <v>36100</v>
      </c>
      <c r="EN48" s="376">
        <v>36100</v>
      </c>
      <c r="EO48" s="376">
        <v>36100</v>
      </c>
      <c r="EP48" s="376">
        <v>36100</v>
      </c>
      <c r="EQ48" s="376">
        <v>36100</v>
      </c>
      <c r="ER48" s="376">
        <v>36100</v>
      </c>
      <c r="ES48" s="376">
        <v>36100</v>
      </c>
      <c r="ET48" s="376">
        <v>35000</v>
      </c>
      <c r="EU48" s="376">
        <v>35000</v>
      </c>
      <c r="EV48" s="376">
        <v>35000</v>
      </c>
      <c r="EW48" s="376">
        <v>37000</v>
      </c>
      <c r="EX48" s="376">
        <v>37000</v>
      </c>
      <c r="EY48" s="376">
        <v>37000</v>
      </c>
      <c r="EZ48" s="376">
        <v>37000</v>
      </c>
      <c r="FA48" s="376">
        <v>37000</v>
      </c>
      <c r="FB48" s="376">
        <v>37000</v>
      </c>
      <c r="FC48" s="376">
        <v>37000</v>
      </c>
      <c r="FD48" s="376">
        <v>37000</v>
      </c>
      <c r="FE48" s="376">
        <v>37000</v>
      </c>
      <c r="FF48" s="376">
        <v>37000</v>
      </c>
      <c r="FG48" s="376">
        <v>37000</v>
      </c>
      <c r="FH48" s="376">
        <v>37000</v>
      </c>
      <c r="FI48" s="376">
        <v>37000</v>
      </c>
      <c r="FJ48" s="376">
        <v>37000</v>
      </c>
      <c r="FK48" s="376">
        <v>37000</v>
      </c>
      <c r="FL48" s="376">
        <v>37000</v>
      </c>
      <c r="FM48" s="376">
        <v>37000</v>
      </c>
      <c r="FN48" s="376">
        <v>37000</v>
      </c>
      <c r="FO48" s="376">
        <v>41000</v>
      </c>
      <c r="FP48" s="376">
        <v>41000</v>
      </c>
      <c r="FQ48" s="376">
        <v>41000</v>
      </c>
      <c r="FR48" s="376">
        <v>41000</v>
      </c>
      <c r="FS48" s="376">
        <v>41000</v>
      </c>
      <c r="FT48" s="376">
        <v>41000</v>
      </c>
      <c r="FU48" s="376">
        <v>41000</v>
      </c>
      <c r="FV48" s="376">
        <v>38300</v>
      </c>
      <c r="FW48" s="376">
        <v>35300</v>
      </c>
      <c r="FX48" s="376">
        <v>38700</v>
      </c>
      <c r="FY48" s="376">
        <v>35600</v>
      </c>
      <c r="FZ48" s="376">
        <v>38300</v>
      </c>
      <c r="GA48" s="376">
        <v>35300</v>
      </c>
      <c r="GB48" s="376">
        <v>35000</v>
      </c>
      <c r="GC48" s="376">
        <v>35000</v>
      </c>
      <c r="GD48" s="376">
        <v>35000</v>
      </c>
      <c r="GE48" s="376">
        <v>35000</v>
      </c>
      <c r="GF48" s="376">
        <v>39000</v>
      </c>
      <c r="GG48" s="376">
        <v>39000</v>
      </c>
      <c r="GH48" s="376">
        <v>39000</v>
      </c>
      <c r="GI48" s="376">
        <v>39000</v>
      </c>
      <c r="GJ48" s="376">
        <v>39000</v>
      </c>
      <c r="GK48" s="376">
        <v>39000</v>
      </c>
      <c r="GL48" s="376">
        <v>39000</v>
      </c>
      <c r="GM48" s="376">
        <v>39000</v>
      </c>
      <c r="GN48" s="376">
        <v>39000</v>
      </c>
      <c r="GO48" s="376">
        <v>39000</v>
      </c>
      <c r="GP48" s="376">
        <v>41000</v>
      </c>
      <c r="GQ48" s="376">
        <v>41100</v>
      </c>
      <c r="GR48" s="376">
        <v>41000</v>
      </c>
      <c r="GS48" s="376">
        <v>41000</v>
      </c>
      <c r="GT48" s="376">
        <v>41000</v>
      </c>
      <c r="GU48" s="376">
        <v>41000</v>
      </c>
      <c r="GV48" s="376">
        <v>41000</v>
      </c>
      <c r="GW48" s="376">
        <v>41000</v>
      </c>
      <c r="GX48" s="376">
        <v>41000</v>
      </c>
      <c r="GY48" s="376">
        <v>36000</v>
      </c>
      <c r="GZ48" s="376">
        <v>36000</v>
      </c>
      <c r="HA48" s="376">
        <v>36000</v>
      </c>
      <c r="HB48" s="376">
        <v>36000</v>
      </c>
      <c r="HC48" s="376">
        <v>36000</v>
      </c>
      <c r="HD48" s="376">
        <v>36000</v>
      </c>
      <c r="HE48" s="376">
        <v>36000</v>
      </c>
      <c r="HF48" s="376">
        <v>36000</v>
      </c>
      <c r="HG48" s="376">
        <v>36000</v>
      </c>
      <c r="HH48" s="376">
        <v>36000</v>
      </c>
      <c r="HI48" s="376">
        <v>36000</v>
      </c>
      <c r="HJ48" s="376">
        <v>36000</v>
      </c>
      <c r="HK48" s="376">
        <v>36000</v>
      </c>
      <c r="HL48" s="376">
        <v>36000</v>
      </c>
      <c r="HM48" s="376">
        <v>36000</v>
      </c>
      <c r="HN48" s="376">
        <v>36000</v>
      </c>
      <c r="HO48" s="376">
        <v>36000</v>
      </c>
      <c r="HP48" s="376">
        <v>36000</v>
      </c>
      <c r="HQ48" s="376">
        <v>36000</v>
      </c>
      <c r="HR48" s="376">
        <v>36000</v>
      </c>
      <c r="HS48" s="376">
        <v>36000</v>
      </c>
      <c r="HT48" s="376">
        <v>36000</v>
      </c>
      <c r="HU48" s="376">
        <v>36000</v>
      </c>
      <c r="HV48" s="376">
        <v>36000</v>
      </c>
      <c r="HW48" s="376">
        <v>36000</v>
      </c>
      <c r="HX48" s="376">
        <v>36000</v>
      </c>
      <c r="HY48" s="376">
        <v>36000</v>
      </c>
      <c r="HZ48" s="376">
        <v>36000</v>
      </c>
      <c r="IA48" s="376">
        <v>36000</v>
      </c>
      <c r="IB48" s="376">
        <v>36000</v>
      </c>
      <c r="IC48" s="376">
        <v>36000</v>
      </c>
      <c r="ID48" s="376">
        <v>36000</v>
      </c>
      <c r="IE48" s="376">
        <v>36000</v>
      </c>
      <c r="IF48" s="376">
        <v>36000</v>
      </c>
      <c r="IG48" s="376">
        <v>41000</v>
      </c>
      <c r="IH48" s="376">
        <v>41000</v>
      </c>
      <c r="II48" s="376">
        <v>41000</v>
      </c>
      <c r="IJ48" s="376">
        <v>41000</v>
      </c>
      <c r="IK48" s="376">
        <v>41000</v>
      </c>
      <c r="IL48" s="376">
        <v>41000</v>
      </c>
      <c r="IM48" s="376">
        <v>41000</v>
      </c>
      <c r="IN48" s="376">
        <v>41000</v>
      </c>
      <c r="IO48" s="376">
        <v>41000</v>
      </c>
      <c r="IP48" s="376">
        <v>41000</v>
      </c>
      <c r="IQ48" s="376">
        <v>41000</v>
      </c>
      <c r="IR48" s="376">
        <v>41000</v>
      </c>
      <c r="IS48" s="376">
        <v>37000</v>
      </c>
      <c r="IT48" s="376">
        <v>37000</v>
      </c>
      <c r="IU48" s="376">
        <v>37000</v>
      </c>
      <c r="IV48" s="376">
        <v>37000</v>
      </c>
      <c r="IW48" s="376">
        <v>37000</v>
      </c>
      <c r="IX48" s="376">
        <v>37000</v>
      </c>
      <c r="IY48" s="376">
        <v>41000</v>
      </c>
      <c r="IZ48" s="376">
        <v>41000</v>
      </c>
      <c r="JA48" s="376">
        <v>41000</v>
      </c>
      <c r="JB48" s="376">
        <v>41000</v>
      </c>
      <c r="JC48" s="376">
        <v>41000</v>
      </c>
      <c r="JD48" s="376">
        <v>41000</v>
      </c>
      <c r="JE48" s="376">
        <v>41000</v>
      </c>
      <c r="JF48" s="376">
        <v>41000</v>
      </c>
      <c r="JG48" s="376">
        <v>41000</v>
      </c>
      <c r="JH48" s="376">
        <v>41000</v>
      </c>
      <c r="JI48" s="376">
        <v>41000</v>
      </c>
      <c r="JJ48" s="376">
        <v>41000</v>
      </c>
      <c r="JK48" s="376">
        <v>41000</v>
      </c>
    </row>
    <row r="49" spans="1:271">
      <c r="A49" s="274" t="s">
        <v>2576</v>
      </c>
      <c r="B49" s="274"/>
      <c r="C49" s="274"/>
      <c r="D49" s="274"/>
      <c r="E49" s="274"/>
      <c r="F49" s="274"/>
      <c r="G49" s="274"/>
      <c r="H49" s="274"/>
      <c r="I49" s="274"/>
      <c r="J49" s="274"/>
      <c r="K49" s="274"/>
      <c r="L49" s="274"/>
      <c r="M49" s="274"/>
      <c r="N49" s="274"/>
      <c r="O49" s="274"/>
      <c r="P49" s="274"/>
      <c r="Q49" s="274"/>
      <c r="R49" s="274"/>
      <c r="S49" s="274"/>
      <c r="T49" s="274"/>
      <c r="U49" s="274"/>
      <c r="V49" s="274"/>
      <c r="W49" s="274"/>
      <c r="X49" s="274"/>
      <c r="Y49" s="274"/>
      <c r="Z49" s="274"/>
      <c r="AA49" s="274"/>
      <c r="AB49" s="274"/>
      <c r="AC49" s="274"/>
      <c r="AD49" s="274"/>
      <c r="AE49" s="274"/>
      <c r="AF49" s="274"/>
      <c r="AG49" s="274"/>
      <c r="AH49" s="274"/>
      <c r="AI49" s="274"/>
      <c r="AJ49" s="274"/>
      <c r="AK49" s="274"/>
      <c r="AL49" s="274"/>
      <c r="AM49" s="274"/>
      <c r="AN49" s="274"/>
      <c r="AO49" s="274"/>
      <c r="AP49" s="274"/>
      <c r="AQ49" s="274"/>
      <c r="AR49" s="274"/>
      <c r="AS49" s="274"/>
      <c r="AT49" s="274"/>
      <c r="AU49" s="377"/>
      <c r="AV49" s="377"/>
      <c r="AW49" s="274"/>
      <c r="AX49" s="274"/>
      <c r="AY49" s="274"/>
      <c r="AZ49" s="274"/>
      <c r="BA49" s="274"/>
      <c r="BB49" s="274"/>
      <c r="BC49" s="274"/>
      <c r="BD49" s="274"/>
      <c r="BE49" s="274"/>
      <c r="BF49" s="274"/>
      <c r="BG49" s="274"/>
      <c r="BH49" s="274"/>
      <c r="BI49" s="274"/>
      <c r="BJ49" s="274"/>
      <c r="BK49" s="274"/>
      <c r="BL49" s="274"/>
      <c r="BM49" s="274"/>
      <c r="BN49" s="274"/>
      <c r="BO49" s="274"/>
      <c r="BP49" s="274"/>
      <c r="BQ49" s="274"/>
      <c r="BR49" s="274"/>
      <c r="BS49" s="274"/>
      <c r="BT49" s="274"/>
      <c r="BU49" s="274"/>
      <c r="BV49" s="274"/>
      <c r="BW49" s="274"/>
      <c r="BX49" s="274"/>
      <c r="BY49" s="274"/>
      <c r="BZ49" s="274"/>
      <c r="CA49" s="274"/>
      <c r="CB49" s="274"/>
      <c r="CC49" s="274"/>
      <c r="CD49" s="274"/>
      <c r="CE49" s="274"/>
      <c r="CF49" s="274"/>
      <c r="CG49" s="274"/>
      <c r="CH49" s="274"/>
      <c r="CI49" s="274"/>
      <c r="CJ49" s="274"/>
      <c r="CK49" s="274"/>
      <c r="CL49" s="378">
        <f>IF(CL37&lt;4, (0.6888607+((-0.000008477)*CL48)+((-0.00000000018)*(CL48^2))+((0.000000000000001025)*(CL48^3))), (0.3627433+((-0.0000008825)*CL48)+((-0.000000000128)*(CL48^2))+((0.0000000000000005746)*(CL48^3))))</f>
        <v>0.1871515490416</v>
      </c>
      <c r="CM49" s="378">
        <f t="shared" ref="CM49:DP49" si="117">IF(CM37&lt;4, (0.6888607+((-0.000008477)*CM48)+((-0.00000000018)*(CM48^2))+((0.000000000000001025)*(CM48^3))), (0.3627433+((-0.0000008825)*CM48)+((-0.000000000128)*(CM48^2))+((0.0000000000000005746)*(CM48^3))))</f>
        <v>0.19189383759999995</v>
      </c>
      <c r="CN49" s="378">
        <f>(0.3627433+((-0.0000008825)*CN48)+((-0.000000000128)*(CN48^2))+((0.0000000000000005746)*(CN48^3)))</f>
        <v>0.19969177499999999</v>
      </c>
      <c r="CO49" s="378">
        <f t="shared" si="117"/>
        <v>0.15014615471259996</v>
      </c>
      <c r="CP49" s="378">
        <f t="shared" si="117"/>
        <v>0.15014615471259996</v>
      </c>
      <c r="CQ49" s="378">
        <f t="shared" si="117"/>
        <v>0.19189383759999995</v>
      </c>
      <c r="CR49" s="378">
        <f t="shared" si="117"/>
        <v>0.19189383759999995</v>
      </c>
      <c r="CS49" s="378">
        <f t="shared" si="117"/>
        <v>0.19189383759999995</v>
      </c>
      <c r="CT49" s="378">
        <f t="shared" si="117"/>
        <v>0.19189383759999995</v>
      </c>
      <c r="CU49" s="378">
        <f t="shared" si="117"/>
        <v>0.19189383759999995</v>
      </c>
      <c r="CV49" s="378">
        <f t="shared" si="117"/>
        <v>0.19189383759999995</v>
      </c>
      <c r="CW49" s="378">
        <f t="shared" si="117"/>
        <v>0.19969177499999999</v>
      </c>
      <c r="CX49" s="378">
        <f t="shared" si="117"/>
        <v>0.19969177499999999</v>
      </c>
      <c r="CY49" s="378">
        <f t="shared" si="117"/>
        <v>0.19969177499999999</v>
      </c>
      <c r="CZ49" s="378">
        <f>(0.3627433+((-0.0000008825)*CZ48)+((-0.000000000128)*(CZ48^2))+((0.0000000000000005746)*(CZ48^3)))</f>
        <v>0.15099480659999998</v>
      </c>
      <c r="DA49" s="378">
        <f t="shared" si="117"/>
        <v>0.18316391040060001</v>
      </c>
      <c r="DB49" s="378">
        <f t="shared" si="117"/>
        <v>0.19969177499999999</v>
      </c>
      <c r="DC49" s="378">
        <f>(0.3627433+((-0.0000008825)*DC48)+((-0.000000000128)*(DC48^2))+((0.0000000000000005746)*(DC48^3)))</f>
        <v>0.19969177499999999</v>
      </c>
      <c r="DD49" s="378">
        <f t="shared" si="117"/>
        <v>0.2118855459184</v>
      </c>
      <c r="DE49" s="378">
        <f>(0.3627433+((-0.0000008825)*DE48)+((-0.000000000128)*(DE48^2))+((0.0000000000000005746)*(DE48^3)))</f>
        <v>0.19969177499999999</v>
      </c>
      <c r="DF49" s="378">
        <f>(0.3627433+((-0.0000008825)*DF48)+((-0.000000000128)*(DF48^2))+((0.0000000000000005746)*(DF48^3)))</f>
        <v>0.1594177</v>
      </c>
      <c r="DG49" s="378">
        <f>(0.3627433+((-0.0000008825)*DG48)+((-0.000000000128)*(DG48^2))+((0.0000000000000005746)*(DG48^3)))</f>
        <v>0.1594177</v>
      </c>
      <c r="DH49" s="378">
        <f t="shared" si="117"/>
        <v>0.23658249999999997</v>
      </c>
      <c r="DI49" s="378">
        <f t="shared" si="117"/>
        <v>0.23658249999999997</v>
      </c>
      <c r="DJ49" s="378">
        <f t="shared" si="117"/>
        <v>0.23658249999999997</v>
      </c>
      <c r="DK49" s="378">
        <f t="shared" si="117"/>
        <v>0.19969177499999999</v>
      </c>
      <c r="DL49" s="378">
        <f t="shared" si="117"/>
        <v>0.19969177499999999</v>
      </c>
      <c r="DM49" s="378">
        <f t="shared" si="117"/>
        <v>0.19969177499999999</v>
      </c>
      <c r="DN49" s="378">
        <f>(0.3627433+((-0.0000008825)*DN48)+((-0.000000000128)*(DN48^2))+((0.0000000000000005746)*(DN48^3)))</f>
        <v>0.19969177499999999</v>
      </c>
      <c r="DO49" s="378">
        <f t="shared" si="117"/>
        <v>0.19969177499999999</v>
      </c>
      <c r="DP49" s="378">
        <f t="shared" si="117"/>
        <v>0.19969177499999999</v>
      </c>
      <c r="DQ49" s="378">
        <f>(0.3627433+((-0.0000008825)*DQ48)+((-0.000000000128)*(DQ48^2))+((0.0000000000000005746)*(DQ48^3)))</f>
        <v>0.19969177499999999</v>
      </c>
      <c r="DR49" s="376">
        <f t="shared" ref="DR49:EW49" si="118">IF(DR37&lt;4, (0.6888607+((-0.000008477)*DR48)+((-0.00000000018)*(DR48^2))+((0.000000000000001025)*(DR48^3))), (0.3627433+((-0.0000008825)*DR48)+((-0.000000000128)*(DR48^2))+((0.0000000000000005746)*(DR48^3))))</f>
        <v>0.215612575</v>
      </c>
      <c r="DS49" s="376">
        <f t="shared" si="118"/>
        <v>0.215612575</v>
      </c>
      <c r="DT49" s="376">
        <f t="shared" si="118"/>
        <v>0.215612575</v>
      </c>
      <c r="DU49" s="376">
        <f t="shared" si="118"/>
        <v>0.215612575</v>
      </c>
      <c r="DV49" s="376">
        <f t="shared" si="118"/>
        <v>0.215612575</v>
      </c>
      <c r="DW49" s="376">
        <f t="shared" si="118"/>
        <v>0.215612575</v>
      </c>
      <c r="DX49" s="376">
        <f t="shared" si="118"/>
        <v>0.215612575</v>
      </c>
      <c r="DY49" s="376">
        <f t="shared" si="118"/>
        <v>0.215612575</v>
      </c>
      <c r="DZ49" s="376">
        <f t="shared" si="118"/>
        <v>0.19969177499999999</v>
      </c>
      <c r="EA49" s="376">
        <f t="shared" si="118"/>
        <v>0.19969177499999999</v>
      </c>
      <c r="EB49" s="376">
        <f t="shared" si="118"/>
        <v>0.19969177499999999</v>
      </c>
      <c r="EC49" s="376">
        <f t="shared" si="118"/>
        <v>0.14527967499999994</v>
      </c>
      <c r="ED49" s="376">
        <f t="shared" si="118"/>
        <v>0.14527967499999994</v>
      </c>
      <c r="EE49" s="376">
        <f t="shared" si="118"/>
        <v>0.14527967499999994</v>
      </c>
      <c r="EF49" s="376">
        <f t="shared" si="118"/>
        <v>0.14527967499999994</v>
      </c>
      <c r="EG49" s="376">
        <f t="shared" si="118"/>
        <v>0.215612575</v>
      </c>
      <c r="EH49" s="376">
        <f t="shared" si="118"/>
        <v>0.14527967499999994</v>
      </c>
      <c r="EI49" s="376">
        <f t="shared" si="118"/>
        <v>0.14527967499999994</v>
      </c>
      <c r="EJ49" s="376">
        <f t="shared" si="118"/>
        <v>0.20659430634659998</v>
      </c>
      <c r="EK49" s="376">
        <f t="shared" si="118"/>
        <v>0.20659430634659998</v>
      </c>
      <c r="EL49" s="376">
        <f t="shared" si="118"/>
        <v>0.19648522802499999</v>
      </c>
      <c r="EM49" s="376">
        <f t="shared" si="118"/>
        <v>0.19648522802499999</v>
      </c>
      <c r="EN49" s="376">
        <f t="shared" si="118"/>
        <v>0.19648522802499999</v>
      </c>
      <c r="EO49" s="376">
        <f t="shared" si="118"/>
        <v>0.19648522802499999</v>
      </c>
      <c r="EP49" s="376">
        <f t="shared" si="118"/>
        <v>0.19648522802499999</v>
      </c>
      <c r="EQ49" s="376">
        <f t="shared" si="118"/>
        <v>0.19648522802499999</v>
      </c>
      <c r="ER49" s="376">
        <f t="shared" si="118"/>
        <v>0.19648522802499999</v>
      </c>
      <c r="ES49" s="376">
        <f t="shared" si="118"/>
        <v>0.19648522802499999</v>
      </c>
      <c r="ET49" s="376">
        <f t="shared" si="118"/>
        <v>0.215612575</v>
      </c>
      <c r="EU49" s="376">
        <f t="shared" si="118"/>
        <v>0.215612575</v>
      </c>
      <c r="EV49" s="376">
        <f t="shared" si="118"/>
        <v>0.215612575</v>
      </c>
      <c r="EW49" s="376">
        <f t="shared" si="118"/>
        <v>0.18071102499999997</v>
      </c>
      <c r="EX49" s="376">
        <f t="shared" ref="EX49:GC49" si="119">IF(EX37&lt;4, (0.6888607+((-0.000008477)*EX48)+((-0.00000000018)*(EX48^2))+((0.000000000000001025)*(EX48^3))), (0.3627433+((-0.0000008825)*EX48)+((-0.000000000128)*(EX48^2))+((0.0000000000000005746)*(EX48^3))))</f>
        <v>0.18071102499999997</v>
      </c>
      <c r="EY49" s="376">
        <f t="shared" si="119"/>
        <v>0.18071102499999997</v>
      </c>
      <c r="EZ49" s="376">
        <f t="shared" si="119"/>
        <v>0.18071102499999997</v>
      </c>
      <c r="FA49" s="376">
        <f t="shared" si="119"/>
        <v>0.18071102499999997</v>
      </c>
      <c r="FB49" s="376">
        <f t="shared" si="119"/>
        <v>0.18071102499999997</v>
      </c>
      <c r="FC49" s="376">
        <f t="shared" si="119"/>
        <v>0.18396401380000002</v>
      </c>
      <c r="FD49" s="376">
        <f t="shared" si="119"/>
        <v>0.18396401380000002</v>
      </c>
      <c r="FE49" s="376">
        <f t="shared" si="119"/>
        <v>0.18396401380000002</v>
      </c>
      <c r="FF49" s="376">
        <f t="shared" si="119"/>
        <v>0.18396401380000002</v>
      </c>
      <c r="FG49" s="376">
        <f t="shared" si="119"/>
        <v>0.18396401380000002</v>
      </c>
      <c r="FH49" s="376">
        <f t="shared" si="119"/>
        <v>0.18396401380000002</v>
      </c>
      <c r="FI49" s="376">
        <f t="shared" si="119"/>
        <v>0.18396401380000002</v>
      </c>
      <c r="FJ49" s="376">
        <f t="shared" si="119"/>
        <v>0.18396401380000002</v>
      </c>
      <c r="FK49" s="376">
        <f t="shared" si="119"/>
        <v>0.18396401380000002</v>
      </c>
      <c r="FL49" s="376">
        <f t="shared" si="119"/>
        <v>0.18396401380000002</v>
      </c>
      <c r="FM49" s="376">
        <f t="shared" si="119"/>
        <v>0.18396401380000002</v>
      </c>
      <c r="FN49" s="376">
        <f t="shared" si="119"/>
        <v>0.18396401380000002</v>
      </c>
      <c r="FO49" s="376">
        <f t="shared" si="119"/>
        <v>0.15099480659999998</v>
      </c>
      <c r="FP49" s="376">
        <f t="shared" si="119"/>
        <v>0.15099480659999998</v>
      </c>
      <c r="FQ49" s="376">
        <f t="shared" si="119"/>
        <v>0.15099480659999998</v>
      </c>
      <c r="FR49" s="376">
        <f t="shared" si="119"/>
        <v>0.15099480659999998</v>
      </c>
      <c r="FS49" s="376">
        <f t="shared" si="119"/>
        <v>0.15099480659999998</v>
      </c>
      <c r="FT49" s="376">
        <f t="shared" si="119"/>
        <v>0.15099480659999998</v>
      </c>
      <c r="FU49" s="376">
        <f t="shared" si="119"/>
        <v>0.15099480659999998</v>
      </c>
      <c r="FV49" s="376">
        <f t="shared" si="119"/>
        <v>0.17346374227019998</v>
      </c>
      <c r="FW49" s="376">
        <f t="shared" si="119"/>
        <v>0.1973664469842</v>
      </c>
      <c r="FX49" s="376">
        <f t="shared" si="119"/>
        <v>0.1701903924838</v>
      </c>
      <c r="FY49" s="376">
        <f t="shared" si="119"/>
        <v>0.19502903199359997</v>
      </c>
      <c r="FZ49" s="376">
        <f t="shared" si="119"/>
        <v>0.17346374227019998</v>
      </c>
      <c r="GA49" s="376">
        <f t="shared" si="119"/>
        <v>0.1973664469842</v>
      </c>
      <c r="GB49" s="376">
        <f t="shared" si="119"/>
        <v>0.19969177499999999</v>
      </c>
      <c r="GC49" s="376">
        <f t="shared" si="119"/>
        <v>0.19969177499999999</v>
      </c>
      <c r="GD49" s="376">
        <f t="shared" ref="GD49:HI49" si="120">IF(GD37&lt;4, (0.6888607+((-0.000008477)*GD48)+((-0.00000000018)*(GD48^2))+((0.000000000000001025)*(GD48^3))), (0.3627433+((-0.0000008825)*GD48)+((-0.000000000128)*(GD48^2))+((0.0000000000000005746)*(GD48^3))))</f>
        <v>0.19969177499999999</v>
      </c>
      <c r="GE49" s="376">
        <f t="shared" si="120"/>
        <v>0.19969177499999999</v>
      </c>
      <c r="GF49" s="376">
        <f t="shared" si="120"/>
        <v>0.1677224974</v>
      </c>
      <c r="GG49" s="376">
        <f t="shared" si="120"/>
        <v>0.1677224974</v>
      </c>
      <c r="GH49" s="376">
        <f t="shared" si="120"/>
        <v>0.1677224974</v>
      </c>
      <c r="GI49" s="376">
        <f t="shared" si="120"/>
        <v>0.1677224974</v>
      </c>
      <c r="GJ49" s="376">
        <f t="shared" si="120"/>
        <v>0.1677224974</v>
      </c>
      <c r="GK49" s="376">
        <f t="shared" si="120"/>
        <v>0.1677224974</v>
      </c>
      <c r="GL49" s="376">
        <f t="shared" si="120"/>
        <v>0.1677224974</v>
      </c>
      <c r="GM49" s="376">
        <f t="shared" si="120"/>
        <v>0.1677224974</v>
      </c>
      <c r="GN49" s="376">
        <f t="shared" si="120"/>
        <v>0.1677224974</v>
      </c>
      <c r="GO49" s="376">
        <f t="shared" si="120"/>
        <v>0.1677224974</v>
      </c>
      <c r="GP49" s="376">
        <f t="shared" si="120"/>
        <v>0.15099480659999998</v>
      </c>
      <c r="GQ49" s="376">
        <f t="shared" si="120"/>
        <v>0.15014615471259996</v>
      </c>
      <c r="GR49" s="376">
        <f t="shared" si="120"/>
        <v>0.15099480659999998</v>
      </c>
      <c r="GS49" s="376">
        <f t="shared" si="120"/>
        <v>0.15099480659999998</v>
      </c>
      <c r="GT49" s="376">
        <f t="shared" si="120"/>
        <v>0.15099480659999998</v>
      </c>
      <c r="GU49" s="376">
        <f t="shared" si="120"/>
        <v>0.15099480659999998</v>
      </c>
      <c r="GV49" s="376">
        <f t="shared" si="120"/>
        <v>0.15099480659999998</v>
      </c>
      <c r="GW49" s="376">
        <f t="shared" si="120"/>
        <v>0.15099480659999998</v>
      </c>
      <c r="GX49" s="376">
        <f t="shared" si="120"/>
        <v>0.15099480659999998</v>
      </c>
      <c r="GY49" s="376">
        <f t="shared" si="120"/>
        <v>0.19189383759999995</v>
      </c>
      <c r="GZ49" s="376">
        <f t="shared" si="120"/>
        <v>0.19189383759999995</v>
      </c>
      <c r="HA49" s="376">
        <f t="shared" si="120"/>
        <v>0.19189383759999995</v>
      </c>
      <c r="HB49" s="376">
        <f t="shared" si="120"/>
        <v>0.19189383759999995</v>
      </c>
      <c r="HC49" s="376">
        <f t="shared" si="120"/>
        <v>0.19189383759999995</v>
      </c>
      <c r="HD49" s="376">
        <f t="shared" si="120"/>
        <v>0.19189383759999995</v>
      </c>
      <c r="HE49" s="376">
        <f t="shared" si="120"/>
        <v>0.19189383759999995</v>
      </c>
      <c r="HF49" s="376">
        <f t="shared" si="120"/>
        <v>0.19189383759999995</v>
      </c>
      <c r="HG49" s="376">
        <f t="shared" si="120"/>
        <v>0.19189383759999995</v>
      </c>
      <c r="HH49" s="376">
        <f t="shared" si="120"/>
        <v>0.19189383759999995</v>
      </c>
      <c r="HI49" s="376">
        <f t="shared" si="120"/>
        <v>0.19189383759999995</v>
      </c>
      <c r="HJ49" s="376">
        <f t="shared" ref="HJ49:IL49" si="121">IF(HJ37&lt;4, (0.6888607+((-0.000008477)*HJ48)+((-0.00000000018)*(HJ48^2))+((0.000000000000001025)*(HJ48^3))), (0.3627433+((-0.0000008825)*HJ48)+((-0.000000000128)*(HJ48^2))+((0.0000000000000005746)*(HJ48^3))))</f>
        <v>0.19189383759999995</v>
      </c>
      <c r="HK49" s="376">
        <f t="shared" si="121"/>
        <v>0.19189383759999995</v>
      </c>
      <c r="HL49" s="376">
        <f t="shared" si="121"/>
        <v>0.19189383759999995</v>
      </c>
      <c r="HM49" s="376">
        <f t="shared" si="121"/>
        <v>0.19189383759999995</v>
      </c>
      <c r="HN49" s="376">
        <f t="shared" si="121"/>
        <v>0.19189383759999995</v>
      </c>
      <c r="HO49" s="376">
        <f t="shared" si="121"/>
        <v>0.19189383759999995</v>
      </c>
      <c r="HP49" s="376">
        <f t="shared" si="121"/>
        <v>0.19189383759999995</v>
      </c>
      <c r="HQ49" s="376">
        <f t="shared" si="121"/>
        <v>0.19189383759999995</v>
      </c>
      <c r="HR49" s="376">
        <f t="shared" si="121"/>
        <v>0.19189383759999995</v>
      </c>
      <c r="HS49" s="376">
        <f t="shared" si="121"/>
        <v>0.19189383759999995</v>
      </c>
      <c r="HT49" s="376">
        <f t="shared" si="121"/>
        <v>0.19189383759999995</v>
      </c>
      <c r="HU49" s="376">
        <f t="shared" si="121"/>
        <v>0.19189383759999995</v>
      </c>
      <c r="HV49" s="376">
        <f t="shared" si="121"/>
        <v>0.19189383759999995</v>
      </c>
      <c r="HW49" s="376">
        <f t="shared" si="121"/>
        <v>0.19189383759999995</v>
      </c>
      <c r="HX49" s="376">
        <f t="shared" si="121"/>
        <v>0.19189383759999995</v>
      </c>
      <c r="HY49" s="376">
        <f t="shared" si="121"/>
        <v>0.19189383759999995</v>
      </c>
      <c r="HZ49" s="376">
        <f t="shared" si="121"/>
        <v>0.19189383759999995</v>
      </c>
      <c r="IA49" s="376">
        <f t="shared" si="121"/>
        <v>0.19189383759999995</v>
      </c>
      <c r="IB49" s="376">
        <f t="shared" si="121"/>
        <v>0.19189383759999995</v>
      </c>
      <c r="IC49" s="376">
        <f t="shared" si="121"/>
        <v>0.19189383759999995</v>
      </c>
      <c r="ID49" s="376">
        <f t="shared" si="121"/>
        <v>0.19189383759999995</v>
      </c>
      <c r="IE49" s="376">
        <f t="shared" si="121"/>
        <v>0.19189383759999995</v>
      </c>
      <c r="IF49" s="376">
        <f t="shared" si="121"/>
        <v>0.19189383759999995</v>
      </c>
      <c r="IG49" s="376">
        <f t="shared" si="121"/>
        <v>0.15099480659999998</v>
      </c>
      <c r="IH49" s="376">
        <f t="shared" si="121"/>
        <v>0.15099480659999998</v>
      </c>
      <c r="II49" s="376">
        <f t="shared" si="121"/>
        <v>0.15099480659999998</v>
      </c>
      <c r="IJ49" s="376">
        <f t="shared" si="121"/>
        <v>0.15099480659999998</v>
      </c>
      <c r="IK49" s="376">
        <f t="shared" si="121"/>
        <v>0.15099480659999998</v>
      </c>
      <c r="IL49" s="376">
        <f t="shared" si="121"/>
        <v>0.15099480659999998</v>
      </c>
      <c r="IM49" s="376">
        <f xml:space="preserve"> 0.3627433+((-0.0000008825)*IM48)+((-0.000000000128)*(IM48^2))+((0.0000000000000005746)*(IM48^3))</f>
        <v>0.15099480659999998</v>
      </c>
      <c r="IN49" s="376">
        <f xml:space="preserve"> 0.3627433+((-0.0000008825)*IN48)+((-0.000000000128)*(IN48^2))+((0.0000000000000005746)*(IN48^3))</f>
        <v>0.15099480659999998</v>
      </c>
      <c r="IO49" s="376">
        <f>IF(IO37&lt;4, (0.6888607+((-0.000008477)*IO48)+((-0.00000000018)*(IO48^2))+((0.000000000000001025)*(IO48^3))), (0.3627433+((-0.0000008825)*IO48)+((-0.000000000128)*(IO48^2))+((0.0000000000000005746)*(IO48^3))))</f>
        <v>0.15099480659999998</v>
      </c>
      <c r="IP49" s="376">
        <f xml:space="preserve"> 0.3627433+((-0.0000008825)*IP48)+((-0.000000000128)*(IP48^2))+((0.0000000000000005746)*(IP48^3))</f>
        <v>0.15099480659999998</v>
      </c>
      <c r="IQ49" s="376">
        <f xml:space="preserve"> 0.3627433+((-0.0000008825)*IQ48)+((-0.000000000128)*(IQ48^2))+((0.0000000000000005746)*(IQ48^3))</f>
        <v>0.15099480659999998</v>
      </c>
      <c r="IR49" s="376">
        <f xml:space="preserve"> 0.3627433+((-0.0000008825)*IR48)+((-0.000000000128)*(IR48^2))+((0.0000000000000005746)*(IR48^3))</f>
        <v>0.15099480659999998</v>
      </c>
      <c r="IS49" s="376">
        <f t="shared" ref="IS49:JJ49" si="122">IF(IS37&lt;4, (0.6888607+((-0.000008477)*IS48)+((-0.00000000018)*(IS48^2))+((0.000000000000001025)*(IS48^3))), (0.3627433+((-0.0000008825)*IS48)+((-0.000000000128)*(IS48^2))+((0.0000000000000005746)*(IS48^3))))</f>
        <v>0.18396401380000002</v>
      </c>
      <c r="IT49" s="376">
        <f t="shared" si="122"/>
        <v>0.18396401380000002</v>
      </c>
      <c r="IU49" s="376">
        <f t="shared" si="122"/>
        <v>0.18396401380000002</v>
      </c>
      <c r="IV49" s="376">
        <f t="shared" si="122"/>
        <v>0.18396401380000002</v>
      </c>
      <c r="IW49" s="376">
        <f t="shared" si="122"/>
        <v>0.18396401380000002</v>
      </c>
      <c r="IX49" s="376">
        <f t="shared" si="122"/>
        <v>0.18396401380000002</v>
      </c>
      <c r="IY49" s="376">
        <f t="shared" si="122"/>
        <v>0.15099480659999998</v>
      </c>
      <c r="IZ49" s="376">
        <f t="shared" si="122"/>
        <v>0.15099480659999998</v>
      </c>
      <c r="JA49" s="376">
        <f t="shared" si="122"/>
        <v>0.15099480659999998</v>
      </c>
      <c r="JB49" s="376">
        <f t="shared" si="122"/>
        <v>0.15099480659999998</v>
      </c>
      <c r="JC49" s="376">
        <f t="shared" si="122"/>
        <v>0.15099480659999998</v>
      </c>
      <c r="JD49" s="376">
        <f t="shared" si="122"/>
        <v>0.15099480659999998</v>
      </c>
      <c r="JE49" s="376">
        <f t="shared" si="122"/>
        <v>0.15099480659999998</v>
      </c>
      <c r="JF49" s="376">
        <f t="shared" si="122"/>
        <v>0.15099480659999998</v>
      </c>
      <c r="JG49" s="376">
        <f t="shared" si="122"/>
        <v>0.15099480659999998</v>
      </c>
      <c r="JH49" s="376">
        <f t="shared" si="122"/>
        <v>0.15099480659999998</v>
      </c>
      <c r="JI49" s="376">
        <f t="shared" si="122"/>
        <v>0.15099480659999998</v>
      </c>
      <c r="JJ49" s="376">
        <f t="shared" si="122"/>
        <v>0.15099480659999998</v>
      </c>
      <c r="JK49" s="376">
        <f xml:space="preserve"> 0.3627433+((-0.0000008825)*JK48)+((-0.000000000128)*(JK48^2))+((0.0000000000000005746)*(JK48^3))</f>
        <v>0.15099480659999998</v>
      </c>
    </row>
    <row r="50" spans="1:271">
      <c r="A50" s="274" t="s">
        <v>2577</v>
      </c>
      <c r="B50" s="274"/>
      <c r="C50" s="274"/>
      <c r="D50" s="274"/>
      <c r="E50" s="274"/>
      <c r="F50" s="274"/>
      <c r="G50" s="274"/>
      <c r="H50" s="274"/>
      <c r="I50" s="274"/>
      <c r="J50" s="274"/>
      <c r="K50" s="274"/>
      <c r="L50" s="274"/>
      <c r="M50" s="274"/>
      <c r="N50" s="274"/>
      <c r="O50" s="274"/>
      <c r="P50" s="274"/>
      <c r="Q50" s="274"/>
      <c r="R50" s="274"/>
      <c r="S50" s="274"/>
      <c r="T50" s="274"/>
      <c r="U50" s="274"/>
      <c r="V50" s="274"/>
      <c r="W50" s="274"/>
      <c r="X50" s="274"/>
      <c r="Y50" s="274"/>
      <c r="Z50" s="274"/>
      <c r="AA50" s="274"/>
      <c r="AB50" s="274"/>
      <c r="AC50" s="274"/>
      <c r="AD50" s="274"/>
      <c r="AE50" s="274"/>
      <c r="AF50" s="274"/>
      <c r="AG50" s="274"/>
      <c r="AH50" s="274"/>
      <c r="AI50" s="274"/>
      <c r="AJ50" s="274"/>
      <c r="AK50" s="274"/>
      <c r="AL50" s="274"/>
      <c r="AM50" s="274"/>
      <c r="AN50" s="274"/>
      <c r="AO50" s="274"/>
      <c r="AP50" s="274"/>
      <c r="AQ50" s="274"/>
      <c r="AR50" s="274"/>
      <c r="AS50" s="274"/>
      <c r="AT50" s="274"/>
      <c r="AU50" s="377"/>
      <c r="AV50" s="377"/>
      <c r="AW50" s="274"/>
      <c r="AX50" s="274"/>
      <c r="AY50" s="274"/>
      <c r="AZ50" s="274"/>
      <c r="BA50" s="274"/>
      <c r="BB50" s="274"/>
      <c r="BC50" s="274"/>
      <c r="BD50" s="274"/>
      <c r="BE50" s="274"/>
      <c r="BF50" s="274"/>
      <c r="BG50" s="274"/>
      <c r="BH50" s="274"/>
      <c r="BI50" s="274"/>
      <c r="BJ50" s="274"/>
      <c r="BK50" s="274"/>
      <c r="BL50" s="274"/>
      <c r="BM50" s="274"/>
      <c r="BN50" s="274"/>
      <c r="BO50" s="274"/>
      <c r="BP50" s="274"/>
      <c r="BQ50" s="274"/>
      <c r="BR50" s="274"/>
      <c r="BS50" s="274"/>
      <c r="BT50" s="274"/>
      <c r="BU50" s="274"/>
      <c r="BV50" s="274"/>
      <c r="BW50" s="274"/>
      <c r="BX50" s="274"/>
      <c r="BY50" s="274"/>
      <c r="BZ50" s="274"/>
      <c r="CA50" s="274"/>
      <c r="CB50" s="274"/>
      <c r="CC50" s="274"/>
      <c r="CD50" s="274"/>
      <c r="CE50" s="274"/>
      <c r="CF50" s="274"/>
      <c r="CG50" s="274"/>
      <c r="CH50" s="274"/>
      <c r="CI50" s="274"/>
      <c r="CJ50" s="274"/>
      <c r="CK50" s="274"/>
      <c r="CL50" s="274">
        <f>CL27*CL49</f>
        <v>133.13961198819425</v>
      </c>
      <c r="CM50" s="274">
        <f t="shared" ref="CM50:DQ50" si="123">CM27*CM49</f>
        <v>163.34003456511996</v>
      </c>
      <c r="CN50" s="274">
        <f t="shared" si="123"/>
        <v>175.64888528999998</v>
      </c>
      <c r="CO50" s="274">
        <f t="shared" si="123"/>
        <v>141.6178531249243</v>
      </c>
      <c r="CP50" s="274">
        <f t="shared" si="123"/>
        <v>135.12553339515145</v>
      </c>
      <c r="CQ50" s="274">
        <f t="shared" si="123"/>
        <v>106.52410712851197</v>
      </c>
      <c r="CR50" s="274">
        <f t="shared" si="123"/>
        <v>110.96836840732797</v>
      </c>
      <c r="CS50" s="274">
        <f t="shared" si="123"/>
        <v>116.09577174799998</v>
      </c>
      <c r="CT50" s="274">
        <f t="shared" si="123"/>
        <v>116.09577174799998</v>
      </c>
      <c r="CU50" s="274">
        <f t="shared" si="123"/>
        <v>110.96836840732797</v>
      </c>
      <c r="CV50" s="274">
        <f t="shared" si="123"/>
        <v>106.52410712851197</v>
      </c>
      <c r="CW50" s="274">
        <f t="shared" si="123"/>
        <v>203.12647353</v>
      </c>
      <c r="CX50" s="274">
        <f t="shared" si="123"/>
        <v>201.52893932999999</v>
      </c>
      <c r="CY50" s="274">
        <f t="shared" si="123"/>
        <v>206.0875031697</v>
      </c>
      <c r="CZ50" s="274">
        <f t="shared" si="123"/>
        <v>96.697074146639977</v>
      </c>
      <c r="DA50" s="274">
        <f t="shared" si="123"/>
        <v>85.024687207958522</v>
      </c>
      <c r="DB50" s="274">
        <f t="shared" si="123"/>
        <v>110.14998308999999</v>
      </c>
      <c r="DC50" s="274">
        <f t="shared" si="123"/>
        <v>106.64738935649999</v>
      </c>
      <c r="DD50" s="274">
        <f t="shared" si="123"/>
        <v>116.87606712858944</v>
      </c>
      <c r="DE50" s="274">
        <f t="shared" si="123"/>
        <v>111.90727070999999</v>
      </c>
      <c r="DF50" s="274">
        <f t="shared" si="123"/>
        <v>119.4038573</v>
      </c>
      <c r="DG50" s="274">
        <f t="shared" si="123"/>
        <v>137.57747509999999</v>
      </c>
      <c r="DH50" s="274">
        <f t="shared" si="123"/>
        <v>144.43361624999997</v>
      </c>
      <c r="DI50" s="274">
        <f t="shared" si="123"/>
        <v>129.457944</v>
      </c>
      <c r="DJ50" s="274">
        <f t="shared" si="123"/>
        <v>160.970733</v>
      </c>
      <c r="DK50" s="274">
        <f t="shared" si="123"/>
        <v>139.88408838749999</v>
      </c>
      <c r="DL50" s="274">
        <f t="shared" si="123"/>
        <v>123.40951695</v>
      </c>
      <c r="DM50" s="274">
        <f t="shared" si="123"/>
        <v>141.38177669999999</v>
      </c>
      <c r="DN50" s="274">
        <f t="shared" si="123"/>
        <v>248.73607493999998</v>
      </c>
      <c r="DO50" s="274">
        <f t="shared" si="123"/>
        <v>220.29996617999998</v>
      </c>
      <c r="DP50" s="274">
        <f t="shared" si="123"/>
        <v>215.34761016000002</v>
      </c>
      <c r="DQ50" s="274">
        <f t="shared" si="123"/>
        <v>213.27081569999999</v>
      </c>
      <c r="DR50" s="376">
        <f t="shared" ref="DR50:EW50" si="124" xml:space="preserve"> DR49*DR27</f>
        <v>46.036441330598002</v>
      </c>
      <c r="DS50" s="376">
        <f t="shared" si="124"/>
        <v>67.136494908170008</v>
      </c>
      <c r="DT50" s="376">
        <f t="shared" si="124"/>
        <v>67.136494908170008</v>
      </c>
      <c r="DU50" s="376">
        <f t="shared" si="124"/>
        <v>67.13646903466099</v>
      </c>
      <c r="DV50" s="376">
        <f t="shared" si="124"/>
        <v>69.054660960956639</v>
      </c>
      <c r="DW50" s="376">
        <f t="shared" si="124"/>
        <v>69.054660960956639</v>
      </c>
      <c r="DX50" s="376">
        <f t="shared" si="124"/>
        <v>69.054660960956639</v>
      </c>
      <c r="DY50" s="376">
        <f t="shared" si="124"/>
        <v>69.054660960956639</v>
      </c>
      <c r="DZ50" s="376">
        <f t="shared" si="124"/>
        <v>85.273979294699998</v>
      </c>
      <c r="EA50" s="376">
        <f t="shared" si="124"/>
        <v>85.273979294699998</v>
      </c>
      <c r="EB50" s="376">
        <f t="shared" si="124"/>
        <v>85.273979294699998</v>
      </c>
      <c r="EC50" s="376">
        <f t="shared" si="124"/>
        <v>31.019337506941991</v>
      </c>
      <c r="ED50" s="376">
        <f t="shared" si="124"/>
        <v>45.753509166449987</v>
      </c>
      <c r="EE50" s="376">
        <f t="shared" si="124"/>
        <v>45.753509166449987</v>
      </c>
      <c r="EF50" s="376">
        <f t="shared" si="124"/>
        <v>45.236545970929981</v>
      </c>
      <c r="EG50" s="376">
        <f t="shared" si="124"/>
        <v>67.13646903466099</v>
      </c>
      <c r="EH50" s="376">
        <f t="shared" si="124"/>
        <v>46.529006260412977</v>
      </c>
      <c r="EI50" s="376">
        <f t="shared" si="124"/>
        <v>49.850657504864984</v>
      </c>
      <c r="EJ50" s="376">
        <f t="shared" si="124"/>
        <v>34.389688234455036</v>
      </c>
      <c r="EK50" s="376">
        <f t="shared" si="124"/>
        <v>39.389270448042751</v>
      </c>
      <c r="EL50" s="376">
        <f t="shared" si="124"/>
        <v>36.708352725770624</v>
      </c>
      <c r="EM50" s="376">
        <f t="shared" si="124"/>
        <v>38.019420058290237</v>
      </c>
      <c r="EN50" s="376">
        <f t="shared" si="124"/>
        <v>36.708352725770624</v>
      </c>
      <c r="EO50" s="376">
        <f t="shared" si="124"/>
        <v>38.019420058290237</v>
      </c>
      <c r="EP50" s="376">
        <f t="shared" si="124"/>
        <v>38.019420058290237</v>
      </c>
      <c r="EQ50" s="376">
        <f t="shared" si="124"/>
        <v>40.641436832192653</v>
      </c>
      <c r="ER50" s="376">
        <f t="shared" si="124"/>
        <v>41.952445219143861</v>
      </c>
      <c r="ES50" s="376">
        <f t="shared" si="124"/>
        <v>45.623280491720919</v>
      </c>
      <c r="ET50" s="376">
        <f t="shared" si="124"/>
        <v>26.85454621625</v>
      </c>
      <c r="EU50" s="376">
        <f t="shared" si="124"/>
        <v>27.813682887051979</v>
      </c>
      <c r="EV50" s="376">
        <f t="shared" si="124"/>
        <v>27.813682887051979</v>
      </c>
      <c r="EW50" s="376">
        <f t="shared" si="124"/>
        <v>24.919128721272497</v>
      </c>
      <c r="EX50" s="376">
        <f t="shared" ref="EX50:GC50" si="125" xml:space="preserve"> EX49*EX27</f>
        <v>24.919128721272497</v>
      </c>
      <c r="EY50" s="376">
        <f t="shared" si="125"/>
        <v>25.722965912420477</v>
      </c>
      <c r="EZ50" s="376">
        <f t="shared" si="125"/>
        <v>25.722965912420477</v>
      </c>
      <c r="FA50" s="376">
        <f t="shared" si="125"/>
        <v>25.722965912420477</v>
      </c>
      <c r="FB50" s="376">
        <f t="shared" si="125"/>
        <v>25.722965912420477</v>
      </c>
      <c r="FC50" s="376">
        <f t="shared" si="125"/>
        <v>32.896170473407416</v>
      </c>
      <c r="FD50" s="376">
        <f t="shared" si="125"/>
        <v>36.169421327828054</v>
      </c>
      <c r="FE50" s="376">
        <f t="shared" si="125"/>
        <v>36.169421327828054</v>
      </c>
      <c r="FF50" s="376">
        <f t="shared" si="125"/>
        <v>38.460696890969331</v>
      </c>
      <c r="FG50" s="376">
        <f t="shared" si="125"/>
        <v>32.896169001695306</v>
      </c>
      <c r="FH50" s="376">
        <f t="shared" si="125"/>
        <v>30.277533247259203</v>
      </c>
      <c r="FI50" s="376">
        <f t="shared" si="125"/>
        <v>33.714348953070804</v>
      </c>
      <c r="FJ50" s="376">
        <f t="shared" si="125"/>
        <v>39.606333669936106</v>
      </c>
      <c r="FK50" s="376">
        <f t="shared" si="125"/>
        <v>43.043237678474327</v>
      </c>
      <c r="FL50" s="376">
        <f t="shared" si="125"/>
        <v>43.043237678474327</v>
      </c>
      <c r="FM50" s="376">
        <f t="shared" si="125"/>
        <v>33.714348953070804</v>
      </c>
      <c r="FN50" s="376">
        <f t="shared" si="125"/>
        <v>39.606333669936106</v>
      </c>
      <c r="FO50" s="376">
        <f t="shared" si="125"/>
        <v>37.661124662171993</v>
      </c>
      <c r="FP50" s="376">
        <f t="shared" si="125"/>
        <v>39.382465457411996</v>
      </c>
      <c r="FQ50" s="376">
        <f t="shared" si="125"/>
        <v>39.382465457411996</v>
      </c>
      <c r="FR50" s="376">
        <f t="shared" si="125"/>
        <v>39.382465457411996</v>
      </c>
      <c r="FS50" s="376">
        <f t="shared" si="125"/>
        <v>39.382465457411996</v>
      </c>
      <c r="FT50" s="376">
        <f t="shared" si="125"/>
        <v>39.382465457411996</v>
      </c>
      <c r="FU50" s="376">
        <f t="shared" si="125"/>
        <v>39.382465457411996</v>
      </c>
      <c r="FV50" s="376">
        <f t="shared" si="125"/>
        <v>57.916684861547154</v>
      </c>
      <c r="FW50" s="376">
        <f t="shared" si="125"/>
        <v>71.814647496011389</v>
      </c>
      <c r="FX50" s="376">
        <f t="shared" si="125"/>
        <v>55.597353900444972</v>
      </c>
      <c r="FY50" s="376">
        <f t="shared" si="125"/>
        <v>68.725890526160697</v>
      </c>
      <c r="FZ50" s="376">
        <f t="shared" si="125"/>
        <v>57.916684861547154</v>
      </c>
      <c r="GA50" s="376">
        <f t="shared" si="125"/>
        <v>71.814647496011389</v>
      </c>
      <c r="GB50" s="376">
        <f t="shared" si="125"/>
        <v>72.660751858322996</v>
      </c>
      <c r="GC50" s="376">
        <f t="shared" si="125"/>
        <v>76.391489450925008</v>
      </c>
      <c r="GD50" s="376">
        <f t="shared" ref="GD50:HI50" si="126" xml:space="preserve"> GD49*GD27</f>
        <v>70.368985208699996</v>
      </c>
      <c r="GE50" s="376">
        <f t="shared" si="126"/>
        <v>75.574270830914998</v>
      </c>
      <c r="GF50" s="376">
        <f t="shared" si="126"/>
        <v>71.622403886724086</v>
      </c>
      <c r="GG50" s="376">
        <f t="shared" si="126"/>
        <v>70.025819889473993</v>
      </c>
      <c r="GH50" s="376">
        <f t="shared" si="126"/>
        <v>74.606683574062387</v>
      </c>
      <c r="GI50" s="376">
        <f t="shared" si="126"/>
        <v>72.622130604726522</v>
      </c>
      <c r="GJ50" s="376">
        <f t="shared" si="126"/>
        <v>77.889378483224718</v>
      </c>
      <c r="GK50" s="376">
        <f t="shared" si="126"/>
        <v>77.516343522307423</v>
      </c>
      <c r="GL50" s="376">
        <f t="shared" si="126"/>
        <v>85.320203305778591</v>
      </c>
      <c r="GM50" s="376">
        <f t="shared" si="126"/>
        <v>84.678587265429783</v>
      </c>
      <c r="GN50" s="376">
        <f t="shared" si="126"/>
        <v>84.857641094754129</v>
      </c>
      <c r="GO50" s="376">
        <f t="shared" si="126"/>
        <v>88.7073453875268</v>
      </c>
      <c r="GP50" s="376">
        <f t="shared" si="126"/>
        <v>65.78221624958806</v>
      </c>
      <c r="GQ50" s="376">
        <f t="shared" si="126"/>
        <v>64.116792329997793</v>
      </c>
      <c r="GR50" s="376">
        <f t="shared" si="126"/>
        <v>65.78221624958806</v>
      </c>
      <c r="GS50" s="376">
        <f t="shared" si="126"/>
        <v>65.78221624958806</v>
      </c>
      <c r="GT50" s="376">
        <f t="shared" si="126"/>
        <v>67.165836020594242</v>
      </c>
      <c r="GU50" s="376">
        <f t="shared" si="126"/>
        <v>70.470393601788828</v>
      </c>
      <c r="GV50" s="376">
        <f t="shared" si="126"/>
        <v>67.165836020594242</v>
      </c>
      <c r="GW50" s="376">
        <f t="shared" si="126"/>
        <v>75.225733443965268</v>
      </c>
      <c r="GX50" s="376">
        <f t="shared" si="126"/>
        <v>70.470393601788828</v>
      </c>
      <c r="GY50" s="376">
        <f t="shared" si="126"/>
        <v>36.874926217742811</v>
      </c>
      <c r="GZ50" s="376">
        <f t="shared" si="126"/>
        <v>37.728514910545606</v>
      </c>
      <c r="HA50" s="376">
        <f t="shared" si="126"/>
        <v>39.777120941851699</v>
      </c>
      <c r="HB50" s="376">
        <f t="shared" si="126"/>
        <v>40.630706948140777</v>
      </c>
      <c r="HC50" s="376">
        <f t="shared" si="126"/>
        <v>37.55779778604532</v>
      </c>
      <c r="HD50" s="376">
        <f t="shared" si="126"/>
        <v>40.118556726002957</v>
      </c>
      <c r="HE50" s="376">
        <f t="shared" si="126"/>
        <v>46.093660842479913</v>
      </c>
      <c r="HF50" s="376">
        <f t="shared" si="126"/>
        <v>39.333247468222389</v>
      </c>
      <c r="HG50" s="376">
        <f t="shared" si="126"/>
        <v>42.337878960718918</v>
      </c>
      <c r="HH50" s="376">
        <f t="shared" si="126"/>
        <v>40.989214529175349</v>
      </c>
      <c r="HI50" s="376">
        <f t="shared" si="126"/>
        <v>46.298517876385141</v>
      </c>
      <c r="HJ50" s="376">
        <f t="shared" ref="HJ50:IO50" si="127" xml:space="preserve"> HJ49*HJ27</f>
        <v>41.381863861795715</v>
      </c>
      <c r="HK50" s="376">
        <f t="shared" si="127"/>
        <v>42.679315665960594</v>
      </c>
      <c r="HL50" s="376">
        <f t="shared" si="127"/>
        <v>45.240073684827813</v>
      </c>
      <c r="HM50" s="376">
        <f t="shared" si="127"/>
        <v>46.093660842479913</v>
      </c>
      <c r="HN50" s="376">
        <f t="shared" si="127"/>
        <v>42.337881148308668</v>
      </c>
      <c r="HO50" s="376">
        <f t="shared" si="127"/>
        <v>42.337881148308668</v>
      </c>
      <c r="HP50" s="376">
        <f t="shared" si="127"/>
        <v>40.989214529175349</v>
      </c>
      <c r="HQ50" s="376">
        <f t="shared" si="127"/>
        <v>46.298521330474216</v>
      </c>
      <c r="HR50" s="376">
        <f t="shared" si="127"/>
        <v>46.221698858559577</v>
      </c>
      <c r="HS50" s="376">
        <f t="shared" si="127"/>
        <v>41.381863861795715</v>
      </c>
      <c r="HT50" s="376">
        <f t="shared" si="127"/>
        <v>50.003085979404418</v>
      </c>
      <c r="HU50" s="376">
        <f t="shared" si="127"/>
        <v>49.926263200459637</v>
      </c>
      <c r="HV50" s="376">
        <f t="shared" si="127"/>
        <v>51.215178415365045</v>
      </c>
      <c r="HW50" s="376">
        <f t="shared" si="127"/>
        <v>51.044461521137372</v>
      </c>
      <c r="HX50" s="376">
        <f t="shared" si="127"/>
        <v>52.922351425791135</v>
      </c>
      <c r="HY50" s="376">
        <f t="shared" si="127"/>
        <v>54.629524052429566</v>
      </c>
      <c r="HZ50" s="376">
        <f t="shared" si="127"/>
        <v>53.946654019277737</v>
      </c>
      <c r="IA50" s="376">
        <f t="shared" si="127"/>
        <v>54.902669118200947</v>
      </c>
      <c r="IB50" s="376">
        <f t="shared" si="127"/>
        <v>54.902669118200947</v>
      </c>
      <c r="IC50" s="376">
        <f t="shared" si="127"/>
        <v>56.524479076061105</v>
      </c>
      <c r="ID50" s="376">
        <f t="shared" si="127"/>
        <v>54.902669118200947</v>
      </c>
      <c r="IE50" s="376">
        <f t="shared" si="127"/>
        <v>54.902669118200947</v>
      </c>
      <c r="IF50" s="376">
        <f t="shared" si="127"/>
        <v>56.524479076061105</v>
      </c>
      <c r="IG50" s="376">
        <f t="shared" si="127"/>
        <v>19.49152548754877</v>
      </c>
      <c r="IH50" s="376">
        <f t="shared" si="127"/>
        <v>19.49152548754877</v>
      </c>
      <c r="II50" s="376">
        <f t="shared" si="127"/>
        <v>19.49152548754877</v>
      </c>
      <c r="IJ50" s="376">
        <f t="shared" si="127"/>
        <v>19.49152548754877</v>
      </c>
      <c r="IK50" s="376">
        <f t="shared" si="127"/>
        <v>19.49152548754877</v>
      </c>
      <c r="IL50" s="376">
        <f t="shared" si="127"/>
        <v>19.49152548754877</v>
      </c>
      <c r="IM50" s="376">
        <f t="shared" si="127"/>
        <v>25.281211463844599</v>
      </c>
      <c r="IN50" s="376">
        <f t="shared" si="127"/>
        <v>25.281211463844599</v>
      </c>
      <c r="IO50" s="376">
        <f t="shared" si="127"/>
        <v>25.281211463844599</v>
      </c>
      <c r="IP50" s="376">
        <f t="shared" ref="IP50:JK50" si="128" xml:space="preserve"> IP49*IP27</f>
        <v>25.281211463844599</v>
      </c>
      <c r="IQ50" s="376">
        <f t="shared" si="128"/>
        <v>25.281211463844599</v>
      </c>
      <c r="IR50" s="376">
        <f t="shared" si="128"/>
        <v>25.281211463844599</v>
      </c>
      <c r="IS50" s="376">
        <f t="shared" si="128"/>
        <v>12.402853810396001</v>
      </c>
      <c r="IT50" s="376">
        <f t="shared" si="128"/>
        <v>12.402853810396001</v>
      </c>
      <c r="IU50" s="376">
        <f t="shared" si="128"/>
        <v>12.402853810396001</v>
      </c>
      <c r="IV50" s="376">
        <f t="shared" si="128"/>
        <v>12.402853810396001</v>
      </c>
      <c r="IW50" s="376">
        <f t="shared" si="128"/>
        <v>12.402853810396001</v>
      </c>
      <c r="IX50" s="376">
        <f t="shared" si="128"/>
        <v>14.595704854892002</v>
      </c>
      <c r="IY50" s="376">
        <f t="shared" si="128"/>
        <v>20.233304084399997</v>
      </c>
      <c r="IZ50" s="376">
        <f t="shared" si="128"/>
        <v>29.594982093599995</v>
      </c>
      <c r="JA50" s="376">
        <f t="shared" si="128"/>
        <v>29.594982093599995</v>
      </c>
      <c r="JB50" s="376">
        <f t="shared" si="128"/>
        <v>29.594982093599995</v>
      </c>
      <c r="JC50" s="376">
        <f t="shared" si="128"/>
        <v>12.385379210326318</v>
      </c>
      <c r="JD50" s="376">
        <f t="shared" si="128"/>
        <v>12.385379210326318</v>
      </c>
      <c r="JE50" s="376">
        <f t="shared" si="128"/>
        <v>12.385379210326318</v>
      </c>
      <c r="JF50" s="376">
        <f t="shared" si="128"/>
        <v>12.385379210326318</v>
      </c>
      <c r="JG50" s="376">
        <f t="shared" si="128"/>
        <v>12.385379210326318</v>
      </c>
      <c r="JH50" s="376">
        <f t="shared" si="128"/>
        <v>19.490409635928</v>
      </c>
      <c r="JI50" s="376">
        <f t="shared" si="128"/>
        <v>19.490409635928</v>
      </c>
      <c r="JJ50" s="376">
        <f t="shared" si="128"/>
        <v>19.490409635928</v>
      </c>
      <c r="JK50" s="376">
        <f t="shared" si="128"/>
        <v>19.490409635928</v>
      </c>
    </row>
    <row r="51" spans="1:271">
      <c r="A51" s="274" t="s">
        <v>2578</v>
      </c>
      <c r="B51" s="274">
        <f t="shared" ref="B51:AG51" si="129">B30</f>
        <v>8.1000000000000003E-2</v>
      </c>
      <c r="C51" s="274">
        <f t="shared" si="129"/>
        <v>8.1000000000000003E-2</v>
      </c>
      <c r="D51" s="274">
        <f t="shared" si="129"/>
        <v>8.7000000000000008E-2</v>
      </c>
      <c r="E51" s="274">
        <f t="shared" si="129"/>
        <v>8.9249999999999996E-2</v>
      </c>
      <c r="F51" s="274">
        <f t="shared" si="129"/>
        <v>8.9485458612975396E-2</v>
      </c>
      <c r="G51" s="274">
        <f t="shared" si="129"/>
        <v>0.17325000000000002</v>
      </c>
      <c r="H51" s="274">
        <f t="shared" si="129"/>
        <v>0.27964205816554799</v>
      </c>
      <c r="I51" s="274">
        <f t="shared" si="129"/>
        <v>8.4000000000000005E-2</v>
      </c>
      <c r="J51" s="274">
        <f t="shared" si="129"/>
        <v>8.4000000000000005E-2</v>
      </c>
      <c r="K51" s="274">
        <f t="shared" si="129"/>
        <v>5.6249999999999994E-2</v>
      </c>
      <c r="L51" s="274">
        <f t="shared" si="129"/>
        <v>5.6249999999999994E-2</v>
      </c>
      <c r="M51" s="274">
        <f t="shared" si="129"/>
        <v>0.15975</v>
      </c>
      <c r="N51" s="274">
        <f t="shared" si="129"/>
        <v>0.33524999999999999</v>
      </c>
      <c r="O51" s="274">
        <f t="shared" si="129"/>
        <v>0.129</v>
      </c>
      <c r="P51" s="274">
        <f t="shared" si="129"/>
        <v>0.29082774049216953</v>
      </c>
      <c r="Q51" s="274">
        <f t="shared" si="129"/>
        <v>0.33600000000000002</v>
      </c>
      <c r="R51" s="274">
        <f t="shared" si="129"/>
        <v>0.23549999999999999</v>
      </c>
      <c r="S51" s="274">
        <f t="shared" si="129"/>
        <v>0.23549999999999999</v>
      </c>
      <c r="T51" s="274">
        <f t="shared" si="129"/>
        <v>0.16778523489932884</v>
      </c>
      <c r="U51" s="274">
        <f t="shared" si="129"/>
        <v>0.16778523489932884</v>
      </c>
      <c r="V51" s="274">
        <f t="shared" si="129"/>
        <v>0.16778523489932884</v>
      </c>
      <c r="W51" s="274">
        <f t="shared" si="129"/>
        <v>0.17337807606263983</v>
      </c>
      <c r="X51" s="274">
        <f t="shared" si="129"/>
        <v>0.12863534675615212</v>
      </c>
      <c r="Y51" s="274">
        <f t="shared" si="129"/>
        <v>5.6249999999999994E-2</v>
      </c>
      <c r="Z51" s="274">
        <f t="shared" si="129"/>
        <v>0.504</v>
      </c>
      <c r="AA51" s="274">
        <f t="shared" si="129"/>
        <v>8.9485458612975396E-2</v>
      </c>
      <c r="AB51" s="274">
        <f t="shared" si="129"/>
        <v>0.11185682326621925</v>
      </c>
      <c r="AC51" s="274">
        <f t="shared" si="129"/>
        <v>0.17337807606263983</v>
      </c>
      <c r="AD51" s="274">
        <f t="shared" si="129"/>
        <v>0.1761744966442953</v>
      </c>
      <c r="AE51" s="274">
        <f t="shared" si="129"/>
        <v>6.9910514541387025E-2</v>
      </c>
      <c r="AF51" s="274">
        <f t="shared" si="129"/>
        <v>0.16778523489932884</v>
      </c>
      <c r="AG51" s="274">
        <f t="shared" si="129"/>
        <v>9.375E-2</v>
      </c>
      <c r="AH51" s="274">
        <f t="shared" ref="AH51:BM51" si="130">AH30</f>
        <v>0.10067114093959731</v>
      </c>
      <c r="AI51" s="274">
        <f t="shared" si="130"/>
        <v>5.6249999999999994E-2</v>
      </c>
      <c r="AJ51" s="274">
        <f t="shared" si="130"/>
        <v>3.6000000000000004E-2</v>
      </c>
      <c r="AK51" s="274">
        <f t="shared" si="130"/>
        <v>0.67114093959731536</v>
      </c>
      <c r="AL51" s="274">
        <f t="shared" si="130"/>
        <v>0.19574944071588365</v>
      </c>
      <c r="AM51" s="274">
        <f t="shared" si="130"/>
        <v>0.11185682326621925</v>
      </c>
      <c r="AN51" s="274">
        <f t="shared" si="130"/>
        <v>0.44924999999999998</v>
      </c>
      <c r="AO51" s="274">
        <f t="shared" si="130"/>
        <v>0.17899999999999999</v>
      </c>
      <c r="AP51" s="274">
        <f t="shared" si="130"/>
        <v>8.9249999999999996E-2</v>
      </c>
      <c r="AQ51" s="274">
        <f t="shared" si="130"/>
        <v>8.4000000000000005E-2</v>
      </c>
      <c r="AR51" s="274">
        <f t="shared" si="130"/>
        <v>0.10067114093959731</v>
      </c>
      <c r="AS51" s="274">
        <f t="shared" si="130"/>
        <v>0.16778523489932884</v>
      </c>
      <c r="AT51" s="274">
        <f t="shared" si="130"/>
        <v>0.16778523489932884</v>
      </c>
      <c r="AU51" s="274">
        <f t="shared" si="130"/>
        <v>0</v>
      </c>
      <c r="AV51" s="274">
        <f t="shared" si="130"/>
        <v>0</v>
      </c>
      <c r="AW51" s="274">
        <f t="shared" si="130"/>
        <v>0.27900000000000003</v>
      </c>
      <c r="AX51" s="274">
        <f t="shared" si="130"/>
        <v>0.19370000000000001</v>
      </c>
      <c r="AY51" s="274">
        <f t="shared" si="130"/>
        <v>0.14400000000000002</v>
      </c>
      <c r="AZ51" s="274">
        <f t="shared" si="130"/>
        <v>0.27975</v>
      </c>
      <c r="BA51" s="274">
        <f t="shared" si="130"/>
        <v>0.47539149888143173</v>
      </c>
      <c r="BB51" s="274">
        <f t="shared" si="130"/>
        <v>0.14740000000000003</v>
      </c>
      <c r="BC51" s="274">
        <f t="shared" si="130"/>
        <v>0.14740000000000003</v>
      </c>
      <c r="BD51" s="274">
        <f t="shared" si="130"/>
        <v>0.19800000000000001</v>
      </c>
      <c r="BE51" s="274">
        <f t="shared" si="130"/>
        <v>0.83850000000000002</v>
      </c>
      <c r="BF51" s="274">
        <f t="shared" si="130"/>
        <v>0.88349999999999995</v>
      </c>
      <c r="BG51" s="274">
        <f t="shared" si="130"/>
        <v>1.3425</v>
      </c>
      <c r="BH51" s="274">
        <f t="shared" si="130"/>
        <v>0.33557046979865701</v>
      </c>
      <c r="BI51" s="274">
        <f t="shared" si="130"/>
        <v>0.44772557792692019</v>
      </c>
      <c r="BJ51" s="274">
        <f t="shared" si="130"/>
        <v>6.4317673378076062E-2</v>
      </c>
      <c r="BK51" s="274">
        <f t="shared" si="130"/>
        <v>1.1745000000000001</v>
      </c>
      <c r="BL51" s="274">
        <f t="shared" si="130"/>
        <v>1.1745000000000001</v>
      </c>
      <c r="BM51" s="274">
        <f t="shared" si="130"/>
        <v>0.95100000000000007</v>
      </c>
      <c r="BN51" s="274">
        <f t="shared" ref="BN51:CK51" si="131">BN30</f>
        <v>0.95100000000000007</v>
      </c>
      <c r="BO51" s="274">
        <f t="shared" si="131"/>
        <v>1.1745000000000001</v>
      </c>
      <c r="BP51" s="274">
        <f t="shared" si="131"/>
        <v>1.3422818791946309</v>
      </c>
      <c r="BQ51" s="274">
        <f t="shared" si="131"/>
        <v>0.16800000000000001</v>
      </c>
      <c r="BR51" s="274">
        <f t="shared" si="131"/>
        <v>1.9790998078087563</v>
      </c>
      <c r="BS51" s="274">
        <f t="shared" si="131"/>
        <v>0</v>
      </c>
      <c r="BT51" s="274">
        <f t="shared" si="131"/>
        <v>0</v>
      </c>
      <c r="BU51" s="274">
        <f t="shared" si="131"/>
        <v>0</v>
      </c>
      <c r="BV51" s="274">
        <f t="shared" si="131"/>
        <v>0</v>
      </c>
      <c r="BW51" s="274">
        <f t="shared" si="131"/>
        <v>0</v>
      </c>
      <c r="BX51" s="274">
        <f t="shared" si="131"/>
        <v>0</v>
      </c>
      <c r="BY51" s="274">
        <f t="shared" si="131"/>
        <v>0</v>
      </c>
      <c r="BZ51" s="274">
        <f t="shared" si="131"/>
        <v>0</v>
      </c>
      <c r="CA51" s="274">
        <f t="shared" si="131"/>
        <v>0</v>
      </c>
      <c r="CB51" s="274">
        <f t="shared" si="131"/>
        <v>0</v>
      </c>
      <c r="CC51" s="274">
        <f t="shared" si="131"/>
        <v>3.18</v>
      </c>
      <c r="CD51" s="274">
        <f t="shared" si="131"/>
        <v>2.42</v>
      </c>
      <c r="CE51" s="274">
        <f t="shared" si="131"/>
        <v>2.54</v>
      </c>
      <c r="CF51" s="274">
        <f t="shared" si="131"/>
        <v>3.18</v>
      </c>
      <c r="CG51" s="274">
        <f t="shared" si="131"/>
        <v>2.54</v>
      </c>
      <c r="CH51" s="274">
        <f t="shared" si="131"/>
        <v>3.18</v>
      </c>
      <c r="CI51" s="274">
        <f t="shared" si="131"/>
        <v>3.18</v>
      </c>
      <c r="CJ51" s="274">
        <f t="shared" si="131"/>
        <v>3.1160000000000001</v>
      </c>
      <c r="CK51" s="274">
        <f t="shared" si="131"/>
        <v>3.18</v>
      </c>
      <c r="CL51" s="274">
        <f>(1/(10^6))*(1000*CL50)*(CL14)</f>
        <v>33.284902997048562</v>
      </c>
      <c r="CM51" s="274">
        <f t="shared" ref="CM51:DQ51" si="132">(1/(10^6))*(1000*CM50)*(CM14)</f>
        <v>40.835008641279991</v>
      </c>
      <c r="CN51" s="274">
        <f t="shared" si="132"/>
        <v>43.912221322499995</v>
      </c>
      <c r="CO51" s="274">
        <f t="shared" si="132"/>
        <v>35.011080355884062</v>
      </c>
      <c r="CP51" s="274">
        <f t="shared" si="132"/>
        <v>31.829570088635677</v>
      </c>
      <c r="CQ51" s="274">
        <f t="shared" si="132"/>
        <v>26.852360204717233</v>
      </c>
      <c r="CR51" s="274">
        <f t="shared" si="132"/>
        <v>27.972659711744999</v>
      </c>
      <c r="CS51" s="274">
        <f t="shared" si="132"/>
        <v>29.265164151631947</v>
      </c>
      <c r="CT51" s="274">
        <f t="shared" si="132"/>
        <v>29.265164151631947</v>
      </c>
      <c r="CU51" s="274">
        <f t="shared" si="132"/>
        <v>27.972659711744999</v>
      </c>
      <c r="CV51" s="274">
        <f t="shared" si="132"/>
        <v>26.852360204717233</v>
      </c>
      <c r="CW51" s="274">
        <f t="shared" si="132"/>
        <v>51.345858586749998</v>
      </c>
      <c r="CX51" s="274">
        <f t="shared" si="132"/>
        <v>50.942037441749996</v>
      </c>
      <c r="CY51" s="274">
        <f t="shared" si="132"/>
        <v>52.094341079007499</v>
      </c>
      <c r="CZ51" s="274">
        <f t="shared" si="132"/>
        <v>23.502761077308325</v>
      </c>
      <c r="DA51" s="274">
        <f t="shared" si="132"/>
        <v>20.122509305883515</v>
      </c>
      <c r="DB51" s="274">
        <f t="shared" si="132"/>
        <v>26.068829331299995</v>
      </c>
      <c r="DC51" s="274">
        <f t="shared" si="132"/>
        <v>25.239882147704993</v>
      </c>
      <c r="DD51" s="274">
        <f t="shared" si="132"/>
        <v>27.658071974496643</v>
      </c>
      <c r="DE51" s="274">
        <f t="shared" si="132"/>
        <v>26.482233906462</v>
      </c>
      <c r="DF51" s="274">
        <f t="shared" si="132"/>
        <v>30.049970753833332</v>
      </c>
      <c r="DG51" s="274">
        <f t="shared" si="132"/>
        <v>34.623664566833327</v>
      </c>
      <c r="DH51" s="274">
        <f t="shared" si="132"/>
        <v>36.429367654166654</v>
      </c>
      <c r="DI51" s="274">
        <f t="shared" si="132"/>
        <v>32.652170319999996</v>
      </c>
      <c r="DJ51" s="274">
        <f t="shared" si="132"/>
        <v>40.555681897500001</v>
      </c>
      <c r="DK51" s="274">
        <f t="shared" si="132"/>
        <v>35.243018935406248</v>
      </c>
      <c r="DL51" s="274">
        <f t="shared" si="132"/>
        <v>31.058061765749994</v>
      </c>
      <c r="DM51" s="274">
        <f t="shared" si="132"/>
        <v>36.209443921499997</v>
      </c>
      <c r="DN51" s="274">
        <f t="shared" si="132"/>
        <v>60.456684881249991</v>
      </c>
      <c r="DO51" s="274">
        <f t="shared" si="132"/>
        <v>55.809324765599989</v>
      </c>
      <c r="DP51" s="274">
        <f t="shared" si="132"/>
        <v>54.554727907199997</v>
      </c>
      <c r="DQ51" s="274">
        <f t="shared" si="132"/>
        <v>54.028606643999993</v>
      </c>
      <c r="DR51" s="378">
        <f t="shared" ref="DR51:EW51" si="133">(1/(10^6))*(1000*DR50)*(DR14)</f>
        <v>12.078443002585008</v>
      </c>
      <c r="DS51" s="378">
        <f t="shared" si="133"/>
        <v>17.61440075957184</v>
      </c>
      <c r="DT51" s="378">
        <f t="shared" si="133"/>
        <v>17.61440075957184</v>
      </c>
      <c r="DU51" s="378">
        <f t="shared" si="133"/>
        <v>17.614393971216899</v>
      </c>
      <c r="DV51" s="378">
        <f t="shared" si="133"/>
        <v>18.117664232343312</v>
      </c>
      <c r="DW51" s="378">
        <f t="shared" si="133"/>
        <v>18.117664232343312</v>
      </c>
      <c r="DX51" s="378">
        <f t="shared" si="133"/>
        <v>18.117664232343312</v>
      </c>
      <c r="DY51" s="378">
        <f t="shared" si="133"/>
        <v>18.117664232343312</v>
      </c>
      <c r="DZ51" s="378">
        <f t="shared" si="133"/>
        <v>20.179575556214985</v>
      </c>
      <c r="EA51" s="378">
        <f t="shared" si="133"/>
        <v>20.179575556214985</v>
      </c>
      <c r="EB51" s="378">
        <f t="shared" si="133"/>
        <v>20.179575556214985</v>
      </c>
      <c r="EC51" s="378">
        <f t="shared" si="133"/>
        <v>7.5001345964659958</v>
      </c>
      <c r="ED51" s="378">
        <f t="shared" si="133"/>
        <v>11.062695227846774</v>
      </c>
      <c r="EE51" s="378">
        <f t="shared" si="133"/>
        <v>11.062695227846774</v>
      </c>
      <c r="EF51" s="378">
        <f t="shared" si="133"/>
        <v>10.937699213765187</v>
      </c>
      <c r="EG51" s="378">
        <f t="shared" si="133"/>
        <v>16.232859711421643</v>
      </c>
      <c r="EH51" s="378">
        <f t="shared" si="133"/>
        <v>11.250201894698991</v>
      </c>
      <c r="EI51" s="378">
        <f t="shared" si="133"/>
        <v>12.053340627443799</v>
      </c>
      <c r="EJ51" s="378">
        <f t="shared" si="133"/>
        <v>7.6958276021710521</v>
      </c>
      <c r="EK51" s="378">
        <f t="shared" si="133"/>
        <v>8.8146491086743488</v>
      </c>
      <c r="EL51" s="378">
        <f t="shared" si="133"/>
        <v>8.8756758972113534</v>
      </c>
      <c r="EM51" s="378">
        <f t="shared" si="133"/>
        <v>9.1926775564739369</v>
      </c>
      <c r="EN51" s="378">
        <f t="shared" si="133"/>
        <v>8.8756758972113534</v>
      </c>
      <c r="EO51" s="378">
        <f t="shared" si="133"/>
        <v>9.1926775564739369</v>
      </c>
      <c r="EP51" s="378">
        <f t="shared" si="133"/>
        <v>9.1926775564739369</v>
      </c>
      <c r="EQ51" s="378">
        <f t="shared" si="133"/>
        <v>9.826652370219028</v>
      </c>
      <c r="ER51" s="378">
        <f t="shared" si="133"/>
        <v>10.143639777091574</v>
      </c>
      <c r="ES51" s="378">
        <f t="shared" si="133"/>
        <v>11.031207366812708</v>
      </c>
      <c r="ET51" s="378">
        <f t="shared" si="133"/>
        <v>5.8023812373064887</v>
      </c>
      <c r="EU51" s="378">
        <f t="shared" si="133"/>
        <v>6.0096190203566593</v>
      </c>
      <c r="EV51" s="378">
        <f t="shared" si="133"/>
        <v>6.0096190203566593</v>
      </c>
      <c r="EW51" s="378">
        <f t="shared" si="133"/>
        <v>5.3842013854191846</v>
      </c>
      <c r="EX51" s="378">
        <f t="shared" ref="EX51:GC51" si="134">(1/(10^6))*(1000*EX50)*(EX14)</f>
        <v>5.3842013854191846</v>
      </c>
      <c r="EY51" s="378">
        <f t="shared" si="134"/>
        <v>5.5578840757989552</v>
      </c>
      <c r="EZ51" s="378">
        <f t="shared" si="134"/>
        <v>5.5578840757989552</v>
      </c>
      <c r="FA51" s="378">
        <f t="shared" si="134"/>
        <v>5.5578840757989552</v>
      </c>
      <c r="FB51" s="378">
        <f t="shared" si="134"/>
        <v>5.5578840757989552</v>
      </c>
      <c r="FC51" s="378">
        <f t="shared" si="134"/>
        <v>7.4016383565166679</v>
      </c>
      <c r="FD51" s="378">
        <f t="shared" si="134"/>
        <v>8.138119798761311</v>
      </c>
      <c r="FE51" s="378">
        <f t="shared" si="134"/>
        <v>8.138119798761311</v>
      </c>
      <c r="FF51" s="378">
        <f t="shared" si="134"/>
        <v>8.6536568004680987</v>
      </c>
      <c r="FG51" s="378">
        <f t="shared" si="134"/>
        <v>7.4016380253814438</v>
      </c>
      <c r="FH51" s="378">
        <f t="shared" si="134"/>
        <v>6.9638326468696166</v>
      </c>
      <c r="FI51" s="378">
        <f t="shared" si="134"/>
        <v>7.7543002592062846</v>
      </c>
      <c r="FJ51" s="378">
        <f t="shared" si="134"/>
        <v>9.1094567440853034</v>
      </c>
      <c r="FK51" s="378">
        <f t="shared" si="134"/>
        <v>9.8999446660490946</v>
      </c>
      <c r="FL51" s="378">
        <f t="shared" si="134"/>
        <v>9.8999446660490946</v>
      </c>
      <c r="FM51" s="378">
        <f t="shared" si="134"/>
        <v>7.7543002592062846</v>
      </c>
      <c r="FN51" s="378">
        <f t="shared" si="134"/>
        <v>9.1094567440853034</v>
      </c>
      <c r="FO51" s="378">
        <f t="shared" si="134"/>
        <v>8.6620586722995565</v>
      </c>
      <c r="FP51" s="378">
        <f t="shared" si="134"/>
        <v>9.0579670552047595</v>
      </c>
      <c r="FQ51" s="378">
        <f t="shared" si="134"/>
        <v>9.0579670552047595</v>
      </c>
      <c r="FR51" s="378">
        <f t="shared" si="134"/>
        <v>9.0579670552047595</v>
      </c>
      <c r="FS51" s="378">
        <f t="shared" si="134"/>
        <v>9.0579670552047595</v>
      </c>
      <c r="FT51" s="378">
        <f t="shared" si="134"/>
        <v>9.0579670552047595</v>
      </c>
      <c r="FU51" s="378">
        <f t="shared" si="134"/>
        <v>9.0579670552047595</v>
      </c>
      <c r="FV51" s="378">
        <f t="shared" si="134"/>
        <v>14.003617315988622</v>
      </c>
      <c r="FW51" s="378">
        <f t="shared" si="134"/>
        <v>17.363991803413093</v>
      </c>
      <c r="FX51" s="378">
        <f t="shared" si="134"/>
        <v>13.442828602234687</v>
      </c>
      <c r="FY51" s="378">
        <f t="shared" si="134"/>
        <v>16.617164344429867</v>
      </c>
      <c r="FZ51" s="378">
        <f t="shared" si="134"/>
        <v>14.003617315988622</v>
      </c>
      <c r="GA51" s="378">
        <f t="shared" si="134"/>
        <v>17.363991803413093</v>
      </c>
      <c r="GB51" s="378">
        <f t="shared" si="134"/>
        <v>17.568570531072059</v>
      </c>
      <c r="GC51" s="378">
        <f t="shared" si="134"/>
        <v>18.470621842849702</v>
      </c>
      <c r="GD51" s="378">
        <f t="shared" ref="GD51:HI51" si="135">(1/(10^6))*(1000*GD50)*(GD14)</f>
        <v>17.014446564626361</v>
      </c>
      <c r="GE51" s="378">
        <f t="shared" si="135"/>
        <v>18.273027369936106</v>
      </c>
      <c r="GF51" s="378">
        <f t="shared" si="135"/>
        <v>16.949012145369935</v>
      </c>
      <c r="GG51" s="378">
        <f t="shared" si="135"/>
        <v>16.571190121924683</v>
      </c>
      <c r="GH51" s="378">
        <f t="shared" si="135"/>
        <v>17.65522402770042</v>
      </c>
      <c r="GI51" s="378">
        <f t="shared" si="135"/>
        <v>17.185591474824903</v>
      </c>
      <c r="GJ51" s="378">
        <f t="shared" si="135"/>
        <v>18.43205408178423</v>
      </c>
      <c r="GK51" s="378">
        <f t="shared" si="135"/>
        <v>18.343777596492917</v>
      </c>
      <c r="GL51" s="378">
        <f t="shared" si="135"/>
        <v>20.190514191092667</v>
      </c>
      <c r="GM51" s="378">
        <f t="shared" si="135"/>
        <v>20.038679604840365</v>
      </c>
      <c r="GN51" s="378">
        <f t="shared" si="135"/>
        <v>20.081051619226997</v>
      </c>
      <c r="GO51" s="378">
        <f t="shared" si="135"/>
        <v>20.99206104188589</v>
      </c>
      <c r="GP51" s="378">
        <f t="shared" si="135"/>
        <v>16.243800005159528</v>
      </c>
      <c r="GQ51" s="378">
        <f t="shared" si="135"/>
        <v>15.832551880423342</v>
      </c>
      <c r="GR51" s="378">
        <f t="shared" si="135"/>
        <v>16.243800005159528</v>
      </c>
      <c r="GS51" s="378">
        <f t="shared" si="135"/>
        <v>16.243800005159528</v>
      </c>
      <c r="GT51" s="378">
        <f t="shared" si="135"/>
        <v>16.585461386073398</v>
      </c>
      <c r="GU51" s="378">
        <f t="shared" si="135"/>
        <v>17.401465703270521</v>
      </c>
      <c r="GV51" s="378">
        <f t="shared" si="135"/>
        <v>16.585461386073398</v>
      </c>
      <c r="GW51" s="378">
        <f t="shared" si="135"/>
        <v>18.575716036518671</v>
      </c>
      <c r="GX51" s="378">
        <f t="shared" si="135"/>
        <v>17.401465703270521</v>
      </c>
      <c r="GY51" s="378">
        <f t="shared" si="135"/>
        <v>8.7262300398715293</v>
      </c>
      <c r="GZ51" s="378">
        <f t="shared" si="135"/>
        <v>8.9282266824911556</v>
      </c>
      <c r="HA51" s="378">
        <f t="shared" si="135"/>
        <v>9.4130170081635516</v>
      </c>
      <c r="HB51" s="378">
        <f t="shared" si="135"/>
        <v>9.6150130150358244</v>
      </c>
      <c r="HC51" s="378">
        <f t="shared" si="135"/>
        <v>8.6946301874694907</v>
      </c>
      <c r="HD51" s="378">
        <f t="shared" si="135"/>
        <v>9.287445882069683</v>
      </c>
      <c r="HE51" s="378">
        <f t="shared" si="135"/>
        <v>10.670682485034098</v>
      </c>
      <c r="HF51" s="378">
        <f t="shared" si="135"/>
        <v>9.1056467888934822</v>
      </c>
      <c r="HG51" s="378">
        <f t="shared" si="135"/>
        <v>9.8012189794064284</v>
      </c>
      <c r="HH51" s="378">
        <f t="shared" si="135"/>
        <v>9.4890031635040923</v>
      </c>
      <c r="HI51" s="378">
        <f t="shared" si="135"/>
        <v>10.71810688838316</v>
      </c>
      <c r="HJ51" s="378">
        <f t="shared" ref="HJ51:IO51" si="136">(1/(10^6))*(1000*HJ50)*(HJ14)</f>
        <v>9.5799014840057062</v>
      </c>
      <c r="HK51" s="378">
        <f t="shared" si="136"/>
        <v>9.8802615766698771</v>
      </c>
      <c r="HL51" s="378">
        <f t="shared" si="136"/>
        <v>10.473077058037639</v>
      </c>
      <c r="HM51" s="378">
        <f t="shared" si="136"/>
        <v>10.670682485034098</v>
      </c>
      <c r="HN51" s="378">
        <f t="shared" si="136"/>
        <v>9.8012194858334567</v>
      </c>
      <c r="HO51" s="378">
        <f t="shared" si="136"/>
        <v>9.8012194858334567</v>
      </c>
      <c r="HP51" s="378">
        <f t="shared" si="136"/>
        <v>9.4890031635040923</v>
      </c>
      <c r="HQ51" s="378">
        <f t="shared" si="136"/>
        <v>10.71810768800478</v>
      </c>
      <c r="HR51" s="378">
        <f t="shared" si="136"/>
        <v>10.700323285756541</v>
      </c>
      <c r="HS51" s="378">
        <f t="shared" si="136"/>
        <v>9.5799014840057062</v>
      </c>
      <c r="HT51" s="378">
        <f t="shared" si="136"/>
        <v>11.575714404232121</v>
      </c>
      <c r="HU51" s="378">
        <f t="shared" si="136"/>
        <v>11.557929930906406</v>
      </c>
      <c r="HV51" s="378">
        <f t="shared" si="136"/>
        <v>11.856313803157008</v>
      </c>
      <c r="HW51" s="378">
        <f t="shared" si="136"/>
        <v>11.816792842143302</v>
      </c>
      <c r="HX51" s="378">
        <f t="shared" si="136"/>
        <v>12.251524355070648</v>
      </c>
      <c r="HY51" s="378">
        <f t="shared" si="136"/>
        <v>12.646734818137444</v>
      </c>
      <c r="HZ51" s="378">
        <f t="shared" si="136"/>
        <v>12.488650405462796</v>
      </c>
      <c r="IA51" s="378">
        <f t="shared" si="136"/>
        <v>12.709967900863518</v>
      </c>
      <c r="IB51" s="378">
        <f t="shared" si="136"/>
        <v>12.709967900863518</v>
      </c>
      <c r="IC51" s="378">
        <f t="shared" si="136"/>
        <v>13.085416906108145</v>
      </c>
      <c r="ID51" s="378">
        <f t="shared" si="136"/>
        <v>12.709967900863518</v>
      </c>
      <c r="IE51" s="378">
        <f t="shared" si="136"/>
        <v>12.709967900863518</v>
      </c>
      <c r="IF51" s="378">
        <f t="shared" si="136"/>
        <v>13.085416906108145</v>
      </c>
      <c r="IG51" s="378">
        <f t="shared" si="136"/>
        <v>4.6125525574754906</v>
      </c>
      <c r="IH51" s="378">
        <f t="shared" si="136"/>
        <v>4.6125525574754906</v>
      </c>
      <c r="II51" s="378">
        <f t="shared" si="136"/>
        <v>4.6125525574754906</v>
      </c>
      <c r="IJ51" s="378">
        <f t="shared" si="136"/>
        <v>4.6125525574754906</v>
      </c>
      <c r="IK51" s="378">
        <f t="shared" si="136"/>
        <v>4.6125525574754906</v>
      </c>
      <c r="IL51" s="378">
        <f t="shared" si="136"/>
        <v>4.6125525574754906</v>
      </c>
      <c r="IM51" s="378">
        <f t="shared" si="136"/>
        <v>5.9826470056500414</v>
      </c>
      <c r="IN51" s="378">
        <f t="shared" si="136"/>
        <v>5.9826470056500414</v>
      </c>
      <c r="IO51" s="378">
        <f t="shared" si="136"/>
        <v>5.9826470056500414</v>
      </c>
      <c r="IP51" s="378">
        <f t="shared" ref="IP51:JK51" si="137">(1/(10^6))*(1000*IP50)*(IP14)</f>
        <v>5.9826470056500414</v>
      </c>
      <c r="IQ51" s="378">
        <f t="shared" si="137"/>
        <v>5.9826470056500414</v>
      </c>
      <c r="IR51" s="378">
        <f t="shared" si="137"/>
        <v>5.9826470056500414</v>
      </c>
      <c r="IS51" s="378">
        <f t="shared" si="137"/>
        <v>2.8712606571066739</v>
      </c>
      <c r="IT51" s="378">
        <f t="shared" si="137"/>
        <v>2.8712606571066739</v>
      </c>
      <c r="IU51" s="378">
        <f t="shared" si="137"/>
        <v>2.8712606571066739</v>
      </c>
      <c r="IV51" s="378">
        <f t="shared" si="137"/>
        <v>2.8712606571066739</v>
      </c>
      <c r="IW51" s="378">
        <f t="shared" si="137"/>
        <v>2.8712606571066739</v>
      </c>
      <c r="IX51" s="378">
        <f t="shared" si="137"/>
        <v>3.3789056739074983</v>
      </c>
      <c r="IY51" s="378">
        <f t="shared" si="137"/>
        <v>4.923437327203998</v>
      </c>
      <c r="IZ51" s="378">
        <f t="shared" si="137"/>
        <v>7.2014456427759983</v>
      </c>
      <c r="JA51" s="378">
        <f t="shared" si="137"/>
        <v>7.2014456427759983</v>
      </c>
      <c r="JB51" s="378">
        <f t="shared" si="137"/>
        <v>7.2014456427759983</v>
      </c>
      <c r="JC51" s="378">
        <f t="shared" si="137"/>
        <v>2.7015484548732176</v>
      </c>
      <c r="JD51" s="378">
        <f t="shared" si="137"/>
        <v>2.7015484548732176</v>
      </c>
      <c r="JE51" s="378">
        <f t="shared" si="137"/>
        <v>2.7015484548732176</v>
      </c>
      <c r="JF51" s="378">
        <f t="shared" si="137"/>
        <v>2.6760717298375765</v>
      </c>
      <c r="JG51" s="378">
        <f t="shared" si="137"/>
        <v>2.6760717298375765</v>
      </c>
      <c r="JH51" s="378">
        <f t="shared" si="137"/>
        <v>4.4318073046558526</v>
      </c>
      <c r="JI51" s="378">
        <f t="shared" si="137"/>
        <v>4.5922523567788121</v>
      </c>
      <c r="JJ51" s="378">
        <f t="shared" si="137"/>
        <v>4.5922523567788121</v>
      </c>
      <c r="JK51" s="378">
        <f t="shared" si="137"/>
        <v>4.7125666554613952</v>
      </c>
    </row>
    <row r="52" spans="1:271">
      <c r="A52" s="274" t="s">
        <v>2579</v>
      </c>
      <c r="B52" s="274">
        <f t="shared" ref="B52:BM52" si="138">B14*(0.985*0.97*B20*9.81)/(B51*10^6)</f>
        <v>7.0691836841178999</v>
      </c>
      <c r="C52" s="274">
        <f t="shared" si="138"/>
        <v>7.0155276409746898</v>
      </c>
      <c r="D52" s="274">
        <f t="shared" si="138"/>
        <v>7.2390253098756734</v>
      </c>
      <c r="E52" s="274">
        <f t="shared" si="138"/>
        <v>7.7488012251824649</v>
      </c>
      <c r="F52" s="274">
        <f t="shared" si="138"/>
        <v>7.3043286703058339</v>
      </c>
      <c r="G52" s="274">
        <f t="shared" si="138"/>
        <v>8.1541779538510806</v>
      </c>
      <c r="H52" s="274">
        <f t="shared" si="138"/>
        <v>7.7726463505926917</v>
      </c>
      <c r="I52" s="274">
        <f t="shared" si="138"/>
        <v>6.8153015376018331</v>
      </c>
      <c r="J52" s="274">
        <f t="shared" si="138"/>
        <v>6.8666419568918053</v>
      </c>
      <c r="K52" s="274">
        <f t="shared" si="138"/>
        <v>6.4846495249130678</v>
      </c>
      <c r="L52" s="274">
        <f t="shared" si="138"/>
        <v>6.3225332867902404</v>
      </c>
      <c r="M52" s="274">
        <f t="shared" si="138"/>
        <v>7.6985920183847343</v>
      </c>
      <c r="N52" s="274">
        <f t="shared" si="138"/>
        <v>9.9881297435578755</v>
      </c>
      <c r="O52" s="274">
        <f t="shared" si="138"/>
        <v>7.9219821641024888</v>
      </c>
      <c r="P52" s="274">
        <f t="shared" si="138"/>
        <v>7.5412338903579723</v>
      </c>
      <c r="Q52" s="274">
        <f t="shared" si="138"/>
        <v>6.94435640387782</v>
      </c>
      <c r="R52" s="274">
        <f t="shared" si="138"/>
        <v>7.0968496104233765</v>
      </c>
      <c r="S52" s="274">
        <f t="shared" si="138"/>
        <v>6.5055127041552909</v>
      </c>
      <c r="T52" s="274">
        <f t="shared" si="138"/>
        <v>8.0892755124200093</v>
      </c>
      <c r="U52" s="274">
        <f t="shared" si="138"/>
        <v>7.3147704101670294</v>
      </c>
      <c r="V52" s="274">
        <f t="shared" si="138"/>
        <v>6.897202154256</v>
      </c>
      <c r="W52" s="274">
        <f t="shared" si="138"/>
        <v>7.4466172040683603</v>
      </c>
      <c r="X52" s="274">
        <f t="shared" si="138"/>
        <v>7.6414580704379178</v>
      </c>
      <c r="Y52" s="274">
        <f t="shared" si="138"/>
        <v>5.5949669014206682</v>
      </c>
      <c r="Z52" s="274">
        <f t="shared" si="138"/>
        <v>9.6643920362370874</v>
      </c>
      <c r="AA52" s="274">
        <f t="shared" si="138"/>
        <v>5.9179726232437488</v>
      </c>
      <c r="AB52" s="274">
        <f t="shared" si="138"/>
        <v>8.3310442670988927</v>
      </c>
      <c r="AC52" s="274">
        <f t="shared" si="138"/>
        <v>7.0760288068844908</v>
      </c>
      <c r="AD52" s="274">
        <f t="shared" si="138"/>
        <v>7.6428389728607478</v>
      </c>
      <c r="AE52" s="274">
        <f t="shared" si="138"/>
        <v>7.17309024042624</v>
      </c>
      <c r="AF52" s="274">
        <f t="shared" si="138"/>
        <v>10.391502161244249</v>
      </c>
      <c r="AG52" s="274">
        <f t="shared" si="138"/>
        <v>8.487959868537903</v>
      </c>
      <c r="AH52" s="274">
        <f t="shared" si="138"/>
        <v>8.6182443773654196</v>
      </c>
      <c r="AI52" s="274">
        <f t="shared" si="138"/>
        <v>3.5408977000000008</v>
      </c>
      <c r="AJ52" s="274">
        <f t="shared" si="138"/>
        <v>3.4714683333333323</v>
      </c>
      <c r="AK52" s="274">
        <f t="shared" si="138"/>
        <v>9.8744602790902505</v>
      </c>
      <c r="AL52" s="274">
        <f t="shared" si="138"/>
        <v>10.344672673332644</v>
      </c>
      <c r="AM52" s="274">
        <f t="shared" si="138"/>
        <v>7.3306228537803939</v>
      </c>
      <c r="AN52" s="274">
        <f t="shared" si="138"/>
        <v>4.4352499424040062</v>
      </c>
      <c r="AO52" s="274">
        <f t="shared" si="138"/>
        <v>3.3087989130847859</v>
      </c>
      <c r="AP52" s="274">
        <f t="shared" si="138"/>
        <v>7.1607202535784307</v>
      </c>
      <c r="AQ52" s="274">
        <f t="shared" si="138"/>
        <v>6.1350921367157962</v>
      </c>
      <c r="AR52" s="274">
        <f t="shared" si="138"/>
        <v>7.0884195283503404</v>
      </c>
      <c r="AS52" s="274">
        <f t="shared" si="138"/>
        <v>6.4702918940806597</v>
      </c>
      <c r="AT52" s="274">
        <f t="shared" si="138"/>
        <v>5.6173280187756482</v>
      </c>
      <c r="AU52" s="274" t="e">
        <f t="shared" si="138"/>
        <v>#DIV/0!</v>
      </c>
      <c r="AV52" s="274" t="e">
        <f t="shared" si="138"/>
        <v>#DIV/0!</v>
      </c>
      <c r="AW52" s="274">
        <f t="shared" si="138"/>
        <v>7.3783431575730312</v>
      </c>
      <c r="AX52" s="274">
        <f t="shared" si="138"/>
        <v>7.2265570015992013</v>
      </c>
      <c r="AY52" s="274">
        <f t="shared" si="138"/>
        <v>9.5779076956163163</v>
      </c>
      <c r="AZ52" s="274">
        <f t="shared" si="138"/>
        <v>9.5413819020375321</v>
      </c>
      <c r="BA52" s="274">
        <f t="shared" si="138"/>
        <v>9.9033581861288535</v>
      </c>
      <c r="BB52" s="274">
        <f t="shared" si="138"/>
        <v>9.8018457173009388</v>
      </c>
      <c r="BC52" s="274">
        <f t="shared" si="138"/>
        <v>9.243903126413386</v>
      </c>
      <c r="BD52" s="274">
        <f t="shared" si="138"/>
        <v>12.309248131944445</v>
      </c>
      <c r="BE52" s="274">
        <f t="shared" si="138"/>
        <v>5.9348974053622543</v>
      </c>
      <c r="BF52" s="274">
        <f t="shared" si="138"/>
        <v>4.7221635221392182</v>
      </c>
      <c r="BG52" s="274">
        <f t="shared" si="138"/>
        <v>7.4373746044580997</v>
      </c>
      <c r="BH52" s="274">
        <f t="shared" si="138"/>
        <v>6.7753124788562644</v>
      </c>
      <c r="BI52" s="274">
        <f t="shared" si="138"/>
        <v>7.9434529538596639</v>
      </c>
      <c r="BJ52" s="274">
        <f t="shared" si="138"/>
        <v>5.3803906377486692</v>
      </c>
      <c r="BK52" s="274">
        <f t="shared" si="138"/>
        <v>8.7179343372413776</v>
      </c>
      <c r="BL52" s="274">
        <f t="shared" si="138"/>
        <v>9.3097676027490692</v>
      </c>
      <c r="BM52" s="274">
        <f t="shared" si="138"/>
        <v>8.9102298172712917</v>
      </c>
      <c r="BN52" s="274">
        <f t="shared" ref="BN52:CK52" si="139">BN14*(0.985*0.97*BN20*9.81)/(BN51*10^6)</f>
        <v>8.9120925830867499</v>
      </c>
      <c r="BO52" s="274">
        <f t="shared" si="139"/>
        <v>7.3126227374728652</v>
      </c>
      <c r="BP52" s="274">
        <f t="shared" si="139"/>
        <v>7.2823350409874141</v>
      </c>
      <c r="BQ52" s="274">
        <f t="shared" si="139"/>
        <v>8.6131468685416657</v>
      </c>
      <c r="BR52" s="274">
        <f t="shared" si="139"/>
        <v>11.410802241072345</v>
      </c>
      <c r="BS52" s="274" t="e">
        <f t="shared" si="139"/>
        <v>#DIV/0!</v>
      </c>
      <c r="BT52" s="274" t="e">
        <f t="shared" si="139"/>
        <v>#DIV/0!</v>
      </c>
      <c r="BU52" s="274" t="e">
        <f t="shared" si="139"/>
        <v>#DIV/0!</v>
      </c>
      <c r="BV52" s="274" t="e">
        <f t="shared" si="139"/>
        <v>#DIV/0!</v>
      </c>
      <c r="BW52" s="274" t="e">
        <f t="shared" si="139"/>
        <v>#DIV/0!</v>
      </c>
      <c r="BX52" s="274" t="e">
        <f t="shared" si="139"/>
        <v>#DIV/0!</v>
      </c>
      <c r="BY52" s="274" t="e">
        <f t="shared" si="139"/>
        <v>#DIV/0!</v>
      </c>
      <c r="BZ52" s="274" t="e">
        <f t="shared" si="139"/>
        <v>#DIV/0!</v>
      </c>
      <c r="CA52" s="274" t="e">
        <f t="shared" si="139"/>
        <v>#DIV/0!</v>
      </c>
      <c r="CB52" s="274" t="e">
        <f t="shared" si="139"/>
        <v>#DIV/0!</v>
      </c>
      <c r="CC52" s="274">
        <f t="shared" si="139"/>
        <v>8.4610163187735843</v>
      </c>
      <c r="CD52" s="274">
        <f t="shared" si="139"/>
        <v>8.957120751128512</v>
      </c>
      <c r="CE52" s="274">
        <f t="shared" si="139"/>
        <v>8.6615868356299206</v>
      </c>
      <c r="CF52" s="274">
        <f t="shared" si="139"/>
        <v>8.4671077632075473</v>
      </c>
      <c r="CG52" s="274">
        <f t="shared" si="139"/>
        <v>8.8805353501968476</v>
      </c>
      <c r="CH52" s="274">
        <f t="shared" si="139"/>
        <v>9.5906681391116351</v>
      </c>
      <c r="CI52" s="274">
        <f t="shared" si="139"/>
        <v>9.1862912028301871</v>
      </c>
      <c r="CJ52" s="274">
        <f t="shared" si="139"/>
        <v>9.2517249167602689</v>
      </c>
      <c r="CK52" s="274">
        <f t="shared" si="139"/>
        <v>9.1007326082940256</v>
      </c>
      <c r="CL52" s="274">
        <f>CL14*(0.985*0.97*CL20*9.81)/(CL51*10^6)</f>
        <v>17.08103503288454</v>
      </c>
      <c r="CM52" s="274">
        <f t="shared" ref="CM52:DQ52" si="140">CM14*(0.985*0.97*CM20*9.81)/(CM51*10^6)</f>
        <v>17.074641004104844</v>
      </c>
      <c r="CN52" s="274">
        <f t="shared" si="140"/>
        <v>18.560081620700732</v>
      </c>
      <c r="CO52" s="274">
        <f t="shared" si="140"/>
        <v>24.620785565251193</v>
      </c>
      <c r="CP52" s="274">
        <f t="shared" si="140"/>
        <v>25.526270641339536</v>
      </c>
      <c r="CQ52" s="274">
        <f t="shared" si="140"/>
        <v>22.877176215708701</v>
      </c>
      <c r="CR52" s="274">
        <f t="shared" si="140"/>
        <v>21.960949818192251</v>
      </c>
      <c r="CS52" s="274">
        <f t="shared" si="140"/>
        <v>20.991038117130934</v>
      </c>
      <c r="CT52" s="274">
        <f t="shared" si="140"/>
        <v>20.466262164202664</v>
      </c>
      <c r="CU52" s="274">
        <f t="shared" si="140"/>
        <v>21.960949818192251</v>
      </c>
      <c r="CV52" s="274">
        <f t="shared" si="140"/>
        <v>22.877176215708701</v>
      </c>
      <c r="CW52" s="274">
        <f t="shared" si="140"/>
        <v>18.314074515321991</v>
      </c>
      <c r="CX52" s="274">
        <f t="shared" si="140"/>
        <v>18.459251483338814</v>
      </c>
      <c r="CY52" s="274">
        <f t="shared" si="140"/>
        <v>18.05094105681777</v>
      </c>
      <c r="CZ52" s="274">
        <f t="shared" si="140"/>
        <v>22.294178536682324</v>
      </c>
      <c r="DA52" s="274">
        <f t="shared" si="140"/>
        <v>17.501188736531059</v>
      </c>
      <c r="DB52" s="274">
        <f t="shared" si="140"/>
        <v>15.438972501675217</v>
      </c>
      <c r="DC52" s="274">
        <f t="shared" si="140"/>
        <v>16.406824615377761</v>
      </c>
      <c r="DD52" s="274">
        <f t="shared" si="140"/>
        <v>16.369236823969178</v>
      </c>
      <c r="DE52" s="274">
        <f t="shared" si="140"/>
        <v>17.09604755565752</v>
      </c>
      <c r="DF52" s="274">
        <f t="shared" si="140"/>
        <v>21.037465143933836</v>
      </c>
      <c r="DG52" s="274">
        <f t="shared" si="140"/>
        <v>21.52864616716607</v>
      </c>
      <c r="DH52" s="274">
        <f t="shared" si="140"/>
        <v>13.393275946121724</v>
      </c>
      <c r="DI52" s="274">
        <f t="shared" si="140"/>
        <v>14.942607757871546</v>
      </c>
      <c r="DJ52" s="274">
        <f t="shared" si="140"/>
        <v>14.658488105958988</v>
      </c>
      <c r="DK52" s="274">
        <f t="shared" si="140"/>
        <v>16.868162793123311</v>
      </c>
      <c r="DL52" s="274">
        <f t="shared" si="140"/>
        <v>19.11998064171987</v>
      </c>
      <c r="DM52" s="274">
        <f t="shared" si="140"/>
        <v>16.689474627941919</v>
      </c>
      <c r="DN52" s="274">
        <f t="shared" si="140"/>
        <v>21.102126506041106</v>
      </c>
      <c r="DO52" s="274">
        <f t="shared" si="140"/>
        <v>17.561866321413163</v>
      </c>
      <c r="DP52" s="274">
        <f t="shared" si="140"/>
        <v>17.965737134442691</v>
      </c>
      <c r="DQ52" s="274">
        <f t="shared" si="140"/>
        <v>18.140684387437265</v>
      </c>
      <c r="DR52" s="376">
        <f t="shared" ref="DR52:EW52" si="141">DR14*(0.985*0.97*DR20*9.81)/(DR51*10^6)</f>
        <v>25.205532216686809</v>
      </c>
      <c r="DS52" s="376">
        <f t="shared" si="141"/>
        <v>17.479243696071993</v>
      </c>
      <c r="DT52" s="376">
        <f t="shared" si="141"/>
        <v>19.94811706285584</v>
      </c>
      <c r="DU52" s="376">
        <f t="shared" si="141"/>
        <v>19.948124750596858</v>
      </c>
      <c r="DV52" s="376">
        <f t="shared" si="141"/>
        <v>20.009690980471909</v>
      </c>
      <c r="DW52" s="376">
        <f t="shared" si="141"/>
        <v>20.009690980471909</v>
      </c>
      <c r="DX52" s="376">
        <f t="shared" si="141"/>
        <v>21.548897978969752</v>
      </c>
      <c r="DY52" s="376">
        <f t="shared" si="141"/>
        <v>21.856739378669321</v>
      </c>
      <c r="DZ52" s="376">
        <f t="shared" si="141"/>
        <v>16.203799072337652</v>
      </c>
      <c r="EA52" s="376">
        <f t="shared" si="141"/>
        <v>16.70237750533266</v>
      </c>
      <c r="EB52" s="376">
        <f t="shared" si="141"/>
        <v>17.699534371322667</v>
      </c>
      <c r="EC52" s="376">
        <f t="shared" si="141"/>
        <v>31.425181397953676</v>
      </c>
      <c r="ED52" s="376">
        <f t="shared" si="141"/>
        <v>21.755901307563768</v>
      </c>
      <c r="EE52" s="376">
        <f t="shared" si="141"/>
        <v>23.968365847316019</v>
      </c>
      <c r="EF52" s="376">
        <f t="shared" si="141"/>
        <v>29.360090191313425</v>
      </c>
      <c r="EG52" s="376">
        <f t="shared" si="141"/>
        <v>19.78282576887247</v>
      </c>
      <c r="EH52" s="376">
        <f t="shared" si="141"/>
        <v>29.914355369205907</v>
      </c>
      <c r="EI52" s="376">
        <f t="shared" si="141"/>
        <v>28.485163342357527</v>
      </c>
      <c r="EJ52" s="376">
        <f t="shared" si="141"/>
        <v>14.588051757775693</v>
      </c>
      <c r="EK52" s="376">
        <f t="shared" si="141"/>
        <v>13.060048530133713</v>
      </c>
      <c r="EL52" s="376">
        <f t="shared" si="141"/>
        <v>18.537394684623909</v>
      </c>
      <c r="EM52" s="376">
        <f t="shared" si="141"/>
        <v>18.90892538728351</v>
      </c>
      <c r="EN52" s="376">
        <f t="shared" si="141"/>
        <v>18.537394684623909</v>
      </c>
      <c r="EO52" s="376">
        <f t="shared" si="141"/>
        <v>18.90892538728351</v>
      </c>
      <c r="EP52" s="376">
        <f t="shared" si="141"/>
        <v>19.352681133008542</v>
      </c>
      <c r="EQ52" s="376">
        <f t="shared" si="141"/>
        <v>19.349505894611681</v>
      </c>
      <c r="ER52" s="376">
        <f t="shared" si="141"/>
        <v>19.325725235201091</v>
      </c>
      <c r="ES52" s="376">
        <f t="shared" si="141"/>
        <v>19.537589457464669</v>
      </c>
      <c r="ET52" s="376">
        <f t="shared" si="141"/>
        <v>16.306546307418841</v>
      </c>
      <c r="EU52" s="376">
        <f t="shared" si="141"/>
        <v>16.81417256487131</v>
      </c>
      <c r="EV52" s="376">
        <f t="shared" si="141"/>
        <v>17.654965440898046</v>
      </c>
      <c r="EW52" s="376">
        <f t="shared" si="141"/>
        <v>19.705729507942625</v>
      </c>
      <c r="EX52" s="376">
        <f t="shared" ref="EX52:GC52" si="142">EX14*(0.985*0.97*EX20*9.81)/(EX51*10^6)</f>
        <v>19.961501526751576</v>
      </c>
      <c r="EY52" s="376">
        <f t="shared" si="142"/>
        <v>20.577333618765159</v>
      </c>
      <c r="EZ52" s="376">
        <f t="shared" si="142"/>
        <v>21.172368074768901</v>
      </c>
      <c r="FA52" s="376">
        <f t="shared" si="142"/>
        <v>19.089929669342446</v>
      </c>
      <c r="FB52" s="376">
        <f t="shared" si="142"/>
        <v>21.172368074768901</v>
      </c>
      <c r="FC52" s="376">
        <f t="shared" si="142"/>
        <v>16.09032430300309</v>
      </c>
      <c r="FD52" s="376">
        <f t="shared" si="142"/>
        <v>16.103513370584963</v>
      </c>
      <c r="FE52" s="376">
        <f t="shared" si="142"/>
        <v>16.279988099518185</v>
      </c>
      <c r="FF52" s="376">
        <f t="shared" si="142"/>
        <v>15.752192637173794</v>
      </c>
      <c r="FG52" s="376">
        <f t="shared" si="142"/>
        <v>14.927258250943863</v>
      </c>
      <c r="FH52" s="376">
        <f t="shared" si="142"/>
        <v>17.411669041771159</v>
      </c>
      <c r="FI52" s="376">
        <f t="shared" si="142"/>
        <v>19.483020510771908</v>
      </c>
      <c r="FJ52" s="376">
        <f t="shared" si="142"/>
        <v>16.692094844033228</v>
      </c>
      <c r="FK52" s="376">
        <f t="shared" si="142"/>
        <v>17.206283794547751</v>
      </c>
      <c r="FL52" s="376">
        <f t="shared" si="142"/>
        <v>18.539609648476272</v>
      </c>
      <c r="FM52" s="376">
        <f t="shared" si="142"/>
        <v>21.563655863263595</v>
      </c>
      <c r="FN52" s="376">
        <f t="shared" si="142"/>
        <v>18.699150396989896</v>
      </c>
      <c r="FO52" s="376">
        <f t="shared" si="142"/>
        <v>19.981040439781211</v>
      </c>
      <c r="FP52" s="376">
        <f t="shared" si="142"/>
        <v>19.669141307967866</v>
      </c>
      <c r="FQ52" s="376">
        <f t="shared" si="142"/>
        <v>19.669141307967866</v>
      </c>
      <c r="FR52" s="376">
        <f t="shared" si="142"/>
        <v>21.018592341511468</v>
      </c>
      <c r="FS52" s="376">
        <f t="shared" si="142"/>
        <v>21.363928046920954</v>
      </c>
      <c r="FT52" s="376">
        <f t="shared" si="142"/>
        <v>19.669141307967866</v>
      </c>
      <c r="FU52" s="376">
        <f t="shared" si="142"/>
        <v>21.018592341511468</v>
      </c>
      <c r="FV52" s="376">
        <f t="shared" si="142"/>
        <v>18.352123862767762</v>
      </c>
      <c r="FW52" s="376">
        <f t="shared" si="142"/>
        <v>15.094181789100965</v>
      </c>
      <c r="FX52" s="376">
        <f t="shared" si="142"/>
        <v>18.350642867858401</v>
      </c>
      <c r="FY52" s="376">
        <f t="shared" si="142"/>
        <v>15.772561637631728</v>
      </c>
      <c r="FZ52" s="376">
        <f t="shared" si="142"/>
        <v>18.352123862767762</v>
      </c>
      <c r="GA52" s="376">
        <f t="shared" si="142"/>
        <v>15.224697844346109</v>
      </c>
      <c r="GB52" s="376">
        <f t="shared" si="142"/>
        <v>15.798170717435422</v>
      </c>
      <c r="GC52" s="376">
        <f t="shared" si="142"/>
        <v>15.026634125944513</v>
      </c>
      <c r="GD52" s="376">
        <f t="shared" ref="GD52:HI52" si="143">GD14*(0.985*0.97*GD20*9.81)/(GD51*10^6)</f>
        <v>16.312683192894468</v>
      </c>
      <c r="GE52" s="376">
        <f t="shared" si="143"/>
        <v>15.189123886927772</v>
      </c>
      <c r="GF52" s="376">
        <f t="shared" si="143"/>
        <v>16.739510865687826</v>
      </c>
      <c r="GG52" s="376">
        <f t="shared" si="143"/>
        <v>18.214056832810055</v>
      </c>
      <c r="GH52" s="376">
        <f t="shared" si="143"/>
        <v>17.66557588496271</v>
      </c>
      <c r="GI52" s="376">
        <f t="shared" si="143"/>
        <v>18.441044107866453</v>
      </c>
      <c r="GJ52" s="376">
        <f t="shared" si="143"/>
        <v>16.921049517513552</v>
      </c>
      <c r="GK52" s="376">
        <f t="shared" si="143"/>
        <v>17.276716790744921</v>
      </c>
      <c r="GL52" s="376">
        <f t="shared" si="143"/>
        <v>16.69310892906109</v>
      </c>
      <c r="GM52" s="376">
        <f t="shared" si="143"/>
        <v>17.622861920592367</v>
      </c>
      <c r="GN52" s="376">
        <f t="shared" si="143"/>
        <v>19.038604010197663</v>
      </c>
      <c r="GO52" s="376">
        <f t="shared" si="143"/>
        <v>18.547846079061575</v>
      </c>
      <c r="GP52" s="376">
        <f t="shared" si="143"/>
        <v>18.807990738800132</v>
      </c>
      <c r="GQ52" s="376">
        <f t="shared" si="143"/>
        <v>19.296525434899948</v>
      </c>
      <c r="GR52" s="376">
        <f t="shared" si="143"/>
        <v>19.748390275740142</v>
      </c>
      <c r="GS52" s="376">
        <f t="shared" si="143"/>
        <v>20.23283852204257</v>
      </c>
      <c r="GT52" s="376">
        <f t="shared" si="143"/>
        <v>19.816040979403631</v>
      </c>
      <c r="GU52" s="376">
        <f t="shared" si="143"/>
        <v>19.950855999821055</v>
      </c>
      <c r="GV52" s="376">
        <f t="shared" si="143"/>
        <v>21.351086407385601</v>
      </c>
      <c r="GW52" s="376">
        <f t="shared" si="143"/>
        <v>19.935655677150553</v>
      </c>
      <c r="GX52" s="376">
        <f t="shared" si="143"/>
        <v>21.812935893137688</v>
      </c>
      <c r="GY52" s="376">
        <f t="shared" si="143"/>
        <v>14.996773206665161</v>
      </c>
      <c r="GZ52" s="376">
        <f t="shared" si="143"/>
        <v>14.657478748134556</v>
      </c>
      <c r="HA52" s="376">
        <f t="shared" si="143"/>
        <v>16.023321218539898</v>
      </c>
      <c r="HB52" s="376">
        <f t="shared" si="143"/>
        <v>15.686696931301242</v>
      </c>
      <c r="HC52" s="376">
        <f t="shared" si="143"/>
        <v>15.971908987243204</v>
      </c>
      <c r="HD52" s="376">
        <f t="shared" si="143"/>
        <v>17.639189380193454</v>
      </c>
      <c r="HE52" s="376">
        <f t="shared" si="143"/>
        <v>15.352627819438064</v>
      </c>
      <c r="HF52" s="376">
        <f t="shared" si="143"/>
        <v>17.991365201200907</v>
      </c>
      <c r="HG52" s="376">
        <f t="shared" si="143"/>
        <v>16.714555313613275</v>
      </c>
      <c r="HH52" s="376">
        <f t="shared" si="143"/>
        <v>14.634818814911034</v>
      </c>
      <c r="HI52" s="376">
        <f t="shared" si="143"/>
        <v>15.284697053141434</v>
      </c>
      <c r="HJ52" s="376">
        <f t="shared" ref="HJ52:IO52" si="144">HJ14*(0.985*0.97*HJ20*9.81)/(HJ51*10^6)</f>
        <v>14.495957214576016</v>
      </c>
      <c r="HK52" s="376">
        <f t="shared" si="144"/>
        <v>16.141610520232661</v>
      </c>
      <c r="HL52" s="376">
        <f t="shared" si="144"/>
        <v>15.227934763091271</v>
      </c>
      <c r="HM52" s="376">
        <f t="shared" si="144"/>
        <v>15.860992979022106</v>
      </c>
      <c r="HN52" s="376">
        <f t="shared" si="144"/>
        <v>16.271784795671596</v>
      </c>
      <c r="HO52" s="376">
        <f t="shared" si="144"/>
        <v>17.268016517855568</v>
      </c>
      <c r="HP52" s="376">
        <f t="shared" si="144"/>
        <v>16.807174732749392</v>
      </c>
      <c r="HQ52" s="376">
        <f t="shared" si="144"/>
        <v>15.993257975014807</v>
      </c>
      <c r="HR52" s="376">
        <f t="shared" si="144"/>
        <v>16.01983946470364</v>
      </c>
      <c r="HS52" s="376">
        <f t="shared" si="144"/>
        <v>16.647700863614645</v>
      </c>
      <c r="HT52" s="376">
        <f t="shared" si="144"/>
        <v>14.808369943506825</v>
      </c>
      <c r="HU52" s="376">
        <f t="shared" si="144"/>
        <v>14.831155949463948</v>
      </c>
      <c r="HV52" s="376">
        <f t="shared" si="144"/>
        <v>15.189951056903976</v>
      </c>
      <c r="HW52" s="376">
        <f t="shared" si="144"/>
        <v>15.240753459175004</v>
      </c>
      <c r="HX52" s="376">
        <f t="shared" si="144"/>
        <v>15.762599696079729</v>
      </c>
      <c r="HY52" s="376">
        <f t="shared" si="144"/>
        <v>16.042098040409794</v>
      </c>
      <c r="HZ52" s="376">
        <f t="shared" si="144"/>
        <v>16.245162868429802</v>
      </c>
      <c r="IA52" s="376">
        <f t="shared" si="144"/>
        <v>15.194048921447683</v>
      </c>
      <c r="IB52" s="376">
        <f t="shared" si="144"/>
        <v>15.962287350060208</v>
      </c>
      <c r="IC52" s="376">
        <f t="shared" si="144"/>
        <v>15.50429468922175</v>
      </c>
      <c r="ID52" s="376">
        <f t="shared" si="144"/>
        <v>16.559806127869948</v>
      </c>
      <c r="IE52" s="376">
        <f t="shared" si="144"/>
        <v>17.242684731081081</v>
      </c>
      <c r="IF52" s="376">
        <f t="shared" si="144"/>
        <v>16.74795469103098</v>
      </c>
      <c r="IG52" s="376">
        <f t="shared" si="144"/>
        <v>17.306649116329513</v>
      </c>
      <c r="IH52" s="376">
        <f t="shared" si="144"/>
        <v>17.888506449776543</v>
      </c>
      <c r="II52" s="376">
        <f t="shared" si="144"/>
        <v>18.561729810789636</v>
      </c>
      <c r="IJ52" s="376">
        <f t="shared" si="144"/>
        <v>18.032768598565063</v>
      </c>
      <c r="IK52" s="376">
        <f t="shared" si="144"/>
        <v>18.6530958383557</v>
      </c>
      <c r="IL52" s="376">
        <f t="shared" si="144"/>
        <v>19.41287648864191</v>
      </c>
      <c r="IM52" s="376">
        <f t="shared" si="144"/>
        <v>17.71805809605301</v>
      </c>
      <c r="IN52" s="376">
        <f t="shared" si="144"/>
        <v>18.648636163035498</v>
      </c>
      <c r="IO52" s="376">
        <f t="shared" si="144"/>
        <v>19.204758513821844</v>
      </c>
      <c r="IP52" s="376">
        <f t="shared" ref="IP52:JK52" si="145">IP14*(0.985*0.97*IP20*9.81)/(IP51*10^6)</f>
        <v>18.088806329910575</v>
      </c>
      <c r="IQ52" s="376">
        <f t="shared" si="145"/>
        <v>18.830302797625702</v>
      </c>
      <c r="IR52" s="376">
        <f t="shared" si="145"/>
        <v>19.386425148412052</v>
      </c>
      <c r="IS52" s="376">
        <f t="shared" si="145"/>
        <v>14.358495893157194</v>
      </c>
      <c r="IT52" s="376">
        <f t="shared" si="145"/>
        <v>15.114206203323363</v>
      </c>
      <c r="IU52" s="376">
        <f t="shared" si="145"/>
        <v>15.945487544506147</v>
      </c>
      <c r="IV52" s="376">
        <f t="shared" si="145"/>
        <v>15.862359410387867</v>
      </c>
      <c r="IW52" s="376">
        <f t="shared" si="145"/>
        <v>16.625626823655693</v>
      </c>
      <c r="IX52" s="376">
        <f t="shared" si="145"/>
        <v>15.476364224663639</v>
      </c>
      <c r="IY52" s="376">
        <f t="shared" si="145"/>
        <v>20.660699555358679</v>
      </c>
      <c r="IZ52" s="376">
        <f t="shared" si="145"/>
        <v>17.862325313395573</v>
      </c>
      <c r="JA52" s="376">
        <f t="shared" si="145"/>
        <v>17.862325313395573</v>
      </c>
      <c r="JB52" s="376">
        <f t="shared" si="145"/>
        <v>19.477535581096237</v>
      </c>
      <c r="JC52" s="376">
        <f t="shared" si="145"/>
        <v>16.288101600095047</v>
      </c>
      <c r="JD52" s="376">
        <f t="shared" si="145"/>
        <v>17.50651183919522</v>
      </c>
      <c r="JE52" s="376">
        <f t="shared" si="145"/>
        <v>18.193664942985873</v>
      </c>
      <c r="JF52" s="376">
        <f t="shared" si="145"/>
        <v>17.50651183919522</v>
      </c>
      <c r="JG52" s="376">
        <f t="shared" si="145"/>
        <v>18.193664942985876</v>
      </c>
      <c r="JH52" s="376">
        <f t="shared" si="145"/>
        <v>15.869263977158747</v>
      </c>
      <c r="JI52" s="376">
        <f t="shared" si="145"/>
        <v>18.4324682257195</v>
      </c>
      <c r="JJ52" s="376">
        <f t="shared" si="145"/>
        <v>18.4324682257195</v>
      </c>
      <c r="JK52" s="376">
        <f t="shared" si="145"/>
        <v>20.024732628530874</v>
      </c>
    </row>
    <row r="54" spans="1:271">
      <c r="DR54">
        <f t="shared" ref="DR54:GC54" si="146">0.50399 + 0.0000081085*DR27/DR26*1000</f>
        <v>0.93681086461000018</v>
      </c>
      <c r="DS54">
        <f t="shared" si="146"/>
        <v>1.1351872631500002</v>
      </c>
      <c r="DT54">
        <f t="shared" si="146"/>
        <v>1.1351872631500002</v>
      </c>
      <c r="DU54">
        <f t="shared" si="146"/>
        <v>1.135187019895</v>
      </c>
      <c r="DV54">
        <f t="shared" si="146"/>
        <v>1.1532212871848002</v>
      </c>
      <c r="DW54">
        <f t="shared" si="146"/>
        <v>1.1532212871848002</v>
      </c>
      <c r="DX54">
        <f t="shared" si="146"/>
        <v>1.1532212871848002</v>
      </c>
      <c r="DY54">
        <f t="shared" si="146"/>
        <v>1.1532212871848002</v>
      </c>
      <c r="DZ54">
        <f t="shared" si="146"/>
        <v>1.3696291345000002</v>
      </c>
      <c r="EA54">
        <f t="shared" si="146"/>
        <v>1.3696291345000002</v>
      </c>
      <c r="EB54">
        <f t="shared" si="146"/>
        <v>1.3696291345000002</v>
      </c>
      <c r="EC54">
        <f t="shared" si="146"/>
        <v>0.93681086461000018</v>
      </c>
      <c r="ED54">
        <f t="shared" si="146"/>
        <v>1.1424005847500003</v>
      </c>
      <c r="EE54">
        <f t="shared" si="146"/>
        <v>1.1424005847500003</v>
      </c>
      <c r="EF54">
        <f t="shared" si="146"/>
        <v>1.1351872631500002</v>
      </c>
      <c r="EG54">
        <f t="shared" si="146"/>
        <v>1.135187019895</v>
      </c>
      <c r="EH54">
        <f t="shared" si="146"/>
        <v>1.153221296915</v>
      </c>
      <c r="EI54">
        <f t="shared" si="146"/>
        <v>1.1995691585750001</v>
      </c>
      <c r="EJ54">
        <f t="shared" si="146"/>
        <v>1.1788604550000001</v>
      </c>
      <c r="EK54">
        <f t="shared" si="146"/>
        <v>1.2769733050000001</v>
      </c>
      <c r="EL54">
        <f t="shared" si="146"/>
        <v>1.0089468374999999</v>
      </c>
      <c r="EM54">
        <f t="shared" si="146"/>
        <v>1.0269817632000002</v>
      </c>
      <c r="EN54">
        <f t="shared" si="146"/>
        <v>1.0089468374999999</v>
      </c>
      <c r="EO54">
        <f t="shared" si="146"/>
        <v>1.0269817632000002</v>
      </c>
      <c r="EP54">
        <f t="shared" si="146"/>
        <v>1.0269817632000002</v>
      </c>
      <c r="EQ54">
        <f t="shared" si="146"/>
        <v>1.0630499928999999</v>
      </c>
      <c r="ER54">
        <f t="shared" si="146"/>
        <v>1.0810841077500002</v>
      </c>
      <c r="ES54">
        <f t="shared" si="146"/>
        <v>1.1315797915000001</v>
      </c>
      <c r="ET54">
        <f t="shared" si="146"/>
        <v>1.0089468374999999</v>
      </c>
      <c r="EU54">
        <f t="shared" si="146"/>
        <v>1.0269818702322</v>
      </c>
      <c r="EV54">
        <f t="shared" si="146"/>
        <v>1.0269818702322</v>
      </c>
      <c r="EW54">
        <f t="shared" si="146"/>
        <v>1.0630503983250001</v>
      </c>
      <c r="EX54">
        <f t="shared" si="146"/>
        <v>1.0630503983250001</v>
      </c>
      <c r="EY54">
        <f t="shared" si="146"/>
        <v>1.0810844774976001</v>
      </c>
      <c r="EZ54">
        <f t="shared" si="146"/>
        <v>1.0810844774976001</v>
      </c>
      <c r="FA54">
        <f t="shared" si="146"/>
        <v>1.0810844774976001</v>
      </c>
      <c r="FB54">
        <f t="shared" si="146"/>
        <v>1.0810844774976001</v>
      </c>
      <c r="FC54">
        <f t="shared" si="146"/>
        <v>1.228964936059</v>
      </c>
      <c r="FD54">
        <f t="shared" si="146"/>
        <v>1.301101746962475</v>
      </c>
      <c r="FE54">
        <f t="shared" si="146"/>
        <v>1.301101746962475</v>
      </c>
      <c r="FF54">
        <f t="shared" si="146"/>
        <v>1.3515975138246001</v>
      </c>
      <c r="FG54">
        <f t="shared" si="146"/>
        <v>1.2289649036250001</v>
      </c>
      <c r="FH54">
        <f t="shared" si="146"/>
        <v>1.1712546820000003</v>
      </c>
      <c r="FI54">
        <f t="shared" si="146"/>
        <v>1.2469961805000001</v>
      </c>
      <c r="FJ54">
        <f t="shared" si="146"/>
        <v>1.3768453751600003</v>
      </c>
      <c r="FK54">
        <f t="shared" si="146"/>
        <v>1.4525888197000001</v>
      </c>
      <c r="FL54">
        <f t="shared" si="146"/>
        <v>1.4525888197000001</v>
      </c>
      <c r="FM54">
        <f t="shared" si="146"/>
        <v>1.2469961805000001</v>
      </c>
      <c r="FN54">
        <f t="shared" si="146"/>
        <v>1.3768453751600003</v>
      </c>
      <c r="FO54">
        <f t="shared" si="146"/>
        <v>1.515201035</v>
      </c>
      <c r="FP54">
        <f t="shared" si="146"/>
        <v>1.5614194850000001</v>
      </c>
      <c r="FQ54">
        <f t="shared" si="146"/>
        <v>1.5614194850000001</v>
      </c>
      <c r="FR54">
        <f t="shared" si="146"/>
        <v>1.5614194850000001</v>
      </c>
      <c r="FS54">
        <f t="shared" si="146"/>
        <v>1.5614194850000001</v>
      </c>
      <c r="FT54">
        <f t="shared" si="146"/>
        <v>1.5614194850000001</v>
      </c>
      <c r="FU54">
        <f t="shared" si="146"/>
        <v>1.5614194850000001</v>
      </c>
      <c r="FV54">
        <f t="shared" si="146"/>
        <v>1.8576372609600003</v>
      </c>
      <c r="FW54">
        <f t="shared" si="146"/>
        <v>1.9791877302100005</v>
      </c>
      <c r="FX54">
        <f t="shared" si="146"/>
        <v>1.8284218246244999</v>
      </c>
      <c r="FY54">
        <f t="shared" si="146"/>
        <v>1.9326590490000002</v>
      </c>
      <c r="FZ54">
        <f t="shared" si="146"/>
        <v>1.8576372609600003</v>
      </c>
      <c r="GA54">
        <f t="shared" si="146"/>
        <v>1.9791877302100005</v>
      </c>
      <c r="GB54">
        <f t="shared" si="146"/>
        <v>1.9791877302100005</v>
      </c>
      <c r="GC54">
        <f t="shared" si="146"/>
        <v>2.0549311747500001</v>
      </c>
      <c r="GD54">
        <f t="shared" ref="GD54:IO54" si="147">0.50399 + 0.0000081085*GD27/GD26*1000</f>
        <v>1.9326590490000002</v>
      </c>
      <c r="GE54">
        <f t="shared" si="147"/>
        <v>2.0383395620500004</v>
      </c>
      <c r="GF54">
        <f t="shared" si="147"/>
        <v>2.2352731341000003</v>
      </c>
      <c r="GG54">
        <f t="shared" si="147"/>
        <v>2.1966799175</v>
      </c>
      <c r="GH54">
        <f t="shared" si="147"/>
        <v>2.30741024218</v>
      </c>
      <c r="GI54">
        <f t="shared" si="147"/>
        <v>2.2594388966500003</v>
      </c>
      <c r="GJ54">
        <f t="shared" si="147"/>
        <v>2.3867607529450003</v>
      </c>
      <c r="GK54">
        <f t="shared" si="147"/>
        <v>2.3777436144349999</v>
      </c>
      <c r="GL54">
        <f t="shared" si="147"/>
        <v>2.5663813882434998</v>
      </c>
      <c r="GM54">
        <f t="shared" si="147"/>
        <v>2.5508720089299999</v>
      </c>
      <c r="GN54">
        <f t="shared" si="147"/>
        <v>2.5552001640599999</v>
      </c>
      <c r="GO54">
        <f t="shared" si="147"/>
        <v>2.648256634545</v>
      </c>
      <c r="GP54">
        <f t="shared" si="147"/>
        <v>2.2702596899</v>
      </c>
      <c r="GQ54">
        <f t="shared" si="147"/>
        <v>2.2352731341000003</v>
      </c>
      <c r="GR54">
        <f t="shared" si="147"/>
        <v>2.2702596899</v>
      </c>
      <c r="GS54">
        <f t="shared" si="147"/>
        <v>2.2702596899</v>
      </c>
      <c r="GT54">
        <f t="shared" si="147"/>
        <v>2.30741024218</v>
      </c>
      <c r="GU54">
        <f t="shared" si="147"/>
        <v>2.39613847645</v>
      </c>
      <c r="GV54">
        <f t="shared" si="147"/>
        <v>2.30741024218</v>
      </c>
      <c r="GW54">
        <f t="shared" si="147"/>
        <v>2.5238205934</v>
      </c>
      <c r="GX54">
        <f t="shared" si="147"/>
        <v>2.39613847645</v>
      </c>
      <c r="GY54">
        <f t="shared" si="147"/>
        <v>1.2830674914300002</v>
      </c>
      <c r="GZ54">
        <f t="shared" si="147"/>
        <v>1.3011017441244999</v>
      </c>
      <c r="HA54">
        <f t="shared" si="147"/>
        <v>1.3443838062600002</v>
      </c>
      <c r="HB54">
        <f t="shared" si="147"/>
        <v>1.3624180021950001</v>
      </c>
      <c r="HC54">
        <f t="shared" si="147"/>
        <v>1.2974949065592001</v>
      </c>
      <c r="HD54">
        <f t="shared" si="147"/>
        <v>1.3515975138246001</v>
      </c>
      <c r="HE54">
        <f t="shared" si="147"/>
        <v>1.4778369291555</v>
      </c>
      <c r="HF54">
        <f t="shared" si="147"/>
        <v>1.3350058395</v>
      </c>
      <c r="HG54">
        <f t="shared" si="147"/>
        <v>1.3984863940649999</v>
      </c>
      <c r="HH54">
        <f t="shared" si="147"/>
        <v>1.3699923953000002</v>
      </c>
      <c r="HI54">
        <f t="shared" si="147"/>
        <v>1.4821650599600003</v>
      </c>
      <c r="HJ54">
        <f t="shared" si="147"/>
        <v>1.3782881205650002</v>
      </c>
      <c r="HK54">
        <f t="shared" si="147"/>
        <v>1.4057001210900002</v>
      </c>
      <c r="HL54">
        <f t="shared" si="147"/>
        <v>1.4598027088950003</v>
      </c>
      <c r="HM54">
        <f t="shared" si="147"/>
        <v>1.4778369291555</v>
      </c>
      <c r="HN54">
        <f t="shared" si="147"/>
        <v>1.3984864402834503</v>
      </c>
      <c r="HO54">
        <f t="shared" si="147"/>
        <v>1.3984864402834503</v>
      </c>
      <c r="HP54">
        <f t="shared" si="147"/>
        <v>1.3699923953000002</v>
      </c>
      <c r="HQ54">
        <f t="shared" si="147"/>
        <v>1.4821651329365002</v>
      </c>
      <c r="HR54">
        <f t="shared" si="147"/>
        <v>1.4805420609783</v>
      </c>
      <c r="HS54">
        <f t="shared" si="147"/>
        <v>1.3782881205650002</v>
      </c>
      <c r="HT54">
        <f t="shared" si="147"/>
        <v>1.560433572485</v>
      </c>
      <c r="HU54">
        <f t="shared" si="147"/>
        <v>1.5588104940400003</v>
      </c>
      <c r="HV54">
        <f t="shared" si="147"/>
        <v>1.5860421371995002</v>
      </c>
      <c r="HW54">
        <f t="shared" si="147"/>
        <v>1.5824353044993003</v>
      </c>
      <c r="HX54">
        <f t="shared" si="147"/>
        <v>1.6221105501516</v>
      </c>
      <c r="HY54">
        <f t="shared" si="147"/>
        <v>1.6581789549952002</v>
      </c>
      <c r="HZ54">
        <f t="shared" si="147"/>
        <v>1.6437515722999998</v>
      </c>
      <c r="IA54">
        <f t="shared" si="147"/>
        <v>1.6639498457999999</v>
      </c>
      <c r="IB54">
        <f t="shared" si="147"/>
        <v>1.6639498457999999</v>
      </c>
      <c r="IC54">
        <f t="shared" si="147"/>
        <v>1.6982147451</v>
      </c>
      <c r="ID54">
        <f t="shared" si="147"/>
        <v>1.6639498457999999</v>
      </c>
      <c r="IE54">
        <f t="shared" si="147"/>
        <v>1.6639498457999999</v>
      </c>
      <c r="IF54">
        <f t="shared" si="147"/>
        <v>1.6982147451</v>
      </c>
      <c r="IG54">
        <f t="shared" si="147"/>
        <v>1.0273425509075</v>
      </c>
      <c r="IH54">
        <f t="shared" si="147"/>
        <v>1.0273425509075</v>
      </c>
      <c r="II54">
        <f t="shared" si="147"/>
        <v>1.0273425509075</v>
      </c>
      <c r="IJ54">
        <f t="shared" si="147"/>
        <v>1.0273425509075</v>
      </c>
      <c r="IK54">
        <f t="shared" si="147"/>
        <v>1.0273425509075</v>
      </c>
      <c r="IL54">
        <f t="shared" si="147"/>
        <v>1.0273425509075</v>
      </c>
      <c r="IM54">
        <f t="shared" si="147"/>
        <v>1.1827971317500001</v>
      </c>
      <c r="IN54">
        <f t="shared" si="147"/>
        <v>1.1827971317500001</v>
      </c>
      <c r="IO54">
        <f t="shared" si="147"/>
        <v>1.1827971317500001</v>
      </c>
      <c r="IP54">
        <f t="shared" ref="IP54:JK54" si="148">0.50399 + 0.0000081085*IP27/IP26*1000</f>
        <v>1.1827971317500001</v>
      </c>
      <c r="IQ54">
        <f t="shared" si="148"/>
        <v>1.1827971317500001</v>
      </c>
      <c r="IR54">
        <f t="shared" si="148"/>
        <v>1.1827971317500001</v>
      </c>
      <c r="IS54">
        <f t="shared" si="148"/>
        <v>0.77732753500000007</v>
      </c>
      <c r="IT54">
        <f t="shared" si="148"/>
        <v>0.77732753500000007</v>
      </c>
      <c r="IU54">
        <f t="shared" si="148"/>
        <v>0.77732753500000007</v>
      </c>
      <c r="IV54">
        <f t="shared" si="148"/>
        <v>0.77732753500000007</v>
      </c>
      <c r="IW54">
        <f t="shared" si="148"/>
        <v>0.77732753500000007</v>
      </c>
      <c r="IX54">
        <f t="shared" si="148"/>
        <v>0.82565419500000004</v>
      </c>
      <c r="IY54">
        <f t="shared" si="148"/>
        <v>1.0472595</v>
      </c>
      <c r="IZ54">
        <f t="shared" si="148"/>
        <v>1.2986230000000001</v>
      </c>
      <c r="JA54">
        <f t="shared" si="148"/>
        <v>1.2986230000000001</v>
      </c>
      <c r="JB54">
        <f t="shared" si="148"/>
        <v>1.2986230000000001</v>
      </c>
      <c r="JC54">
        <f t="shared" si="148"/>
        <v>0.83654066709999997</v>
      </c>
      <c r="JD54">
        <f t="shared" si="148"/>
        <v>0.83654066709999997</v>
      </c>
      <c r="JE54">
        <f t="shared" si="148"/>
        <v>0.83654066709999997</v>
      </c>
      <c r="JF54">
        <f t="shared" si="148"/>
        <v>0.83654066709999997</v>
      </c>
      <c r="JG54">
        <f t="shared" si="148"/>
        <v>0.83654066709999997</v>
      </c>
      <c r="JH54">
        <f t="shared" si="148"/>
        <v>1.0273125900000002</v>
      </c>
      <c r="JI54">
        <f t="shared" si="148"/>
        <v>1.0273125900000002</v>
      </c>
      <c r="JJ54">
        <f t="shared" si="148"/>
        <v>1.0273125900000002</v>
      </c>
      <c r="JK54">
        <f t="shared" si="148"/>
        <v>1.0273125900000002</v>
      </c>
    </row>
    <row r="55" spans="1:271">
      <c r="DR55">
        <f t="shared" ref="DR55:GC55" si="149">DR27*1000-1.225*DR11^2*DR26*PI()*DR54^2/4</f>
        <v>196737.84165506391</v>
      </c>
      <c r="DS55">
        <f t="shared" si="149"/>
        <v>286380.29144246422</v>
      </c>
      <c r="DT55">
        <f t="shared" si="149"/>
        <v>281844.41470401909</v>
      </c>
      <c r="DU55">
        <f t="shared" si="149"/>
        <v>281844.30736027047</v>
      </c>
      <c r="DV55">
        <f t="shared" si="149"/>
        <v>288563.88388632302</v>
      </c>
      <c r="DW55">
        <f t="shared" si="149"/>
        <v>288563.88388632302</v>
      </c>
      <c r="DX55">
        <f t="shared" si="149"/>
        <v>285595.91077027586</v>
      </c>
      <c r="DY55">
        <f t="shared" si="149"/>
        <v>285595.91077027586</v>
      </c>
      <c r="DZ55">
        <f t="shared" si="149"/>
        <v>382302.98479954712</v>
      </c>
      <c r="EA55">
        <f t="shared" si="149"/>
        <v>378116.58565162768</v>
      </c>
      <c r="EB55">
        <f t="shared" si="149"/>
        <v>378116.58565162768</v>
      </c>
      <c r="EC55">
        <f t="shared" si="149"/>
        <v>200210.52928881181</v>
      </c>
      <c r="ED55">
        <f t="shared" si="149"/>
        <v>294495.67742352595</v>
      </c>
      <c r="EE55">
        <f t="shared" si="149"/>
        <v>291421.16847288329</v>
      </c>
      <c r="EF55">
        <f t="shared" si="149"/>
        <v>281844.41470401909</v>
      </c>
      <c r="EG55">
        <f t="shared" si="149"/>
        <v>281844.30736027047</v>
      </c>
      <c r="EH55">
        <f t="shared" si="149"/>
        <v>288563.88815125509</v>
      </c>
      <c r="EI55">
        <f t="shared" si="149"/>
        <v>307924.84476663033</v>
      </c>
      <c r="EJ55">
        <f t="shared" si="149"/>
        <v>154499.68751080509</v>
      </c>
      <c r="EK55">
        <f t="shared" si="149"/>
        <v>176626.00347476901</v>
      </c>
      <c r="EL55">
        <f t="shared" si="149"/>
        <v>171583.90519876158</v>
      </c>
      <c r="EM55">
        <f t="shared" si="149"/>
        <v>177706.76626155892</v>
      </c>
      <c r="EN55">
        <f t="shared" si="149"/>
        <v>171583.90519876158</v>
      </c>
      <c r="EO55">
        <f t="shared" si="149"/>
        <v>177706.76626155892</v>
      </c>
      <c r="EP55">
        <f t="shared" si="149"/>
        <v>176558.68644342051</v>
      </c>
      <c r="EQ55">
        <f t="shared" si="149"/>
        <v>188692.58293711272</v>
      </c>
      <c r="ER55">
        <f t="shared" si="149"/>
        <v>194743.86111146951</v>
      </c>
      <c r="ES55">
        <f t="shared" si="149"/>
        <v>211631.91758142292</v>
      </c>
      <c r="ET55">
        <f t="shared" si="149"/>
        <v>113650.53998176914</v>
      </c>
      <c r="EU55">
        <f t="shared" si="149"/>
        <v>117705.82576295953</v>
      </c>
      <c r="EV55">
        <f t="shared" si="149"/>
        <v>117705.82576295953</v>
      </c>
      <c r="EW55">
        <f t="shared" si="149"/>
        <v>125458.99287754401</v>
      </c>
      <c r="EX55">
        <f t="shared" si="149"/>
        <v>125458.99287754401</v>
      </c>
      <c r="EY55">
        <f t="shared" si="149"/>
        <v>129481.66813741501</v>
      </c>
      <c r="EZ55">
        <f t="shared" si="149"/>
        <v>129481.66813741501</v>
      </c>
      <c r="FA55">
        <f t="shared" si="149"/>
        <v>129481.66813741501</v>
      </c>
      <c r="FB55">
        <f t="shared" si="149"/>
        <v>129481.66813741501</v>
      </c>
      <c r="FC55">
        <f t="shared" si="149"/>
        <v>160339.64528100067</v>
      </c>
      <c r="FD55">
        <f t="shared" si="149"/>
        <v>175899.55029455791</v>
      </c>
      <c r="FE55">
        <f t="shared" si="149"/>
        <v>172568.40133402022</v>
      </c>
      <c r="FF55">
        <f t="shared" si="149"/>
        <v>183120.99043571501</v>
      </c>
      <c r="FG55">
        <f t="shared" si="149"/>
        <v>162647.09362678335</v>
      </c>
      <c r="FH55">
        <f t="shared" si="149"/>
        <v>149895.70083890678</v>
      </c>
      <c r="FI55">
        <f t="shared" si="149"/>
        <v>165448.52696820273</v>
      </c>
      <c r="FJ55">
        <f t="shared" si="149"/>
        <v>194996.57798852667</v>
      </c>
      <c r="FK55">
        <f t="shared" si="149"/>
        <v>210120.80999238271</v>
      </c>
      <c r="FL55">
        <f t="shared" si="149"/>
        <v>210120.80999238271</v>
      </c>
      <c r="FM55">
        <f t="shared" si="149"/>
        <v>165448.52696820273</v>
      </c>
      <c r="FN55">
        <f t="shared" si="149"/>
        <v>194996.57798852667</v>
      </c>
      <c r="FO55">
        <f t="shared" si="149"/>
        <v>211539.36984066671</v>
      </c>
      <c r="FP55">
        <f t="shared" si="149"/>
        <v>220593.16467066348</v>
      </c>
      <c r="FQ55">
        <f t="shared" si="149"/>
        <v>220593.16467066348</v>
      </c>
      <c r="FR55">
        <f t="shared" si="149"/>
        <v>220593.16467066348</v>
      </c>
      <c r="FS55">
        <f t="shared" si="149"/>
        <v>220593.16467066348</v>
      </c>
      <c r="FT55">
        <f t="shared" si="149"/>
        <v>220593.16467066348</v>
      </c>
      <c r="FU55">
        <f t="shared" si="149"/>
        <v>220593.16467066348</v>
      </c>
      <c r="FV55">
        <f t="shared" si="149"/>
        <v>296935.54366545024</v>
      </c>
      <c r="FW55">
        <f t="shared" si="149"/>
        <v>321923.13098907919</v>
      </c>
      <c r="FX55">
        <f t="shared" si="149"/>
        <v>290882.45534286497</v>
      </c>
      <c r="FY55">
        <f t="shared" si="149"/>
        <v>312395.42955553444</v>
      </c>
      <c r="FZ55">
        <f t="shared" si="149"/>
        <v>296935.54366545024</v>
      </c>
      <c r="GA55">
        <f t="shared" si="149"/>
        <v>321923.13098907919</v>
      </c>
      <c r="GB55">
        <f t="shared" si="149"/>
        <v>321923.13098907919</v>
      </c>
      <c r="GC55">
        <f t="shared" si="149"/>
        <v>337333.99308931537</v>
      </c>
      <c r="GD55">
        <f t="shared" ref="GD55:IO55" si="150">GD27*1000-1.225*GD11^2*GD26*PI()*GD54^2/4</f>
        <v>312395.42955553444</v>
      </c>
      <c r="GE55">
        <f t="shared" si="150"/>
        <v>333968.74960753717</v>
      </c>
      <c r="GF55">
        <f t="shared" si="150"/>
        <v>361891.04534485313</v>
      </c>
      <c r="GG55">
        <f t="shared" si="150"/>
        <v>354601.71964597824</v>
      </c>
      <c r="GH55">
        <f t="shared" si="150"/>
        <v>375411.865605611</v>
      </c>
      <c r="GI55">
        <f t="shared" si="150"/>
        <v>366435.60172843683</v>
      </c>
      <c r="GJ55">
        <f t="shared" si="150"/>
        <v>390127.99854914978</v>
      </c>
      <c r="GK55">
        <f t="shared" si="150"/>
        <v>388463.97229660198</v>
      </c>
      <c r="GL55">
        <f t="shared" si="150"/>
        <v>422833.52825598628</v>
      </c>
      <c r="GM55">
        <f t="shared" si="150"/>
        <v>420042.74516135402</v>
      </c>
      <c r="GN55">
        <f t="shared" si="150"/>
        <v>420822.19138700515</v>
      </c>
      <c r="GO55">
        <f t="shared" si="150"/>
        <v>437462.34579192416</v>
      </c>
      <c r="GP55">
        <f t="shared" si="150"/>
        <v>401278.02991780743</v>
      </c>
      <c r="GQ55">
        <f t="shared" si="150"/>
        <v>395509.32860613189</v>
      </c>
      <c r="GR55">
        <f t="shared" si="150"/>
        <v>401278.02991780743</v>
      </c>
      <c r="GS55">
        <f t="shared" si="150"/>
        <v>397388.81591997994</v>
      </c>
      <c r="GT55">
        <f t="shared" si="150"/>
        <v>405289.42714735842</v>
      </c>
      <c r="GU55">
        <f t="shared" si="150"/>
        <v>424075.85898492625</v>
      </c>
      <c r="GV55">
        <f t="shared" si="150"/>
        <v>405289.42714735842</v>
      </c>
      <c r="GW55">
        <f t="shared" si="150"/>
        <v>445840.84943597217</v>
      </c>
      <c r="GX55">
        <f t="shared" si="150"/>
        <v>419511.30198611272</v>
      </c>
      <c r="GY55">
        <f t="shared" si="150"/>
        <v>180979.19176237317</v>
      </c>
      <c r="GZ55">
        <f t="shared" si="150"/>
        <v>185110.82203429507</v>
      </c>
      <c r="HA55">
        <f t="shared" si="150"/>
        <v>195008.67223579602</v>
      </c>
      <c r="HB55">
        <f t="shared" si="150"/>
        <v>199125.26502085352</v>
      </c>
      <c r="HC55">
        <f t="shared" si="150"/>
        <v>184284.85247055939</v>
      </c>
      <c r="HD55">
        <f t="shared" si="150"/>
        <v>196655.84628946063</v>
      </c>
      <c r="HE55">
        <f t="shared" si="150"/>
        <v>225366.83430714876</v>
      </c>
      <c r="HF55">
        <f t="shared" si="150"/>
        <v>192866.25536630716</v>
      </c>
      <c r="HG55">
        <f t="shared" si="150"/>
        <v>207345.19369830727</v>
      </c>
      <c r="HH55">
        <f t="shared" si="150"/>
        <v>200852.92328189992</v>
      </c>
      <c r="HI55">
        <f t="shared" si="150"/>
        <v>226347.35423529407</v>
      </c>
      <c r="HJ55">
        <f t="shared" si="150"/>
        <v>202744.21721858921</v>
      </c>
      <c r="HK55">
        <f t="shared" si="150"/>
        <v>208987.06940176757</v>
      </c>
      <c r="HL55">
        <f t="shared" si="150"/>
        <v>221278.51739346742</v>
      </c>
      <c r="HM55">
        <f t="shared" si="150"/>
        <v>225366.83430714876</v>
      </c>
      <c r="HN55">
        <f t="shared" si="150"/>
        <v>207345.20422009286</v>
      </c>
      <c r="HO55">
        <f t="shared" si="150"/>
        <v>207345.20422009286</v>
      </c>
      <c r="HP55">
        <f t="shared" si="150"/>
        <v>200852.92328189992</v>
      </c>
      <c r="HQ55">
        <f t="shared" si="150"/>
        <v>226347.37076566907</v>
      </c>
      <c r="HR55">
        <f t="shared" si="150"/>
        <v>225979.70043197568</v>
      </c>
      <c r="HS55">
        <f t="shared" si="150"/>
        <v>202744.21721858921</v>
      </c>
      <c r="HT55">
        <f t="shared" si="150"/>
        <v>244034.83994285768</v>
      </c>
      <c r="HU55">
        <f t="shared" si="150"/>
        <v>243668.89418858511</v>
      </c>
      <c r="HV55">
        <f t="shared" si="150"/>
        <v>249803.91173656809</v>
      </c>
      <c r="HW55">
        <f t="shared" si="150"/>
        <v>248991.90719365573</v>
      </c>
      <c r="HX55">
        <f t="shared" si="150"/>
        <v>257914.25478505268</v>
      </c>
      <c r="HY55">
        <f t="shared" si="150"/>
        <v>266006.92013867572</v>
      </c>
      <c r="HZ55">
        <f t="shared" si="150"/>
        <v>262771.97044517833</v>
      </c>
      <c r="IA55">
        <f t="shared" si="150"/>
        <v>267300.09418272856</v>
      </c>
      <c r="IB55">
        <f t="shared" si="150"/>
        <v>267300.09418272856</v>
      </c>
      <c r="IC55">
        <f t="shared" si="150"/>
        <v>274969.04821563332</v>
      </c>
      <c r="ID55">
        <f t="shared" si="150"/>
        <v>267300.09418272856</v>
      </c>
      <c r="IE55">
        <f t="shared" si="150"/>
        <v>267300.09418272856</v>
      </c>
      <c r="IF55">
        <f t="shared" si="150"/>
        <v>274969.04821563332</v>
      </c>
      <c r="IG55">
        <f t="shared" si="150"/>
        <v>118851.53700863036</v>
      </c>
      <c r="IH55">
        <f t="shared" si="150"/>
        <v>118851.53700863036</v>
      </c>
      <c r="II55">
        <f t="shared" si="150"/>
        <v>118851.53700863036</v>
      </c>
      <c r="IJ55">
        <f t="shared" si="150"/>
        <v>118851.53700863036</v>
      </c>
      <c r="IK55">
        <f t="shared" si="150"/>
        <v>118851.53700863036</v>
      </c>
      <c r="IL55">
        <f t="shared" si="150"/>
        <v>118851.53700863036</v>
      </c>
      <c r="IM55">
        <f t="shared" si="150"/>
        <v>154446.66444058708</v>
      </c>
      <c r="IN55">
        <f t="shared" si="150"/>
        <v>154446.66444058708</v>
      </c>
      <c r="IO55">
        <f t="shared" si="150"/>
        <v>154446.66444058708</v>
      </c>
      <c r="IP55">
        <f t="shared" ref="IP55:JK55" si="151">IP27*1000-1.225*IP11^2*IP26*PI()*IP54^2/4</f>
        <v>154446.66444058708</v>
      </c>
      <c r="IQ55">
        <f t="shared" si="151"/>
        <v>154446.66444058708</v>
      </c>
      <c r="IR55">
        <f t="shared" si="151"/>
        <v>154446.66444058708</v>
      </c>
      <c r="IS55">
        <f t="shared" si="151"/>
        <v>62764.653189613324</v>
      </c>
      <c r="IT55">
        <f t="shared" si="151"/>
        <v>62764.653189613324</v>
      </c>
      <c r="IU55">
        <f t="shared" si="151"/>
        <v>61976.901335563314</v>
      </c>
      <c r="IV55">
        <f t="shared" si="151"/>
        <v>61976.901335563314</v>
      </c>
      <c r="IW55">
        <f t="shared" si="151"/>
        <v>61812.008988370122</v>
      </c>
      <c r="IX55">
        <f t="shared" si="151"/>
        <v>73013.032715258392</v>
      </c>
      <c r="IY55">
        <f t="shared" si="151"/>
        <v>123820.9365257243</v>
      </c>
      <c r="IZ55">
        <f t="shared" si="151"/>
        <v>180348.16049196076</v>
      </c>
      <c r="JA55">
        <f t="shared" si="151"/>
        <v>180348.16049196076</v>
      </c>
      <c r="JB55">
        <f t="shared" si="151"/>
        <v>180348.16049196076</v>
      </c>
      <c r="JC55">
        <f t="shared" si="151"/>
        <v>75815.715414186881</v>
      </c>
      <c r="JD55">
        <f t="shared" si="151"/>
        <v>75530.287241173733</v>
      </c>
      <c r="JE55">
        <f t="shared" si="151"/>
        <v>75530.287241173733</v>
      </c>
      <c r="JF55">
        <f t="shared" si="151"/>
        <v>75530.287241173733</v>
      </c>
      <c r="JG55">
        <f t="shared" si="151"/>
        <v>75530.287241173733</v>
      </c>
      <c r="JH55">
        <f t="shared" si="151"/>
        <v>117780.11430055714</v>
      </c>
      <c r="JI55">
        <f t="shared" si="151"/>
        <v>117623.68626201537</v>
      </c>
      <c r="JJ55">
        <f t="shared" si="151"/>
        <v>117623.68626201537</v>
      </c>
      <c r="JK55">
        <f t="shared" si="151"/>
        <v>117623.68626201537</v>
      </c>
    </row>
    <row r="56" spans="1:271">
      <c r="DR56">
        <f t="shared" ref="DR56:GC56" si="152">DR55/1000/DR27</f>
        <v>0.92142553623050805</v>
      </c>
      <c r="DS56">
        <f t="shared" si="152"/>
        <v>0.91972618099319348</v>
      </c>
      <c r="DT56">
        <f t="shared" si="152"/>
        <v>0.90515896140872654</v>
      </c>
      <c r="DU56">
        <f t="shared" si="152"/>
        <v>0.9051589655045108</v>
      </c>
      <c r="DV56">
        <f t="shared" si="152"/>
        <v>0.90099641633037697</v>
      </c>
      <c r="DW56">
        <f t="shared" si="152"/>
        <v>0.90099641633037697</v>
      </c>
      <c r="DX56">
        <f t="shared" si="152"/>
        <v>0.89172937602959956</v>
      </c>
      <c r="DY56">
        <f t="shared" si="152"/>
        <v>0.89172937602959956</v>
      </c>
      <c r="DZ56">
        <f t="shared" si="152"/>
        <v>0.89526444354830859</v>
      </c>
      <c r="EA56">
        <f t="shared" si="152"/>
        <v>0.88546087294422771</v>
      </c>
      <c r="EB56">
        <f t="shared" si="152"/>
        <v>0.88546087294422771</v>
      </c>
      <c r="EC56">
        <f t="shared" si="152"/>
        <v>0.93768993680626211</v>
      </c>
      <c r="ED56">
        <f t="shared" si="152"/>
        <v>0.93510283876471234</v>
      </c>
      <c r="EE56">
        <f t="shared" si="152"/>
        <v>0.925340447436235</v>
      </c>
      <c r="EF56">
        <f t="shared" si="152"/>
        <v>0.90515896140872654</v>
      </c>
      <c r="EG56">
        <f t="shared" si="152"/>
        <v>0.9051589655045108</v>
      </c>
      <c r="EH56">
        <f t="shared" si="152"/>
        <v>0.90099641614350223</v>
      </c>
      <c r="EI56">
        <f t="shared" si="152"/>
        <v>0.89738478108850872</v>
      </c>
      <c r="EJ56">
        <f t="shared" si="152"/>
        <v>0.9281490298618591</v>
      </c>
      <c r="EK56">
        <f t="shared" si="152"/>
        <v>0.92639254943233518</v>
      </c>
      <c r="EL56">
        <f t="shared" si="152"/>
        <v>0.91842047476923105</v>
      </c>
      <c r="EM56">
        <f t="shared" si="152"/>
        <v>0.91839261190608523</v>
      </c>
      <c r="EN56">
        <f t="shared" si="152"/>
        <v>0.91842047476923105</v>
      </c>
      <c r="EO56">
        <f t="shared" si="152"/>
        <v>0.91839261190608523</v>
      </c>
      <c r="EP56">
        <f t="shared" si="152"/>
        <v>0.91245930928042773</v>
      </c>
      <c r="EQ56">
        <f t="shared" si="152"/>
        <v>0.91225379993595468</v>
      </c>
      <c r="ER56">
        <f t="shared" si="152"/>
        <v>0.9120872873339726</v>
      </c>
      <c r="ES56">
        <f t="shared" si="152"/>
        <v>0.91143260929909919</v>
      </c>
      <c r="ET56">
        <f t="shared" si="152"/>
        <v>0.91248928126671336</v>
      </c>
      <c r="EU56">
        <f t="shared" si="152"/>
        <v>0.9124593923182891</v>
      </c>
      <c r="EV56">
        <f t="shared" si="152"/>
        <v>0.9124593923182891</v>
      </c>
      <c r="EW56">
        <f t="shared" si="152"/>
        <v>0.90981604742121713</v>
      </c>
      <c r="EX56">
        <f t="shared" si="152"/>
        <v>0.90981604742121713</v>
      </c>
      <c r="EY56">
        <f t="shared" si="152"/>
        <v>0.90964490826945732</v>
      </c>
      <c r="EZ56">
        <f t="shared" si="152"/>
        <v>0.90964490826945732</v>
      </c>
      <c r="FA56">
        <f t="shared" si="152"/>
        <v>0.90964490826945732</v>
      </c>
      <c r="FB56">
        <f t="shared" si="152"/>
        <v>0.90964490826945732</v>
      </c>
      <c r="FC56">
        <f t="shared" si="152"/>
        <v>0.89666135275550263</v>
      </c>
      <c r="FD56">
        <f t="shared" si="152"/>
        <v>0.89465593061355719</v>
      </c>
      <c r="FE56">
        <f t="shared" si="152"/>
        <v>0.87771312337890772</v>
      </c>
      <c r="FF56">
        <f t="shared" si="152"/>
        <v>0.87589864809484241</v>
      </c>
      <c r="FG56">
        <f t="shared" si="152"/>
        <v>0.9095652498303215</v>
      </c>
      <c r="FH56">
        <f t="shared" si="152"/>
        <v>0.91075499950728367</v>
      </c>
      <c r="FI56">
        <f t="shared" si="152"/>
        <v>0.9027780765019302</v>
      </c>
      <c r="FJ56">
        <f t="shared" si="152"/>
        <v>0.90572264181230322</v>
      </c>
      <c r="FK56">
        <f t="shared" si="152"/>
        <v>0.89804275128766275</v>
      </c>
      <c r="FL56">
        <f t="shared" si="152"/>
        <v>0.89804275128766275</v>
      </c>
      <c r="FM56">
        <f t="shared" si="152"/>
        <v>0.9027780765019302</v>
      </c>
      <c r="FN56">
        <f t="shared" si="152"/>
        <v>0.90572264181230322</v>
      </c>
      <c r="FO56">
        <f t="shared" si="152"/>
        <v>0.84812512966348619</v>
      </c>
      <c r="FP56">
        <f t="shared" si="152"/>
        <v>0.845767827124697</v>
      </c>
      <c r="FQ56">
        <f t="shared" si="152"/>
        <v>0.845767827124697</v>
      </c>
      <c r="FR56">
        <f t="shared" si="152"/>
        <v>0.845767827124697</v>
      </c>
      <c r="FS56">
        <f t="shared" si="152"/>
        <v>0.845767827124697</v>
      </c>
      <c r="FT56">
        <f t="shared" si="152"/>
        <v>0.845767827124697</v>
      </c>
      <c r="FU56">
        <f t="shared" si="152"/>
        <v>0.845767827124697</v>
      </c>
      <c r="FV56">
        <f t="shared" si="152"/>
        <v>0.8893387240719467</v>
      </c>
      <c r="FW56">
        <f t="shared" si="152"/>
        <v>0.88473350187888389</v>
      </c>
      <c r="FX56">
        <f t="shared" si="152"/>
        <v>0.89042725540679735</v>
      </c>
      <c r="FY56">
        <f t="shared" si="152"/>
        <v>0.88650984016349732</v>
      </c>
      <c r="FZ56">
        <f t="shared" si="152"/>
        <v>0.8893387240719467</v>
      </c>
      <c r="GA56">
        <f t="shared" si="152"/>
        <v>0.88473350187888389</v>
      </c>
      <c r="GB56">
        <f t="shared" si="152"/>
        <v>0.88473350187888389</v>
      </c>
      <c r="GC56">
        <f t="shared" si="152"/>
        <v>0.88181058298539872</v>
      </c>
      <c r="GD56">
        <f t="shared" ref="GD56:IO56" si="153">GD55/1000/GD27</f>
        <v>0.88650984016349732</v>
      </c>
      <c r="GE56">
        <f t="shared" si="153"/>
        <v>0.88245393135012007</v>
      </c>
      <c r="GF56">
        <f t="shared" si="153"/>
        <v>0.84746205960822618</v>
      </c>
      <c r="GG56">
        <f t="shared" si="153"/>
        <v>0.84932509316178828</v>
      </c>
      <c r="GH56">
        <f t="shared" si="153"/>
        <v>0.84395945023424868</v>
      </c>
      <c r="GI56">
        <f t="shared" si="153"/>
        <v>0.8462915332611457</v>
      </c>
      <c r="GJ56">
        <f t="shared" si="153"/>
        <v>0.84007914168193731</v>
      </c>
      <c r="GK56">
        <f t="shared" si="153"/>
        <v>0.84052142584306277</v>
      </c>
      <c r="GL56">
        <f t="shared" si="153"/>
        <v>0.8312063567099387</v>
      </c>
      <c r="GM56">
        <f t="shared" si="153"/>
        <v>0.83197677840777673</v>
      </c>
      <c r="GN56">
        <f t="shared" si="153"/>
        <v>0.831761854208938</v>
      </c>
      <c r="GO56">
        <f t="shared" si="153"/>
        <v>0.82712741356592134</v>
      </c>
      <c r="GP56">
        <f t="shared" si="153"/>
        <v>0.92108326497205484</v>
      </c>
      <c r="GQ56">
        <f t="shared" si="153"/>
        <v>0.92618801853861954</v>
      </c>
      <c r="GR56">
        <f t="shared" si="153"/>
        <v>0.92108326497205484</v>
      </c>
      <c r="GS56">
        <f t="shared" si="153"/>
        <v>0.91215606323108811</v>
      </c>
      <c r="GT56">
        <f t="shared" si="153"/>
        <v>0.91112688079064774</v>
      </c>
      <c r="GU56">
        <f t="shared" si="153"/>
        <v>0.90865467096713326</v>
      </c>
      <c r="GV56">
        <f t="shared" si="153"/>
        <v>0.91112688079064774</v>
      </c>
      <c r="GW56">
        <f t="shared" si="153"/>
        <v>0.89490191391899043</v>
      </c>
      <c r="GX56">
        <f t="shared" si="153"/>
        <v>0.89887433108219983</v>
      </c>
      <c r="GY56">
        <f t="shared" si="153"/>
        <v>0.94179962362386827</v>
      </c>
      <c r="GZ56">
        <f t="shared" si="153"/>
        <v>0.94150607585995283</v>
      </c>
      <c r="HA56">
        <f t="shared" si="153"/>
        <v>0.94076598794848432</v>
      </c>
      <c r="HB56">
        <f t="shared" si="153"/>
        <v>0.94044416496959615</v>
      </c>
      <c r="HC56">
        <f t="shared" si="153"/>
        <v>0.94156552398460158</v>
      </c>
      <c r="HD56">
        <f t="shared" si="153"/>
        <v>0.94063815128476291</v>
      </c>
      <c r="HE56">
        <f t="shared" si="153"/>
        <v>0.93823111275002324</v>
      </c>
      <c r="HF56">
        <f t="shared" si="153"/>
        <v>0.94093033929331127</v>
      </c>
      <c r="HG56">
        <f t="shared" si="153"/>
        <v>0.93977936314662958</v>
      </c>
      <c r="HH56">
        <f t="shared" si="153"/>
        <v>0.94030682667286458</v>
      </c>
      <c r="HI56">
        <f t="shared" si="153"/>
        <v>0.93814369070702608</v>
      </c>
      <c r="HJ56">
        <f t="shared" si="153"/>
        <v>0.94015499212931819</v>
      </c>
      <c r="HK56">
        <f t="shared" si="153"/>
        <v>0.93964324709797542</v>
      </c>
      <c r="HL56">
        <f t="shared" si="153"/>
        <v>0.93859227942219947</v>
      </c>
      <c r="HM56">
        <f t="shared" si="153"/>
        <v>0.93823111275002324</v>
      </c>
      <c r="HN56">
        <f t="shared" si="153"/>
        <v>0.93977936227776493</v>
      </c>
      <c r="HO56">
        <f t="shared" si="153"/>
        <v>0.93977936227776493</v>
      </c>
      <c r="HP56">
        <f t="shared" si="153"/>
        <v>0.94030682667286458</v>
      </c>
      <c r="HQ56">
        <f t="shared" si="153"/>
        <v>0.93814368923063385</v>
      </c>
      <c r="HR56">
        <f t="shared" si="153"/>
        <v>0.93817650598015156</v>
      </c>
      <c r="HS56">
        <f t="shared" si="153"/>
        <v>0.94015499212931819</v>
      </c>
      <c r="HT56">
        <f t="shared" si="153"/>
        <v>0.93651783739957251</v>
      </c>
      <c r="HU56">
        <f t="shared" si="153"/>
        <v>0.9365523516521751</v>
      </c>
      <c r="HV56">
        <f t="shared" si="153"/>
        <v>0.93596923321935577</v>
      </c>
      <c r="HW56">
        <f t="shared" si="153"/>
        <v>0.93604695159626794</v>
      </c>
      <c r="HX56">
        <f t="shared" si="153"/>
        <v>0.93518437463699766</v>
      </c>
      <c r="HY56">
        <f t="shared" si="153"/>
        <v>0.93438648091785892</v>
      </c>
      <c r="HZ56">
        <f t="shared" si="153"/>
        <v>0.93470712390095589</v>
      </c>
      <c r="IA56">
        <f t="shared" si="153"/>
        <v>0.93425769069869924</v>
      </c>
      <c r="IB56">
        <f t="shared" si="153"/>
        <v>0.93425769069869924</v>
      </c>
      <c r="IC56">
        <f t="shared" si="153"/>
        <v>0.93348699087195919</v>
      </c>
      <c r="ID56">
        <f t="shared" si="153"/>
        <v>0.93425769069869924</v>
      </c>
      <c r="IE56">
        <f t="shared" si="153"/>
        <v>0.93425769069869924</v>
      </c>
      <c r="IF56">
        <f t="shared" si="153"/>
        <v>0.93348699087195919</v>
      </c>
      <c r="IG56">
        <f t="shared" si="153"/>
        <v>0.92070601945418806</v>
      </c>
      <c r="IH56">
        <f t="shared" si="153"/>
        <v>0.92070601945418806</v>
      </c>
      <c r="II56">
        <f t="shared" si="153"/>
        <v>0.92070601945418806</v>
      </c>
      <c r="IJ56">
        <f t="shared" si="153"/>
        <v>0.92070601945418806</v>
      </c>
      <c r="IK56">
        <f t="shared" si="153"/>
        <v>0.92070601945418806</v>
      </c>
      <c r="IL56">
        <f t="shared" si="153"/>
        <v>0.92070601945418806</v>
      </c>
      <c r="IM56">
        <f t="shared" si="153"/>
        <v>0.92244963262828916</v>
      </c>
      <c r="IN56">
        <f t="shared" si="153"/>
        <v>0.92244963262828916</v>
      </c>
      <c r="IO56">
        <f t="shared" si="153"/>
        <v>0.92244963262828916</v>
      </c>
      <c r="IP56">
        <f t="shared" ref="IP56:JK56" si="154">IP55/1000/IP27</f>
        <v>0.92244963262828916</v>
      </c>
      <c r="IQ56">
        <f t="shared" si="154"/>
        <v>0.92244963262828916</v>
      </c>
      <c r="IR56">
        <f t="shared" si="154"/>
        <v>0.92244963262828916</v>
      </c>
      <c r="IS56">
        <f t="shared" si="154"/>
        <v>0.93095006214199538</v>
      </c>
      <c r="IT56">
        <f t="shared" si="154"/>
        <v>0.93095006214199538</v>
      </c>
      <c r="IU56">
        <f t="shared" si="154"/>
        <v>0.91926581630915616</v>
      </c>
      <c r="IV56">
        <f t="shared" si="154"/>
        <v>0.91926581630915616</v>
      </c>
      <c r="IW56">
        <f t="shared" si="154"/>
        <v>0.91682006805651328</v>
      </c>
      <c r="IX56">
        <f t="shared" si="154"/>
        <v>0.92025501279629929</v>
      </c>
      <c r="IY56">
        <f t="shared" si="154"/>
        <v>0.92403683974421125</v>
      </c>
      <c r="IZ56">
        <f t="shared" si="154"/>
        <v>0.92014367597939162</v>
      </c>
      <c r="JA56">
        <f t="shared" si="154"/>
        <v>0.92014367597939162</v>
      </c>
      <c r="JB56">
        <f t="shared" si="154"/>
        <v>0.92014367597939162</v>
      </c>
      <c r="JC56">
        <f t="shared" si="154"/>
        <v>0.92429784278717864</v>
      </c>
      <c r="JD56">
        <f t="shared" si="154"/>
        <v>0.92081808079923899</v>
      </c>
      <c r="JE56">
        <f t="shared" si="154"/>
        <v>0.92081808079923899</v>
      </c>
      <c r="JF56">
        <f t="shared" si="154"/>
        <v>0.92081808079923899</v>
      </c>
      <c r="JG56">
        <f t="shared" si="154"/>
        <v>0.92081808079923899</v>
      </c>
      <c r="JH56">
        <f t="shared" si="154"/>
        <v>0.91245827626709886</v>
      </c>
      <c r="JI56">
        <f t="shared" si="154"/>
        <v>0.91124640735989582</v>
      </c>
      <c r="JJ56">
        <f t="shared" si="154"/>
        <v>0.91124640735989582</v>
      </c>
      <c r="JK56">
        <f t="shared" si="154"/>
        <v>0.91124640735989582</v>
      </c>
    </row>
    <row r="58" spans="1:271">
      <c r="E58">
        <f>COUNTA(A1:JK1)</f>
        <v>271</v>
      </c>
    </row>
  </sheetData>
  <conditionalFormatting sqref="A1:JK44">
    <cfRule type="containsBlanks" dxfId="3" priority="1">
      <formula>LEN(TRIM(A1))=0</formula>
    </cfRule>
  </conditionalFormatting>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Y119"/>
  <sheetViews>
    <sheetView zoomScaleNormal="100" workbookViewId="0">
      <pane xSplit="1" ySplit="1" topLeftCell="D23" activePane="bottomRight" state="frozen"/>
      <selection pane="topRight"/>
      <selection pane="bottomLeft"/>
      <selection pane="bottomRight" activeCell="D13" sqref="D13"/>
    </sheetView>
  </sheetViews>
  <sheetFormatPr defaultColWidth="13.7109375" defaultRowHeight="15"/>
  <cols>
    <col min="1" max="1" width="35.7109375" style="71" customWidth="1"/>
    <col min="2" max="36" width="13.7109375" style="71" customWidth="1"/>
    <col min="37" max="37" width="13.42578125" style="71" customWidth="1"/>
    <col min="38" max="46" width="13.7109375" style="71" customWidth="1"/>
    <col min="47" max="48" width="13.7109375" style="135" customWidth="1"/>
    <col min="49" max="81" width="13.7109375" style="71" customWidth="1"/>
    <col min="82" max="82" width="17.42578125" style="71" customWidth="1"/>
    <col min="83" max="100" width="13.7109375" style="71" customWidth="1"/>
    <col min="101" max="103" width="13.7109375" style="103" customWidth="1"/>
    <col min="104" max="110" width="13.7109375" style="71" customWidth="1"/>
    <col min="111" max="111" width="18.7109375" style="71" customWidth="1"/>
    <col min="112" max="112" width="14.42578125" style="71" customWidth="1"/>
    <col min="113" max="118" width="13.7109375" style="71" customWidth="1"/>
    <col min="119" max="121" width="13.7109375" style="103" customWidth="1"/>
    <col min="122" max="124" width="9.140625"/>
    <col min="125" max="16384" width="13.7109375" style="71"/>
  </cols>
  <sheetData>
    <row r="1" spans="1:129" ht="25.5">
      <c r="A1" s="65" t="s">
        <v>2023</v>
      </c>
      <c r="B1" s="66" t="s">
        <v>2024</v>
      </c>
      <c r="C1" s="66" t="s">
        <v>2025</v>
      </c>
      <c r="D1" s="66" t="s">
        <v>2026</v>
      </c>
      <c r="E1" s="66" t="s">
        <v>2027</v>
      </c>
      <c r="F1" s="66" t="s">
        <v>2028</v>
      </c>
      <c r="G1" s="66" t="s">
        <v>2029</v>
      </c>
      <c r="H1" s="67" t="s">
        <v>2030</v>
      </c>
      <c r="I1" s="67" t="s">
        <v>2031</v>
      </c>
      <c r="J1" s="67" t="s">
        <v>2032</v>
      </c>
      <c r="K1" s="67" t="s">
        <v>2033</v>
      </c>
      <c r="L1" s="67" t="s">
        <v>2034</v>
      </c>
      <c r="M1" s="67" t="s">
        <v>2035</v>
      </c>
      <c r="N1" s="67" t="s">
        <v>2036</v>
      </c>
      <c r="O1" s="67" t="s">
        <v>2037</v>
      </c>
      <c r="P1" s="67" t="s">
        <v>2038</v>
      </c>
      <c r="Q1" s="67" t="s">
        <v>2039</v>
      </c>
      <c r="R1" s="67" t="s">
        <v>2040</v>
      </c>
      <c r="S1" s="67" t="s">
        <v>2041</v>
      </c>
      <c r="T1" s="67" t="s">
        <v>2042</v>
      </c>
      <c r="U1" s="67" t="s">
        <v>2043</v>
      </c>
      <c r="V1" s="67" t="s">
        <v>2044</v>
      </c>
      <c r="W1" s="67" t="s">
        <v>2045</v>
      </c>
      <c r="X1" s="67" t="s">
        <v>2046</v>
      </c>
      <c r="Y1" s="67" t="s">
        <v>2047</v>
      </c>
      <c r="Z1" s="67" t="s">
        <v>2048</v>
      </c>
      <c r="AA1" s="67" t="s">
        <v>2049</v>
      </c>
      <c r="AB1" s="67" t="s">
        <v>2050</v>
      </c>
      <c r="AC1" s="67" t="s">
        <v>2051</v>
      </c>
      <c r="AD1" s="67" t="s">
        <v>2052</v>
      </c>
      <c r="AE1" s="67" t="s">
        <v>2053</v>
      </c>
      <c r="AF1" s="67" t="s">
        <v>2054</v>
      </c>
      <c r="AG1" s="68" t="s">
        <v>2055</v>
      </c>
      <c r="AH1" s="68" t="s">
        <v>2056</v>
      </c>
      <c r="AI1" s="67" t="s">
        <v>2057</v>
      </c>
      <c r="AJ1" s="67" t="s">
        <v>2058</v>
      </c>
      <c r="AK1" s="67" t="s">
        <v>2059</v>
      </c>
      <c r="AL1" s="67" t="s">
        <v>2060</v>
      </c>
      <c r="AM1" s="67" t="s">
        <v>2061</v>
      </c>
      <c r="AN1" s="67" t="s">
        <v>2062</v>
      </c>
      <c r="AO1" s="67" t="s">
        <v>2063</v>
      </c>
      <c r="AP1" s="67" t="s">
        <v>2064</v>
      </c>
      <c r="AQ1" s="67" t="s">
        <v>2065</v>
      </c>
      <c r="AR1" s="67" t="s">
        <v>2066</v>
      </c>
      <c r="AS1" s="67" t="s">
        <v>2067</v>
      </c>
      <c r="AT1" s="67" t="s">
        <v>2068</v>
      </c>
      <c r="AU1" s="136" t="s">
        <v>2069</v>
      </c>
      <c r="AV1" s="137" t="s">
        <v>2070</v>
      </c>
      <c r="AW1" s="67" t="s">
        <v>2071</v>
      </c>
      <c r="AX1" s="67" t="s">
        <v>2072</v>
      </c>
      <c r="AY1" s="67" t="s">
        <v>2073</v>
      </c>
      <c r="AZ1" s="68" t="s">
        <v>2074</v>
      </c>
      <c r="BA1" s="68" t="s">
        <v>2075</v>
      </c>
      <c r="BB1" s="68" t="s">
        <v>2076</v>
      </c>
      <c r="BC1" s="68" t="s">
        <v>2077</v>
      </c>
      <c r="BD1" s="68" t="s">
        <v>2078</v>
      </c>
      <c r="BE1" s="66" t="s">
        <v>2079</v>
      </c>
      <c r="BF1" s="67" t="s">
        <v>2080</v>
      </c>
      <c r="BG1" s="67" t="s">
        <v>2081</v>
      </c>
      <c r="BH1" s="67" t="s">
        <v>2082</v>
      </c>
      <c r="BI1" s="67" t="s">
        <v>2083</v>
      </c>
      <c r="BJ1" s="67" t="s">
        <v>2084</v>
      </c>
      <c r="BK1" s="67" t="s">
        <v>2085</v>
      </c>
      <c r="BL1" s="67" t="s">
        <v>2086</v>
      </c>
      <c r="BM1" s="67" t="s">
        <v>2087</v>
      </c>
      <c r="BN1" s="67" t="s">
        <v>2088</v>
      </c>
      <c r="BO1" s="67" t="s">
        <v>2089</v>
      </c>
      <c r="BP1" s="67" t="s">
        <v>2090</v>
      </c>
      <c r="BQ1" s="70" t="s">
        <v>2091</v>
      </c>
      <c r="BR1" s="67" t="s">
        <v>2092</v>
      </c>
      <c r="BS1" s="66" t="s">
        <v>2093</v>
      </c>
      <c r="BT1" s="66" t="s">
        <v>2094</v>
      </c>
      <c r="BU1" s="66" t="s">
        <v>2095</v>
      </c>
      <c r="BV1" s="69" t="s">
        <v>2096</v>
      </c>
      <c r="BW1" s="69" t="s">
        <v>2097</v>
      </c>
      <c r="BX1" s="67" t="s">
        <v>2098</v>
      </c>
      <c r="BY1" s="69" t="s">
        <v>2099</v>
      </c>
      <c r="BZ1" s="69" t="s">
        <v>2100</v>
      </c>
      <c r="CA1" s="69" t="s">
        <v>2101</v>
      </c>
      <c r="CB1" s="69" t="s">
        <v>2102</v>
      </c>
      <c r="CC1" s="66" t="s">
        <v>1436</v>
      </c>
      <c r="CD1" s="67" t="s">
        <v>1431</v>
      </c>
      <c r="CE1" s="67" t="s">
        <v>1432</v>
      </c>
      <c r="CF1" s="67" t="s">
        <v>1435</v>
      </c>
      <c r="CG1" s="67" t="s">
        <v>1434</v>
      </c>
      <c r="CH1" s="66" t="s">
        <v>1441</v>
      </c>
      <c r="CI1" s="67" t="s">
        <v>1440</v>
      </c>
      <c r="CJ1" s="67" t="s">
        <v>1437</v>
      </c>
      <c r="CK1" s="67" t="s">
        <v>1439</v>
      </c>
      <c r="CL1" s="70" t="s">
        <v>2103</v>
      </c>
      <c r="CM1" s="70" t="s">
        <v>2104</v>
      </c>
      <c r="CN1" s="67" t="s">
        <v>2105</v>
      </c>
      <c r="CO1" s="70" t="s">
        <v>2106</v>
      </c>
      <c r="CP1" s="67" t="s">
        <v>2107</v>
      </c>
      <c r="CQ1" s="69" t="s">
        <v>2108</v>
      </c>
      <c r="CR1" s="69" t="s">
        <v>2109</v>
      </c>
      <c r="CS1" s="69" t="s">
        <v>2110</v>
      </c>
      <c r="CT1" s="69" t="s">
        <v>2111</v>
      </c>
      <c r="CU1" s="69" t="s">
        <v>2112</v>
      </c>
      <c r="CV1" s="69" t="s">
        <v>2113</v>
      </c>
      <c r="CW1" s="69" t="s">
        <v>2114</v>
      </c>
      <c r="CX1" s="69" t="s">
        <v>2115</v>
      </c>
      <c r="CY1" s="69" t="s">
        <v>2116</v>
      </c>
      <c r="CZ1" s="67" t="s">
        <v>2117</v>
      </c>
      <c r="DA1" s="67" t="s">
        <v>2118</v>
      </c>
      <c r="DB1" s="69" t="s">
        <v>2119</v>
      </c>
      <c r="DC1" s="69" t="s">
        <v>2120</v>
      </c>
      <c r="DD1" s="69" t="s">
        <v>2121</v>
      </c>
      <c r="DE1" s="69" t="s">
        <v>2122</v>
      </c>
      <c r="DF1" s="69" t="s">
        <v>2123</v>
      </c>
      <c r="DG1" s="69" t="s">
        <v>2124</v>
      </c>
      <c r="DH1" s="69" t="s">
        <v>2125</v>
      </c>
      <c r="DI1" s="69" t="s">
        <v>2126</v>
      </c>
      <c r="DJ1" s="69" t="s">
        <v>2127</v>
      </c>
      <c r="DK1" s="69" t="s">
        <v>2128</v>
      </c>
      <c r="DL1" s="69" t="s">
        <v>2129</v>
      </c>
      <c r="DM1" s="69" t="s">
        <v>2130</v>
      </c>
      <c r="DN1" s="67" t="s">
        <v>2131</v>
      </c>
      <c r="DO1" s="69" t="s">
        <v>2132</v>
      </c>
      <c r="DP1" s="69" t="s">
        <v>2133</v>
      </c>
      <c r="DQ1" s="69" t="s">
        <v>2134</v>
      </c>
    </row>
    <row r="2" spans="1:129">
      <c r="A2" s="72" t="s">
        <v>1332</v>
      </c>
      <c r="B2" s="66" t="s">
        <v>2284</v>
      </c>
      <c r="C2" s="66" t="s">
        <v>2284</v>
      </c>
      <c r="D2" s="66" t="s">
        <v>2284</v>
      </c>
      <c r="E2" s="66" t="s">
        <v>2284</v>
      </c>
      <c r="F2" s="66" t="s">
        <v>2285</v>
      </c>
      <c r="G2" s="66" t="s">
        <v>2285</v>
      </c>
      <c r="H2" s="66" t="s">
        <v>2285</v>
      </c>
      <c r="I2" s="66" t="s">
        <v>2284</v>
      </c>
      <c r="J2" s="66" t="s">
        <v>2284</v>
      </c>
      <c r="K2" s="66" t="s">
        <v>2285</v>
      </c>
      <c r="L2" s="66" t="s">
        <v>2284</v>
      </c>
      <c r="M2" s="66" t="s">
        <v>2284</v>
      </c>
      <c r="N2" s="66" t="s">
        <v>2285</v>
      </c>
      <c r="O2" s="66" t="s">
        <v>2284</v>
      </c>
      <c r="P2" s="66" t="s">
        <v>2284</v>
      </c>
      <c r="Q2" s="66" t="s">
        <v>2284</v>
      </c>
      <c r="R2" s="66" t="s">
        <v>2284</v>
      </c>
      <c r="S2" s="66" t="s">
        <v>2284</v>
      </c>
      <c r="T2" s="66" t="s">
        <v>2284</v>
      </c>
      <c r="U2" s="66" t="s">
        <v>2284</v>
      </c>
      <c r="V2" s="66" t="s">
        <v>2284</v>
      </c>
      <c r="W2" s="66" t="s">
        <v>2284</v>
      </c>
      <c r="X2" s="66" t="s">
        <v>2284</v>
      </c>
      <c r="Y2" s="66" t="s">
        <v>2285</v>
      </c>
      <c r="Z2" s="66" t="s">
        <v>2285</v>
      </c>
      <c r="AA2" s="66" t="s">
        <v>2284</v>
      </c>
      <c r="AB2" s="66" t="s">
        <v>2284</v>
      </c>
      <c r="AC2" s="66" t="s">
        <v>2284</v>
      </c>
      <c r="AD2" s="66" t="s">
        <v>2284</v>
      </c>
      <c r="AE2" s="66" t="s">
        <v>2284</v>
      </c>
      <c r="AF2" s="66" t="s">
        <v>2284</v>
      </c>
      <c r="AG2" s="66" t="s">
        <v>2284</v>
      </c>
      <c r="AH2" s="66" t="s">
        <v>2284</v>
      </c>
      <c r="AI2" s="66" t="s">
        <v>2284</v>
      </c>
      <c r="AJ2" s="66" t="s">
        <v>2285</v>
      </c>
      <c r="AK2" s="66" t="s">
        <v>2284</v>
      </c>
      <c r="AL2" s="66" t="s">
        <v>2284</v>
      </c>
      <c r="AM2" s="66" t="s">
        <v>2284</v>
      </c>
      <c r="AN2" s="66" t="s">
        <v>2284</v>
      </c>
      <c r="AO2" s="66" t="s">
        <v>2284</v>
      </c>
      <c r="AP2" s="66" t="s">
        <v>2284</v>
      </c>
      <c r="AQ2" s="66" t="s">
        <v>2284</v>
      </c>
      <c r="AR2" s="66" t="s">
        <v>2284</v>
      </c>
      <c r="AS2" s="66" t="s">
        <v>2284</v>
      </c>
      <c r="AT2" s="66" t="s">
        <v>2284</v>
      </c>
      <c r="AU2" s="113" t="s">
        <v>2284</v>
      </c>
      <c r="AV2" s="114" t="s">
        <v>2284</v>
      </c>
      <c r="AW2" s="66" t="s">
        <v>2284</v>
      </c>
      <c r="AX2" s="66" t="s">
        <v>2284</v>
      </c>
      <c r="AY2" s="66" t="s">
        <v>2284</v>
      </c>
      <c r="AZ2" s="66" t="s">
        <v>2284</v>
      </c>
      <c r="BA2" s="66" t="s">
        <v>2284</v>
      </c>
      <c r="BB2" s="66" t="s">
        <v>2284</v>
      </c>
      <c r="BC2" s="66" t="s">
        <v>2285</v>
      </c>
      <c r="BD2" s="66" t="s">
        <v>2284</v>
      </c>
      <c r="BE2" s="66" t="s">
        <v>2284</v>
      </c>
      <c r="BF2" s="66" t="s">
        <v>2284</v>
      </c>
      <c r="BG2" s="66" t="s">
        <v>2284</v>
      </c>
      <c r="BH2" s="66" t="s">
        <v>2284</v>
      </c>
      <c r="BI2" s="66" t="s">
        <v>2285</v>
      </c>
      <c r="BJ2" s="66" t="s">
        <v>2285</v>
      </c>
      <c r="BK2" s="66" t="s">
        <v>2285</v>
      </c>
      <c r="BL2" s="66" t="s">
        <v>2284</v>
      </c>
      <c r="BM2" s="66" t="s">
        <v>2284</v>
      </c>
      <c r="BN2" s="66" t="s">
        <v>2284</v>
      </c>
      <c r="BO2" s="66" t="s">
        <v>2284</v>
      </c>
      <c r="BP2" s="66" t="s">
        <v>2285</v>
      </c>
      <c r="BQ2" s="66" t="s">
        <v>2284</v>
      </c>
      <c r="BR2" s="5" t="s">
        <v>2285</v>
      </c>
      <c r="BS2" s="5" t="s">
        <v>2284</v>
      </c>
      <c r="BT2" s="5" t="s">
        <v>2285</v>
      </c>
      <c r="BU2" s="5" t="s">
        <v>2284</v>
      </c>
      <c r="BV2" s="5" t="s">
        <v>2285</v>
      </c>
      <c r="BW2" s="5" t="s">
        <v>2285</v>
      </c>
      <c r="BX2" s="5" t="s">
        <v>2284</v>
      </c>
      <c r="BY2" s="5" t="s">
        <v>2284</v>
      </c>
      <c r="BZ2" s="5" t="s">
        <v>2284</v>
      </c>
      <c r="CA2" s="5" t="s">
        <v>2284</v>
      </c>
      <c r="CB2" s="5" t="s">
        <v>2284</v>
      </c>
      <c r="CC2" s="5" t="s">
        <v>2284</v>
      </c>
      <c r="CD2" s="5" t="s">
        <v>2284</v>
      </c>
      <c r="CE2" s="5" t="s">
        <v>2285</v>
      </c>
      <c r="CF2" s="5" t="s">
        <v>2284</v>
      </c>
      <c r="CG2" s="5" t="s">
        <v>2284</v>
      </c>
      <c r="CH2" s="5" t="s">
        <v>2284</v>
      </c>
      <c r="CI2" s="5" t="s">
        <v>2284</v>
      </c>
      <c r="CJ2" s="5" t="s">
        <v>2284</v>
      </c>
      <c r="CK2" s="5" t="s">
        <v>2284</v>
      </c>
      <c r="CL2" s="73" t="s">
        <v>2284</v>
      </c>
      <c r="CM2" s="66" t="s">
        <v>2284</v>
      </c>
      <c r="CN2" s="66" t="s">
        <v>2284</v>
      </c>
      <c r="CO2" s="66" t="s">
        <v>2285</v>
      </c>
      <c r="CP2" s="66" t="s">
        <v>2284</v>
      </c>
      <c r="CQ2" s="66" t="s">
        <v>2284</v>
      </c>
      <c r="CR2" s="66" t="s">
        <v>2284</v>
      </c>
      <c r="CS2" s="66" t="s">
        <v>2284</v>
      </c>
      <c r="CT2" s="66" t="s">
        <v>2284</v>
      </c>
      <c r="CU2" s="66" t="s">
        <v>2284</v>
      </c>
      <c r="CV2" s="66" t="s">
        <v>2284</v>
      </c>
      <c r="CW2" s="66" t="s">
        <v>2284</v>
      </c>
      <c r="CX2" s="66" t="s">
        <v>2284</v>
      </c>
      <c r="CY2" s="66" t="s">
        <v>2284</v>
      </c>
      <c r="CZ2" s="66" t="s">
        <v>2284</v>
      </c>
      <c r="DA2" s="66" t="s">
        <v>2284</v>
      </c>
      <c r="DB2" s="66" t="s">
        <v>2284</v>
      </c>
      <c r="DC2" s="66" t="s">
        <v>2284</v>
      </c>
      <c r="DD2" s="66" t="s">
        <v>2284</v>
      </c>
      <c r="DE2" s="66" t="s">
        <v>2284</v>
      </c>
      <c r="DF2" s="66" t="s">
        <v>2284</v>
      </c>
      <c r="DG2" s="66" t="s">
        <v>2284</v>
      </c>
      <c r="DH2" s="66" t="s">
        <v>2284</v>
      </c>
      <c r="DI2" s="66" t="s">
        <v>2284</v>
      </c>
      <c r="DJ2" s="66" t="s">
        <v>2284</v>
      </c>
      <c r="DK2" s="66" t="s">
        <v>2284</v>
      </c>
      <c r="DL2" s="66" t="s">
        <v>2284</v>
      </c>
      <c r="DM2" s="66" t="s">
        <v>2284</v>
      </c>
      <c r="DN2" s="66" t="s">
        <v>2284</v>
      </c>
      <c r="DO2" s="66" t="s">
        <v>2284</v>
      </c>
      <c r="DP2" s="66" t="s">
        <v>2284</v>
      </c>
      <c r="DQ2" s="66" t="s">
        <v>2284</v>
      </c>
    </row>
    <row r="3" spans="1:129" ht="25.5">
      <c r="A3" s="72" t="s">
        <v>2287</v>
      </c>
      <c r="B3" s="153">
        <v>1967</v>
      </c>
      <c r="C3" s="153">
        <v>1967</v>
      </c>
      <c r="D3" s="153" t="s">
        <v>2288</v>
      </c>
      <c r="E3" s="153" t="s">
        <v>2289</v>
      </c>
      <c r="F3" s="153" t="s">
        <v>2290</v>
      </c>
      <c r="G3" s="153" t="s">
        <v>2291</v>
      </c>
      <c r="H3" s="153" t="s">
        <v>2292</v>
      </c>
      <c r="I3" s="153" t="s">
        <v>2293</v>
      </c>
      <c r="J3" s="153" t="s">
        <v>2293</v>
      </c>
      <c r="K3" s="153" t="s">
        <v>2294</v>
      </c>
      <c r="L3" s="153" t="s">
        <v>2295</v>
      </c>
      <c r="M3" s="153" t="s">
        <v>2296</v>
      </c>
      <c r="N3" s="153" t="s">
        <v>2297</v>
      </c>
      <c r="O3" s="153" t="s">
        <v>2298</v>
      </c>
      <c r="P3" s="153" t="s">
        <v>2299</v>
      </c>
      <c r="Q3" s="153" t="s">
        <v>2300</v>
      </c>
      <c r="R3" s="153" t="s">
        <v>2301</v>
      </c>
      <c r="S3" s="153" t="s">
        <v>2301</v>
      </c>
      <c r="T3" s="153" t="s">
        <v>2302</v>
      </c>
      <c r="U3" s="153" t="s">
        <v>2302</v>
      </c>
      <c r="V3" s="153" t="s">
        <v>2303</v>
      </c>
      <c r="W3" s="153" t="s">
        <v>2304</v>
      </c>
      <c r="X3" s="153" t="s">
        <v>2305</v>
      </c>
      <c r="Y3" s="153" t="s">
        <v>2306</v>
      </c>
      <c r="Z3" s="153" t="s">
        <v>2307</v>
      </c>
      <c r="AA3" s="153">
        <v>2006</v>
      </c>
      <c r="AB3" s="153" t="s">
        <v>2308</v>
      </c>
      <c r="AC3" s="153" t="s">
        <v>2308</v>
      </c>
      <c r="AD3" s="153" t="s">
        <v>2309</v>
      </c>
      <c r="AE3" s="153">
        <v>2022</v>
      </c>
      <c r="AF3" s="153">
        <v>2022</v>
      </c>
      <c r="AG3" s="153">
        <v>2022</v>
      </c>
      <c r="AH3" s="153">
        <v>2022</v>
      </c>
      <c r="AI3" s="153">
        <v>2019</v>
      </c>
      <c r="AJ3" s="153" t="s">
        <v>2310</v>
      </c>
      <c r="AK3" s="153">
        <v>2022</v>
      </c>
      <c r="AL3" s="153" t="s">
        <v>2311</v>
      </c>
      <c r="AM3" s="153" t="s">
        <v>2312</v>
      </c>
      <c r="AN3" s="153" t="s">
        <v>2313</v>
      </c>
      <c r="AO3" s="153" t="s">
        <v>2314</v>
      </c>
      <c r="AP3" s="153" t="s">
        <v>2315</v>
      </c>
      <c r="AQ3" s="153" t="s">
        <v>2316</v>
      </c>
      <c r="AR3" s="153" t="s">
        <v>2317</v>
      </c>
      <c r="AS3" s="153">
        <v>1976</v>
      </c>
      <c r="AT3" s="153">
        <v>1976</v>
      </c>
      <c r="AU3" s="154">
        <v>2006</v>
      </c>
      <c r="AV3" s="155">
        <v>2005</v>
      </c>
      <c r="AW3" s="153" t="s">
        <v>2318</v>
      </c>
      <c r="AX3" s="153" t="s">
        <v>2319</v>
      </c>
      <c r="AY3" s="153" t="s">
        <v>2320</v>
      </c>
      <c r="AZ3" s="153" t="s">
        <v>2321</v>
      </c>
      <c r="BA3" s="153" t="s">
        <v>2322</v>
      </c>
      <c r="BB3" s="153" t="s">
        <v>2323</v>
      </c>
      <c r="BC3" s="153" t="s">
        <v>2324</v>
      </c>
      <c r="BD3" s="153" t="s">
        <v>2325</v>
      </c>
      <c r="BE3" s="153" t="s">
        <v>2326</v>
      </c>
      <c r="BF3" s="153" t="s">
        <v>2327</v>
      </c>
      <c r="BG3" s="153" t="s">
        <v>2328</v>
      </c>
      <c r="BH3" s="153">
        <v>2022</v>
      </c>
      <c r="BI3" s="153" t="s">
        <v>2329</v>
      </c>
      <c r="BJ3" s="153" t="s">
        <v>2330</v>
      </c>
      <c r="BK3" s="153" t="s">
        <v>2331</v>
      </c>
      <c r="BL3" s="153">
        <v>2022</v>
      </c>
      <c r="BM3" s="153">
        <v>2022</v>
      </c>
      <c r="BN3" s="153" t="s">
        <v>2332</v>
      </c>
      <c r="BO3" s="153" t="s">
        <v>2333</v>
      </c>
      <c r="BP3" s="153" t="s">
        <v>2334</v>
      </c>
      <c r="BQ3" s="153" t="s">
        <v>2335</v>
      </c>
      <c r="BR3" s="156" t="s">
        <v>2336</v>
      </c>
      <c r="BS3" s="156" t="s">
        <v>2337</v>
      </c>
      <c r="BT3" s="156" t="s">
        <v>2338</v>
      </c>
      <c r="BU3" s="156" t="s">
        <v>2339</v>
      </c>
      <c r="BV3" s="156" t="s">
        <v>2340</v>
      </c>
      <c r="BW3" s="156" t="s">
        <v>2340</v>
      </c>
      <c r="BX3" s="156" t="s">
        <v>2341</v>
      </c>
      <c r="BY3" s="156" t="s">
        <v>2342</v>
      </c>
      <c r="BZ3" s="156" t="s">
        <v>2342</v>
      </c>
      <c r="CA3" s="156" t="s">
        <v>2342</v>
      </c>
      <c r="CB3" s="156" t="s">
        <v>2342</v>
      </c>
      <c r="CC3" s="156" t="s">
        <v>2343</v>
      </c>
      <c r="CD3" s="156" t="s">
        <v>2344</v>
      </c>
      <c r="CE3" s="156" t="s">
        <v>2345</v>
      </c>
      <c r="CF3" s="156" t="s">
        <v>2346</v>
      </c>
      <c r="CG3" s="156" t="s">
        <v>2347</v>
      </c>
      <c r="CH3" s="156" t="s">
        <v>2348</v>
      </c>
      <c r="CI3" s="156" t="s">
        <v>2349</v>
      </c>
      <c r="CJ3" s="156" t="s">
        <v>2345</v>
      </c>
      <c r="CK3" s="156" t="s">
        <v>2344</v>
      </c>
      <c r="CL3" s="153" t="s">
        <v>2350</v>
      </c>
      <c r="CM3" s="153" t="s">
        <v>2351</v>
      </c>
      <c r="CN3" s="153" t="s">
        <v>2352</v>
      </c>
      <c r="CO3" s="153" t="s">
        <v>2331</v>
      </c>
      <c r="CP3" s="153" t="s">
        <v>2353</v>
      </c>
      <c r="CQ3" s="153" t="s">
        <v>2354</v>
      </c>
      <c r="CR3" s="153" t="s">
        <v>2354</v>
      </c>
      <c r="CS3" s="153" t="s">
        <v>2354</v>
      </c>
      <c r="CT3" s="153" t="s">
        <v>2354</v>
      </c>
      <c r="CU3" s="153" t="s">
        <v>2354</v>
      </c>
      <c r="CV3" s="153" t="s">
        <v>2354</v>
      </c>
      <c r="CW3" s="153" t="s">
        <v>2355</v>
      </c>
      <c r="CX3" s="153" t="s">
        <v>2356</v>
      </c>
      <c r="CY3" s="153" t="s">
        <v>2357</v>
      </c>
      <c r="CZ3" s="157" t="s">
        <v>2358</v>
      </c>
      <c r="DA3" s="153" t="s">
        <v>2359</v>
      </c>
      <c r="DB3" s="153" t="s">
        <v>2360</v>
      </c>
      <c r="DC3" s="153" t="s">
        <v>2361</v>
      </c>
      <c r="DD3" s="153" t="s">
        <v>2362</v>
      </c>
      <c r="DE3" s="153" t="s">
        <v>2362</v>
      </c>
      <c r="DF3" s="153" t="s">
        <v>2363</v>
      </c>
      <c r="DG3" s="153" t="s">
        <v>2310</v>
      </c>
      <c r="DH3" s="153">
        <v>2004</v>
      </c>
      <c r="DI3" s="153">
        <v>2004</v>
      </c>
      <c r="DJ3" s="153">
        <v>2004</v>
      </c>
      <c r="DK3" s="153">
        <v>2004</v>
      </c>
      <c r="DL3" s="153">
        <v>2004</v>
      </c>
      <c r="DM3" s="153">
        <v>2004</v>
      </c>
      <c r="DN3" s="153" t="s">
        <v>2364</v>
      </c>
      <c r="DO3" s="66" t="s">
        <v>2365</v>
      </c>
      <c r="DP3" s="66" t="s">
        <v>2366</v>
      </c>
      <c r="DQ3" s="66" t="s">
        <v>2367</v>
      </c>
      <c r="DY3" s="149"/>
    </row>
    <row r="4" spans="1:129">
      <c r="A4" s="151" t="s">
        <v>2369</v>
      </c>
      <c r="B4" s="66">
        <v>1965</v>
      </c>
      <c r="C4" s="66">
        <v>1965</v>
      </c>
      <c r="D4" s="66">
        <v>1981</v>
      </c>
      <c r="E4" s="150">
        <v>1998</v>
      </c>
      <c r="F4" s="66">
        <v>1996</v>
      </c>
      <c r="G4" s="66">
        <v>2005</v>
      </c>
      <c r="H4" s="66">
        <v>1978</v>
      </c>
      <c r="I4" s="66">
        <v>1973</v>
      </c>
      <c r="J4" s="66">
        <v>1973</v>
      </c>
      <c r="K4" s="66">
        <v>1957</v>
      </c>
      <c r="L4" s="66">
        <v>1957</v>
      </c>
      <c r="M4" s="66">
        <v>1980</v>
      </c>
      <c r="N4" s="66">
        <v>1982</v>
      </c>
      <c r="O4" s="66">
        <v>1962</v>
      </c>
      <c r="P4" s="66">
        <v>1966</v>
      </c>
      <c r="Q4" s="66">
        <v>1976</v>
      </c>
      <c r="R4" s="66">
        <v>1961</v>
      </c>
      <c r="S4" s="66">
        <v>1961</v>
      </c>
      <c r="T4" s="66">
        <v>1957</v>
      </c>
      <c r="U4" s="66">
        <v>1957</v>
      </c>
      <c r="V4" s="66">
        <v>1979</v>
      </c>
      <c r="W4" s="66">
        <v>1998</v>
      </c>
      <c r="X4" s="66">
        <v>1956</v>
      </c>
      <c r="Y4" s="66">
        <v>2006</v>
      </c>
      <c r="Z4" s="66">
        <v>1978</v>
      </c>
      <c r="AA4" s="66">
        <v>2006</v>
      </c>
      <c r="AB4" s="66">
        <v>1995</v>
      </c>
      <c r="AC4" s="66">
        <v>2001</v>
      </c>
      <c r="AD4" s="66">
        <v>2010</v>
      </c>
      <c r="AE4" s="66">
        <v>1991</v>
      </c>
      <c r="AF4" s="66">
        <v>2007</v>
      </c>
      <c r="AG4" s="66">
        <v>1997</v>
      </c>
      <c r="AH4" s="66">
        <v>1999</v>
      </c>
      <c r="AI4" s="66">
        <v>1996</v>
      </c>
      <c r="AJ4" s="66">
        <v>2016</v>
      </c>
      <c r="AK4" s="66">
        <v>1991</v>
      </c>
      <c r="AL4" s="66">
        <v>2015</v>
      </c>
      <c r="AM4" s="66">
        <v>1977</v>
      </c>
      <c r="AN4" s="66">
        <v>2007</v>
      </c>
      <c r="AO4" s="66">
        <v>2008</v>
      </c>
      <c r="AP4" s="66">
        <v>1976</v>
      </c>
      <c r="AQ4" s="66">
        <v>1964</v>
      </c>
      <c r="AR4" s="66">
        <v>1975</v>
      </c>
      <c r="AS4" s="66">
        <v>1979</v>
      </c>
      <c r="AT4" s="66">
        <v>1979</v>
      </c>
      <c r="AU4" s="66">
        <v>1965</v>
      </c>
      <c r="AV4" s="66">
        <v>1965</v>
      </c>
      <c r="AW4" s="66">
        <v>1961</v>
      </c>
      <c r="AX4" s="66">
        <v>1971</v>
      </c>
      <c r="AY4" s="66">
        <v>1971</v>
      </c>
      <c r="AZ4" s="66">
        <v>2000</v>
      </c>
      <c r="BA4" s="66">
        <v>1985</v>
      </c>
      <c r="BB4" s="66">
        <v>1978</v>
      </c>
      <c r="BC4" s="66">
        <v>1979</v>
      </c>
      <c r="BD4" s="66">
        <v>2015</v>
      </c>
      <c r="BE4" s="66">
        <v>1966</v>
      </c>
      <c r="BF4" s="66">
        <v>1990</v>
      </c>
      <c r="BG4" s="66">
        <v>2007</v>
      </c>
      <c r="BH4" s="66">
        <v>1996</v>
      </c>
      <c r="BI4" s="66">
        <v>1969</v>
      </c>
      <c r="BJ4" s="66">
        <v>1979</v>
      </c>
      <c r="BK4" s="66">
        <v>2020</v>
      </c>
      <c r="BL4" s="66">
        <v>2020</v>
      </c>
      <c r="BM4" s="66">
        <v>2021</v>
      </c>
      <c r="BN4" s="66">
        <v>2015</v>
      </c>
      <c r="BO4" s="66">
        <v>2007</v>
      </c>
      <c r="BP4" s="66">
        <v>2004</v>
      </c>
      <c r="BQ4" s="66">
        <v>2005</v>
      </c>
      <c r="BR4" s="66">
        <v>1999</v>
      </c>
      <c r="BS4" s="66">
        <v>1997</v>
      </c>
      <c r="BT4" s="66">
        <v>1990</v>
      </c>
      <c r="BU4" s="66">
        <v>2000</v>
      </c>
      <c r="BV4" s="66">
        <v>1988</v>
      </c>
      <c r="BW4" s="66">
        <v>1985</v>
      </c>
      <c r="BX4" s="66">
        <v>1985</v>
      </c>
      <c r="BY4" s="66">
        <v>1986</v>
      </c>
      <c r="BZ4" s="66">
        <v>1986</v>
      </c>
      <c r="CA4" s="66">
        <v>1988</v>
      </c>
      <c r="CB4" s="66">
        <v>1988</v>
      </c>
      <c r="CC4" s="66">
        <v>2012</v>
      </c>
      <c r="CD4" s="66">
        <v>1985</v>
      </c>
      <c r="CE4" s="66">
        <v>1985</v>
      </c>
      <c r="CF4" s="66">
        <v>1995</v>
      </c>
      <c r="CG4" s="66">
        <v>1995</v>
      </c>
      <c r="CH4" s="66">
        <v>2007</v>
      </c>
      <c r="CI4" s="66">
        <v>1997</v>
      </c>
      <c r="CJ4" s="66">
        <v>1988</v>
      </c>
      <c r="CK4" s="66">
        <v>1988</v>
      </c>
      <c r="CL4" s="66">
        <v>1995</v>
      </c>
      <c r="CM4" s="66">
        <v>1997</v>
      </c>
      <c r="CN4" s="66">
        <v>2006</v>
      </c>
      <c r="CO4" s="66">
        <v>2004</v>
      </c>
      <c r="CP4" s="66">
        <v>2002</v>
      </c>
      <c r="CQ4" s="66">
        <v>1993</v>
      </c>
      <c r="CR4" s="66">
        <v>1993</v>
      </c>
      <c r="CS4" s="66">
        <v>1994</v>
      </c>
      <c r="CT4" s="66">
        <v>1994</v>
      </c>
      <c r="CU4" s="66">
        <v>1993</v>
      </c>
      <c r="CV4" s="66">
        <v>1993</v>
      </c>
      <c r="CW4" s="66">
        <v>1993</v>
      </c>
      <c r="CX4" s="66">
        <v>1997</v>
      </c>
      <c r="CY4" s="66">
        <v>1989</v>
      </c>
      <c r="CZ4" s="66">
        <v>1994</v>
      </c>
      <c r="DA4" s="66">
        <v>2005</v>
      </c>
      <c r="DB4" s="66">
        <v>1998</v>
      </c>
      <c r="DC4" s="66">
        <v>1993</v>
      </c>
      <c r="DD4" s="66">
        <v>1998</v>
      </c>
      <c r="DE4" s="66">
        <v>2000</v>
      </c>
      <c r="DF4" s="66">
        <v>2014</v>
      </c>
      <c r="DG4" s="66">
        <v>2017</v>
      </c>
      <c r="DH4" s="66">
        <v>1971</v>
      </c>
      <c r="DI4" s="66">
        <v>1971</v>
      </c>
      <c r="DJ4" s="66">
        <v>1972</v>
      </c>
      <c r="DK4" s="66">
        <v>1972</v>
      </c>
      <c r="DL4" s="66">
        <v>1972</v>
      </c>
      <c r="DM4" s="66">
        <v>1974</v>
      </c>
      <c r="DN4" s="66">
        <v>2006</v>
      </c>
      <c r="DO4" s="152">
        <v>1998</v>
      </c>
      <c r="DP4" s="74">
        <v>1998</v>
      </c>
      <c r="DQ4" s="74">
        <v>2002</v>
      </c>
      <c r="DY4" s="149"/>
    </row>
    <row r="5" spans="1:129">
      <c r="A5" s="72" t="s">
        <v>2370</v>
      </c>
      <c r="B5" s="158" t="s">
        <v>2371</v>
      </c>
      <c r="C5" s="158" t="s">
        <v>2371</v>
      </c>
      <c r="D5" s="158" t="s">
        <v>2371</v>
      </c>
      <c r="E5" s="158" t="s">
        <v>2371</v>
      </c>
      <c r="F5" s="158" t="s">
        <v>2371</v>
      </c>
      <c r="G5" s="158" t="s">
        <v>2371</v>
      </c>
      <c r="H5" s="158" t="s">
        <v>2371</v>
      </c>
      <c r="I5" s="158" t="s">
        <v>2371</v>
      </c>
      <c r="J5" s="158" t="s">
        <v>2371</v>
      </c>
      <c r="K5" s="158" t="s">
        <v>2371</v>
      </c>
      <c r="L5" s="158" t="s">
        <v>2371</v>
      </c>
      <c r="M5" s="158" t="s">
        <v>2371</v>
      </c>
      <c r="N5" s="158" t="s">
        <v>2372</v>
      </c>
      <c r="O5" s="158" t="s">
        <v>2371</v>
      </c>
      <c r="P5" s="158" t="s">
        <v>2371</v>
      </c>
      <c r="Q5" s="158" t="s">
        <v>2371</v>
      </c>
      <c r="R5" s="158" t="s">
        <v>2371</v>
      </c>
      <c r="S5" s="158" t="s">
        <v>2371</v>
      </c>
      <c r="T5" s="158" t="s">
        <v>2371</v>
      </c>
      <c r="U5" s="158" t="s">
        <v>2371</v>
      </c>
      <c r="V5" s="158" t="s">
        <v>2371</v>
      </c>
      <c r="W5" s="158" t="s">
        <v>2371</v>
      </c>
      <c r="X5" s="158" t="s">
        <v>2371</v>
      </c>
      <c r="Y5" s="158" t="s">
        <v>2371</v>
      </c>
      <c r="Z5" s="158" t="s">
        <v>2372</v>
      </c>
      <c r="AA5" s="158" t="s">
        <v>2371</v>
      </c>
      <c r="AB5" s="158" t="s">
        <v>2371</v>
      </c>
      <c r="AC5" s="158" t="s">
        <v>2371</v>
      </c>
      <c r="AD5" s="158" t="s">
        <v>2371</v>
      </c>
      <c r="AE5" s="158" t="s">
        <v>2371</v>
      </c>
      <c r="AF5" s="158" t="s">
        <v>2371</v>
      </c>
      <c r="AG5" s="158" t="s">
        <v>2371</v>
      </c>
      <c r="AH5" s="158" t="s">
        <v>2371</v>
      </c>
      <c r="AI5" s="158" t="s">
        <v>2371</v>
      </c>
      <c r="AJ5" s="158" t="s">
        <v>2371</v>
      </c>
      <c r="AK5" s="158" t="s">
        <v>2372</v>
      </c>
      <c r="AL5" s="158" t="s">
        <v>2371</v>
      </c>
      <c r="AM5" s="158" t="s">
        <v>2371</v>
      </c>
      <c r="AN5" s="158" t="s">
        <v>2372</v>
      </c>
      <c r="AO5" s="158" t="s">
        <v>2371</v>
      </c>
      <c r="AP5" s="158" t="s">
        <v>2371</v>
      </c>
      <c r="AQ5" s="158" t="s">
        <v>2371</v>
      </c>
      <c r="AR5" s="158" t="s">
        <v>2371</v>
      </c>
      <c r="AS5" s="158" t="s">
        <v>2371</v>
      </c>
      <c r="AT5" s="158" t="s">
        <v>2371</v>
      </c>
      <c r="AU5" s="159" t="s">
        <v>2371</v>
      </c>
      <c r="AV5" s="160" t="s">
        <v>2371</v>
      </c>
      <c r="AW5" s="158" t="s">
        <v>2371</v>
      </c>
      <c r="AX5" s="158" t="s">
        <v>2371</v>
      </c>
      <c r="AY5" s="158" t="s">
        <v>2371</v>
      </c>
      <c r="AZ5" s="158" t="s">
        <v>2372</v>
      </c>
      <c r="BA5" s="158" t="s">
        <v>2372</v>
      </c>
      <c r="BB5" s="158" t="s">
        <v>2371</v>
      </c>
      <c r="BC5" s="158" t="s">
        <v>2371</v>
      </c>
      <c r="BD5" s="158" t="s">
        <v>2371</v>
      </c>
      <c r="BE5" s="158" t="s">
        <v>2372</v>
      </c>
      <c r="BF5" s="158" t="s">
        <v>2372</v>
      </c>
      <c r="BG5" s="158" t="s">
        <v>2372</v>
      </c>
      <c r="BH5" s="158" t="s">
        <v>2371</v>
      </c>
      <c r="BI5" s="158" t="s">
        <v>2371</v>
      </c>
      <c r="BJ5" s="158" t="s">
        <v>2371</v>
      </c>
      <c r="BK5" s="158" t="s">
        <v>2372</v>
      </c>
      <c r="BL5" s="158" t="s">
        <v>2372</v>
      </c>
      <c r="BM5" s="158" t="s">
        <v>2372</v>
      </c>
      <c r="BN5" s="158" t="s">
        <v>2372</v>
      </c>
      <c r="BO5" s="158" t="s">
        <v>2372</v>
      </c>
      <c r="BP5" s="158" t="s">
        <v>2372</v>
      </c>
      <c r="BQ5" s="158" t="s">
        <v>2371</v>
      </c>
      <c r="BR5" s="161" t="s">
        <v>2373</v>
      </c>
      <c r="BS5" s="161" t="s">
        <v>2373</v>
      </c>
      <c r="BT5" s="161" t="s">
        <v>2373</v>
      </c>
      <c r="BU5" s="161" t="s">
        <v>2373</v>
      </c>
      <c r="BV5" s="161" t="s">
        <v>2373</v>
      </c>
      <c r="BW5" s="161" t="s">
        <v>2373</v>
      </c>
      <c r="BX5" s="161" t="s">
        <v>2373</v>
      </c>
      <c r="BY5" s="161" t="s">
        <v>2373</v>
      </c>
      <c r="BZ5" s="161" t="s">
        <v>2373</v>
      </c>
      <c r="CA5" s="161" t="s">
        <v>2373</v>
      </c>
      <c r="CB5" s="161" t="s">
        <v>2373</v>
      </c>
      <c r="CC5" s="161" t="s">
        <v>2373</v>
      </c>
      <c r="CD5" s="161" t="s">
        <v>2373</v>
      </c>
      <c r="CE5" s="161" t="s">
        <v>2373</v>
      </c>
      <c r="CF5" s="161" t="s">
        <v>2373</v>
      </c>
      <c r="CG5" s="161" t="s">
        <v>2373</v>
      </c>
      <c r="CH5" s="161" t="s">
        <v>2373</v>
      </c>
      <c r="CI5" s="161" t="s">
        <v>2373</v>
      </c>
      <c r="CJ5" s="161" t="s">
        <v>2373</v>
      </c>
      <c r="CK5" s="161" t="s">
        <v>2373</v>
      </c>
      <c r="CL5" s="158" t="s">
        <v>2374</v>
      </c>
      <c r="CM5" s="158" t="s">
        <v>2374</v>
      </c>
      <c r="CN5" s="158" t="s">
        <v>2374</v>
      </c>
      <c r="CO5" s="158" t="s">
        <v>2374</v>
      </c>
      <c r="CP5" s="158" t="s">
        <v>2374</v>
      </c>
      <c r="CQ5" s="158" t="s">
        <v>2374</v>
      </c>
      <c r="CR5" s="158" t="s">
        <v>2374</v>
      </c>
      <c r="CS5" s="158" t="s">
        <v>2374</v>
      </c>
      <c r="CT5" s="158" t="s">
        <v>2374</v>
      </c>
      <c r="CU5" s="158" t="s">
        <v>2374</v>
      </c>
      <c r="CV5" s="158" t="s">
        <v>2374</v>
      </c>
      <c r="CW5" s="158" t="s">
        <v>2374</v>
      </c>
      <c r="CX5" s="158" t="s">
        <v>2374</v>
      </c>
      <c r="CY5" s="158" t="s">
        <v>2374</v>
      </c>
      <c r="CZ5" s="158" t="s">
        <v>2374</v>
      </c>
      <c r="DA5" s="158" t="s">
        <v>2374</v>
      </c>
      <c r="DB5" s="158" t="s">
        <v>2374</v>
      </c>
      <c r="DC5" s="158" t="s">
        <v>2374</v>
      </c>
      <c r="DD5" s="158" t="s">
        <v>2374</v>
      </c>
      <c r="DE5" s="158" t="s">
        <v>2374</v>
      </c>
      <c r="DF5" s="158" t="s">
        <v>2374</v>
      </c>
      <c r="DG5" s="158" t="s">
        <v>2374</v>
      </c>
      <c r="DH5" s="158" t="s">
        <v>2374</v>
      </c>
      <c r="DI5" s="158" t="s">
        <v>2374</v>
      </c>
      <c r="DJ5" s="158" t="s">
        <v>2374</v>
      </c>
      <c r="DK5" s="158" t="s">
        <v>2374</v>
      </c>
      <c r="DL5" s="158" t="s">
        <v>2374</v>
      </c>
      <c r="DM5" s="158" t="s">
        <v>2374</v>
      </c>
      <c r="DN5" s="158" t="s">
        <v>2374</v>
      </c>
      <c r="DO5" s="66" t="s">
        <v>2374</v>
      </c>
      <c r="DP5" s="66" t="s">
        <v>2374</v>
      </c>
      <c r="DQ5" s="66" t="s">
        <v>2374</v>
      </c>
      <c r="DY5" s="149"/>
    </row>
    <row r="6" spans="1:129">
      <c r="A6" s="72" t="s">
        <v>2377</v>
      </c>
      <c r="B6" s="66"/>
      <c r="C6" s="66"/>
      <c r="D6" s="66"/>
      <c r="E6" s="66"/>
      <c r="F6" s="66"/>
      <c r="G6" s="66"/>
      <c r="H6" s="66"/>
      <c r="I6" s="66"/>
      <c r="J6" s="66"/>
      <c r="K6" s="66"/>
      <c r="L6" s="66"/>
      <c r="M6" s="66"/>
      <c r="N6" s="66"/>
      <c r="O6" s="66"/>
      <c r="P6" s="66"/>
      <c r="Q6" s="66"/>
      <c r="R6" s="66"/>
      <c r="S6" s="66"/>
      <c r="T6" s="66"/>
      <c r="U6" s="66"/>
      <c r="V6" s="66"/>
      <c r="W6" s="66"/>
      <c r="X6" s="66"/>
      <c r="Y6" s="66"/>
      <c r="Z6" s="66"/>
      <c r="AA6" s="66"/>
      <c r="AB6" s="66"/>
      <c r="AC6" s="66"/>
      <c r="AD6" s="66"/>
      <c r="AE6" s="66"/>
      <c r="AF6" s="66"/>
      <c r="AG6" s="66"/>
      <c r="AH6" s="66"/>
      <c r="AI6" s="66"/>
      <c r="AJ6" s="66"/>
      <c r="AK6" s="66"/>
      <c r="AL6" s="66"/>
      <c r="AM6" s="66"/>
      <c r="AN6" s="66"/>
      <c r="AO6" s="66"/>
      <c r="AP6" s="66"/>
      <c r="AQ6" s="66"/>
      <c r="AR6" s="66"/>
      <c r="AS6" s="66"/>
      <c r="AT6" s="66"/>
      <c r="AU6" s="66"/>
      <c r="AV6" s="66"/>
      <c r="AW6" s="66"/>
      <c r="AX6" s="66"/>
      <c r="AY6" s="66"/>
      <c r="AZ6" s="66"/>
      <c r="BA6" s="66"/>
      <c r="BB6" s="66"/>
      <c r="BC6" s="66"/>
      <c r="BD6" s="66"/>
      <c r="BE6" s="66"/>
      <c r="BF6" s="66"/>
      <c r="BG6" s="66"/>
      <c r="BH6" s="66"/>
      <c r="BI6" s="66"/>
      <c r="BJ6" s="66"/>
      <c r="BK6" s="66"/>
      <c r="BL6" s="66"/>
      <c r="BM6" s="66"/>
      <c r="BN6" s="66"/>
      <c r="BO6" s="66"/>
      <c r="BP6" s="66"/>
      <c r="BQ6" s="66"/>
      <c r="BR6" s="5">
        <v>31</v>
      </c>
      <c r="BS6" s="5"/>
      <c r="BT6" s="162"/>
      <c r="BU6" s="162"/>
      <c r="BV6" s="162"/>
      <c r="BW6" s="162"/>
      <c r="BX6" s="162"/>
      <c r="CC6" s="162"/>
      <c r="CD6" s="162"/>
      <c r="CE6" s="162"/>
      <c r="CF6" s="162"/>
      <c r="CG6" s="162"/>
      <c r="CH6" s="162"/>
      <c r="CI6" s="162"/>
      <c r="CJ6" s="162"/>
      <c r="CK6" s="162"/>
      <c r="CL6" s="66">
        <v>375</v>
      </c>
      <c r="CM6" s="66">
        <v>375</v>
      </c>
      <c r="CN6" s="66">
        <v>301</v>
      </c>
      <c r="CO6" s="66">
        <v>359</v>
      </c>
      <c r="CP6" s="66">
        <v>283</v>
      </c>
      <c r="CQ6" s="66">
        <v>335</v>
      </c>
      <c r="CR6" s="66">
        <v>335</v>
      </c>
      <c r="CS6" s="66">
        <v>335</v>
      </c>
      <c r="CT6" s="66">
        <v>303</v>
      </c>
      <c r="CU6" s="66">
        <v>303</v>
      </c>
      <c r="CV6" s="66">
        <v>303</v>
      </c>
      <c r="CW6" s="66">
        <v>420</v>
      </c>
      <c r="CX6" s="66">
        <v>420</v>
      </c>
      <c r="CY6" s="66">
        <v>420</v>
      </c>
      <c r="CZ6" s="66">
        <v>300</v>
      </c>
      <c r="DA6" s="66">
        <v>237</v>
      </c>
      <c r="DB6" s="66">
        <v>237</v>
      </c>
      <c r="DC6" s="66">
        <v>237</v>
      </c>
      <c r="DD6" s="66">
        <v>296</v>
      </c>
      <c r="DE6" s="66">
        <v>296</v>
      </c>
      <c r="DF6" s="66">
        <v>315</v>
      </c>
      <c r="DG6" s="66">
        <v>369</v>
      </c>
      <c r="DH6" s="66">
        <v>255</v>
      </c>
      <c r="DI6" s="66">
        <v>255</v>
      </c>
      <c r="DJ6" s="66">
        <v>255</v>
      </c>
      <c r="DK6" s="66">
        <v>255</v>
      </c>
      <c r="DL6" s="66">
        <v>255</v>
      </c>
      <c r="DM6" s="66">
        <v>255</v>
      </c>
      <c r="DN6" s="66">
        <v>0</v>
      </c>
      <c r="DO6" s="66">
        <v>524</v>
      </c>
      <c r="DP6" s="66">
        <v>524</v>
      </c>
      <c r="DQ6" s="66">
        <v>524</v>
      </c>
      <c r="DV6" s="149"/>
      <c r="DY6" s="149"/>
    </row>
    <row r="7" spans="1:129">
      <c r="A7" s="72" t="s">
        <v>2378</v>
      </c>
      <c r="B7" s="75">
        <v>4</v>
      </c>
      <c r="C7" s="75">
        <v>4</v>
      </c>
      <c r="D7" s="75">
        <v>4</v>
      </c>
      <c r="E7" s="75">
        <v>4</v>
      </c>
      <c r="F7" s="75">
        <v>4</v>
      </c>
      <c r="G7" s="75">
        <v>4</v>
      </c>
      <c r="H7" s="75">
        <v>4</v>
      </c>
      <c r="I7" s="75">
        <v>6</v>
      </c>
      <c r="J7" s="75">
        <v>4</v>
      </c>
      <c r="K7" s="75">
        <v>2</v>
      </c>
      <c r="L7" s="75">
        <v>2</v>
      </c>
      <c r="M7" s="75">
        <v>6</v>
      </c>
      <c r="N7" s="75">
        <v>13</v>
      </c>
      <c r="O7" s="75">
        <v>6</v>
      </c>
      <c r="P7" s="75">
        <v>5</v>
      </c>
      <c r="Q7" s="75">
        <v>6</v>
      </c>
      <c r="R7" s="75">
        <v>5</v>
      </c>
      <c r="S7" s="75">
        <v>5</v>
      </c>
      <c r="T7" s="75">
        <v>6</v>
      </c>
      <c r="U7" s="75">
        <v>6</v>
      </c>
      <c r="V7" s="75">
        <v>6</v>
      </c>
      <c r="W7" s="75">
        <v>6</v>
      </c>
      <c r="X7" s="75">
        <v>4</v>
      </c>
      <c r="Y7" s="75">
        <v>2</v>
      </c>
      <c r="Z7" s="75">
        <v>8</v>
      </c>
      <c r="AA7" s="75">
        <v>2</v>
      </c>
      <c r="AB7" s="75">
        <v>4</v>
      </c>
      <c r="AC7" s="75">
        <v>4</v>
      </c>
      <c r="AD7" s="75">
        <v>4</v>
      </c>
      <c r="AE7" s="75">
        <v>2</v>
      </c>
      <c r="AF7" s="75">
        <v>5</v>
      </c>
      <c r="AG7" s="75">
        <v>4</v>
      </c>
      <c r="AH7" s="75">
        <v>4</v>
      </c>
      <c r="AI7" s="75">
        <v>2</v>
      </c>
      <c r="AJ7" s="75">
        <v>1</v>
      </c>
      <c r="AK7" s="76">
        <v>6</v>
      </c>
      <c r="AL7" s="76">
        <v>6</v>
      </c>
      <c r="AM7" s="66">
        <v>2</v>
      </c>
      <c r="AN7" s="66">
        <v>10</v>
      </c>
      <c r="AO7" s="75">
        <v>2</v>
      </c>
      <c r="AP7" s="75">
        <v>4</v>
      </c>
      <c r="AQ7" s="75">
        <v>4</v>
      </c>
      <c r="AR7" s="75">
        <v>4</v>
      </c>
      <c r="AS7" s="75">
        <v>6</v>
      </c>
      <c r="AT7" s="75">
        <v>6</v>
      </c>
      <c r="AU7" s="115">
        <v>6</v>
      </c>
      <c r="AV7" s="116">
        <v>6</v>
      </c>
      <c r="AW7" s="75">
        <v>6</v>
      </c>
      <c r="AX7" s="75">
        <v>5</v>
      </c>
      <c r="AY7" s="75">
        <v>5</v>
      </c>
      <c r="AZ7" s="75">
        <v>6</v>
      </c>
      <c r="BA7" s="75">
        <v>11</v>
      </c>
      <c r="BB7" s="75">
        <v>4</v>
      </c>
      <c r="BC7" s="75">
        <v>4</v>
      </c>
      <c r="BD7" s="75">
        <v>5</v>
      </c>
      <c r="BE7" s="66">
        <v>19</v>
      </c>
      <c r="BF7" s="75">
        <v>6</v>
      </c>
      <c r="BG7" s="75">
        <v>9</v>
      </c>
      <c r="BH7" s="75">
        <v>6</v>
      </c>
      <c r="BI7" s="75">
        <v>6</v>
      </c>
      <c r="BJ7" s="75">
        <v>2</v>
      </c>
      <c r="BK7" s="75">
        <v>11</v>
      </c>
      <c r="BL7" s="75">
        <v>15</v>
      </c>
      <c r="BM7" s="75">
        <v>9</v>
      </c>
      <c r="BN7" s="75">
        <v>9</v>
      </c>
      <c r="BO7" s="75">
        <v>15</v>
      </c>
      <c r="BP7" s="75">
        <v>8</v>
      </c>
      <c r="BQ7" s="66">
        <v>6</v>
      </c>
      <c r="BR7" s="5">
        <v>32</v>
      </c>
      <c r="BS7" s="5">
        <v>40</v>
      </c>
      <c r="BT7" s="162">
        <v>56</v>
      </c>
      <c r="BU7" s="162">
        <v>78</v>
      </c>
      <c r="BV7" s="162">
        <v>39</v>
      </c>
      <c r="BW7" s="162">
        <v>39</v>
      </c>
      <c r="BX7" s="162">
        <v>34</v>
      </c>
      <c r="BY7" s="162">
        <v>30</v>
      </c>
      <c r="BZ7" s="162">
        <v>30</v>
      </c>
      <c r="CA7" s="162">
        <v>30</v>
      </c>
      <c r="CB7" s="162">
        <v>30</v>
      </c>
      <c r="CC7" s="162">
        <v>30</v>
      </c>
      <c r="CD7" s="162">
        <v>48</v>
      </c>
      <c r="CE7" s="162">
        <v>48</v>
      </c>
      <c r="CF7" s="162">
        <v>48</v>
      </c>
      <c r="CG7" s="162">
        <v>48</v>
      </c>
      <c r="CH7" s="162">
        <v>78</v>
      </c>
      <c r="CI7" s="162">
        <v>68</v>
      </c>
      <c r="CJ7" s="162">
        <v>66</v>
      </c>
      <c r="CK7" s="162">
        <v>66</v>
      </c>
      <c r="CL7" s="66">
        <v>0</v>
      </c>
      <c r="CM7" s="66">
        <v>0</v>
      </c>
      <c r="CN7" s="66">
        <v>370</v>
      </c>
      <c r="CO7" s="66">
        <v>440</v>
      </c>
      <c r="CP7" s="66">
        <v>475</v>
      </c>
      <c r="CQ7" s="66">
        <v>440</v>
      </c>
      <c r="CR7" s="66">
        <v>440</v>
      </c>
      <c r="CS7" s="66">
        <v>440</v>
      </c>
      <c r="CT7" s="66">
        <v>420</v>
      </c>
      <c r="CU7" s="66">
        <v>420</v>
      </c>
      <c r="CV7" s="66">
        <v>420</v>
      </c>
      <c r="CW7" s="66">
        <v>496</v>
      </c>
      <c r="CX7" s="66">
        <v>496</v>
      </c>
      <c r="CY7" s="66">
        <v>496</v>
      </c>
      <c r="CZ7" s="66">
        <v>440</v>
      </c>
      <c r="DA7" s="66">
        <v>290</v>
      </c>
      <c r="DB7" s="66">
        <v>290</v>
      </c>
      <c r="DC7" s="66">
        <v>290</v>
      </c>
      <c r="DD7" s="66">
        <v>243</v>
      </c>
      <c r="DE7" s="66">
        <v>243</v>
      </c>
      <c r="DF7" s="66">
        <v>440</v>
      </c>
      <c r="DG7" s="66">
        <v>480</v>
      </c>
      <c r="DH7" s="66">
        <v>399</v>
      </c>
      <c r="DI7" s="66">
        <v>399</v>
      </c>
      <c r="DJ7" s="66">
        <v>399</v>
      </c>
      <c r="DK7" s="66">
        <v>399</v>
      </c>
      <c r="DL7" s="66">
        <v>399</v>
      </c>
      <c r="DM7" s="66">
        <v>399</v>
      </c>
      <c r="DN7" s="66">
        <v>555</v>
      </c>
      <c r="DO7" s="66">
        <v>624</v>
      </c>
      <c r="DP7" s="66">
        <v>624</v>
      </c>
      <c r="DQ7" s="66">
        <v>624</v>
      </c>
      <c r="DV7" s="149"/>
      <c r="DY7" s="149"/>
    </row>
    <row r="8" spans="1:129">
      <c r="A8" s="72" t="s">
        <v>2379</v>
      </c>
      <c r="B8" s="70">
        <v>893.2</v>
      </c>
      <c r="C8" s="70">
        <v>885.1</v>
      </c>
      <c r="D8" s="70">
        <v>814</v>
      </c>
      <c r="E8" s="70">
        <v>959.33600000000001</v>
      </c>
      <c r="F8" s="70">
        <v>1074.1600000000001</v>
      </c>
      <c r="G8" s="70">
        <v>2315</v>
      </c>
      <c r="H8" s="70">
        <v>1648.28</v>
      </c>
      <c r="I8" s="70">
        <v>989.53499999999997</v>
      </c>
      <c r="J8" s="70">
        <v>997.58</v>
      </c>
      <c r="K8" s="70">
        <v>772.32</v>
      </c>
      <c r="L8" s="70">
        <v>764.27499999999998</v>
      </c>
      <c r="M8" s="70">
        <v>555.6</v>
      </c>
      <c r="N8" s="70">
        <v>1596.424</v>
      </c>
      <c r="O8" s="70">
        <v>1174.57</v>
      </c>
      <c r="P8" s="70">
        <v>1250.193</v>
      </c>
      <c r="Q8" s="70">
        <v>914.88800000000003</v>
      </c>
      <c r="R8" s="70">
        <v>1214.7950000000001</v>
      </c>
      <c r="S8" s="70">
        <v>1230.885</v>
      </c>
      <c r="T8" s="70">
        <v>1230.885</v>
      </c>
      <c r="U8" s="70">
        <v>1246.9749999999999</v>
      </c>
      <c r="V8" s="70">
        <v>1259.3599999999999</v>
      </c>
      <c r="W8" s="66">
        <v>1051.9360000000001</v>
      </c>
      <c r="X8" s="66">
        <v>1431.596</v>
      </c>
      <c r="Y8" s="66">
        <v>622.27200000000005</v>
      </c>
      <c r="Z8" s="66">
        <v>1930.8</v>
      </c>
      <c r="AA8" s="66">
        <v>890</v>
      </c>
      <c r="AB8" s="66">
        <v>1453.82</v>
      </c>
      <c r="AC8" s="66">
        <v>1618.654</v>
      </c>
      <c r="AD8" s="66">
        <v>1726.0640000000001</v>
      </c>
      <c r="AE8" s="66">
        <v>1007.4880000000001</v>
      </c>
      <c r="AF8" s="95">
        <v>1389</v>
      </c>
      <c r="AG8" s="77">
        <v>1822.3680000000002</v>
      </c>
      <c r="AH8" s="77">
        <v>1453.8200000000002</v>
      </c>
      <c r="AI8" s="66">
        <v>650</v>
      </c>
      <c r="AJ8" s="66">
        <v>650</v>
      </c>
      <c r="AK8" s="66">
        <v>1285.288</v>
      </c>
      <c r="AL8" s="77">
        <v>2487</v>
      </c>
      <c r="AM8" s="66">
        <v>1304</v>
      </c>
      <c r="AN8" s="66">
        <v>2096.5</v>
      </c>
      <c r="AO8" s="66">
        <v>1850.7</v>
      </c>
      <c r="AP8" s="66">
        <v>889</v>
      </c>
      <c r="AQ8" s="66">
        <v>1159</v>
      </c>
      <c r="AR8" s="66">
        <v>819.51</v>
      </c>
      <c r="AS8" s="66">
        <v>1255.29</v>
      </c>
      <c r="AT8" s="66">
        <v>1253.68</v>
      </c>
      <c r="AU8" s="113">
        <v>1610</v>
      </c>
      <c r="AV8" s="114">
        <v>1352</v>
      </c>
      <c r="AW8" s="66">
        <v>1268.6199999999999</v>
      </c>
      <c r="AX8" s="66">
        <v>1424.27</v>
      </c>
      <c r="AY8" s="66">
        <v>1157.5</v>
      </c>
      <c r="AZ8" s="66">
        <v>439.2944</v>
      </c>
      <c r="BA8" s="66">
        <v>1846</v>
      </c>
      <c r="BB8" s="66">
        <v>1426</v>
      </c>
      <c r="BC8" s="66">
        <v>1352</v>
      </c>
      <c r="BD8" s="66">
        <v>988.9</v>
      </c>
      <c r="BE8" s="66">
        <v>1300</v>
      </c>
      <c r="BF8" s="66">
        <v>1852</v>
      </c>
      <c r="BG8" s="66">
        <v>2696.5120000000002</v>
      </c>
      <c r="BH8" s="66">
        <v>2740.96</v>
      </c>
      <c r="BI8" s="66">
        <v>1977.9359999999999</v>
      </c>
      <c r="BJ8" s="66">
        <v>763.024</v>
      </c>
      <c r="BK8" s="66">
        <v>3344.712</v>
      </c>
      <c r="BL8" s="66">
        <v>4702.2280000000001</v>
      </c>
      <c r="BM8" s="66">
        <v>3185.44</v>
      </c>
      <c r="BN8" s="77">
        <v>2037</v>
      </c>
      <c r="BO8" s="76">
        <v>4789.2719999999999</v>
      </c>
      <c r="BP8" s="76">
        <v>2919</v>
      </c>
      <c r="BQ8" s="66">
        <v>1704</v>
      </c>
      <c r="BR8" s="5">
        <v>1666</v>
      </c>
      <c r="BS8" s="5">
        <v>1574.2</v>
      </c>
      <c r="BT8" s="5">
        <v>1558</v>
      </c>
      <c r="BU8" s="5">
        <v>2222.4</v>
      </c>
      <c r="BV8" s="5">
        <v>2083.5</v>
      </c>
      <c r="BW8" s="5">
        <v>2083.5</v>
      </c>
      <c r="BX8" s="5">
        <v>815</v>
      </c>
      <c r="BY8" s="5">
        <v>1333.44</v>
      </c>
      <c r="BZ8" s="5">
        <v>1481.6000000000001</v>
      </c>
      <c r="CA8" s="5">
        <v>1296.4000000000001</v>
      </c>
      <c r="CB8" s="5">
        <v>1314.92</v>
      </c>
      <c r="CC8" s="5">
        <v>1345</v>
      </c>
      <c r="CD8" s="5">
        <v>831.548</v>
      </c>
      <c r="CE8" s="5">
        <v>835.25200000000007</v>
      </c>
      <c r="CF8" s="5">
        <v>1326.0320000000002</v>
      </c>
      <c r="CG8" s="5">
        <v>1470.4880000000001</v>
      </c>
      <c r="CH8" s="5">
        <v>1370.5</v>
      </c>
      <c r="CI8" s="5">
        <v>1429.7440000000001</v>
      </c>
      <c r="CJ8" s="5">
        <v>1596.424</v>
      </c>
      <c r="CK8" s="5">
        <v>1464.932</v>
      </c>
      <c r="CL8" s="66">
        <v>9389</v>
      </c>
      <c r="CM8" s="66">
        <v>13080</v>
      </c>
      <c r="CN8" s="66">
        <v>17038</v>
      </c>
      <c r="CO8" s="66">
        <v>16670</v>
      </c>
      <c r="CP8" s="66">
        <v>13890</v>
      </c>
      <c r="CQ8" s="66">
        <v>12501</v>
      </c>
      <c r="CR8" s="66">
        <v>12732.5</v>
      </c>
      <c r="CS8" s="66">
        <v>12500</v>
      </c>
      <c r="CT8" s="66">
        <v>14075.2</v>
      </c>
      <c r="CU8" s="66">
        <v>12732.5</v>
      </c>
      <c r="CV8" s="5">
        <v>13797.400000000001</v>
      </c>
      <c r="CW8" s="66">
        <v>13334.400000000001</v>
      </c>
      <c r="CX8" s="66">
        <v>13334.400000000001</v>
      </c>
      <c r="CY8" s="66">
        <v>13334.400000000001</v>
      </c>
      <c r="CZ8" s="66">
        <v>10880.5</v>
      </c>
      <c r="DA8" s="66">
        <v>7408</v>
      </c>
      <c r="DB8" s="66">
        <v>10649</v>
      </c>
      <c r="DC8" s="66">
        <v>11205</v>
      </c>
      <c r="DD8" s="66">
        <v>10371</v>
      </c>
      <c r="DE8" s="66">
        <v>10278.6</v>
      </c>
      <c r="DF8" s="66">
        <v>12964</v>
      </c>
      <c r="DG8" s="66">
        <v>15279</v>
      </c>
      <c r="DH8" s="66">
        <v>3889</v>
      </c>
      <c r="DI8" s="66">
        <v>4954</v>
      </c>
      <c r="DJ8" s="66">
        <v>6945</v>
      </c>
      <c r="DK8" s="66">
        <v>7593.2</v>
      </c>
      <c r="DL8" s="66">
        <v>6574.6</v>
      </c>
      <c r="DM8" s="66">
        <v>6945</v>
      </c>
      <c r="DN8" s="66">
        <v>14816</v>
      </c>
      <c r="DO8" s="66">
        <v>14204.84</v>
      </c>
      <c r="DP8" s="66">
        <v>14204.84</v>
      </c>
      <c r="DQ8" s="66">
        <v>14204.84</v>
      </c>
      <c r="DV8" s="149"/>
      <c r="DY8" s="149"/>
    </row>
    <row r="9" spans="1:129">
      <c r="A9" s="72" t="s">
        <v>2380</v>
      </c>
      <c r="B9" s="66">
        <v>60</v>
      </c>
      <c r="C9" s="66">
        <v>60</v>
      </c>
      <c r="D9" s="66">
        <v>63.305</v>
      </c>
      <c r="E9" s="66">
        <v>63.3</v>
      </c>
      <c r="F9" s="66">
        <v>63.305</v>
      </c>
      <c r="G9" s="66">
        <v>86.325000000000003</v>
      </c>
      <c r="H9" s="66">
        <v>86.325000000000003</v>
      </c>
      <c r="I9" s="66">
        <v>60</v>
      </c>
      <c r="J9" s="66">
        <v>60</v>
      </c>
      <c r="K9" s="66">
        <v>50</v>
      </c>
      <c r="L9" s="66">
        <v>55</v>
      </c>
      <c r="M9" s="66">
        <v>63.305</v>
      </c>
      <c r="N9" s="66">
        <v>86.325000000000003</v>
      </c>
      <c r="O9" s="66">
        <v>60</v>
      </c>
      <c r="P9" s="66">
        <v>90</v>
      </c>
      <c r="Q9" s="66">
        <v>95.533000000000001</v>
      </c>
      <c r="R9" s="66">
        <v>80</v>
      </c>
      <c r="S9" s="66">
        <v>80</v>
      </c>
      <c r="T9" s="66">
        <v>80</v>
      </c>
      <c r="U9" s="66">
        <v>80</v>
      </c>
      <c r="V9" s="66">
        <v>57.550000000000004</v>
      </c>
      <c r="W9" s="66">
        <v>63.305</v>
      </c>
      <c r="X9" s="66">
        <v>69.06</v>
      </c>
      <c r="Y9" s="76">
        <v>57.550000000000004</v>
      </c>
      <c r="Z9" s="66">
        <v>112.7</v>
      </c>
      <c r="AA9" s="76">
        <v>66.501000000000005</v>
      </c>
      <c r="AB9" s="76">
        <v>80.570000000000007</v>
      </c>
      <c r="AC9" s="76">
        <v>84.022999999999996</v>
      </c>
      <c r="AD9" s="76">
        <v>95.533000000000001</v>
      </c>
      <c r="AE9" s="76">
        <v>81.488</v>
      </c>
      <c r="AF9" s="76">
        <f>65.607*1.2</f>
        <v>78.728399999999993</v>
      </c>
      <c r="AG9" s="66">
        <v>77.117000000000004</v>
      </c>
      <c r="AH9" s="66">
        <v>77.117000000000004</v>
      </c>
      <c r="AI9" s="66">
        <v>43.5</v>
      </c>
      <c r="AJ9" s="66">
        <v>49.720323182100685</v>
      </c>
      <c r="AK9" s="78">
        <f>77.117*2</f>
        <v>154.23400000000001</v>
      </c>
      <c r="AL9" s="78">
        <f>66.758*1.2</f>
        <v>80.109599999999986</v>
      </c>
      <c r="AM9" s="66">
        <v>65</v>
      </c>
      <c r="AN9" s="66">
        <v>75</v>
      </c>
      <c r="AO9" s="66">
        <v>69</v>
      </c>
      <c r="AP9" s="66">
        <v>63.3</v>
      </c>
      <c r="AQ9" s="66">
        <v>60</v>
      </c>
      <c r="AR9" s="66">
        <v>69.06</v>
      </c>
      <c r="AS9" s="66">
        <v>70</v>
      </c>
      <c r="AT9" s="66">
        <v>64</v>
      </c>
      <c r="AU9" s="113">
        <v>61.003</v>
      </c>
      <c r="AV9" s="114">
        <v>65.606999999999999</v>
      </c>
      <c r="AW9" s="66">
        <v>85</v>
      </c>
      <c r="AX9" s="66">
        <v>85</v>
      </c>
      <c r="AY9" s="66">
        <v>82</v>
      </c>
      <c r="AZ9" s="66">
        <v>94.4</v>
      </c>
      <c r="BA9" s="66">
        <v>109.345</v>
      </c>
      <c r="BB9" s="66">
        <v>80.599999999999994</v>
      </c>
      <c r="BC9" s="66">
        <v>88.6</v>
      </c>
      <c r="BD9" s="66">
        <v>89.76</v>
      </c>
      <c r="BE9" s="76">
        <f>66.5*1.2</f>
        <v>79.8</v>
      </c>
      <c r="BF9" s="76">
        <v>108</v>
      </c>
      <c r="BG9" s="78">
        <v>123.2</v>
      </c>
      <c r="BH9" s="78">
        <v>106.7</v>
      </c>
      <c r="BI9" s="76">
        <v>99</v>
      </c>
      <c r="BJ9" s="76">
        <v>64.456000000000003</v>
      </c>
      <c r="BK9" s="78">
        <v>102.5</v>
      </c>
      <c r="BL9" s="78">
        <v>101.2</v>
      </c>
      <c r="BM9" s="78">
        <v>101.2</v>
      </c>
      <c r="BN9" s="78">
        <v>95</v>
      </c>
      <c r="BO9" s="78">
        <f>50.963*1.2</f>
        <v>61.1556</v>
      </c>
      <c r="BP9" s="78">
        <f>90.929*1.2</f>
        <v>109.1148</v>
      </c>
      <c r="BQ9" s="66">
        <v>86.3</v>
      </c>
      <c r="BR9" s="9">
        <v>126.61</v>
      </c>
      <c r="BS9" s="5"/>
      <c r="BT9" s="5"/>
      <c r="BU9" s="5"/>
      <c r="BV9" s="5"/>
      <c r="BW9" s="5"/>
      <c r="BX9" s="8">
        <f>119.7*1.2</f>
        <v>143.63999999999999</v>
      </c>
      <c r="BY9" s="5">
        <v>110.7</v>
      </c>
      <c r="BZ9" s="5">
        <v>110.7</v>
      </c>
      <c r="CA9" s="5">
        <v>110.7</v>
      </c>
      <c r="CB9" s="5">
        <v>110.7</v>
      </c>
      <c r="CC9" s="5">
        <v>128.9</v>
      </c>
      <c r="CD9" s="5">
        <v>124.30800000000001</v>
      </c>
      <c r="CE9" s="5">
        <v>124.30800000000001</v>
      </c>
      <c r="CF9" s="5">
        <v>128.91200000000001</v>
      </c>
      <c r="CG9" s="5">
        <v>127.761</v>
      </c>
      <c r="CH9" s="5">
        <v>132.4</v>
      </c>
      <c r="CI9" s="5">
        <v>132.36500000000001</v>
      </c>
      <c r="CJ9" s="5">
        <v>132.36500000000001</v>
      </c>
      <c r="CK9" s="5">
        <v>130.06300000000002</v>
      </c>
      <c r="CL9" s="76">
        <v>195.6</v>
      </c>
      <c r="CM9" s="76">
        <v>180</v>
      </c>
      <c r="CN9" s="76">
        <v>180</v>
      </c>
      <c r="CO9" s="66">
        <v>205</v>
      </c>
      <c r="CP9" s="66">
        <v>205</v>
      </c>
      <c r="CQ9" s="66">
        <v>205</v>
      </c>
      <c r="CR9" s="66">
        <v>205</v>
      </c>
      <c r="CS9" s="66">
        <v>205</v>
      </c>
      <c r="CT9" s="66">
        <v>205</v>
      </c>
      <c r="CU9" s="66">
        <v>205</v>
      </c>
      <c r="CV9" s="66">
        <v>205</v>
      </c>
      <c r="CW9" s="66">
        <v>196.8</v>
      </c>
      <c r="CX9" s="66">
        <v>196.8</v>
      </c>
      <c r="CY9" s="66">
        <v>196.8</v>
      </c>
      <c r="CZ9" s="66">
        <v>214.08600000000001</v>
      </c>
      <c r="DA9" s="66">
        <v>180</v>
      </c>
      <c r="DB9" s="66">
        <v>184.16</v>
      </c>
      <c r="DC9" s="66">
        <v>184.16</v>
      </c>
      <c r="DD9" s="66">
        <v>184.16</v>
      </c>
      <c r="DE9" s="66">
        <v>184.16</v>
      </c>
      <c r="DF9" s="66">
        <v>180</v>
      </c>
      <c r="DG9" s="66">
        <v>180</v>
      </c>
      <c r="DH9" s="80">
        <v>217</v>
      </c>
      <c r="DI9" s="80">
        <v>217</v>
      </c>
      <c r="DJ9" s="66">
        <v>217</v>
      </c>
      <c r="DK9" s="66">
        <v>217</v>
      </c>
      <c r="DL9" s="66">
        <v>215</v>
      </c>
      <c r="DM9" s="66">
        <v>205</v>
      </c>
      <c r="DN9" s="66">
        <v>172.7</v>
      </c>
      <c r="DO9" s="80">
        <v>196.8</v>
      </c>
      <c r="DP9" s="80">
        <v>196.8</v>
      </c>
      <c r="DQ9" s="80">
        <v>196.8</v>
      </c>
      <c r="DV9" s="149"/>
      <c r="DY9" s="149"/>
    </row>
    <row r="10" spans="1:129">
      <c r="A10" s="72" t="s">
        <v>2381</v>
      </c>
      <c r="B10" s="66">
        <f>B9*1.609</f>
        <v>96.539999999999992</v>
      </c>
      <c r="C10" s="66">
        <f t="shared" ref="C10:AR10" si="0">C9*1.609</f>
        <v>96.539999999999992</v>
      </c>
      <c r="D10" s="66">
        <f t="shared" si="0"/>
        <v>101.85774499999999</v>
      </c>
      <c r="E10" s="66">
        <f t="shared" si="0"/>
        <v>101.8497</v>
      </c>
      <c r="F10" s="66">
        <f t="shared" si="0"/>
        <v>101.85774499999999</v>
      </c>
      <c r="G10" s="66">
        <f t="shared" si="0"/>
        <v>138.89692500000001</v>
      </c>
      <c r="H10" s="66">
        <f t="shared" si="0"/>
        <v>138.89692500000001</v>
      </c>
      <c r="I10" s="66">
        <f t="shared" si="0"/>
        <v>96.539999999999992</v>
      </c>
      <c r="J10" s="66">
        <f t="shared" si="0"/>
        <v>96.539999999999992</v>
      </c>
      <c r="K10" s="66">
        <f t="shared" si="0"/>
        <v>80.45</v>
      </c>
      <c r="L10" s="66">
        <f t="shared" si="0"/>
        <v>88.495000000000005</v>
      </c>
      <c r="M10" s="66">
        <f t="shared" si="0"/>
        <v>101.85774499999999</v>
      </c>
      <c r="N10" s="66">
        <f t="shared" si="0"/>
        <v>138.89692500000001</v>
      </c>
      <c r="O10" s="66">
        <f t="shared" si="0"/>
        <v>96.539999999999992</v>
      </c>
      <c r="P10" s="66">
        <f t="shared" si="0"/>
        <v>144.81</v>
      </c>
      <c r="Q10" s="66">
        <f t="shared" si="0"/>
        <v>153.71259699999999</v>
      </c>
      <c r="R10" s="66">
        <f t="shared" si="0"/>
        <v>128.72</v>
      </c>
      <c r="S10" s="66">
        <f t="shared" si="0"/>
        <v>128.72</v>
      </c>
      <c r="T10" s="66">
        <f t="shared" si="0"/>
        <v>128.72</v>
      </c>
      <c r="U10" s="66">
        <f t="shared" si="0"/>
        <v>128.72</v>
      </c>
      <c r="V10" s="66">
        <f t="shared" si="0"/>
        <v>92.597950000000012</v>
      </c>
      <c r="W10" s="66">
        <f t="shared" si="0"/>
        <v>101.85774499999999</v>
      </c>
      <c r="X10" s="66">
        <f t="shared" si="0"/>
        <v>111.11754000000001</v>
      </c>
      <c r="Y10" s="76">
        <f t="shared" si="0"/>
        <v>92.597950000000012</v>
      </c>
      <c r="Z10" s="76">
        <f t="shared" si="0"/>
        <v>181.33430000000001</v>
      </c>
      <c r="AA10" s="76">
        <f t="shared" si="0"/>
        <v>107.00010900000001</v>
      </c>
      <c r="AB10" s="76">
        <f t="shared" si="0"/>
        <v>129.63713000000001</v>
      </c>
      <c r="AC10" s="76">
        <f t="shared" si="0"/>
        <v>135.19300699999999</v>
      </c>
      <c r="AD10" s="76">
        <f t="shared" si="0"/>
        <v>153.71259699999999</v>
      </c>
      <c r="AE10" s="76">
        <f t="shared" si="0"/>
        <v>131.114192</v>
      </c>
      <c r="AF10" s="76">
        <f t="shared" si="0"/>
        <v>126.67399559999998</v>
      </c>
      <c r="AG10" s="66">
        <f t="shared" si="0"/>
        <v>124.081253</v>
      </c>
      <c r="AH10" s="66">
        <f t="shared" si="0"/>
        <v>124.081253</v>
      </c>
      <c r="AI10" s="66">
        <f t="shared" si="0"/>
        <v>69.991500000000002</v>
      </c>
      <c r="AJ10" s="66">
        <f t="shared" si="0"/>
        <v>80</v>
      </c>
      <c r="AK10" s="78">
        <f t="shared" si="0"/>
        <v>248.16250600000001</v>
      </c>
      <c r="AL10" s="78">
        <f t="shared" si="0"/>
        <v>128.89634639999997</v>
      </c>
      <c r="AM10" s="66">
        <f t="shared" si="0"/>
        <v>104.58499999999999</v>
      </c>
      <c r="AN10" s="66">
        <f t="shared" si="0"/>
        <v>120.675</v>
      </c>
      <c r="AO10" s="66">
        <f t="shared" si="0"/>
        <v>111.021</v>
      </c>
      <c r="AP10" s="66">
        <f t="shared" si="0"/>
        <v>101.8497</v>
      </c>
      <c r="AQ10" s="66">
        <f t="shared" si="0"/>
        <v>96.539999999999992</v>
      </c>
      <c r="AR10" s="66">
        <f t="shared" si="0"/>
        <v>111.11754000000001</v>
      </c>
      <c r="AS10" s="66">
        <f t="shared" ref="AS10:AT10" si="1">AS9*1.609</f>
        <v>112.63</v>
      </c>
      <c r="AT10" s="66">
        <f t="shared" si="1"/>
        <v>102.976</v>
      </c>
      <c r="AU10" s="113">
        <f t="shared" ref="AU10" si="2">AU9*1.609</f>
        <v>98.153826999999993</v>
      </c>
      <c r="AV10" s="114">
        <f t="shared" ref="AV10:AW10" si="3">AV9*1.609</f>
        <v>105.561663</v>
      </c>
      <c r="AW10" s="66">
        <f t="shared" si="3"/>
        <v>136.76499999999999</v>
      </c>
      <c r="AX10" s="66">
        <f t="shared" ref="AX10" si="4">AX9*1.609</f>
        <v>136.76499999999999</v>
      </c>
      <c r="AY10" s="66">
        <f t="shared" ref="AY10" si="5">AY9*1.609</f>
        <v>131.93799999999999</v>
      </c>
      <c r="AZ10" s="66">
        <f t="shared" ref="AZ10:BR10" si="6">AZ9*1.609</f>
        <v>151.8896</v>
      </c>
      <c r="BA10" s="66">
        <f t="shared" si="6"/>
        <v>175.936105</v>
      </c>
      <c r="BB10" s="66">
        <f t="shared" si="6"/>
        <v>129.68539999999999</v>
      </c>
      <c r="BC10" s="66">
        <f t="shared" si="6"/>
        <v>142.5574</v>
      </c>
      <c r="BD10" s="66">
        <f t="shared" si="6"/>
        <v>144.42384000000001</v>
      </c>
      <c r="BE10" s="76">
        <f t="shared" si="6"/>
        <v>128.3982</v>
      </c>
      <c r="BF10" s="76">
        <f t="shared" si="6"/>
        <v>173.77199999999999</v>
      </c>
      <c r="BG10" s="78">
        <f t="shared" si="6"/>
        <v>198.22880000000001</v>
      </c>
      <c r="BH10" s="78">
        <f t="shared" si="6"/>
        <v>171.68030000000002</v>
      </c>
      <c r="BI10" s="76">
        <f t="shared" si="6"/>
        <v>159.291</v>
      </c>
      <c r="BJ10" s="76">
        <f t="shared" si="6"/>
        <v>103.709704</v>
      </c>
      <c r="BK10" s="78">
        <f t="shared" si="6"/>
        <v>164.92249999999999</v>
      </c>
      <c r="BL10" s="78">
        <f t="shared" si="6"/>
        <v>162.83080000000001</v>
      </c>
      <c r="BM10" s="78">
        <f t="shared" si="6"/>
        <v>162.83080000000001</v>
      </c>
      <c r="BN10" s="78">
        <f t="shared" si="6"/>
        <v>152.85499999999999</v>
      </c>
      <c r="BO10" s="78">
        <f t="shared" si="6"/>
        <v>98.399360399999992</v>
      </c>
      <c r="BP10" s="78">
        <f t="shared" si="6"/>
        <v>175.5657132</v>
      </c>
      <c r="BQ10" s="66">
        <f t="shared" si="6"/>
        <v>138.85669999999999</v>
      </c>
      <c r="BR10" s="9">
        <f t="shared" si="6"/>
        <v>203.71548999999999</v>
      </c>
      <c r="BS10" s="5"/>
      <c r="BT10" s="5"/>
      <c r="BU10" s="5"/>
      <c r="BV10" s="5"/>
      <c r="BW10" s="5"/>
      <c r="BX10" s="9">
        <f>BX9*1.609</f>
        <v>231.11675999999997</v>
      </c>
      <c r="BY10" s="9">
        <f t="shared" ref="BY10:CK10" si="7">BY9*1.609</f>
        <v>178.1163</v>
      </c>
      <c r="BZ10" s="9">
        <f t="shared" si="7"/>
        <v>178.1163</v>
      </c>
      <c r="CA10" s="9">
        <f t="shared" si="7"/>
        <v>178.1163</v>
      </c>
      <c r="CB10" s="9">
        <f t="shared" si="7"/>
        <v>178.1163</v>
      </c>
      <c r="CC10" s="5">
        <f t="shared" si="7"/>
        <v>207.40010000000001</v>
      </c>
      <c r="CD10" s="5">
        <f t="shared" si="7"/>
        <v>200.011572</v>
      </c>
      <c r="CE10" s="5">
        <f t="shared" si="7"/>
        <v>200.011572</v>
      </c>
      <c r="CF10" s="5">
        <f t="shared" si="7"/>
        <v>207.419408</v>
      </c>
      <c r="CG10" s="5">
        <f t="shared" si="7"/>
        <v>205.56744899999998</v>
      </c>
      <c r="CH10" s="5">
        <f t="shared" si="7"/>
        <v>213.0316</v>
      </c>
      <c r="CI10" s="5">
        <f t="shared" si="7"/>
        <v>212.97528500000001</v>
      </c>
      <c r="CJ10" s="5">
        <f t="shared" si="7"/>
        <v>212.97528500000001</v>
      </c>
      <c r="CK10" s="5">
        <f t="shared" si="7"/>
        <v>209.27136700000003</v>
      </c>
      <c r="CL10" s="66">
        <f t="shared" ref="CL10:CX10" si="8">CL9*1.609</f>
        <v>314.72039999999998</v>
      </c>
      <c r="CM10" s="66">
        <f t="shared" si="8"/>
        <v>289.62</v>
      </c>
      <c r="CN10" s="66">
        <f t="shared" si="8"/>
        <v>289.62</v>
      </c>
      <c r="CO10" s="66">
        <f t="shared" si="8"/>
        <v>329.84499999999997</v>
      </c>
      <c r="CP10" s="66">
        <f t="shared" si="8"/>
        <v>329.84499999999997</v>
      </c>
      <c r="CQ10" s="66">
        <f t="shared" si="8"/>
        <v>329.84499999999997</v>
      </c>
      <c r="CR10" s="66">
        <f t="shared" si="8"/>
        <v>329.84499999999997</v>
      </c>
      <c r="CS10" s="66">
        <f t="shared" si="8"/>
        <v>329.84499999999997</v>
      </c>
      <c r="CT10" s="66">
        <f t="shared" si="8"/>
        <v>329.84499999999997</v>
      </c>
      <c r="CU10" s="66">
        <f t="shared" si="8"/>
        <v>329.84499999999997</v>
      </c>
      <c r="CV10" s="66">
        <f t="shared" si="8"/>
        <v>329.84499999999997</v>
      </c>
      <c r="CW10" s="66">
        <f t="shared" si="8"/>
        <v>316.65120000000002</v>
      </c>
      <c r="CX10" s="66">
        <f t="shared" si="8"/>
        <v>316.65120000000002</v>
      </c>
      <c r="CY10" s="66">
        <f>CY9*1.609</f>
        <v>316.65120000000002</v>
      </c>
      <c r="CZ10" s="66">
        <f t="shared" ref="CZ10" si="9">CZ9*1.609</f>
        <v>344.46437400000002</v>
      </c>
      <c r="DA10" s="66">
        <f>DA9*1.609</f>
        <v>289.62</v>
      </c>
      <c r="DB10" s="66">
        <f>DB9*1.609</f>
        <v>296.31344000000001</v>
      </c>
      <c r="DC10" s="66">
        <f>DC9*1.609</f>
        <v>296.31344000000001</v>
      </c>
      <c r="DD10" s="66">
        <f>DD9*1.609</f>
        <v>296.31344000000001</v>
      </c>
      <c r="DE10" s="66">
        <f>DE9*1.609</f>
        <v>296.31344000000001</v>
      </c>
      <c r="DF10" s="66">
        <f t="shared" ref="DF10:DG10" si="10">DF9*1.609</f>
        <v>289.62</v>
      </c>
      <c r="DG10" s="66">
        <f t="shared" si="10"/>
        <v>289.62</v>
      </c>
      <c r="DH10" s="80">
        <f>DH9*1.609</f>
        <v>349.15300000000002</v>
      </c>
      <c r="DI10" s="80">
        <f t="shared" ref="DI10:DM10" si="11">DI9*1.609</f>
        <v>349.15300000000002</v>
      </c>
      <c r="DJ10" s="66">
        <f>DJ9*1.609</f>
        <v>349.15300000000002</v>
      </c>
      <c r="DK10" s="66">
        <f t="shared" si="11"/>
        <v>349.15300000000002</v>
      </c>
      <c r="DL10" s="66">
        <f t="shared" ref="DL10" si="12">DL9*1.609</f>
        <v>345.935</v>
      </c>
      <c r="DM10" s="66">
        <f t="shared" si="11"/>
        <v>329.84499999999997</v>
      </c>
      <c r="DN10" s="66">
        <f>DN9*1.609</f>
        <v>277.87430000000001</v>
      </c>
      <c r="DO10" s="80">
        <f t="shared" ref="DO10:DQ10" si="13">DO9*1.609</f>
        <v>316.65120000000002</v>
      </c>
      <c r="DP10" s="80">
        <f t="shared" si="13"/>
        <v>316.65120000000002</v>
      </c>
      <c r="DQ10" s="80">
        <f t="shared" si="13"/>
        <v>316.65120000000002</v>
      </c>
      <c r="DV10" s="149"/>
      <c r="DY10" s="149"/>
    </row>
    <row r="11" spans="1:129">
      <c r="A11" s="72" t="s">
        <v>2382</v>
      </c>
      <c r="B11" s="66">
        <f>B9/2.237</f>
        <v>26.821636119803308</v>
      </c>
      <c r="C11" s="66">
        <f t="shared" ref="C11:AR11" si="14">C9/2.237</f>
        <v>26.821636119803308</v>
      </c>
      <c r="D11" s="66">
        <f t="shared" si="14"/>
        <v>28.299061242735807</v>
      </c>
      <c r="E11" s="66">
        <f t="shared" si="14"/>
        <v>28.296826106392487</v>
      </c>
      <c r="F11" s="66">
        <f t="shared" si="14"/>
        <v>28.299061242735807</v>
      </c>
      <c r="G11" s="66">
        <f t="shared" si="14"/>
        <v>38.589628967367005</v>
      </c>
      <c r="H11" s="66">
        <f t="shared" si="14"/>
        <v>38.589628967367005</v>
      </c>
      <c r="I11" s="66">
        <f t="shared" si="14"/>
        <v>26.821636119803308</v>
      </c>
      <c r="J11" s="66">
        <f t="shared" si="14"/>
        <v>26.821636119803308</v>
      </c>
      <c r="K11" s="66">
        <f t="shared" si="14"/>
        <v>22.351363433169421</v>
      </c>
      <c r="L11" s="66">
        <f t="shared" si="14"/>
        <v>24.586499776486363</v>
      </c>
      <c r="M11" s="66">
        <f t="shared" si="14"/>
        <v>28.299061242735807</v>
      </c>
      <c r="N11" s="66">
        <f t="shared" si="14"/>
        <v>38.589628967367005</v>
      </c>
      <c r="O11" s="66">
        <f t="shared" si="14"/>
        <v>26.821636119803308</v>
      </c>
      <c r="P11" s="66">
        <f t="shared" si="14"/>
        <v>40.232454179704959</v>
      </c>
      <c r="Q11" s="66">
        <f t="shared" si="14"/>
        <v>42.705856057219492</v>
      </c>
      <c r="R11" s="66">
        <f t="shared" si="14"/>
        <v>35.762181493071076</v>
      </c>
      <c r="S11" s="66">
        <f t="shared" si="14"/>
        <v>35.762181493071076</v>
      </c>
      <c r="T11" s="66">
        <f t="shared" si="14"/>
        <v>35.762181493071076</v>
      </c>
      <c r="U11" s="66">
        <f t="shared" si="14"/>
        <v>35.762181493071076</v>
      </c>
      <c r="V11" s="66">
        <f t="shared" si="14"/>
        <v>25.726419311578006</v>
      </c>
      <c r="W11" s="66">
        <f t="shared" si="14"/>
        <v>28.299061242735807</v>
      </c>
      <c r="X11" s="66">
        <f t="shared" si="14"/>
        <v>30.871703173893607</v>
      </c>
      <c r="Y11" s="76">
        <f t="shared" si="14"/>
        <v>25.726419311578006</v>
      </c>
      <c r="Z11" s="76">
        <f t="shared" si="14"/>
        <v>50.379973178363876</v>
      </c>
      <c r="AA11" s="76">
        <f t="shared" si="14"/>
        <v>29.727760393383996</v>
      </c>
      <c r="AB11" s="76">
        <f t="shared" si="14"/>
        <v>36.016987036209208</v>
      </c>
      <c r="AC11" s="76">
        <f t="shared" si="14"/>
        <v>37.560572194903884</v>
      </c>
      <c r="AD11" s="76">
        <f t="shared" si="14"/>
        <v>42.705856057219492</v>
      </c>
      <c r="AE11" s="76">
        <f t="shared" si="14"/>
        <v>36.427358068842196</v>
      </c>
      <c r="AF11" s="76">
        <f t="shared" si="14"/>
        <v>35.193741618238711</v>
      </c>
      <c r="AG11" s="66">
        <f t="shared" si="14"/>
        <v>34.473401877514526</v>
      </c>
      <c r="AH11" s="66">
        <f t="shared" si="14"/>
        <v>34.473401877514526</v>
      </c>
      <c r="AI11" s="66">
        <f t="shared" si="14"/>
        <v>19.445686186857397</v>
      </c>
      <c r="AJ11" s="66">
        <f t="shared" si="14"/>
        <v>22.226340269155425</v>
      </c>
      <c r="AK11" s="78">
        <f t="shared" si="14"/>
        <v>68.946803755029052</v>
      </c>
      <c r="AL11" s="78">
        <f t="shared" si="14"/>
        <v>35.811175681716577</v>
      </c>
      <c r="AM11" s="66">
        <f t="shared" si="14"/>
        <v>29.05677246312025</v>
      </c>
      <c r="AN11" s="66">
        <f t="shared" si="14"/>
        <v>33.52704514975413</v>
      </c>
      <c r="AO11" s="66">
        <f t="shared" si="14"/>
        <v>30.844881537773801</v>
      </c>
      <c r="AP11" s="66">
        <f t="shared" si="14"/>
        <v>28.296826106392487</v>
      </c>
      <c r="AQ11" s="66">
        <f t="shared" si="14"/>
        <v>26.821636119803308</v>
      </c>
      <c r="AR11" s="66">
        <f t="shared" si="14"/>
        <v>30.871703173893607</v>
      </c>
      <c r="AS11" s="66">
        <f t="shared" ref="AS11:AT11" si="15">AS9/2.237</f>
        <v>31.291908806437192</v>
      </c>
      <c r="AT11" s="66">
        <f t="shared" si="15"/>
        <v>28.60974519445686</v>
      </c>
      <c r="AU11" s="113">
        <f t="shared" ref="AU11:AV11" si="16">AU9/2.237</f>
        <v>27.270004470272685</v>
      </c>
      <c r="AV11" s="114">
        <f t="shared" si="16"/>
        <v>29.328118015198925</v>
      </c>
      <c r="AW11" s="66">
        <f t="shared" ref="AW11:AY11" si="17">AW9/2.237</f>
        <v>37.997317836388021</v>
      </c>
      <c r="AX11" s="66">
        <f t="shared" ref="AX11" si="18">AX9/2.237</f>
        <v>37.997317836388021</v>
      </c>
      <c r="AY11" s="66">
        <f t="shared" si="17"/>
        <v>36.656236030397849</v>
      </c>
      <c r="AZ11" s="66">
        <f t="shared" ref="AZ11:BR11" si="19">AZ9/2.237</f>
        <v>42.199374161823869</v>
      </c>
      <c r="BA11" s="66">
        <f t="shared" si="19"/>
        <v>48.880196691998208</v>
      </c>
      <c r="BB11" s="66">
        <f t="shared" si="19"/>
        <v>36.030397854269104</v>
      </c>
      <c r="BC11" s="66">
        <f t="shared" si="19"/>
        <v>39.606616003576214</v>
      </c>
      <c r="BD11" s="66">
        <f t="shared" si="19"/>
        <v>40.12516763522575</v>
      </c>
      <c r="BE11" s="76">
        <f t="shared" si="19"/>
        <v>35.672776039338395</v>
      </c>
      <c r="BF11" s="76">
        <f t="shared" si="19"/>
        <v>48.278945015645952</v>
      </c>
      <c r="BG11" s="78">
        <f t="shared" si="19"/>
        <v>55.073759499329455</v>
      </c>
      <c r="BH11" s="78">
        <f t="shared" si="19"/>
        <v>47.697809566383548</v>
      </c>
      <c r="BI11" s="76">
        <f t="shared" si="19"/>
        <v>44.255699597675459</v>
      </c>
      <c r="BJ11" s="76">
        <f t="shared" si="19"/>
        <v>28.813589628967367</v>
      </c>
      <c r="BK11" s="78">
        <f t="shared" si="19"/>
        <v>45.820295037997319</v>
      </c>
      <c r="BL11" s="78">
        <f t="shared" si="19"/>
        <v>45.239159588734914</v>
      </c>
      <c r="BM11" s="78">
        <f t="shared" si="19"/>
        <v>45.239159588734914</v>
      </c>
      <c r="BN11" s="78">
        <f t="shared" si="19"/>
        <v>42.467590523021904</v>
      </c>
      <c r="BO11" s="78">
        <f t="shared" si="19"/>
        <v>27.338220831470718</v>
      </c>
      <c r="BP11" s="78">
        <f t="shared" si="19"/>
        <v>48.777291014751896</v>
      </c>
      <c r="BQ11" s="66">
        <f t="shared" si="19"/>
        <v>38.578453285650419</v>
      </c>
      <c r="BR11" s="9">
        <f t="shared" si="19"/>
        <v>56.598122485471613</v>
      </c>
      <c r="BS11" s="5"/>
      <c r="BT11" s="5"/>
      <c r="BU11" s="5"/>
      <c r="BV11" s="5"/>
      <c r="BW11" s="5"/>
      <c r="BX11" s="9">
        <f>BX9/2.237</f>
        <v>64.210996870809112</v>
      </c>
      <c r="BY11" s="9">
        <f t="shared" ref="BY11:CK11" si="20">BY9/2.237</f>
        <v>49.485918641037102</v>
      </c>
      <c r="BZ11" s="9">
        <f t="shared" si="20"/>
        <v>49.485918641037102</v>
      </c>
      <c r="CA11" s="9">
        <f t="shared" si="20"/>
        <v>49.485918641037102</v>
      </c>
      <c r="CB11" s="9">
        <f t="shared" si="20"/>
        <v>49.485918641037102</v>
      </c>
      <c r="CC11" s="5">
        <f t="shared" si="20"/>
        <v>57.621814930710777</v>
      </c>
      <c r="CD11" s="5">
        <f t="shared" si="20"/>
        <v>55.569065713008492</v>
      </c>
      <c r="CE11" s="5">
        <f t="shared" si="20"/>
        <v>55.569065713008492</v>
      </c>
      <c r="CF11" s="5">
        <f t="shared" si="20"/>
        <v>57.627179257934735</v>
      </c>
      <c r="CG11" s="5">
        <f t="shared" si="20"/>
        <v>57.112650871703167</v>
      </c>
      <c r="CH11" s="5">
        <f t="shared" si="20"/>
        <v>59.186410371032636</v>
      </c>
      <c r="CI11" s="5">
        <f t="shared" si="20"/>
        <v>59.170764416629417</v>
      </c>
      <c r="CJ11" s="5">
        <f t="shared" si="20"/>
        <v>59.170764416629417</v>
      </c>
      <c r="CK11" s="5">
        <f t="shared" si="20"/>
        <v>58.141707644166296</v>
      </c>
      <c r="CL11" s="66">
        <f t="shared" ref="CL11:CX11" si="21">CL9/2.237</f>
        <v>87.438533750558776</v>
      </c>
      <c r="CM11" s="66">
        <f t="shared" si="21"/>
        <v>80.464908359409918</v>
      </c>
      <c r="CN11" s="66">
        <f t="shared" si="21"/>
        <v>80.464908359409918</v>
      </c>
      <c r="CO11" s="66">
        <f t="shared" si="21"/>
        <v>91.640590075994638</v>
      </c>
      <c r="CP11" s="66">
        <f t="shared" si="21"/>
        <v>91.640590075994638</v>
      </c>
      <c r="CQ11" s="66">
        <f t="shared" si="21"/>
        <v>91.640590075994638</v>
      </c>
      <c r="CR11" s="66">
        <f t="shared" si="21"/>
        <v>91.640590075994638</v>
      </c>
      <c r="CS11" s="66">
        <f t="shared" si="21"/>
        <v>91.640590075994638</v>
      </c>
      <c r="CT11" s="66">
        <f t="shared" si="21"/>
        <v>91.640590075994638</v>
      </c>
      <c r="CU11" s="66">
        <f t="shared" si="21"/>
        <v>91.640590075994638</v>
      </c>
      <c r="CV11" s="66">
        <f t="shared" si="21"/>
        <v>91.640590075994638</v>
      </c>
      <c r="CW11" s="66">
        <f t="shared" si="21"/>
        <v>87.974966472954847</v>
      </c>
      <c r="CX11" s="66">
        <f t="shared" si="21"/>
        <v>87.974966472954847</v>
      </c>
      <c r="CY11" s="66">
        <f>CY9/2.237</f>
        <v>87.974966472954847</v>
      </c>
      <c r="CZ11" s="66">
        <f t="shared" ref="CZ11" si="22">CZ9/2.237</f>
        <v>95.702279839070187</v>
      </c>
      <c r="DA11" s="66">
        <f>DA9/2.237</f>
        <v>80.464908359409918</v>
      </c>
      <c r="DB11" s="66">
        <f>DB9/2.237</f>
        <v>82.324541797049619</v>
      </c>
      <c r="DC11" s="66">
        <f>DC9/2.237</f>
        <v>82.324541797049619</v>
      </c>
      <c r="DD11" s="66">
        <f>DD9/2.237</f>
        <v>82.324541797049619</v>
      </c>
      <c r="DE11" s="66">
        <f>DE9/2.237</f>
        <v>82.324541797049619</v>
      </c>
      <c r="DF11" s="66">
        <f t="shared" ref="DF11:DG11" si="23">DF9/2.237</f>
        <v>80.464908359409918</v>
      </c>
      <c r="DG11" s="66">
        <f t="shared" si="23"/>
        <v>80.464908359409918</v>
      </c>
      <c r="DH11" s="80">
        <f>DH9/2.237</f>
        <v>97.004917299955295</v>
      </c>
      <c r="DI11" s="80">
        <f t="shared" ref="DI11:DM11" si="24">DI9/2.237</f>
        <v>97.004917299955295</v>
      </c>
      <c r="DJ11" s="66">
        <f t="shared" si="24"/>
        <v>97.004917299955295</v>
      </c>
      <c r="DK11" s="66">
        <f t="shared" si="24"/>
        <v>97.004917299955295</v>
      </c>
      <c r="DL11" s="66">
        <f t="shared" ref="DL11" si="25">DL9/2.237</f>
        <v>96.110862762628514</v>
      </c>
      <c r="DM11" s="66">
        <f t="shared" si="24"/>
        <v>91.640590075994638</v>
      </c>
      <c r="DN11" s="66">
        <f>DN9/2.237</f>
        <v>77.201609298167185</v>
      </c>
      <c r="DO11" s="80">
        <f t="shared" ref="DO11:DQ11" si="26">DO9/2.237</f>
        <v>87.974966472954847</v>
      </c>
      <c r="DP11" s="80">
        <f t="shared" si="26"/>
        <v>87.974966472954847</v>
      </c>
      <c r="DQ11" s="80">
        <f t="shared" si="26"/>
        <v>87.974966472954847</v>
      </c>
      <c r="DV11" s="149"/>
      <c r="DY11" s="149"/>
    </row>
    <row r="12" spans="1:129">
      <c r="A12" s="72" t="s">
        <v>2383</v>
      </c>
      <c r="B12" s="81">
        <v>0.18</v>
      </c>
      <c r="C12" s="81">
        <v>0.18</v>
      </c>
      <c r="D12" s="81">
        <v>0.19</v>
      </c>
      <c r="E12" s="81">
        <v>0.19</v>
      </c>
      <c r="F12" s="81">
        <v>0.19</v>
      </c>
      <c r="G12" s="82"/>
      <c r="H12" s="81">
        <v>0.31</v>
      </c>
      <c r="I12" s="81">
        <v>0.18</v>
      </c>
      <c r="J12" s="81">
        <v>0.18</v>
      </c>
      <c r="K12" s="81">
        <v>0.16</v>
      </c>
      <c r="L12" s="81">
        <v>0.16</v>
      </c>
      <c r="M12" s="81">
        <v>0.23</v>
      </c>
      <c r="N12" s="81">
        <v>0.27</v>
      </c>
      <c r="O12" s="81">
        <v>0.22</v>
      </c>
      <c r="P12" s="81">
        <v>0.31</v>
      </c>
      <c r="Q12" s="81">
        <v>0.3</v>
      </c>
      <c r="R12" s="81">
        <v>0.25</v>
      </c>
      <c r="S12" s="81">
        <v>0.26</v>
      </c>
      <c r="T12" s="81">
        <v>0.25</v>
      </c>
      <c r="U12" s="81">
        <v>0.26</v>
      </c>
      <c r="V12" s="81">
        <v>0.23</v>
      </c>
      <c r="W12" s="81">
        <v>0.27</v>
      </c>
      <c r="X12" s="83">
        <v>0.23</v>
      </c>
      <c r="Y12" s="83">
        <v>0.17</v>
      </c>
      <c r="Z12" s="83">
        <v>0.45</v>
      </c>
      <c r="AA12" s="81">
        <v>0.19</v>
      </c>
      <c r="AB12" s="81">
        <v>0.27</v>
      </c>
      <c r="AC12" s="81">
        <v>0.27</v>
      </c>
      <c r="AD12" s="81">
        <v>0.28000000000000003</v>
      </c>
      <c r="AE12" s="81">
        <v>0.2</v>
      </c>
      <c r="AF12" s="83">
        <v>0.28999999999999998</v>
      </c>
      <c r="AG12" s="81">
        <v>0.2</v>
      </c>
      <c r="AH12" s="83">
        <v>0.24</v>
      </c>
      <c r="AI12" s="84"/>
      <c r="AJ12" s="84"/>
      <c r="AK12" s="83">
        <v>0.49</v>
      </c>
      <c r="AL12" s="85"/>
      <c r="AM12" s="81">
        <v>0.22</v>
      </c>
      <c r="AN12" s="81">
        <v>0.28000000000000003</v>
      </c>
      <c r="AO12" s="83">
        <v>0.3</v>
      </c>
      <c r="AP12" s="81">
        <v>0.19</v>
      </c>
      <c r="AQ12" s="81">
        <v>0.17</v>
      </c>
      <c r="AR12" s="81">
        <v>0.17</v>
      </c>
      <c r="AS12" s="81">
        <v>0.22700000000000001</v>
      </c>
      <c r="AT12" s="81">
        <v>0.23100000000000001</v>
      </c>
      <c r="AU12" s="117">
        <v>0.22</v>
      </c>
      <c r="AV12" s="118">
        <v>0.23</v>
      </c>
      <c r="AW12" s="83">
        <v>0.28999999999999998</v>
      </c>
      <c r="AX12" s="81">
        <v>0.25</v>
      </c>
      <c r="AY12" s="83">
        <v>0.22500000000000001</v>
      </c>
      <c r="AZ12" s="81">
        <v>0.45</v>
      </c>
      <c r="BA12" s="81">
        <v>0.41</v>
      </c>
      <c r="BB12" s="86">
        <v>0.27500000000000002</v>
      </c>
      <c r="BC12" s="86">
        <v>0.26</v>
      </c>
      <c r="BD12" s="81">
        <v>0.38</v>
      </c>
      <c r="BE12" s="81">
        <v>0.28999999999999998</v>
      </c>
      <c r="BF12" s="81">
        <v>0.48</v>
      </c>
      <c r="BG12" s="81">
        <v>0.67</v>
      </c>
      <c r="BH12" s="84"/>
      <c r="BI12" s="81">
        <v>0.4</v>
      </c>
      <c r="BJ12" s="83">
        <v>0.14899999999999999</v>
      </c>
      <c r="BK12" s="81">
        <v>0.52</v>
      </c>
      <c r="BL12" s="83">
        <v>0.53</v>
      </c>
      <c r="BM12" s="83">
        <v>0.47</v>
      </c>
      <c r="BN12" s="81">
        <v>0.52</v>
      </c>
      <c r="BO12" s="81">
        <v>0.41</v>
      </c>
      <c r="BP12" s="81">
        <v>0.47</v>
      </c>
      <c r="BQ12" s="81">
        <v>0.27</v>
      </c>
      <c r="BR12" s="11">
        <v>0.56000000000000005</v>
      </c>
      <c r="BS12" s="11">
        <v>0.48</v>
      </c>
      <c r="BT12" s="11">
        <v>0.48</v>
      </c>
      <c r="BU12" s="11">
        <v>0.32</v>
      </c>
      <c r="BV12" s="11">
        <v>0.48</v>
      </c>
      <c r="BW12" s="11">
        <v>0.48</v>
      </c>
      <c r="BX12" s="11">
        <v>0.45</v>
      </c>
      <c r="BY12" s="11">
        <v>0.45</v>
      </c>
      <c r="BZ12" s="11">
        <v>0.45</v>
      </c>
      <c r="CA12" s="11">
        <v>0.45</v>
      </c>
      <c r="CB12" s="11">
        <v>0.45</v>
      </c>
      <c r="CC12" s="12">
        <v>0.5</v>
      </c>
      <c r="CD12" s="17"/>
      <c r="CE12" s="17"/>
      <c r="CF12" s="17"/>
      <c r="CG12" s="17"/>
      <c r="CH12" s="12">
        <v>0.46</v>
      </c>
      <c r="CI12" s="17"/>
      <c r="CJ12" s="17"/>
      <c r="CK12" s="17"/>
      <c r="CL12" s="66">
        <v>0.84</v>
      </c>
      <c r="CM12" s="66">
        <v>0.84</v>
      </c>
      <c r="CN12" s="66">
        <v>0.84</v>
      </c>
      <c r="CO12" s="66">
        <v>0.83</v>
      </c>
      <c r="CP12" s="66">
        <v>0.83</v>
      </c>
      <c r="CQ12" s="66">
        <v>0.82</v>
      </c>
      <c r="CR12" s="66">
        <v>0.82</v>
      </c>
      <c r="CS12" s="66">
        <v>0.82</v>
      </c>
      <c r="CT12" s="66">
        <v>0.82</v>
      </c>
      <c r="CU12" s="66">
        <v>0.82</v>
      </c>
      <c r="CV12" s="66">
        <v>0.82</v>
      </c>
      <c r="CW12" s="66">
        <v>0.85</v>
      </c>
      <c r="CX12" s="66">
        <v>0.85</v>
      </c>
      <c r="CY12" s="66">
        <v>0.85</v>
      </c>
      <c r="CZ12" s="66">
        <v>0.82</v>
      </c>
      <c r="DA12" s="66">
        <v>0.8</v>
      </c>
      <c r="DB12" s="66">
        <v>0.8</v>
      </c>
      <c r="DC12" s="66">
        <v>0.8</v>
      </c>
      <c r="DD12" s="66">
        <v>0.8</v>
      </c>
      <c r="DE12" s="66">
        <v>0.8</v>
      </c>
      <c r="DF12" s="66">
        <v>0.85</v>
      </c>
      <c r="DG12" s="66">
        <v>0.85</v>
      </c>
      <c r="DH12" s="66">
        <v>0.82</v>
      </c>
      <c r="DI12" s="66">
        <v>0.82</v>
      </c>
      <c r="DJ12" s="66">
        <v>0.82</v>
      </c>
      <c r="DK12" s="66">
        <v>0.82</v>
      </c>
      <c r="DL12" s="66">
        <v>0.83</v>
      </c>
      <c r="DM12" s="66">
        <v>0.82</v>
      </c>
      <c r="DN12" s="66">
        <v>0.82</v>
      </c>
      <c r="DO12" s="66">
        <v>0.86</v>
      </c>
      <c r="DP12" s="66">
        <v>0.86</v>
      </c>
      <c r="DQ12" s="66">
        <v>0.86</v>
      </c>
      <c r="DV12" s="149"/>
      <c r="DY12" s="149"/>
    </row>
    <row r="13" spans="1:129">
      <c r="A13" s="72" t="s">
        <v>2384</v>
      </c>
      <c r="B13" s="87">
        <v>210.8</v>
      </c>
      <c r="C13" s="87">
        <v>209.2</v>
      </c>
      <c r="D13" s="88">
        <v>222.24</v>
      </c>
      <c r="E13" s="89">
        <v>229.64</v>
      </c>
      <c r="F13" s="89">
        <v>225.94400000000002</v>
      </c>
      <c r="G13" s="89">
        <v>351.88</v>
      </c>
      <c r="H13" s="87">
        <v>357.43599999999998</v>
      </c>
      <c r="I13" s="87">
        <v>210.8</v>
      </c>
      <c r="J13" s="87">
        <v>212.38800000000001</v>
      </c>
      <c r="K13" s="87">
        <v>193.08</v>
      </c>
      <c r="L13" s="87">
        <v>188.25299999999999</v>
      </c>
      <c r="M13" s="87">
        <v>274.096</v>
      </c>
      <c r="N13" s="87">
        <v>324.10000000000002</v>
      </c>
      <c r="O13" s="87">
        <v>262.267</v>
      </c>
      <c r="P13" s="87">
        <v>357.19799999999998</v>
      </c>
      <c r="Q13" s="88">
        <v>359.28800000000001</v>
      </c>
      <c r="R13" s="88">
        <v>305.70999999999998</v>
      </c>
      <c r="S13" s="88">
        <v>308.928</v>
      </c>
      <c r="T13" s="87">
        <v>302.49200000000002</v>
      </c>
      <c r="U13" s="87">
        <v>305.70999999999998</v>
      </c>
      <c r="V13" s="87">
        <v>272.24400000000003</v>
      </c>
      <c r="W13" s="87">
        <v>303.72800000000001</v>
      </c>
      <c r="X13" s="87">
        <v>268.54000000000002</v>
      </c>
      <c r="Y13" s="87">
        <v>201.9</v>
      </c>
      <c r="Z13" s="87">
        <v>479.66800000000001</v>
      </c>
      <c r="AA13" s="89">
        <v>226</v>
      </c>
      <c r="AB13" s="88">
        <v>262.98399999999998</v>
      </c>
      <c r="AC13" s="89">
        <v>305.58</v>
      </c>
      <c r="AD13" s="89">
        <v>316.69200000000001</v>
      </c>
      <c r="AE13" s="76">
        <v>240.76000000000002</v>
      </c>
      <c r="AF13" s="89">
        <v>335</v>
      </c>
      <c r="AG13" s="88">
        <v>233.352</v>
      </c>
      <c r="AH13" s="88">
        <v>277.8</v>
      </c>
      <c r="AI13" s="89">
        <v>170</v>
      </c>
      <c r="AJ13" s="76">
        <v>160</v>
      </c>
      <c r="AK13" s="89">
        <v>537</v>
      </c>
      <c r="AL13" s="89">
        <v>395</v>
      </c>
      <c r="AM13" s="76">
        <v>267.09399999999999</v>
      </c>
      <c r="AN13" s="76">
        <v>250</v>
      </c>
      <c r="AO13" s="76">
        <v>228</v>
      </c>
      <c r="AP13" s="76">
        <v>233</v>
      </c>
      <c r="AQ13" s="76">
        <v>203</v>
      </c>
      <c r="AR13" s="76">
        <v>237</v>
      </c>
      <c r="AS13" s="76">
        <v>270.37</v>
      </c>
      <c r="AT13" s="76">
        <v>275.19799999999998</v>
      </c>
      <c r="AU13" s="119">
        <v>256</v>
      </c>
      <c r="AV13" s="120">
        <v>257</v>
      </c>
      <c r="AW13" s="76">
        <v>335.21199999999999</v>
      </c>
      <c r="AX13" s="76">
        <v>296.32</v>
      </c>
      <c r="AY13" s="76">
        <v>265</v>
      </c>
      <c r="AZ13" s="76">
        <v>444</v>
      </c>
      <c r="BA13" s="76">
        <v>356</v>
      </c>
      <c r="BB13" s="76">
        <v>322</v>
      </c>
      <c r="BC13" s="87">
        <v>294</v>
      </c>
      <c r="BD13" s="76">
        <v>407</v>
      </c>
      <c r="BE13" s="76">
        <v>337.1</v>
      </c>
      <c r="BF13" s="76">
        <v>537</v>
      </c>
      <c r="BG13" s="76">
        <v>732</v>
      </c>
      <c r="BH13" s="76">
        <v>350</v>
      </c>
      <c r="BI13" s="87">
        <v>444.5</v>
      </c>
      <c r="BJ13" s="87">
        <v>174.94</v>
      </c>
      <c r="BK13" s="76">
        <v>578</v>
      </c>
      <c r="BL13" s="76">
        <v>561.15600000000006</v>
      </c>
      <c r="BM13" s="76">
        <v>574</v>
      </c>
      <c r="BN13" s="89">
        <v>574.12</v>
      </c>
      <c r="BO13" s="89">
        <v>440.77600000000001</v>
      </c>
      <c r="BP13" s="87">
        <v>555.6</v>
      </c>
      <c r="BQ13" s="89">
        <v>322</v>
      </c>
      <c r="BR13" s="13">
        <v>620</v>
      </c>
      <c r="BS13" s="13">
        <v>537</v>
      </c>
      <c r="BT13" s="13">
        <v>530</v>
      </c>
      <c r="BU13" s="13">
        <v>360</v>
      </c>
      <c r="BV13" s="13">
        <v>535</v>
      </c>
      <c r="BW13" s="13">
        <v>536</v>
      </c>
      <c r="BX13" s="13">
        <v>502</v>
      </c>
      <c r="BY13" s="13">
        <v>537.08000000000004</v>
      </c>
      <c r="BZ13" s="13">
        <v>537.08000000000004</v>
      </c>
      <c r="CA13" s="13">
        <v>537.08000000000004</v>
      </c>
      <c r="CB13" s="13">
        <v>537.08000000000004</v>
      </c>
      <c r="CC13" s="14">
        <v>555.6</v>
      </c>
      <c r="CD13" s="14">
        <v>492.63200000000001</v>
      </c>
      <c r="CE13" s="14">
        <v>500</v>
      </c>
      <c r="CF13" s="14">
        <v>556</v>
      </c>
      <c r="CG13" s="14">
        <v>484</v>
      </c>
      <c r="CH13" s="14">
        <v>509.3</v>
      </c>
      <c r="CI13" s="14">
        <v>510</v>
      </c>
      <c r="CJ13" s="14">
        <v>515</v>
      </c>
      <c r="CK13" s="14">
        <v>517</v>
      </c>
      <c r="CL13" s="76">
        <v>900</v>
      </c>
      <c r="CM13" s="76">
        <v>900</v>
      </c>
      <c r="CN13" s="76">
        <v>900</v>
      </c>
      <c r="CO13" s="76">
        <v>890</v>
      </c>
      <c r="CP13" s="76">
        <v>848</v>
      </c>
      <c r="CQ13" s="76">
        <v>907.48</v>
      </c>
      <c r="CR13" s="76">
        <v>907.48</v>
      </c>
      <c r="CS13" s="76">
        <v>907.48</v>
      </c>
      <c r="CT13" s="76">
        <v>907.48</v>
      </c>
      <c r="CU13" s="76">
        <v>907.48</v>
      </c>
      <c r="CV13" s="76">
        <v>907.48</v>
      </c>
      <c r="CW13" s="76">
        <v>910</v>
      </c>
      <c r="CX13" s="76">
        <v>910</v>
      </c>
      <c r="CY13" s="76">
        <v>910</v>
      </c>
      <c r="CZ13" s="109">
        <v>875</v>
      </c>
      <c r="DA13" s="76">
        <v>852</v>
      </c>
      <c r="DB13" s="76">
        <v>852</v>
      </c>
      <c r="DC13" s="76">
        <v>852</v>
      </c>
      <c r="DD13" s="76">
        <v>851.92000000000007</v>
      </c>
      <c r="DE13" s="76">
        <v>851.92000000000007</v>
      </c>
      <c r="DF13" s="76">
        <v>906</v>
      </c>
      <c r="DG13" s="76">
        <v>906</v>
      </c>
      <c r="DH13" s="76">
        <v>908</v>
      </c>
      <c r="DI13" s="76">
        <v>908</v>
      </c>
      <c r="DJ13" s="76">
        <v>907</v>
      </c>
      <c r="DK13" s="76">
        <v>907</v>
      </c>
      <c r="DL13" s="76">
        <v>906</v>
      </c>
      <c r="DM13" s="76">
        <v>922</v>
      </c>
      <c r="DN13" s="76">
        <v>875</v>
      </c>
      <c r="DO13" s="76">
        <v>912</v>
      </c>
      <c r="DP13" s="76">
        <v>912</v>
      </c>
      <c r="DQ13" s="76">
        <v>912</v>
      </c>
      <c r="DV13" s="149"/>
      <c r="DY13" s="149"/>
    </row>
    <row r="14" spans="1:129">
      <c r="A14" s="72" t="s">
        <v>2385</v>
      </c>
      <c r="B14" s="87">
        <f>B13/3.6</f>
        <v>58.555555555555557</v>
      </c>
      <c r="C14" s="87">
        <f t="shared" ref="C14:S14" si="27">C13/3.6</f>
        <v>58.111111111111107</v>
      </c>
      <c r="D14" s="88">
        <f t="shared" si="27"/>
        <v>61.733333333333334</v>
      </c>
      <c r="E14" s="89">
        <f t="shared" si="27"/>
        <v>63.788888888888884</v>
      </c>
      <c r="F14" s="89">
        <f t="shared" si="27"/>
        <v>62.762222222222228</v>
      </c>
      <c r="G14" s="89">
        <f t="shared" si="27"/>
        <v>97.74444444444444</v>
      </c>
      <c r="H14" s="87">
        <f t="shared" si="27"/>
        <v>99.287777777777762</v>
      </c>
      <c r="I14" s="87">
        <f t="shared" si="27"/>
        <v>58.555555555555557</v>
      </c>
      <c r="J14" s="87">
        <f t="shared" si="27"/>
        <v>58.99666666666667</v>
      </c>
      <c r="K14" s="87">
        <f t="shared" si="27"/>
        <v>53.633333333333333</v>
      </c>
      <c r="L14" s="87">
        <f t="shared" si="27"/>
        <v>52.292499999999997</v>
      </c>
      <c r="M14" s="87">
        <f t="shared" si="27"/>
        <v>76.137777777777771</v>
      </c>
      <c r="N14" s="87">
        <f t="shared" si="27"/>
        <v>90.027777777777786</v>
      </c>
      <c r="O14" s="87">
        <f t="shared" si="27"/>
        <v>72.851944444444442</v>
      </c>
      <c r="P14" s="87">
        <f t="shared" si="27"/>
        <v>99.221666666666664</v>
      </c>
      <c r="Q14" s="88">
        <f t="shared" si="27"/>
        <v>99.802222222222227</v>
      </c>
      <c r="R14" s="88">
        <f t="shared" si="27"/>
        <v>84.919444444444437</v>
      </c>
      <c r="S14" s="88">
        <f t="shared" si="27"/>
        <v>85.813333333333333</v>
      </c>
      <c r="T14" s="87">
        <f t="shared" ref="T14:U14" si="28">T13/3.6</f>
        <v>84.025555555555556</v>
      </c>
      <c r="U14" s="87">
        <f t="shared" si="28"/>
        <v>84.919444444444437</v>
      </c>
      <c r="V14" s="87">
        <f t="shared" ref="V14:AR14" si="29">V13/3.6</f>
        <v>75.623333333333335</v>
      </c>
      <c r="W14" s="87">
        <f t="shared" si="29"/>
        <v>84.36888888888889</v>
      </c>
      <c r="X14" s="87">
        <f t="shared" si="29"/>
        <v>74.594444444444449</v>
      </c>
      <c r="Y14" s="87">
        <f t="shared" si="29"/>
        <v>56.083333333333336</v>
      </c>
      <c r="Z14" s="87">
        <f t="shared" si="29"/>
        <v>133.24111111111111</v>
      </c>
      <c r="AA14" s="89">
        <f t="shared" si="29"/>
        <v>62.777777777777779</v>
      </c>
      <c r="AB14" s="88">
        <f t="shared" si="29"/>
        <v>73.051111111111098</v>
      </c>
      <c r="AC14" s="89">
        <f t="shared" si="29"/>
        <v>84.883333333333326</v>
      </c>
      <c r="AD14" s="89">
        <f t="shared" si="29"/>
        <v>87.97</v>
      </c>
      <c r="AE14" s="76">
        <f t="shared" si="29"/>
        <v>66.87777777777778</v>
      </c>
      <c r="AF14" s="89">
        <f t="shared" si="29"/>
        <v>93.055555555555557</v>
      </c>
      <c r="AG14" s="88">
        <f t="shared" si="29"/>
        <v>64.819999999999993</v>
      </c>
      <c r="AH14" s="88">
        <f t="shared" si="29"/>
        <v>77.166666666666671</v>
      </c>
      <c r="AI14" s="89">
        <f t="shared" si="29"/>
        <v>47.222222222222221</v>
      </c>
      <c r="AJ14" s="76">
        <f t="shared" si="29"/>
        <v>44.444444444444443</v>
      </c>
      <c r="AK14" s="89">
        <f t="shared" si="29"/>
        <v>149.16666666666666</v>
      </c>
      <c r="AL14" s="89">
        <f t="shared" si="29"/>
        <v>109.72222222222221</v>
      </c>
      <c r="AM14" s="76">
        <f t="shared" si="29"/>
        <v>74.192777777777778</v>
      </c>
      <c r="AN14" s="76">
        <f t="shared" si="29"/>
        <v>69.444444444444443</v>
      </c>
      <c r="AO14" s="76">
        <f t="shared" si="29"/>
        <v>63.333333333333329</v>
      </c>
      <c r="AP14" s="76">
        <f t="shared" si="29"/>
        <v>64.722222222222214</v>
      </c>
      <c r="AQ14" s="76">
        <f t="shared" si="29"/>
        <v>56.388888888888886</v>
      </c>
      <c r="AR14" s="76">
        <f t="shared" si="29"/>
        <v>65.833333333333329</v>
      </c>
      <c r="AS14" s="76">
        <f t="shared" ref="AS14:AT14" si="30">AS13/3.6</f>
        <v>75.102777777777774</v>
      </c>
      <c r="AT14" s="76">
        <f t="shared" si="30"/>
        <v>76.443888888888878</v>
      </c>
      <c r="AU14" s="119">
        <f t="shared" ref="AU14" si="31">AU13/3.6</f>
        <v>71.111111111111114</v>
      </c>
      <c r="AV14" s="120">
        <f t="shared" ref="AV14:AW14" si="32">AV13/3.6</f>
        <v>71.388888888888886</v>
      </c>
      <c r="AW14" s="76">
        <f t="shared" si="32"/>
        <v>93.114444444444445</v>
      </c>
      <c r="AX14" s="76">
        <f t="shared" ref="AX14" si="33">AX13/3.6</f>
        <v>82.311111111111103</v>
      </c>
      <c r="AY14" s="76">
        <f t="shared" ref="AY14" si="34">AY13/3.6</f>
        <v>73.611111111111114</v>
      </c>
      <c r="AZ14" s="76">
        <f t="shared" ref="AZ14:CK14" si="35">AZ13/3.6</f>
        <v>123.33333333333333</v>
      </c>
      <c r="BA14" s="76">
        <f t="shared" si="35"/>
        <v>98.888888888888886</v>
      </c>
      <c r="BB14" s="76">
        <f t="shared" si="35"/>
        <v>89.444444444444443</v>
      </c>
      <c r="BC14" s="87">
        <f t="shared" si="35"/>
        <v>81.666666666666671</v>
      </c>
      <c r="BD14" s="76">
        <f t="shared" si="35"/>
        <v>113.05555555555556</v>
      </c>
      <c r="BE14" s="76">
        <f t="shared" si="35"/>
        <v>93.6388888888889</v>
      </c>
      <c r="BF14" s="76">
        <f t="shared" si="35"/>
        <v>149.16666666666666</v>
      </c>
      <c r="BG14" s="76">
        <f t="shared" si="35"/>
        <v>203.33333333333331</v>
      </c>
      <c r="BH14" s="76">
        <f t="shared" si="35"/>
        <v>97.222222222222214</v>
      </c>
      <c r="BI14" s="87">
        <f t="shared" si="35"/>
        <v>123.47222222222221</v>
      </c>
      <c r="BJ14" s="87">
        <f t="shared" si="35"/>
        <v>48.594444444444441</v>
      </c>
      <c r="BK14" s="76">
        <f t="shared" si="35"/>
        <v>160.55555555555554</v>
      </c>
      <c r="BL14" s="76">
        <f t="shared" si="35"/>
        <v>155.87666666666669</v>
      </c>
      <c r="BM14" s="76">
        <f t="shared" si="35"/>
        <v>159.44444444444443</v>
      </c>
      <c r="BN14" s="89">
        <f t="shared" si="35"/>
        <v>159.47777777777779</v>
      </c>
      <c r="BO14" s="89">
        <f t="shared" si="35"/>
        <v>122.43777777777778</v>
      </c>
      <c r="BP14" s="87">
        <f t="shared" si="35"/>
        <v>154.33333333333334</v>
      </c>
      <c r="BQ14" s="89">
        <f t="shared" si="35"/>
        <v>89.444444444444443</v>
      </c>
      <c r="BR14" s="13">
        <f t="shared" si="35"/>
        <v>172.22222222222223</v>
      </c>
      <c r="BS14" s="13">
        <f t="shared" si="35"/>
        <v>149.16666666666666</v>
      </c>
      <c r="BT14" s="13">
        <f t="shared" si="35"/>
        <v>147.22222222222223</v>
      </c>
      <c r="BU14" s="13">
        <f t="shared" si="35"/>
        <v>100</v>
      </c>
      <c r="BV14" s="13">
        <f t="shared" si="35"/>
        <v>148.61111111111111</v>
      </c>
      <c r="BW14" s="13">
        <f t="shared" si="35"/>
        <v>148.88888888888889</v>
      </c>
      <c r="BX14" s="13">
        <f t="shared" si="35"/>
        <v>139.44444444444443</v>
      </c>
      <c r="BY14" s="13">
        <f t="shared" si="35"/>
        <v>149.1888888888889</v>
      </c>
      <c r="BZ14" s="13">
        <f t="shared" si="35"/>
        <v>149.1888888888889</v>
      </c>
      <c r="CA14" s="13">
        <f t="shared" si="35"/>
        <v>149.1888888888889</v>
      </c>
      <c r="CB14" s="13">
        <f t="shared" si="35"/>
        <v>149.1888888888889</v>
      </c>
      <c r="CC14" s="14">
        <f t="shared" si="35"/>
        <v>154.33333333333334</v>
      </c>
      <c r="CD14" s="14">
        <f t="shared" si="35"/>
        <v>136.84222222222223</v>
      </c>
      <c r="CE14" s="14">
        <f t="shared" si="35"/>
        <v>138.88888888888889</v>
      </c>
      <c r="CF14" s="14">
        <f t="shared" si="35"/>
        <v>154.44444444444443</v>
      </c>
      <c r="CG14" s="14">
        <f t="shared" si="35"/>
        <v>134.44444444444443</v>
      </c>
      <c r="CH14" s="14">
        <f t="shared" si="35"/>
        <v>141.47222222222223</v>
      </c>
      <c r="CI14" s="14">
        <f t="shared" si="35"/>
        <v>141.66666666666666</v>
      </c>
      <c r="CJ14" s="14">
        <f t="shared" si="35"/>
        <v>143.05555555555554</v>
      </c>
      <c r="CK14" s="14">
        <f t="shared" si="35"/>
        <v>143.61111111111111</v>
      </c>
      <c r="CL14" s="76">
        <f t="shared" ref="CL14:CX14" si="36">CL13/3.6</f>
        <v>250</v>
      </c>
      <c r="CM14" s="76">
        <f t="shared" si="36"/>
        <v>250</v>
      </c>
      <c r="CN14" s="76">
        <f t="shared" si="36"/>
        <v>250</v>
      </c>
      <c r="CO14" s="76">
        <f t="shared" si="36"/>
        <v>247.22222222222223</v>
      </c>
      <c r="CP14" s="76">
        <f t="shared" si="36"/>
        <v>235.55555555555554</v>
      </c>
      <c r="CQ14" s="76">
        <f t="shared" si="36"/>
        <v>252.07777777777778</v>
      </c>
      <c r="CR14" s="76">
        <f t="shared" si="36"/>
        <v>252.07777777777778</v>
      </c>
      <c r="CS14" s="76">
        <f t="shared" si="36"/>
        <v>252.07777777777778</v>
      </c>
      <c r="CT14" s="76">
        <f t="shared" si="36"/>
        <v>252.07777777777778</v>
      </c>
      <c r="CU14" s="76">
        <f t="shared" si="36"/>
        <v>252.07777777777778</v>
      </c>
      <c r="CV14" s="76">
        <f t="shared" si="36"/>
        <v>252.07777777777778</v>
      </c>
      <c r="CW14" s="76">
        <f t="shared" si="36"/>
        <v>252.77777777777777</v>
      </c>
      <c r="CX14" s="76">
        <f t="shared" si="36"/>
        <v>252.77777777777777</v>
      </c>
      <c r="CY14" s="76">
        <f t="shared" ref="CY14:DK14" si="37">CY13/3.6</f>
        <v>252.77777777777777</v>
      </c>
      <c r="CZ14" s="109">
        <f t="shared" si="37"/>
        <v>243.05555555555554</v>
      </c>
      <c r="DA14" s="76">
        <f t="shared" si="37"/>
        <v>236.66666666666666</v>
      </c>
      <c r="DB14" s="76">
        <f t="shared" si="37"/>
        <v>236.66666666666666</v>
      </c>
      <c r="DC14" s="76">
        <f t="shared" si="37"/>
        <v>236.66666666666666</v>
      </c>
      <c r="DD14" s="76">
        <f t="shared" si="37"/>
        <v>236.64444444444445</v>
      </c>
      <c r="DE14" s="76">
        <f t="shared" si="37"/>
        <v>236.64444444444445</v>
      </c>
      <c r="DF14" s="76">
        <f t="shared" si="37"/>
        <v>251.66666666666666</v>
      </c>
      <c r="DG14" s="76">
        <f t="shared" si="37"/>
        <v>251.66666666666666</v>
      </c>
      <c r="DH14" s="76">
        <f t="shared" si="37"/>
        <v>252.22222222222223</v>
      </c>
      <c r="DI14" s="76">
        <f t="shared" si="37"/>
        <v>252.22222222222223</v>
      </c>
      <c r="DJ14" s="76">
        <f t="shared" si="37"/>
        <v>251.94444444444443</v>
      </c>
      <c r="DK14" s="76">
        <f t="shared" si="37"/>
        <v>251.94444444444443</v>
      </c>
      <c r="DL14" s="76">
        <f t="shared" ref="DL14" si="38">DL13/3.6</f>
        <v>251.66666666666666</v>
      </c>
      <c r="DM14" s="76">
        <f>DM13/3.6</f>
        <v>256.11111111111109</v>
      </c>
      <c r="DN14" s="76">
        <f>DN13/3.6</f>
        <v>243.05555555555554</v>
      </c>
      <c r="DO14" s="76">
        <f>DO13/3.6</f>
        <v>253.33333333333331</v>
      </c>
      <c r="DP14" s="76">
        <f>DP13/3.6</f>
        <v>253.33333333333331</v>
      </c>
      <c r="DQ14" s="76">
        <f>DQ13/3.6</f>
        <v>253.33333333333331</v>
      </c>
      <c r="DV14" s="149"/>
      <c r="DY14" s="149"/>
    </row>
    <row r="15" spans="1:129">
      <c r="A15" s="72" t="s">
        <v>2386</v>
      </c>
      <c r="B15" s="76">
        <f>B10/B13</f>
        <v>0.45796963946869063</v>
      </c>
      <c r="C15" s="76">
        <f t="shared" ref="C15:S15" si="39">C10/C13</f>
        <v>0.461472275334608</v>
      </c>
      <c r="D15" s="76">
        <f t="shared" si="39"/>
        <v>0.45832318664506833</v>
      </c>
      <c r="E15" s="76">
        <f t="shared" si="39"/>
        <v>0.44351898623933117</v>
      </c>
      <c r="F15" s="76">
        <f t="shared" si="39"/>
        <v>0.45080969178203445</v>
      </c>
      <c r="G15" s="76">
        <f t="shared" si="39"/>
        <v>0.39472810333068092</v>
      </c>
      <c r="H15" s="76">
        <f t="shared" si="39"/>
        <v>0.38859243333072219</v>
      </c>
      <c r="I15" s="76">
        <f t="shared" si="39"/>
        <v>0.45796963946869063</v>
      </c>
      <c r="J15" s="76">
        <f t="shared" si="39"/>
        <v>0.45454545454545447</v>
      </c>
      <c r="K15" s="76">
        <f t="shared" si="39"/>
        <v>0.41666666666666663</v>
      </c>
      <c r="L15" s="76">
        <f t="shared" si="39"/>
        <v>0.47008547008547014</v>
      </c>
      <c r="M15" s="76">
        <f t="shared" si="39"/>
        <v>0.37161339457708248</v>
      </c>
      <c r="N15" s="76">
        <f t="shared" si="39"/>
        <v>0.42856194075902498</v>
      </c>
      <c r="O15" s="76">
        <f t="shared" si="39"/>
        <v>0.36809815950920244</v>
      </c>
      <c r="P15" s="76">
        <f t="shared" si="39"/>
        <v>0.40540540540540543</v>
      </c>
      <c r="Q15" s="76">
        <f t="shared" si="39"/>
        <v>0.4278255800360713</v>
      </c>
      <c r="R15" s="76">
        <f t="shared" si="39"/>
        <v>0.4210526315789474</v>
      </c>
      <c r="S15" s="76">
        <f t="shared" si="39"/>
        <v>0.41666666666666669</v>
      </c>
      <c r="T15" s="76">
        <f t="shared" ref="T15:U15" si="40">T10/T13</f>
        <v>0.42553191489361697</v>
      </c>
      <c r="U15" s="76">
        <f t="shared" si="40"/>
        <v>0.4210526315789474</v>
      </c>
      <c r="V15" s="76">
        <f t="shared" ref="V15:AR15" si="41">V10/V13</f>
        <v>0.34012852441192459</v>
      </c>
      <c r="W15" s="76">
        <f t="shared" si="41"/>
        <v>0.33535842925248904</v>
      </c>
      <c r="X15" s="76">
        <f t="shared" si="41"/>
        <v>0.41378394280181724</v>
      </c>
      <c r="Y15" s="76">
        <f t="shared" si="41"/>
        <v>0.45863273897969298</v>
      </c>
      <c r="Z15" s="76">
        <f t="shared" si="41"/>
        <v>0.3780412702118966</v>
      </c>
      <c r="AA15" s="76">
        <f t="shared" si="41"/>
        <v>0.47345180973451334</v>
      </c>
      <c r="AB15" s="76">
        <f t="shared" si="41"/>
        <v>0.49294683326742322</v>
      </c>
      <c r="AC15" s="76">
        <f t="shared" si="41"/>
        <v>0.44241444793507428</v>
      </c>
      <c r="AD15" s="76">
        <f t="shared" si="41"/>
        <v>0.48536937150291132</v>
      </c>
      <c r="AE15" s="76">
        <f t="shared" si="41"/>
        <v>0.54458461538461533</v>
      </c>
      <c r="AF15" s="76">
        <f t="shared" si="41"/>
        <v>0.37813133014925371</v>
      </c>
      <c r="AG15" s="76">
        <f t="shared" si="41"/>
        <v>0.53173425983064215</v>
      </c>
      <c r="AH15" s="76">
        <f t="shared" si="41"/>
        <v>0.44665677825773936</v>
      </c>
      <c r="AI15" s="76">
        <f t="shared" si="41"/>
        <v>0.41171470588235293</v>
      </c>
      <c r="AJ15" s="76">
        <f t="shared" si="41"/>
        <v>0.5</v>
      </c>
      <c r="AK15" s="76">
        <f t="shared" si="41"/>
        <v>0.46212757169459961</v>
      </c>
      <c r="AL15" s="76">
        <f t="shared" si="41"/>
        <v>0.32631986430379739</v>
      </c>
      <c r="AM15" s="76">
        <f t="shared" si="41"/>
        <v>0.39156626506024095</v>
      </c>
      <c r="AN15" s="76">
        <f t="shared" si="41"/>
        <v>0.48269999999999996</v>
      </c>
      <c r="AO15" s="76">
        <f t="shared" si="41"/>
        <v>0.4869342105263158</v>
      </c>
      <c r="AP15" s="76">
        <f t="shared" si="41"/>
        <v>0.43712317596566524</v>
      </c>
      <c r="AQ15" s="76">
        <f t="shared" si="41"/>
        <v>0.47556650246305415</v>
      </c>
      <c r="AR15" s="76">
        <f t="shared" si="41"/>
        <v>0.46885037974683547</v>
      </c>
      <c r="AS15" s="76">
        <f t="shared" ref="AS15:AT15" si="42">AS10/AS13</f>
        <v>0.4165772829825794</v>
      </c>
      <c r="AT15" s="76">
        <f t="shared" si="42"/>
        <v>0.374188765906729</v>
      </c>
      <c r="AU15" s="121">
        <f t="shared" ref="AU15:AV15" si="43">AU10/AU13</f>
        <v>0.38341338671874997</v>
      </c>
      <c r="AV15" s="122">
        <f t="shared" si="43"/>
        <v>0.41074577042801552</v>
      </c>
      <c r="AW15" s="76">
        <f t="shared" ref="AW15:AY15" si="44">AW10/AW13</f>
        <v>0.40799553715260789</v>
      </c>
      <c r="AX15" s="76">
        <f t="shared" ref="AX15" si="45">AX10/AX13</f>
        <v>0.46154495140388763</v>
      </c>
      <c r="AY15" s="76">
        <f t="shared" si="44"/>
        <v>0.4978792452830188</v>
      </c>
      <c r="AZ15" s="76">
        <f t="shared" ref="AZ15:BQ15" si="46">AZ10/AZ13</f>
        <v>0.34209369369369369</v>
      </c>
      <c r="BA15" s="76">
        <f t="shared" si="46"/>
        <v>0.49420254213483145</v>
      </c>
      <c r="BB15" s="76">
        <f t="shared" si="46"/>
        <v>0.40274968944099376</v>
      </c>
      <c r="BC15" s="76">
        <f t="shared" si="46"/>
        <v>0.48488911564625853</v>
      </c>
      <c r="BD15" s="76">
        <f t="shared" si="46"/>
        <v>0.35484972972972978</v>
      </c>
      <c r="BE15" s="76">
        <f t="shared" si="46"/>
        <v>0.38089053693266089</v>
      </c>
      <c r="BF15" s="76">
        <f t="shared" si="46"/>
        <v>0.32359776536312845</v>
      </c>
      <c r="BG15" s="76">
        <f t="shared" si="46"/>
        <v>0.27080437158469944</v>
      </c>
      <c r="BH15" s="76">
        <f t="shared" si="46"/>
        <v>0.49051514285714293</v>
      </c>
      <c r="BI15" s="76">
        <f t="shared" si="46"/>
        <v>0.35835995500562429</v>
      </c>
      <c r="BJ15" s="76">
        <f t="shared" si="46"/>
        <v>0.59283013604664458</v>
      </c>
      <c r="BK15" s="76">
        <f t="shared" si="46"/>
        <v>0.28533304498269896</v>
      </c>
      <c r="BL15" s="76">
        <f t="shared" si="46"/>
        <v>0.29017029132718886</v>
      </c>
      <c r="BM15" s="76">
        <f t="shared" si="46"/>
        <v>0.28367735191637633</v>
      </c>
      <c r="BN15" s="76">
        <f t="shared" si="46"/>
        <v>0.26624224900717619</v>
      </c>
      <c r="BO15" s="76">
        <f t="shared" si="46"/>
        <v>0.22324119371290629</v>
      </c>
      <c r="BP15" s="76">
        <f t="shared" si="46"/>
        <v>0.31599300431965444</v>
      </c>
      <c r="BQ15" s="76">
        <f t="shared" si="46"/>
        <v>0.4312319875776397</v>
      </c>
      <c r="BR15" s="9">
        <f>BR10/BR13</f>
        <v>0.32857337096774192</v>
      </c>
      <c r="BS15" s="148"/>
      <c r="BT15" s="148"/>
      <c r="BU15" s="148"/>
      <c r="BV15" s="148"/>
      <c r="BW15" s="148"/>
      <c r="BX15" s="9">
        <f t="shared" ref="BX15:CO15" si="47">BX10/BX13</f>
        <v>0.46039195219123502</v>
      </c>
      <c r="BY15" s="9">
        <f t="shared" si="47"/>
        <v>0.3316383034184851</v>
      </c>
      <c r="BZ15" s="9">
        <f t="shared" si="47"/>
        <v>0.3316383034184851</v>
      </c>
      <c r="CA15" s="9">
        <f t="shared" si="47"/>
        <v>0.3316383034184851</v>
      </c>
      <c r="CB15" s="9">
        <f t="shared" si="47"/>
        <v>0.3316383034184851</v>
      </c>
      <c r="CC15" s="9">
        <f t="shared" si="47"/>
        <v>0.37329031677465802</v>
      </c>
      <c r="CD15" s="9">
        <f t="shared" si="47"/>
        <v>0.40600604914012894</v>
      </c>
      <c r="CE15" s="9">
        <f t="shared" si="47"/>
        <v>0.400023144</v>
      </c>
      <c r="CF15" s="9">
        <f t="shared" si="47"/>
        <v>0.3730564892086331</v>
      </c>
      <c r="CG15" s="9">
        <f t="shared" si="47"/>
        <v>0.4247261342975206</v>
      </c>
      <c r="CH15" s="9">
        <f t="shared" si="47"/>
        <v>0.41828313371293929</v>
      </c>
      <c r="CI15" s="9">
        <f t="shared" si="47"/>
        <v>0.41759859803921573</v>
      </c>
      <c r="CJ15" s="9">
        <f t="shared" si="47"/>
        <v>0.41354424271844664</v>
      </c>
      <c r="CK15" s="9">
        <f t="shared" si="47"/>
        <v>0.40478020696324957</v>
      </c>
      <c r="CL15" s="76">
        <f t="shared" si="47"/>
        <v>0.3496893333333333</v>
      </c>
      <c r="CM15" s="76">
        <f t="shared" si="47"/>
        <v>0.32180000000000003</v>
      </c>
      <c r="CN15" s="76">
        <f t="shared" si="47"/>
        <v>0.32180000000000003</v>
      </c>
      <c r="CO15" s="76">
        <f t="shared" si="47"/>
        <v>0.37061235955056177</v>
      </c>
      <c r="CP15" s="76">
        <f t="shared" ref="CP15:CQ15" si="48">CP10/CP13</f>
        <v>0.38896816037735843</v>
      </c>
      <c r="CQ15" s="76">
        <f t="shared" si="48"/>
        <v>0.36347357517521045</v>
      </c>
      <c r="CR15" s="76">
        <f t="shared" ref="CR15:CS15" si="49">CR10/CR13</f>
        <v>0.36347357517521045</v>
      </c>
      <c r="CS15" s="76">
        <f t="shared" si="49"/>
        <v>0.36347357517521045</v>
      </c>
      <c r="CT15" s="76">
        <f t="shared" ref="CT15:CV15" si="50">CT10/CT13</f>
        <v>0.36347357517521045</v>
      </c>
      <c r="CU15" s="76">
        <f t="shared" si="50"/>
        <v>0.36347357517521045</v>
      </c>
      <c r="CV15" s="76">
        <f t="shared" si="50"/>
        <v>0.36347357517521045</v>
      </c>
      <c r="CW15" s="66">
        <f t="shared" ref="CW15:CX15" si="51">CW10/CW13</f>
        <v>0.34796835164835166</v>
      </c>
      <c r="CX15" s="66">
        <f t="shared" si="51"/>
        <v>0.34796835164835166</v>
      </c>
      <c r="CY15" s="66">
        <f t="shared" ref="CY15:DQ15" si="52">CY10/CY13</f>
        <v>0.34796835164835166</v>
      </c>
      <c r="CZ15" s="66">
        <f t="shared" si="52"/>
        <v>0.39367357028571431</v>
      </c>
      <c r="DA15" s="66">
        <f t="shared" si="52"/>
        <v>0.33992957746478875</v>
      </c>
      <c r="DB15" s="66">
        <f t="shared" si="52"/>
        <v>0.34778572769953053</v>
      </c>
      <c r="DC15" s="66">
        <f t="shared" si="52"/>
        <v>0.34778572769953053</v>
      </c>
      <c r="DD15" s="66">
        <f t="shared" si="52"/>
        <v>0.34781838670297677</v>
      </c>
      <c r="DE15" s="66">
        <f t="shared" si="52"/>
        <v>0.34781838670297677</v>
      </c>
      <c r="DF15" s="66">
        <f t="shared" si="52"/>
        <v>0.31966887417218542</v>
      </c>
      <c r="DG15" s="66">
        <f t="shared" si="52"/>
        <v>0.31966887417218542</v>
      </c>
      <c r="DH15" s="66">
        <f t="shared" si="52"/>
        <v>0.3845297356828194</v>
      </c>
      <c r="DI15" s="66">
        <f t="shared" si="52"/>
        <v>0.3845297356828194</v>
      </c>
      <c r="DJ15" s="66">
        <f t="shared" si="52"/>
        <v>0.38495369349503861</v>
      </c>
      <c r="DK15" s="66">
        <f t="shared" si="52"/>
        <v>0.38495369349503861</v>
      </c>
      <c r="DL15" s="66">
        <f t="shared" si="52"/>
        <v>0.38182671081677705</v>
      </c>
      <c r="DM15" s="66">
        <f t="shared" si="52"/>
        <v>0.35774945770065075</v>
      </c>
      <c r="DN15" s="66">
        <f t="shared" si="52"/>
        <v>0.31757062857142859</v>
      </c>
      <c r="DO15" s="66">
        <f t="shared" si="52"/>
        <v>0.34720526315789474</v>
      </c>
      <c r="DP15" s="66">
        <f t="shared" si="52"/>
        <v>0.34720526315789474</v>
      </c>
      <c r="DQ15" s="66">
        <f t="shared" si="52"/>
        <v>0.34720526315789474</v>
      </c>
      <c r="DV15" s="149"/>
      <c r="DY15" s="149"/>
    </row>
    <row r="16" spans="1:129">
      <c r="A16" s="72" t="s">
        <v>2387</v>
      </c>
      <c r="B16" s="107"/>
      <c r="C16" s="107"/>
      <c r="D16" s="107"/>
      <c r="E16" s="107"/>
      <c r="F16" s="107"/>
      <c r="G16" s="107"/>
      <c r="H16" s="107"/>
      <c r="I16" s="107"/>
      <c r="J16" s="107"/>
      <c r="K16" s="107"/>
      <c r="L16" s="107"/>
      <c r="M16" s="107"/>
      <c r="N16" s="107"/>
      <c r="O16" s="107"/>
      <c r="P16" s="107"/>
      <c r="Q16" s="107"/>
      <c r="R16" s="107"/>
      <c r="S16" s="107"/>
      <c r="T16" s="107"/>
      <c r="U16" s="107"/>
      <c r="V16" s="107"/>
      <c r="W16" s="107"/>
      <c r="X16" s="107"/>
      <c r="Y16" s="107"/>
      <c r="Z16" s="107"/>
      <c r="AA16" s="107"/>
      <c r="AB16" s="107"/>
      <c r="AC16" s="107"/>
      <c r="AD16" s="107"/>
      <c r="AE16" s="107"/>
      <c r="AF16" s="107"/>
      <c r="AG16" s="107"/>
      <c r="AH16" s="107"/>
      <c r="AI16" s="107"/>
      <c r="AJ16" s="107"/>
      <c r="AK16" s="107"/>
      <c r="AL16" s="107"/>
      <c r="AM16" s="107"/>
      <c r="AN16" s="107"/>
      <c r="AO16" s="107"/>
      <c r="AP16" s="107"/>
      <c r="AQ16" s="107"/>
      <c r="AR16" s="107"/>
      <c r="AS16" s="107"/>
      <c r="AT16" s="107"/>
      <c r="AU16" s="123"/>
      <c r="AV16" s="124"/>
      <c r="AW16" s="107"/>
      <c r="AX16" s="107"/>
      <c r="AY16" s="107"/>
      <c r="AZ16" s="107"/>
      <c r="BA16" s="107"/>
      <c r="BB16" s="107"/>
      <c r="BC16" s="107"/>
      <c r="BD16" s="107"/>
      <c r="BE16" s="107"/>
      <c r="BF16" s="107"/>
      <c r="BG16" s="107"/>
      <c r="BH16" s="107"/>
      <c r="BI16" s="107"/>
      <c r="BJ16" s="107"/>
      <c r="BK16" s="107"/>
      <c r="BL16" s="107"/>
      <c r="BM16" s="107"/>
      <c r="BN16" s="107"/>
      <c r="BO16" s="107"/>
      <c r="BP16" s="107"/>
      <c r="BQ16" s="107"/>
      <c r="BR16" s="9"/>
      <c r="BS16" s="13"/>
      <c r="BT16" s="13"/>
      <c r="BU16" s="13"/>
      <c r="BV16" s="13"/>
      <c r="BW16" s="13"/>
      <c r="BX16" s="9"/>
      <c r="BY16" s="9"/>
      <c r="BZ16" s="9"/>
      <c r="CA16" s="9"/>
      <c r="CB16" s="9"/>
      <c r="CC16" s="9"/>
      <c r="CD16" s="9"/>
      <c r="CE16" s="9"/>
      <c r="CF16" s="9"/>
      <c r="CG16" s="9"/>
      <c r="CH16" s="9"/>
      <c r="CI16" s="9"/>
      <c r="CJ16" s="9"/>
      <c r="CK16" s="9"/>
      <c r="CL16" s="107"/>
      <c r="CM16" s="107"/>
      <c r="CN16" s="107"/>
      <c r="CO16" s="107"/>
      <c r="CP16" s="107"/>
      <c r="CQ16" s="107"/>
      <c r="CR16" s="107"/>
      <c r="CS16" s="107"/>
      <c r="CT16" s="107"/>
      <c r="CU16" s="107"/>
      <c r="CV16" s="107"/>
      <c r="CW16" s="79"/>
      <c r="CX16" s="66">
        <v>1.71</v>
      </c>
      <c r="CY16" s="79"/>
      <c r="CZ16" s="79"/>
      <c r="DA16" s="66">
        <v>1.65</v>
      </c>
      <c r="DB16" s="66">
        <v>1.76</v>
      </c>
      <c r="DC16" s="79"/>
      <c r="DD16" s="66">
        <v>1.76</v>
      </c>
      <c r="DE16" s="79"/>
      <c r="DF16" s="79"/>
      <c r="DG16" s="79"/>
      <c r="DH16" s="79"/>
      <c r="DI16" s="79"/>
      <c r="DJ16" s="79"/>
      <c r="DK16" s="79"/>
      <c r="DL16" s="66">
        <v>1.6</v>
      </c>
      <c r="DM16" s="66">
        <v>1.6</v>
      </c>
      <c r="DN16" s="79"/>
      <c r="DO16" s="79"/>
      <c r="DP16" s="79"/>
      <c r="DQ16" s="79"/>
      <c r="DV16" s="149"/>
      <c r="DY16" s="149"/>
    </row>
    <row r="17" spans="1:129">
      <c r="A17" s="90" t="s">
        <v>2388</v>
      </c>
      <c r="B17" s="76">
        <f t="shared" ref="B17:Z17" si="53">B20-B18-B22</f>
        <v>342.005</v>
      </c>
      <c r="C17" s="76">
        <f t="shared" si="53"/>
        <v>373.75099999999998</v>
      </c>
      <c r="D17" s="76">
        <f t="shared" si="53"/>
        <v>338.1573741496598</v>
      </c>
      <c r="E17" s="76">
        <f t="shared" si="53"/>
        <v>254.20499999999998</v>
      </c>
      <c r="F17" s="76">
        <f t="shared" si="53"/>
        <v>223.36451111111106</v>
      </c>
      <c r="G17" s="76">
        <f t="shared" si="53"/>
        <v>196.18000000000009</v>
      </c>
      <c r="H17" s="76">
        <f t="shared" si="53"/>
        <v>110.73590702947854</v>
      </c>
      <c r="I17" s="76">
        <f t="shared" si="53"/>
        <v>356.7600000000001</v>
      </c>
      <c r="J17" s="76">
        <f t="shared" si="53"/>
        <v>356.7599002267574</v>
      </c>
      <c r="K17" s="76">
        <f t="shared" si="53"/>
        <v>222.12299999999999</v>
      </c>
      <c r="L17" s="76">
        <f t="shared" si="53"/>
        <v>215.32</v>
      </c>
      <c r="M17" s="76">
        <f t="shared" si="53"/>
        <v>584.35820907029472</v>
      </c>
      <c r="N17" s="76">
        <f t="shared" si="53"/>
        <v>941.03856825396804</v>
      </c>
      <c r="O17" s="76">
        <f t="shared" si="53"/>
        <v>530.17031999999995</v>
      </c>
      <c r="P17" s="76">
        <f t="shared" si="53"/>
        <v>669.87524399092968</v>
      </c>
      <c r="Q17" s="76">
        <f t="shared" si="53"/>
        <v>708.43206575963723</v>
      </c>
      <c r="R17" s="76">
        <f t="shared" si="53"/>
        <v>624.10764263038561</v>
      </c>
      <c r="S17" s="76">
        <f t="shared" si="53"/>
        <v>429.09630476190466</v>
      </c>
      <c r="T17" s="76">
        <f t="shared" si="53"/>
        <v>504.9231690702947</v>
      </c>
      <c r="U17" s="76">
        <f t="shared" si="53"/>
        <v>291.77127337868484</v>
      </c>
      <c r="V17" s="76">
        <f t="shared" si="53"/>
        <v>518.91246122448956</v>
      </c>
      <c r="W17" s="76">
        <f t="shared" si="53"/>
        <v>350.66266122448974</v>
      </c>
      <c r="X17" s="76">
        <f t="shared" si="53"/>
        <v>296.24129160997734</v>
      </c>
      <c r="Y17" s="76">
        <f t="shared" si="53"/>
        <v>155.00960000000003</v>
      </c>
      <c r="Z17" s="76">
        <f t="shared" si="53"/>
        <v>408.47255736961438</v>
      </c>
      <c r="AA17" s="107"/>
      <c r="AB17" s="76">
        <f t="shared" ref="AB17:AH17" si="54">AB20-AB18-AB22</f>
        <v>278.36</v>
      </c>
      <c r="AC17" s="76">
        <f t="shared" si="54"/>
        <v>300.24799999999999</v>
      </c>
      <c r="AD17" s="76">
        <f t="shared" si="54"/>
        <v>320.28160000000003</v>
      </c>
      <c r="AE17" s="76">
        <f t="shared" si="54"/>
        <v>199.44819999999996</v>
      </c>
      <c r="AF17" s="76">
        <f t="shared" si="54"/>
        <v>401.5</v>
      </c>
      <c r="AG17" s="76">
        <f t="shared" si="54"/>
        <v>285.75963718820867</v>
      </c>
      <c r="AH17" s="76">
        <f t="shared" si="54"/>
        <v>283.55555555555543</v>
      </c>
      <c r="AI17" s="107"/>
      <c r="AJ17" s="76">
        <f>AJ20-AJ18-AJ22</f>
        <v>136.75200000000001</v>
      </c>
      <c r="AK17" s="107"/>
      <c r="AL17" s="107"/>
      <c r="AM17" s="76">
        <f t="shared" ref="AM17:AT17" si="55">AM20-AM18-AM22</f>
        <v>390.32872199546483</v>
      </c>
      <c r="AN17" s="76">
        <f t="shared" si="55"/>
        <v>497.1189999999998</v>
      </c>
      <c r="AO17" s="76">
        <f t="shared" si="55"/>
        <v>165.31962630385482</v>
      </c>
      <c r="AP17" s="76">
        <f t="shared" si="55"/>
        <v>291.75299999999999</v>
      </c>
      <c r="AQ17" s="76">
        <f t="shared" si="55"/>
        <v>265.91678934240366</v>
      </c>
      <c r="AR17" s="76">
        <f t="shared" si="55"/>
        <v>380.64458503401346</v>
      </c>
      <c r="AS17" s="76">
        <f t="shared" si="55"/>
        <v>488.66989999999998</v>
      </c>
      <c r="AT17" s="76">
        <f t="shared" si="55"/>
        <v>261.87389999999994</v>
      </c>
      <c r="AU17" s="123"/>
      <c r="AV17" s="124"/>
      <c r="AW17" s="76">
        <f t="shared" ref="AW17:BL17" si="56">AW20-AW18-AW22</f>
        <v>542.90359999999987</v>
      </c>
      <c r="AX17" s="76">
        <f t="shared" si="56"/>
        <v>370.2453999999999</v>
      </c>
      <c r="AY17" s="76">
        <f t="shared" si="56"/>
        <v>480.03340000000014</v>
      </c>
      <c r="AZ17" s="76">
        <f t="shared" si="56"/>
        <v>113.10000000000002</v>
      </c>
      <c r="BA17" s="76">
        <f t="shared" si="56"/>
        <v>276.11326303854912</v>
      </c>
      <c r="BB17" s="76">
        <f t="shared" si="56"/>
        <v>254.6834090702946</v>
      </c>
      <c r="BC17" s="76">
        <f t="shared" si="56"/>
        <v>305.02275147392288</v>
      </c>
      <c r="BD17" s="76">
        <f t="shared" si="56"/>
        <v>435.9</v>
      </c>
      <c r="BE17" s="76">
        <f t="shared" si="56"/>
        <v>874</v>
      </c>
      <c r="BF17" s="76">
        <f t="shared" si="56"/>
        <v>379.48</v>
      </c>
      <c r="BG17" s="76">
        <f t="shared" si="56"/>
        <v>475</v>
      </c>
      <c r="BH17" s="76">
        <f t="shared" si="56"/>
        <v>169</v>
      </c>
      <c r="BI17" s="76">
        <f t="shared" si="56"/>
        <v>433.69560000000024</v>
      </c>
      <c r="BJ17" s="76">
        <f t="shared" si="56"/>
        <v>181.78480000000002</v>
      </c>
      <c r="BK17" s="76">
        <f t="shared" si="56"/>
        <v>650</v>
      </c>
      <c r="BL17" s="76">
        <f t="shared" si="56"/>
        <v>853</v>
      </c>
      <c r="BM17" s="76">
        <v>52</v>
      </c>
      <c r="BN17" s="76">
        <v>52</v>
      </c>
      <c r="BO17" s="76">
        <f>BO20-BO18-BO22</f>
        <v>720.35147392290264</v>
      </c>
      <c r="BP17" s="107"/>
      <c r="BQ17" s="76">
        <f>BQ20-BQ18-BQ22</f>
        <v>343</v>
      </c>
      <c r="BR17" s="9">
        <v>3690</v>
      </c>
      <c r="BS17" s="13">
        <v>3240</v>
      </c>
      <c r="BT17" s="13">
        <v>5061</v>
      </c>
      <c r="BU17" s="13">
        <f>70*90</f>
        <v>6300</v>
      </c>
      <c r="BV17" s="13">
        <v>4082</v>
      </c>
      <c r="BW17" s="13">
        <v>4082</v>
      </c>
      <c r="BX17" s="9">
        <f>35*90</f>
        <v>3150</v>
      </c>
      <c r="BY17" s="66">
        <v>3935</v>
      </c>
      <c r="BZ17" s="66">
        <v>3935</v>
      </c>
      <c r="CA17" s="66">
        <v>3935</v>
      </c>
      <c r="CB17" s="66">
        <v>3935</v>
      </c>
      <c r="CC17" s="9">
        <v>5300</v>
      </c>
      <c r="CD17" s="9">
        <v>5300</v>
      </c>
      <c r="CE17" s="9">
        <v>4640</v>
      </c>
      <c r="CF17" s="9">
        <v>5500</v>
      </c>
      <c r="CG17" s="9">
        <v>5200</v>
      </c>
      <c r="CH17" s="9">
        <v>7500</v>
      </c>
      <c r="CI17" s="9">
        <v>7000</v>
      </c>
      <c r="CJ17" s="9">
        <v>7000</v>
      </c>
      <c r="CK17" s="9">
        <v>7000</v>
      </c>
      <c r="CL17" s="76">
        <v>35625</v>
      </c>
      <c r="CM17" s="76">
        <v>28595</v>
      </c>
      <c r="CN17" s="76">
        <v>28959</v>
      </c>
      <c r="CO17" s="76">
        <v>30000</v>
      </c>
      <c r="CP17" s="76">
        <v>36250</v>
      </c>
      <c r="CQ17" s="76">
        <v>30617.485000000001</v>
      </c>
      <c r="CR17" s="76">
        <v>30617.485000000001</v>
      </c>
      <c r="CS17" s="76">
        <v>31751.466</v>
      </c>
      <c r="CT17" s="76">
        <v>27699</v>
      </c>
      <c r="CU17" s="76">
        <v>30617.481</v>
      </c>
      <c r="CV17" s="76">
        <v>27669.133999999998</v>
      </c>
      <c r="CW17" s="66">
        <v>39900</v>
      </c>
      <c r="CX17" s="66">
        <v>39900</v>
      </c>
      <c r="CY17" s="66">
        <v>39900</v>
      </c>
      <c r="CZ17" s="66">
        <v>28500</v>
      </c>
      <c r="DA17" s="66">
        <f>111130.131-DA18</f>
        <v>25895.130999999994</v>
      </c>
      <c r="DB17" s="66">
        <f>112944.5-DB18</f>
        <v>24475.5</v>
      </c>
      <c r="DC17" s="66">
        <f>113171.296-DC18</f>
        <v>27936.296000000002</v>
      </c>
      <c r="DD17" s="66">
        <f>127459.456-DD18</f>
        <v>23587.456000000006</v>
      </c>
      <c r="DE17" s="66">
        <f>127006-DE18</f>
        <v>23857</v>
      </c>
      <c r="DF17" s="66">
        <v>30500</v>
      </c>
      <c r="DG17" s="66">
        <v>35000</v>
      </c>
      <c r="DH17" s="66">
        <v>43014</v>
      </c>
      <c r="DI17" s="66">
        <v>42975.6</v>
      </c>
      <c r="DJ17" s="66">
        <v>46179.79</v>
      </c>
      <c r="DK17" s="66">
        <v>45992.45</v>
      </c>
      <c r="DL17" s="66">
        <v>44589.036999999997</v>
      </c>
      <c r="DM17" s="66">
        <v>44355.436999999998</v>
      </c>
      <c r="DN17" s="66">
        <v>47173.599999999999</v>
      </c>
      <c r="DO17" s="66">
        <v>87500</v>
      </c>
      <c r="DP17" s="66">
        <v>87500</v>
      </c>
      <c r="DQ17" s="66">
        <v>87500</v>
      </c>
      <c r="DV17" s="149"/>
      <c r="DY17" s="149"/>
    </row>
    <row r="18" spans="1:129" ht="13.5" customHeight="1">
      <c r="A18" s="91" t="s">
        <v>2389</v>
      </c>
      <c r="B18" s="66">
        <v>603.17499999999995</v>
      </c>
      <c r="C18" s="66">
        <v>571.42899999999997</v>
      </c>
      <c r="D18" s="66">
        <v>641.27</v>
      </c>
      <c r="E18" s="66">
        <v>754.19500000000005</v>
      </c>
      <c r="F18" s="66">
        <v>743.31100000000004</v>
      </c>
      <c r="G18" s="66">
        <v>1111.0999999999999</v>
      </c>
      <c r="H18" s="66">
        <v>1645.76</v>
      </c>
      <c r="I18" s="66">
        <v>582.76599999999996</v>
      </c>
      <c r="J18" s="66">
        <v>582.76599999999996</v>
      </c>
      <c r="K18" s="66">
        <v>442.17700000000002</v>
      </c>
      <c r="L18" s="66">
        <v>448.98</v>
      </c>
      <c r="M18" s="66">
        <v>991.83699999999999</v>
      </c>
      <c r="N18" s="66">
        <v>2122.4490000000001</v>
      </c>
      <c r="O18" s="66">
        <v>793.65099999999995</v>
      </c>
      <c r="P18" s="66">
        <v>1410.431</v>
      </c>
      <c r="Q18" s="66">
        <v>1513.3789999999999</v>
      </c>
      <c r="R18" s="66">
        <v>1222.222</v>
      </c>
      <c r="S18" s="66">
        <v>1222.222</v>
      </c>
      <c r="T18" s="66">
        <v>975.05700000000002</v>
      </c>
      <c r="U18" s="66">
        <v>1006.803</v>
      </c>
      <c r="V18" s="66">
        <v>873.923</v>
      </c>
      <c r="W18" s="66">
        <v>1044.8979999999999</v>
      </c>
      <c r="X18" s="66">
        <v>872.56200000000001</v>
      </c>
      <c r="Y18" s="66">
        <v>378.3</v>
      </c>
      <c r="Z18" s="66">
        <v>2494.3310000000001</v>
      </c>
      <c r="AA18" s="66">
        <v>575.20000000000005</v>
      </c>
      <c r="AB18" s="66">
        <v>930</v>
      </c>
      <c r="AC18" s="66">
        <v>1021</v>
      </c>
      <c r="AD18" s="66">
        <v>1062</v>
      </c>
      <c r="AE18" s="66">
        <v>535.14700000000005</v>
      </c>
      <c r="AF18" s="66">
        <v>1440</v>
      </c>
      <c r="AG18" s="66">
        <v>900</v>
      </c>
      <c r="AH18" s="66">
        <v>792</v>
      </c>
      <c r="AI18" s="79"/>
      <c r="AJ18" s="66">
        <v>150</v>
      </c>
      <c r="AK18" s="79"/>
      <c r="AL18" s="79"/>
      <c r="AM18" s="66">
        <v>658</v>
      </c>
      <c r="AN18" s="66">
        <v>1601.181</v>
      </c>
      <c r="AO18" s="66">
        <v>658</v>
      </c>
      <c r="AP18" s="66">
        <v>630.947</v>
      </c>
      <c r="AQ18" s="66">
        <v>578.33029999999997</v>
      </c>
      <c r="AR18" s="66">
        <v>645.00840000000005</v>
      </c>
      <c r="AS18" s="66">
        <v>827.35249999999996</v>
      </c>
      <c r="AT18" s="66">
        <v>827.35249999999996</v>
      </c>
      <c r="AU18" s="125"/>
      <c r="AV18" s="126"/>
      <c r="AW18" s="66">
        <v>1442.424</v>
      </c>
      <c r="AX18" s="66">
        <v>1190.68</v>
      </c>
      <c r="AY18" s="66">
        <v>1265.5229999999999</v>
      </c>
      <c r="AZ18" s="66">
        <v>1678.8</v>
      </c>
      <c r="BA18" s="66">
        <v>3101.2109999999998</v>
      </c>
      <c r="BB18" s="66">
        <v>1174.3510000000001</v>
      </c>
      <c r="BC18" s="66">
        <v>1180.701</v>
      </c>
      <c r="BD18" s="66">
        <v>1600</v>
      </c>
      <c r="BE18" s="66">
        <v>3377</v>
      </c>
      <c r="BF18" s="66">
        <v>1837</v>
      </c>
      <c r="BG18" s="66">
        <v>3493</v>
      </c>
      <c r="BH18" s="66">
        <v>1798</v>
      </c>
      <c r="BI18" s="66">
        <v>2007.146</v>
      </c>
      <c r="BJ18" s="66">
        <v>498.95159999999998</v>
      </c>
      <c r="BK18" s="66">
        <v>4516</v>
      </c>
      <c r="BL18" s="66">
        <v>4276</v>
      </c>
      <c r="BM18" s="66">
        <v>4005</v>
      </c>
      <c r="BN18" s="66">
        <v>4005</v>
      </c>
      <c r="BO18" s="66">
        <v>4409</v>
      </c>
      <c r="BP18" s="92"/>
      <c r="BQ18" s="66">
        <v>1182</v>
      </c>
      <c r="BR18" s="9">
        <v>8920</v>
      </c>
      <c r="BS18" s="13">
        <v>10501</v>
      </c>
      <c r="BT18" s="13">
        <v>11812</v>
      </c>
      <c r="BU18" s="13">
        <v>17185</v>
      </c>
      <c r="BV18" s="13">
        <v>10433</v>
      </c>
      <c r="BW18" s="13">
        <v>10433</v>
      </c>
      <c r="BX18" s="9">
        <v>8225</v>
      </c>
      <c r="BY18" s="9">
        <v>7560</v>
      </c>
      <c r="BZ18" s="9">
        <v>7560</v>
      </c>
      <c r="CA18" s="9">
        <v>7560</v>
      </c>
      <c r="CB18" s="9">
        <v>7560</v>
      </c>
      <c r="CC18" s="9">
        <v>11550</v>
      </c>
      <c r="CD18" s="9">
        <v>10285</v>
      </c>
      <c r="CE18" s="9">
        <v>10900</v>
      </c>
      <c r="CF18" s="66">
        <v>11500</v>
      </c>
      <c r="CG18" s="9">
        <v>11400</v>
      </c>
      <c r="CH18" s="9">
        <v>13311</v>
      </c>
      <c r="CI18" s="9">
        <v>13500</v>
      </c>
      <c r="CJ18" s="9">
        <v>13000</v>
      </c>
      <c r="CK18" s="9">
        <v>13000</v>
      </c>
      <c r="CL18" s="66">
        <v>134800</v>
      </c>
      <c r="CM18" s="66">
        <v>143830</v>
      </c>
      <c r="CN18" s="66">
        <v>145145</v>
      </c>
      <c r="CO18" s="66">
        <v>170900</v>
      </c>
      <c r="CP18" s="66">
        <v>177800</v>
      </c>
      <c r="CQ18" s="66">
        <f>174000-CQ17</f>
        <v>143382.51500000001</v>
      </c>
      <c r="CR18" s="66">
        <f>174000-CR17</f>
        <v>143382.51500000001</v>
      </c>
      <c r="CS18" s="66">
        <f>174000-CS17</f>
        <v>142248.53399999999</v>
      </c>
      <c r="CT18" s="66">
        <f>169000-CT17</f>
        <v>141301</v>
      </c>
      <c r="CU18" s="66">
        <f>169000-CU17</f>
        <v>138382.519</v>
      </c>
      <c r="CV18" s="66">
        <f>169000-CV17</f>
        <v>141330.86600000001</v>
      </c>
      <c r="CW18" s="66">
        <v>179015</v>
      </c>
      <c r="CX18" s="66">
        <v>179015</v>
      </c>
      <c r="CY18" s="66">
        <v>179752</v>
      </c>
      <c r="CZ18" s="66">
        <v>124500</v>
      </c>
      <c r="DA18" s="66">
        <v>85235</v>
      </c>
      <c r="DB18" s="66">
        <v>88469</v>
      </c>
      <c r="DC18" s="66">
        <v>85235</v>
      </c>
      <c r="DD18" s="66">
        <v>103872</v>
      </c>
      <c r="DE18" s="66">
        <v>103149</v>
      </c>
      <c r="DF18" s="66">
        <f>195700-DF17</f>
        <v>165200</v>
      </c>
      <c r="DG18" s="66">
        <f>223000 - DG17</f>
        <v>188000</v>
      </c>
      <c r="DH18" s="66">
        <v>108940</v>
      </c>
      <c r="DI18" s="66">
        <v>108978</v>
      </c>
      <c r="DJ18" s="66">
        <v>120742.2</v>
      </c>
      <c r="DK18" s="66">
        <v>120929.54</v>
      </c>
      <c r="DL18" s="66">
        <v>122333.399</v>
      </c>
      <c r="DM18" s="66">
        <v>122567</v>
      </c>
      <c r="DN18" s="66">
        <f>361000-DN17</f>
        <v>313826.40000000002</v>
      </c>
      <c r="DO18" s="66">
        <v>184570</v>
      </c>
      <c r="DP18" s="66">
        <v>184570</v>
      </c>
      <c r="DQ18" s="66">
        <v>184570</v>
      </c>
      <c r="DV18" s="149"/>
      <c r="DY18" s="149"/>
    </row>
    <row r="19" spans="1:129">
      <c r="A19" s="93" t="s">
        <v>2390</v>
      </c>
      <c r="B19" s="66">
        <v>1043.3</v>
      </c>
      <c r="C19" s="66">
        <v>1043.3</v>
      </c>
      <c r="D19" s="66">
        <v>1088.4349999999999</v>
      </c>
      <c r="E19" s="66">
        <v>1156.463</v>
      </c>
      <c r="F19" s="66">
        <v>1111.1110000000001</v>
      </c>
      <c r="G19" s="79"/>
      <c r="H19" s="66">
        <v>2267.5740000000001</v>
      </c>
      <c r="I19" s="66">
        <v>1043.0840000000001</v>
      </c>
      <c r="J19" s="66">
        <v>1043.0840000000001</v>
      </c>
      <c r="K19" s="66">
        <v>725.6</v>
      </c>
      <c r="L19" s="66">
        <v>725.6</v>
      </c>
      <c r="M19" s="66">
        <v>1723.3560090702947</v>
      </c>
      <c r="N19" s="143">
        <v>3854.875</v>
      </c>
      <c r="O19" s="66">
        <v>1496.5989999999999</v>
      </c>
      <c r="P19" s="66">
        <v>2358.2766439909296</v>
      </c>
      <c r="Q19" s="66">
        <v>2448.98</v>
      </c>
      <c r="R19" s="66">
        <v>1995.4649999999999</v>
      </c>
      <c r="S19" s="66">
        <v>1904.7619999999999</v>
      </c>
      <c r="T19" s="66">
        <v>1723.3560090702947</v>
      </c>
      <c r="U19" s="66">
        <v>1541.9501133786848</v>
      </c>
      <c r="V19" s="66">
        <v>1632.653</v>
      </c>
      <c r="W19" s="66">
        <v>1632.6530612244896</v>
      </c>
      <c r="X19" s="66">
        <v>1337.8679999999999</v>
      </c>
      <c r="Y19" s="66">
        <v>598.70000000000005</v>
      </c>
      <c r="Z19" s="66">
        <v>3628.1179999999999</v>
      </c>
      <c r="AA19" s="66">
        <v>900</v>
      </c>
      <c r="AB19" s="66">
        <v>1215</v>
      </c>
      <c r="AC19" s="66">
        <v>1542</v>
      </c>
      <c r="AD19" s="79"/>
      <c r="AE19" s="66">
        <v>800</v>
      </c>
      <c r="AF19" s="79"/>
      <c r="AG19" s="66">
        <v>1216</v>
      </c>
      <c r="AH19" s="79"/>
      <c r="AI19" s="79"/>
      <c r="AJ19" s="79"/>
      <c r="AK19" s="66">
        <v>4500</v>
      </c>
      <c r="AL19" s="79"/>
      <c r="AM19" s="94"/>
      <c r="AN19" s="66">
        <v>3035</v>
      </c>
      <c r="AO19" s="66">
        <v>997.73242630385482</v>
      </c>
      <c r="AP19" s="66">
        <v>1053.5</v>
      </c>
      <c r="AQ19" s="94"/>
      <c r="AR19" s="66">
        <v>1156.4625850340135</v>
      </c>
      <c r="AS19" s="79"/>
      <c r="AT19" s="79"/>
      <c r="AU19" s="129"/>
      <c r="AV19" s="130"/>
      <c r="AW19" s="66">
        <v>2240.7460000000001</v>
      </c>
      <c r="AX19" s="66">
        <v>1814.3689999999999</v>
      </c>
      <c r="AY19" s="66">
        <v>1970</v>
      </c>
      <c r="AZ19" s="66">
        <v>2199.9</v>
      </c>
      <c r="BA19" s="66">
        <v>4685.6091999999999</v>
      </c>
      <c r="BB19" s="66">
        <v>1723.3560090702947</v>
      </c>
      <c r="BC19" s="66">
        <v>1723.6510000000001</v>
      </c>
      <c r="BD19" s="66">
        <v>2300</v>
      </c>
      <c r="BE19" s="66">
        <v>5579</v>
      </c>
      <c r="BF19" s="66">
        <v>2835</v>
      </c>
      <c r="BG19" s="66">
        <v>4965</v>
      </c>
      <c r="BH19" s="66">
        <v>2449</v>
      </c>
      <c r="BI19" s="66">
        <v>3073.0880000000002</v>
      </c>
      <c r="BJ19" s="66">
        <v>759.7672</v>
      </c>
      <c r="BK19" s="66">
        <v>6804</v>
      </c>
      <c r="BL19" s="66">
        <v>7110</v>
      </c>
      <c r="BM19" s="66">
        <v>5670</v>
      </c>
      <c r="BN19" s="66">
        <v>5670</v>
      </c>
      <c r="BO19" s="66">
        <v>7110</v>
      </c>
      <c r="BP19" s="66">
        <v>6205.1436000000003</v>
      </c>
      <c r="BQ19" s="66">
        <v>1726</v>
      </c>
      <c r="BR19" s="5">
        <v>13230</v>
      </c>
      <c r="BS19" s="5">
        <v>15649</v>
      </c>
      <c r="BT19" s="5">
        <v>18144</v>
      </c>
      <c r="BU19" s="5">
        <v>29257</v>
      </c>
      <c r="BV19" s="5">
        <v>15377</v>
      </c>
      <c r="BW19" s="5">
        <v>15377</v>
      </c>
      <c r="BX19" s="5">
        <v>12930</v>
      </c>
      <c r="BY19" s="5">
        <v>11700</v>
      </c>
      <c r="BZ19" s="5">
        <v>11700</v>
      </c>
      <c r="CA19" s="5">
        <v>11700</v>
      </c>
      <c r="CB19" s="5">
        <v>11700</v>
      </c>
      <c r="CC19" s="5">
        <v>18300</v>
      </c>
      <c r="CD19" s="5">
        <v>16400</v>
      </c>
      <c r="CE19" s="5">
        <v>16400</v>
      </c>
      <c r="CF19" s="66">
        <v>18300</v>
      </c>
      <c r="CG19" s="5">
        <v>17900</v>
      </c>
      <c r="CH19" s="5">
        <v>22350</v>
      </c>
      <c r="CI19" s="5">
        <v>21850</v>
      </c>
      <c r="CJ19" s="5">
        <v>21350</v>
      </c>
      <c r="CK19" s="5">
        <v>21350</v>
      </c>
      <c r="CL19" s="66">
        <v>201800</v>
      </c>
      <c r="CM19" s="66">
        <v>213190</v>
      </c>
      <c r="CN19" s="66">
        <v>223165</v>
      </c>
      <c r="CO19" s="66">
        <v>243000</v>
      </c>
      <c r="CP19" s="66">
        <v>259000</v>
      </c>
      <c r="CQ19" s="66">
        <v>186000</v>
      </c>
      <c r="CR19" s="66">
        <v>186000</v>
      </c>
      <c r="CS19" s="66">
        <v>186000</v>
      </c>
      <c r="CT19" s="66">
        <v>181000</v>
      </c>
      <c r="CU19" s="66">
        <v>181000</v>
      </c>
      <c r="CV19" s="66">
        <v>181000</v>
      </c>
      <c r="CW19" s="66">
        <v>285764</v>
      </c>
      <c r="CX19" s="66">
        <v>285764</v>
      </c>
      <c r="CY19" s="66">
        <v>285764</v>
      </c>
      <c r="CZ19" s="66">
        <v>185000</v>
      </c>
      <c r="DA19" s="66">
        <v>136078</v>
      </c>
      <c r="DB19" s="66">
        <v>145150</v>
      </c>
      <c r="DC19" s="66">
        <v>145150</v>
      </c>
      <c r="DD19" s="66">
        <v>158757</v>
      </c>
      <c r="DE19" s="66">
        <v>158757</v>
      </c>
      <c r="DF19" s="66">
        <v>207000</v>
      </c>
      <c r="DG19" s="66">
        <v>236000</v>
      </c>
      <c r="DH19" s="66">
        <v>164881</v>
      </c>
      <c r="DI19" s="66">
        <v>164881</v>
      </c>
      <c r="DJ19" s="66">
        <v>182797.73</v>
      </c>
      <c r="DK19" s="66">
        <v>182798</v>
      </c>
      <c r="DL19" s="66">
        <v>182798</v>
      </c>
      <c r="DM19" s="66">
        <v>182798</v>
      </c>
      <c r="DN19" s="66">
        <v>386000</v>
      </c>
      <c r="DO19" s="66">
        <v>295740</v>
      </c>
      <c r="DP19" s="66">
        <v>295740</v>
      </c>
      <c r="DQ19" s="66">
        <v>295740</v>
      </c>
      <c r="DV19" s="149"/>
      <c r="DY19" s="149"/>
    </row>
    <row r="20" spans="1:129">
      <c r="A20" s="72" t="s">
        <v>2391</v>
      </c>
      <c r="B20" s="66">
        <v>1043.3</v>
      </c>
      <c r="C20" s="66">
        <v>1043.3</v>
      </c>
      <c r="D20" s="66">
        <v>1088.4353741496598</v>
      </c>
      <c r="E20" s="66">
        <v>1156.7</v>
      </c>
      <c r="F20" s="66">
        <v>1111.1111111111111</v>
      </c>
      <c r="G20" s="66">
        <v>1542</v>
      </c>
      <c r="H20" s="66">
        <v>2335.6009070294785</v>
      </c>
      <c r="I20" s="66">
        <v>1043.0840000000001</v>
      </c>
      <c r="J20" s="66">
        <v>1043.0839002267574</v>
      </c>
      <c r="K20" s="66">
        <v>725.6</v>
      </c>
      <c r="L20" s="66">
        <v>725.6</v>
      </c>
      <c r="M20" s="66">
        <v>1723.3560090702947</v>
      </c>
      <c r="N20" s="66">
        <v>3968.2539682539682</v>
      </c>
      <c r="O20" s="66">
        <v>1496.5989999999999</v>
      </c>
      <c r="P20" s="66">
        <v>2358.2766439909296</v>
      </c>
      <c r="Q20" s="66">
        <v>2494.3310657596371</v>
      </c>
      <c r="R20" s="66">
        <v>2099.7732426303855</v>
      </c>
      <c r="S20" s="66">
        <v>1904.7619047619046</v>
      </c>
      <c r="T20" s="66">
        <v>1723.3560090702947</v>
      </c>
      <c r="U20" s="66">
        <v>1541.9501133786848</v>
      </c>
      <c r="V20" s="66">
        <v>1632.6530612244896</v>
      </c>
      <c r="W20" s="66">
        <v>1632.6530612244896</v>
      </c>
      <c r="X20" s="66">
        <v>1405.8956916099773</v>
      </c>
      <c r="Y20" s="66">
        <v>598.70000000000005</v>
      </c>
      <c r="Z20" s="66">
        <v>3900.2267573696145</v>
      </c>
      <c r="AA20" s="66">
        <v>900</v>
      </c>
      <c r="AB20" s="66">
        <v>1361</v>
      </c>
      <c r="AC20" s="66">
        <v>1542</v>
      </c>
      <c r="AD20" s="66">
        <v>1633</v>
      </c>
      <c r="AE20" s="66">
        <v>800</v>
      </c>
      <c r="AF20" s="66">
        <v>1999</v>
      </c>
      <c r="AG20" s="66">
        <v>1309.7505668934241</v>
      </c>
      <c r="AH20" s="66">
        <v>1199.5464852607709</v>
      </c>
      <c r="AI20" s="66">
        <v>450</v>
      </c>
      <c r="AJ20" s="66">
        <v>300</v>
      </c>
      <c r="AK20" s="66">
        <v>4740</v>
      </c>
      <c r="AL20" s="66">
        <v>1969</v>
      </c>
      <c r="AM20" s="66">
        <v>1179.1383219954648</v>
      </c>
      <c r="AN20" s="66">
        <v>3061.2</v>
      </c>
      <c r="AO20" s="66">
        <v>997.73242630385482</v>
      </c>
      <c r="AP20" s="66">
        <v>1053.5</v>
      </c>
      <c r="AQ20" s="66">
        <v>975.05668934240362</v>
      </c>
      <c r="AR20" s="66">
        <v>1156.4625850340135</v>
      </c>
      <c r="AS20" s="66">
        <v>1542.2139999999999</v>
      </c>
      <c r="AT20" s="66">
        <v>1315.4179999999999</v>
      </c>
      <c r="AU20" s="113">
        <v>1633</v>
      </c>
      <c r="AV20" s="114">
        <v>1633</v>
      </c>
      <c r="AW20" s="66">
        <v>2358.6799999999998</v>
      </c>
      <c r="AX20" s="66">
        <v>1814.3689999999999</v>
      </c>
      <c r="AY20" s="66">
        <v>1999</v>
      </c>
      <c r="AZ20" s="66">
        <v>2309</v>
      </c>
      <c r="BA20" s="66">
        <v>5079.3650793650795</v>
      </c>
      <c r="BB20" s="66">
        <v>1723.3560090702947</v>
      </c>
      <c r="BC20" s="66">
        <v>1780.0453514739229</v>
      </c>
      <c r="BD20" s="66">
        <v>2300</v>
      </c>
      <c r="BE20" s="66">
        <v>5670</v>
      </c>
      <c r="BF20" s="66">
        <v>2984</v>
      </c>
      <c r="BG20" s="66">
        <v>5239</v>
      </c>
      <c r="BH20" s="66">
        <v>2495</v>
      </c>
      <c r="BI20" s="66">
        <v>3073.0880000000002</v>
      </c>
      <c r="BJ20" s="66">
        <v>759.7672</v>
      </c>
      <c r="BK20" s="66">
        <v>6804</v>
      </c>
      <c r="BL20" s="66">
        <v>7484</v>
      </c>
      <c r="BM20" s="66">
        <v>5670</v>
      </c>
      <c r="BN20" s="66">
        <v>5670</v>
      </c>
      <c r="BO20" s="66">
        <v>7484</v>
      </c>
      <c r="BP20" s="66">
        <v>6757.3696145124713</v>
      </c>
      <c r="BQ20" s="66">
        <v>1726</v>
      </c>
      <c r="BR20" s="5">
        <v>13990</v>
      </c>
      <c r="BS20" s="5">
        <v>16466</v>
      </c>
      <c r="BT20" s="5">
        <v>18640</v>
      </c>
      <c r="BU20" s="5">
        <v>27987</v>
      </c>
      <c r="BV20" s="5">
        <v>15646.258503401361</v>
      </c>
      <c r="BW20" s="5">
        <v>15646.258503401361</v>
      </c>
      <c r="BX20" s="5">
        <v>13155</v>
      </c>
      <c r="BY20" s="5">
        <v>11500</v>
      </c>
      <c r="BZ20" s="5">
        <v>11990</v>
      </c>
      <c r="CA20" s="5">
        <v>11500</v>
      </c>
      <c r="CB20" s="5">
        <v>11990</v>
      </c>
      <c r="CC20" s="5">
        <v>18600</v>
      </c>
      <c r="CD20" s="5">
        <v>16900</v>
      </c>
      <c r="CE20" s="5">
        <v>16900</v>
      </c>
      <c r="CF20" s="5">
        <v>18600</v>
      </c>
      <c r="CG20" s="5">
        <v>17900</v>
      </c>
      <c r="CH20" s="5">
        <v>23000</v>
      </c>
      <c r="CI20" s="5">
        <v>22000</v>
      </c>
      <c r="CJ20" s="5">
        <v>21500</v>
      </c>
      <c r="CK20" s="5">
        <v>21500</v>
      </c>
      <c r="CL20" s="66">
        <v>242630</v>
      </c>
      <c r="CM20" s="66">
        <v>297555</v>
      </c>
      <c r="CN20" s="66">
        <v>347815</v>
      </c>
      <c r="CO20" s="66">
        <v>372000</v>
      </c>
      <c r="CP20" s="66">
        <v>368000</v>
      </c>
      <c r="CQ20" s="66">
        <v>260000</v>
      </c>
      <c r="CR20" s="66">
        <v>260000</v>
      </c>
      <c r="CS20" s="66">
        <v>260000</v>
      </c>
      <c r="CT20" s="66">
        <v>253500</v>
      </c>
      <c r="CU20" s="66">
        <v>260000</v>
      </c>
      <c r="CV20" s="66">
        <v>260000</v>
      </c>
      <c r="CW20" s="66">
        <v>396894</v>
      </c>
      <c r="CX20" s="66">
        <v>396894</v>
      </c>
      <c r="CY20" s="66">
        <v>396894</v>
      </c>
      <c r="CZ20" s="66">
        <v>230000</v>
      </c>
      <c r="DA20" s="66">
        <v>158758</v>
      </c>
      <c r="DB20" s="66">
        <v>181437</v>
      </c>
      <c r="DC20" s="66">
        <v>186680</v>
      </c>
      <c r="DD20" s="66">
        <v>204116</v>
      </c>
      <c r="DE20" s="66">
        <v>204116</v>
      </c>
      <c r="DF20" s="66">
        <v>268000</v>
      </c>
      <c r="DG20" s="66">
        <v>316000</v>
      </c>
      <c r="DH20" s="66">
        <v>206385</v>
      </c>
      <c r="DI20" s="66">
        <v>206385</v>
      </c>
      <c r="DJ20" s="66">
        <v>251744</v>
      </c>
      <c r="DK20" s="66">
        <v>251744</v>
      </c>
      <c r="DL20" s="66">
        <v>251744</v>
      </c>
      <c r="DM20" s="66">
        <v>251744</v>
      </c>
      <c r="DN20" s="66">
        <v>560000</v>
      </c>
      <c r="DO20" s="66">
        <v>412770</v>
      </c>
      <c r="DP20" s="66">
        <v>412770</v>
      </c>
      <c r="DQ20" s="66">
        <v>412770</v>
      </c>
      <c r="DV20" s="149"/>
      <c r="DY20" s="149"/>
    </row>
    <row r="21" spans="1:129">
      <c r="A21" s="72" t="s">
        <v>2392</v>
      </c>
      <c r="B21" s="66">
        <v>147.6</v>
      </c>
      <c r="C21" s="66">
        <v>147.6</v>
      </c>
      <c r="D21" s="66">
        <v>163</v>
      </c>
      <c r="E21" s="66">
        <v>212</v>
      </c>
      <c r="F21" s="66">
        <v>211.96</v>
      </c>
      <c r="G21" s="66">
        <v>401</v>
      </c>
      <c r="H21" s="66">
        <v>586.67499999999995</v>
      </c>
      <c r="I21" s="66">
        <v>158.97</v>
      </c>
      <c r="J21" s="66">
        <v>158.97</v>
      </c>
      <c r="K21" s="66">
        <v>98.4</v>
      </c>
      <c r="L21" s="66">
        <v>98.4</v>
      </c>
      <c r="M21" s="66">
        <v>230.88500000000002</v>
      </c>
      <c r="N21" s="66">
        <v>1270.2460000000001</v>
      </c>
      <c r="O21" s="66">
        <v>246.02500000000001</v>
      </c>
      <c r="P21" s="66">
        <v>386.07</v>
      </c>
      <c r="Q21" s="66">
        <v>386.07</v>
      </c>
      <c r="R21" s="66">
        <v>352.005</v>
      </c>
      <c r="S21" s="66">
        <v>352.005</v>
      </c>
      <c r="T21" s="66">
        <v>340.65000000000003</v>
      </c>
      <c r="U21" s="66">
        <v>340.65000000000003</v>
      </c>
      <c r="V21" s="66">
        <v>348.22</v>
      </c>
      <c r="W21" s="66">
        <v>348.22</v>
      </c>
      <c r="X21" s="66">
        <v>348.22</v>
      </c>
      <c r="Y21" s="66">
        <v>96.34</v>
      </c>
      <c r="Z21" s="66">
        <v>1411.048</v>
      </c>
      <c r="AA21" s="66">
        <v>120</v>
      </c>
      <c r="AB21" s="66">
        <v>229</v>
      </c>
      <c r="AC21" s="66">
        <v>318</v>
      </c>
      <c r="AD21" s="66">
        <v>358</v>
      </c>
      <c r="AE21" s="66">
        <v>92.732500000000002</v>
      </c>
      <c r="AF21" s="66">
        <v>195</v>
      </c>
      <c r="AG21" s="66">
        <v>155.185</v>
      </c>
      <c r="AH21" s="66">
        <v>155.185</v>
      </c>
      <c r="AI21" s="66">
        <v>65</v>
      </c>
      <c r="AJ21" s="66">
        <v>40</v>
      </c>
      <c r="AK21" s="66">
        <v>1521.5700000000002</v>
      </c>
      <c r="AL21" s="66">
        <v>454</v>
      </c>
      <c r="AM21" s="66">
        <v>189.25</v>
      </c>
      <c r="AN21" s="66">
        <v>1211.2</v>
      </c>
      <c r="AO21" s="66">
        <v>242.24</v>
      </c>
      <c r="AP21" s="66">
        <v>189.25</v>
      </c>
      <c r="AQ21" s="66">
        <v>189.25</v>
      </c>
      <c r="AR21" s="66">
        <v>189.25</v>
      </c>
      <c r="AS21" s="66">
        <v>317.94</v>
      </c>
      <c r="AT21" s="66">
        <v>317.94</v>
      </c>
      <c r="AU21" s="113">
        <v>371</v>
      </c>
      <c r="AV21" s="114">
        <v>371</v>
      </c>
      <c r="AW21" s="66">
        <v>545.04</v>
      </c>
      <c r="AX21" s="66">
        <v>370.93</v>
      </c>
      <c r="AY21" s="66">
        <v>370.93</v>
      </c>
      <c r="AZ21" s="66">
        <v>654.79999999999995</v>
      </c>
      <c r="BA21" s="66">
        <v>2406.1476442428825</v>
      </c>
      <c r="BB21" s="66">
        <v>416.35</v>
      </c>
      <c r="BC21" s="66">
        <v>416.35</v>
      </c>
      <c r="BD21" s="66">
        <f>168.4*2</f>
        <v>336.8</v>
      </c>
      <c r="BE21" s="66">
        <v>1419</v>
      </c>
      <c r="BF21" s="66">
        <v>1100</v>
      </c>
      <c r="BG21" s="66">
        <v>1597</v>
      </c>
      <c r="BH21" s="66">
        <v>734</v>
      </c>
      <c r="BI21" s="66">
        <v>897.04500000000007</v>
      </c>
      <c r="BJ21" s="66">
        <v>113.55000000000001</v>
      </c>
      <c r="BK21" s="66">
        <v>2040</v>
      </c>
      <c r="BL21" s="66">
        <v>2934</v>
      </c>
      <c r="BM21" s="66">
        <v>2059</v>
      </c>
      <c r="BN21" s="66">
        <v>2047</v>
      </c>
      <c r="BO21" s="66">
        <v>2934</v>
      </c>
      <c r="BP21" s="66">
        <v>2153.665</v>
      </c>
      <c r="BQ21" s="66">
        <v>302.8</v>
      </c>
      <c r="BR21" s="5">
        <v>4285</v>
      </c>
      <c r="BS21" s="5">
        <v>3202</v>
      </c>
      <c r="BT21" s="5">
        <v>3161</v>
      </c>
      <c r="BU21" s="5">
        <v>11724</v>
      </c>
      <c r="BV21" s="5">
        <v>3160</v>
      </c>
      <c r="BW21" s="5">
        <v>3160</v>
      </c>
      <c r="BX21" s="5">
        <v>3195</v>
      </c>
      <c r="BY21" s="5">
        <v>3312.1</v>
      </c>
      <c r="BZ21" s="5">
        <v>3312.1</v>
      </c>
      <c r="CA21" s="5">
        <v>3312.1</v>
      </c>
      <c r="CB21" s="5">
        <v>3312.1</v>
      </c>
      <c r="CC21" s="5">
        <v>6250</v>
      </c>
      <c r="CD21" s="5">
        <v>6250</v>
      </c>
      <c r="CE21" s="5">
        <v>6250</v>
      </c>
      <c r="CF21" s="5">
        <v>6250</v>
      </c>
      <c r="CG21" s="5">
        <v>6250</v>
      </c>
      <c r="CH21" s="5">
        <v>6944.4</v>
      </c>
      <c r="CI21" s="5">
        <v>6944.4</v>
      </c>
      <c r="CJ21" s="5">
        <v>6944.4</v>
      </c>
      <c r="CK21" s="5">
        <v>6944.4</v>
      </c>
      <c r="CL21" s="66">
        <v>117300</v>
      </c>
      <c r="CM21" s="66">
        <v>171176</v>
      </c>
      <c r="CN21" s="66">
        <v>181283</v>
      </c>
      <c r="CO21" s="66">
        <v>215108</v>
      </c>
      <c r="CP21" s="66">
        <v>195010</v>
      </c>
      <c r="CQ21" s="66">
        <v>140640</v>
      </c>
      <c r="CR21" s="66">
        <v>140640</v>
      </c>
      <c r="CS21" s="66">
        <v>140640</v>
      </c>
      <c r="CT21" s="66">
        <v>140640</v>
      </c>
      <c r="CU21" s="66">
        <v>140640</v>
      </c>
      <c r="CV21" s="66">
        <v>140640</v>
      </c>
      <c r="CW21" s="66">
        <v>216824</v>
      </c>
      <c r="CX21" s="66">
        <v>215824</v>
      </c>
      <c r="CY21" s="66">
        <v>215824</v>
      </c>
      <c r="CZ21" s="66">
        <v>97530</v>
      </c>
      <c r="DA21" s="66">
        <v>63216</v>
      </c>
      <c r="DB21" s="66">
        <v>91380</v>
      </c>
      <c r="DC21" s="66">
        <v>91380</v>
      </c>
      <c r="DD21" s="66">
        <v>91380</v>
      </c>
      <c r="DE21" s="66">
        <v>91380</v>
      </c>
      <c r="DF21" s="66">
        <v>138000</v>
      </c>
      <c r="DG21" s="66">
        <v>158790</v>
      </c>
      <c r="DH21" s="66">
        <v>82376</v>
      </c>
      <c r="DI21" s="66">
        <v>82376</v>
      </c>
      <c r="DJ21" s="66">
        <v>137509</v>
      </c>
      <c r="DK21" s="66">
        <v>137509</v>
      </c>
      <c r="DL21" s="66">
        <v>137509</v>
      </c>
      <c r="DM21" s="66">
        <v>137509</v>
      </c>
      <c r="DN21" s="66">
        <v>323546</v>
      </c>
      <c r="DO21" s="66">
        <v>239393</v>
      </c>
      <c r="DP21" s="66">
        <v>228272</v>
      </c>
      <c r="DQ21" s="66">
        <v>239393</v>
      </c>
      <c r="DV21" s="149"/>
      <c r="DY21" s="149"/>
    </row>
    <row r="22" spans="1:129">
      <c r="A22" s="95" t="s">
        <v>2393</v>
      </c>
      <c r="B22" s="96">
        <v>98.12</v>
      </c>
      <c r="C22" s="96">
        <v>98.12</v>
      </c>
      <c r="D22" s="96">
        <v>109.008</v>
      </c>
      <c r="E22" s="96">
        <v>148.30000000000001</v>
      </c>
      <c r="F22" s="96">
        <v>144.43559999999999</v>
      </c>
      <c r="G22" s="96">
        <v>234.72</v>
      </c>
      <c r="H22" s="96">
        <v>579.10500000000002</v>
      </c>
      <c r="I22" s="96">
        <v>103.55800000000001</v>
      </c>
      <c r="J22" s="96">
        <v>103.55800000000001</v>
      </c>
      <c r="K22" s="96">
        <v>61.3</v>
      </c>
      <c r="L22" s="96">
        <v>61.3</v>
      </c>
      <c r="M22" s="96">
        <v>147.16079999999999</v>
      </c>
      <c r="N22" s="96">
        <v>904.76640000000009</v>
      </c>
      <c r="O22" s="96">
        <v>172.77767999999998</v>
      </c>
      <c r="P22" s="77">
        <v>277.97039999999998</v>
      </c>
      <c r="Q22" s="96">
        <v>272.52</v>
      </c>
      <c r="R22" s="77">
        <v>253.44359999999998</v>
      </c>
      <c r="S22" s="77">
        <v>253.44359999999998</v>
      </c>
      <c r="T22" s="96">
        <v>243.37583999999998</v>
      </c>
      <c r="U22" s="96">
        <v>243.37583999999998</v>
      </c>
      <c r="V22" s="96">
        <v>239.81760000000003</v>
      </c>
      <c r="W22" s="96">
        <v>237.0924</v>
      </c>
      <c r="X22" s="96">
        <v>237.0924</v>
      </c>
      <c r="Y22" s="96">
        <v>65.3904</v>
      </c>
      <c r="Z22" s="96">
        <v>997.42319999999995</v>
      </c>
      <c r="AA22" s="96">
        <v>84.96</v>
      </c>
      <c r="AB22" s="96">
        <v>152.63999999999999</v>
      </c>
      <c r="AC22" s="96">
        <v>220.75200000000001</v>
      </c>
      <c r="AD22" s="96">
        <v>250.7184</v>
      </c>
      <c r="AE22" s="96">
        <v>65.404799999999994</v>
      </c>
      <c r="AF22" s="77">
        <v>157.5</v>
      </c>
      <c r="AG22" s="96">
        <v>123.99092970521541</v>
      </c>
      <c r="AH22" s="96">
        <v>123.99092970521541</v>
      </c>
      <c r="AI22" s="77">
        <v>46.8</v>
      </c>
      <c r="AJ22" s="96">
        <v>13.247999999999999</v>
      </c>
      <c r="AK22" s="77">
        <v>1227</v>
      </c>
      <c r="AL22" s="77">
        <v>326.88</v>
      </c>
      <c r="AM22" s="96">
        <v>130.80959999999999</v>
      </c>
      <c r="AN22" s="96">
        <v>962.9</v>
      </c>
      <c r="AO22" s="77">
        <v>174.4128</v>
      </c>
      <c r="AP22" s="96">
        <v>130.80000000000001</v>
      </c>
      <c r="AQ22" s="96">
        <v>130.80959999999999</v>
      </c>
      <c r="AR22" s="96">
        <v>130.80959999999999</v>
      </c>
      <c r="AS22" s="96">
        <v>226.19160000000002</v>
      </c>
      <c r="AT22" s="96">
        <v>226.19160000000002</v>
      </c>
      <c r="AU22" s="131">
        <v>256.32</v>
      </c>
      <c r="AV22" s="132">
        <v>256.32</v>
      </c>
      <c r="AW22" s="96">
        <v>373.35240000000005</v>
      </c>
      <c r="AX22" s="96">
        <v>253.44359999999998</v>
      </c>
      <c r="AY22" s="96">
        <v>253.44359999999998</v>
      </c>
      <c r="AZ22" s="96">
        <v>517.1</v>
      </c>
      <c r="BA22" s="96">
        <v>1702.0408163265306</v>
      </c>
      <c r="BB22" s="96">
        <v>294.32159999999999</v>
      </c>
      <c r="BC22" s="96">
        <v>294.32159999999999</v>
      </c>
      <c r="BD22" s="96">
        <v>264.10000000000002</v>
      </c>
      <c r="BE22" s="77">
        <v>1419</v>
      </c>
      <c r="BF22" s="96">
        <v>767.52</v>
      </c>
      <c r="BG22" s="96">
        <v>1271</v>
      </c>
      <c r="BH22" s="77">
        <v>528</v>
      </c>
      <c r="BI22" s="96">
        <v>632.24639999999999</v>
      </c>
      <c r="BJ22" s="96">
        <v>79.030799999999999</v>
      </c>
      <c r="BK22" s="77">
        <v>1638</v>
      </c>
      <c r="BL22" s="77">
        <v>2355</v>
      </c>
      <c r="BM22" s="77">
        <v>1653</v>
      </c>
      <c r="BN22" s="77">
        <v>1653</v>
      </c>
      <c r="BO22" s="77">
        <v>2354.6485260770974</v>
      </c>
      <c r="BP22" s="96">
        <v>1539.7380000000001</v>
      </c>
      <c r="BQ22" s="96">
        <v>201</v>
      </c>
      <c r="BR22" s="5">
        <v>3428</v>
      </c>
      <c r="BS22" s="16">
        <v>2576</v>
      </c>
      <c r="BT22" s="16">
        <v>2576</v>
      </c>
      <c r="BU22" s="16">
        <v>5318</v>
      </c>
      <c r="BV22" s="16">
        <v>2576</v>
      </c>
      <c r="BW22" s="16">
        <v>2576</v>
      </c>
      <c r="BX22" s="16">
        <v>2580</v>
      </c>
      <c r="BY22" s="16">
        <v>2600</v>
      </c>
      <c r="BZ22" s="16">
        <v>2600</v>
      </c>
      <c r="CA22" s="16">
        <v>2600</v>
      </c>
      <c r="CB22" s="16">
        <v>2600</v>
      </c>
      <c r="CC22" s="16">
        <v>4500</v>
      </c>
      <c r="CD22" s="16">
        <v>4500</v>
      </c>
      <c r="CE22" s="16">
        <v>4500</v>
      </c>
      <c r="CF22" s="16">
        <v>4500</v>
      </c>
      <c r="CG22" s="16">
        <v>4500</v>
      </c>
      <c r="CH22" s="16">
        <v>5000</v>
      </c>
      <c r="CI22" s="16">
        <v>5000</v>
      </c>
      <c r="CJ22" s="16">
        <v>5000</v>
      </c>
      <c r="CK22" s="16">
        <v>5000</v>
      </c>
      <c r="CL22" s="77">
        <v>94240</v>
      </c>
      <c r="CM22" s="77">
        <v>138225</v>
      </c>
      <c r="CN22" s="77">
        <v>145538</v>
      </c>
      <c r="CO22" s="77">
        <v>168859</v>
      </c>
      <c r="CP22" s="77">
        <v>153082</v>
      </c>
      <c r="CQ22" s="77">
        <v>110402</v>
      </c>
      <c r="CR22" s="77">
        <v>110402</v>
      </c>
      <c r="CS22" s="77">
        <v>110402</v>
      </c>
      <c r="CT22" s="77">
        <v>110402</v>
      </c>
      <c r="CU22" s="77">
        <v>110402</v>
      </c>
      <c r="CV22" s="77">
        <v>110402</v>
      </c>
      <c r="CW22" s="77">
        <v>174093</v>
      </c>
      <c r="CX22" s="77">
        <v>174093</v>
      </c>
      <c r="CY22" s="77">
        <v>174093</v>
      </c>
      <c r="CZ22" s="77">
        <v>76561</v>
      </c>
      <c r="DA22" s="77">
        <v>50753</v>
      </c>
      <c r="DB22" s="77">
        <v>73364</v>
      </c>
      <c r="DC22" s="77">
        <v>73364</v>
      </c>
      <c r="DD22" s="77">
        <v>73364</v>
      </c>
      <c r="DE22" s="77">
        <v>73364</v>
      </c>
      <c r="DF22" s="77">
        <v>108330</v>
      </c>
      <c r="DG22" s="77">
        <v>124650</v>
      </c>
      <c r="DH22" s="77">
        <v>66138</v>
      </c>
      <c r="DI22" s="77">
        <v>66138</v>
      </c>
      <c r="DJ22" s="77">
        <v>111385</v>
      </c>
      <c r="DK22" s="77">
        <v>111387</v>
      </c>
      <c r="DL22" s="77">
        <v>111367.80045351473</v>
      </c>
      <c r="DM22" s="77">
        <v>111367.80045351473</v>
      </c>
      <c r="DN22" s="77">
        <v>253983</v>
      </c>
      <c r="DO22" s="77">
        <v>192191</v>
      </c>
      <c r="DP22" s="77">
        <v>172918</v>
      </c>
      <c r="DQ22" s="77">
        <v>192191</v>
      </c>
      <c r="DV22" s="149"/>
      <c r="DY22" s="149"/>
    </row>
    <row r="23" spans="1:129">
      <c r="A23" s="72" t="s">
        <v>2394</v>
      </c>
      <c r="B23" s="66">
        <f>B22/B20 * 100</f>
        <v>9.4047733154413891</v>
      </c>
      <c r="C23" s="66">
        <f t="shared" ref="C23:S23" si="57">C22/C20 * 100</f>
        <v>9.4047733154413891</v>
      </c>
      <c r="D23" s="66">
        <f t="shared" si="57"/>
        <v>10.01511</v>
      </c>
      <c r="E23" s="66">
        <f t="shared" si="57"/>
        <v>12.820956168410133</v>
      </c>
      <c r="F23" s="66">
        <f t="shared" si="57"/>
        <v>12.999204000000001</v>
      </c>
      <c r="G23" s="66">
        <f t="shared" si="57"/>
        <v>15.221789883268483</v>
      </c>
      <c r="H23" s="66">
        <f t="shared" si="57"/>
        <v>24.794689805825243</v>
      </c>
      <c r="I23" s="66">
        <f t="shared" si="57"/>
        <v>9.9280594851421355</v>
      </c>
      <c r="J23" s="66">
        <f t="shared" si="57"/>
        <v>9.9280604347826102</v>
      </c>
      <c r="K23" s="66">
        <f t="shared" si="57"/>
        <v>8.4481808158765155</v>
      </c>
      <c r="L23" s="66">
        <f t="shared" si="57"/>
        <v>8.4481808158765155</v>
      </c>
      <c r="M23" s="66">
        <f t="shared" si="57"/>
        <v>8.5391990526315791</v>
      </c>
      <c r="N23" s="66">
        <f t="shared" si="57"/>
        <v>22.800113280000005</v>
      </c>
      <c r="O23" s="66">
        <f t="shared" si="57"/>
        <v>11.544687655143427</v>
      </c>
      <c r="P23" s="66">
        <f t="shared" si="57"/>
        <v>11.787014076923077</v>
      </c>
      <c r="Q23" s="66">
        <f t="shared" si="57"/>
        <v>10.925574545454545</v>
      </c>
      <c r="R23" s="66">
        <f t="shared" si="57"/>
        <v>12.07004617710583</v>
      </c>
      <c r="S23" s="66">
        <f t="shared" si="57"/>
        <v>13.305789000000001</v>
      </c>
      <c r="T23" s="66">
        <f t="shared" ref="T23:U23" si="58">T22/T20 * 100</f>
        <v>14.122203347368419</v>
      </c>
      <c r="U23" s="66">
        <f t="shared" si="58"/>
        <v>15.783639035294117</v>
      </c>
      <c r="V23" s="66">
        <f t="shared" ref="V23:AR23" si="59">V22/V20 * 100</f>
        <v>14.688828000000004</v>
      </c>
      <c r="W23" s="66">
        <f t="shared" si="59"/>
        <v>14.521909500000001</v>
      </c>
      <c r="X23" s="66">
        <f t="shared" si="59"/>
        <v>16.864152967741937</v>
      </c>
      <c r="Y23" s="66">
        <f t="shared" si="59"/>
        <v>10.922064473024887</v>
      </c>
      <c r="Z23" s="66">
        <f t="shared" si="59"/>
        <v>25.573466930232559</v>
      </c>
      <c r="AA23" s="66">
        <f t="shared" si="59"/>
        <v>9.44</v>
      </c>
      <c r="AB23" s="66">
        <f t="shared" si="59"/>
        <v>11.215282880235119</v>
      </c>
      <c r="AC23" s="66">
        <f t="shared" si="59"/>
        <v>14.315953307392999</v>
      </c>
      <c r="AD23" s="66">
        <f t="shared" si="59"/>
        <v>15.353239436619717</v>
      </c>
      <c r="AE23" s="66">
        <f t="shared" si="59"/>
        <v>8.1755999999999993</v>
      </c>
      <c r="AF23" s="66">
        <f t="shared" si="59"/>
        <v>7.8789394697348678</v>
      </c>
      <c r="AG23" s="66">
        <f t="shared" si="59"/>
        <v>9.4667590027700825</v>
      </c>
      <c r="AH23" s="66">
        <f t="shared" si="59"/>
        <v>10.33648393194707</v>
      </c>
      <c r="AI23" s="66">
        <f t="shared" si="59"/>
        <v>10.4</v>
      </c>
      <c r="AJ23" s="66">
        <f t="shared" si="59"/>
        <v>4.4159999999999995</v>
      </c>
      <c r="AK23" s="66">
        <f t="shared" si="59"/>
        <v>25.886075949367086</v>
      </c>
      <c r="AL23" s="66">
        <f t="shared" si="59"/>
        <v>16.601320467242257</v>
      </c>
      <c r="AM23" s="66">
        <f t="shared" si="59"/>
        <v>11.093660307692307</v>
      </c>
      <c r="AN23" s="66">
        <f t="shared" si="59"/>
        <v>31.454984973213119</v>
      </c>
      <c r="AO23" s="66">
        <f t="shared" si="59"/>
        <v>17.480919272727274</v>
      </c>
      <c r="AP23" s="66">
        <f t="shared" si="59"/>
        <v>12.41575700047461</v>
      </c>
      <c r="AQ23" s="66">
        <f t="shared" si="59"/>
        <v>13.415589209302325</v>
      </c>
      <c r="AR23" s="66">
        <f t="shared" si="59"/>
        <v>11.311183058823529</v>
      </c>
      <c r="AS23" s="66">
        <f t="shared" ref="AS23:AT23" si="60">AS22/AS20 * 100</f>
        <v>14.666680499593443</v>
      </c>
      <c r="AT23" s="66">
        <f t="shared" si="60"/>
        <v>17.195416209904383</v>
      </c>
      <c r="AU23" s="113">
        <f t="shared" ref="AU23" si="61">AU22/AU20 * 100</f>
        <v>15.696264543784446</v>
      </c>
      <c r="AV23" s="114">
        <f t="shared" ref="AV23:AY23" si="62">AV22/AV20 * 100</f>
        <v>15.696264543784446</v>
      </c>
      <c r="AW23" s="66">
        <f>AW22/AW20 * 100</f>
        <v>15.828870385130669</v>
      </c>
      <c r="AX23" s="66">
        <f>AX22/AX20 * 100</f>
        <v>13.96869104355288</v>
      </c>
      <c r="AY23" s="66">
        <f t="shared" si="62"/>
        <v>12.678519259629814</v>
      </c>
      <c r="AZ23" s="66">
        <f t="shared" ref="AZ23:BQ23" si="63">AZ22/AZ20 * 100</f>
        <v>22.394976180164576</v>
      </c>
      <c r="BA23" s="66">
        <f t="shared" si="63"/>
        <v>33.508928571428569</v>
      </c>
      <c r="BB23" s="66">
        <f t="shared" si="63"/>
        <v>17.078398105263158</v>
      </c>
      <c r="BC23" s="66">
        <f t="shared" si="63"/>
        <v>16.534500076433119</v>
      </c>
      <c r="BD23" s="66">
        <f t="shared" si="63"/>
        <v>11.482608695652175</v>
      </c>
      <c r="BE23" s="66">
        <f t="shared" si="63"/>
        <v>25.026455026455025</v>
      </c>
      <c r="BF23" s="66">
        <f t="shared" si="63"/>
        <v>25.721179624664881</v>
      </c>
      <c r="BG23" s="66">
        <f t="shared" si="63"/>
        <v>24.260355029585799</v>
      </c>
      <c r="BH23" s="66">
        <f t="shared" si="63"/>
        <v>21.162324649298597</v>
      </c>
      <c r="BI23" s="66">
        <f t="shared" si="63"/>
        <v>20.573650998604659</v>
      </c>
      <c r="BJ23" s="66">
        <f t="shared" si="63"/>
        <v>10.401975763102172</v>
      </c>
      <c r="BK23" s="66">
        <f t="shared" si="63"/>
        <v>24.074074074074073</v>
      </c>
      <c r="BL23" s="66">
        <f t="shared" si="63"/>
        <v>31.467129877071088</v>
      </c>
      <c r="BM23" s="66">
        <f t="shared" si="63"/>
        <v>29.153439153439152</v>
      </c>
      <c r="BN23" s="66">
        <f t="shared" si="63"/>
        <v>29.153439153439152</v>
      </c>
      <c r="BO23" s="66">
        <f t="shared" si="63"/>
        <v>31.462433539245023</v>
      </c>
      <c r="BP23" s="66">
        <f t="shared" si="63"/>
        <v>22.786055637583893</v>
      </c>
      <c r="BQ23" s="66">
        <f t="shared" si="63"/>
        <v>11.645422943221321</v>
      </c>
      <c r="BR23" s="5">
        <v>11.645422943221321</v>
      </c>
      <c r="BS23" s="5">
        <f t="shared" ref="BS23:CK23" si="64">BS22/BS20 * 100</f>
        <v>15.644358071176971</v>
      </c>
      <c r="BT23" s="5">
        <f t="shared" si="64"/>
        <v>13.819742489270388</v>
      </c>
      <c r="BU23" s="5">
        <f t="shared" si="64"/>
        <v>19.001679351127308</v>
      </c>
      <c r="BV23" s="5">
        <f t="shared" si="64"/>
        <v>16.464000000000002</v>
      </c>
      <c r="BW23" s="5">
        <f t="shared" si="64"/>
        <v>16.464000000000002</v>
      </c>
      <c r="BX23" s="5">
        <f t="shared" si="64"/>
        <v>19.612314709236031</v>
      </c>
      <c r="BY23" s="5">
        <f t="shared" si="64"/>
        <v>22.608695652173914</v>
      </c>
      <c r="BZ23" s="5">
        <f t="shared" si="64"/>
        <v>21.684737281067555</v>
      </c>
      <c r="CA23" s="5">
        <f t="shared" si="64"/>
        <v>22.608695652173914</v>
      </c>
      <c r="CB23" s="5">
        <f t="shared" si="64"/>
        <v>21.684737281067555</v>
      </c>
      <c r="CC23" s="5">
        <f t="shared" si="64"/>
        <v>24.193548387096776</v>
      </c>
      <c r="CD23" s="5">
        <f t="shared" si="64"/>
        <v>26.627218934911244</v>
      </c>
      <c r="CE23" s="5">
        <f t="shared" si="64"/>
        <v>26.627218934911244</v>
      </c>
      <c r="CF23" s="5">
        <f t="shared" si="64"/>
        <v>24.193548387096776</v>
      </c>
      <c r="CG23" s="5">
        <f t="shared" si="64"/>
        <v>25.139664804469277</v>
      </c>
      <c r="CH23" s="5">
        <f t="shared" si="64"/>
        <v>21.739130434782609</v>
      </c>
      <c r="CI23" s="5">
        <f t="shared" si="64"/>
        <v>22.727272727272727</v>
      </c>
      <c r="CJ23" s="5">
        <f t="shared" si="64"/>
        <v>23.255813953488371</v>
      </c>
      <c r="CK23" s="5">
        <f t="shared" si="64"/>
        <v>23.255813953488371</v>
      </c>
      <c r="CL23" s="66">
        <f>CL22/CL20 * 100</f>
        <v>38.841033672670321</v>
      </c>
      <c r="CM23" s="66">
        <f>CM22/CM20 * 100</f>
        <v>46.453596814034384</v>
      </c>
      <c r="CN23" s="66">
        <f>CN22/CN20 * 100</f>
        <v>41.843508761841782</v>
      </c>
      <c r="CO23" s="66">
        <f>CO22/CO20 * 100</f>
        <v>45.392204301075267</v>
      </c>
      <c r="CP23" s="66">
        <f>CP22/CP20 * 100</f>
        <v>41.598369565217389</v>
      </c>
      <c r="CQ23" s="66">
        <f t="shared" ref="CQ23:CV23" si="65">CQ22/CQ20 * 100</f>
        <v>42.462307692307697</v>
      </c>
      <c r="CR23" s="66">
        <f t="shared" si="65"/>
        <v>42.462307692307697</v>
      </c>
      <c r="CS23" s="66">
        <f t="shared" si="65"/>
        <v>42.462307692307697</v>
      </c>
      <c r="CT23" s="66">
        <f t="shared" si="65"/>
        <v>43.551084812623273</v>
      </c>
      <c r="CU23" s="66">
        <f t="shared" si="65"/>
        <v>42.462307692307697</v>
      </c>
      <c r="CV23" s="66">
        <f t="shared" si="65"/>
        <v>42.462307692307697</v>
      </c>
      <c r="CW23" s="66">
        <f t="shared" ref="CW23:CX23" si="66">CW22/CW20 * 100</f>
        <v>43.863852817124979</v>
      </c>
      <c r="CX23" s="66">
        <f t="shared" si="66"/>
        <v>43.863852817124979</v>
      </c>
      <c r="CY23" s="66">
        <f t="shared" ref="CY23:DQ23" si="67">CY22/CY20 * 100</f>
        <v>43.863852817124979</v>
      </c>
      <c r="CZ23" s="66">
        <f t="shared" si="67"/>
        <v>33.287391304347821</v>
      </c>
      <c r="DA23" s="66">
        <f t="shared" si="67"/>
        <v>31.968782675518714</v>
      </c>
      <c r="DB23" s="66">
        <f t="shared" si="67"/>
        <v>40.434971918627404</v>
      </c>
      <c r="DC23" s="66">
        <f t="shared" si="67"/>
        <v>39.299335761731299</v>
      </c>
      <c r="DD23" s="66">
        <f t="shared" si="67"/>
        <v>35.942307315448083</v>
      </c>
      <c r="DE23" s="66">
        <f t="shared" si="67"/>
        <v>35.942307315448083</v>
      </c>
      <c r="DF23" s="66">
        <f t="shared" si="67"/>
        <v>40.421641791044777</v>
      </c>
      <c r="DG23" s="66">
        <f t="shared" si="67"/>
        <v>39.446202531645568</v>
      </c>
      <c r="DH23" s="66">
        <f t="shared" si="67"/>
        <v>32.045933570753689</v>
      </c>
      <c r="DI23" s="66">
        <f t="shared" si="67"/>
        <v>32.045933570753689</v>
      </c>
      <c r="DJ23" s="66">
        <f t="shared" si="67"/>
        <v>44.245344476928942</v>
      </c>
      <c r="DK23" s="66">
        <f t="shared" si="67"/>
        <v>44.246138934790899</v>
      </c>
      <c r="DL23" s="66">
        <f t="shared" si="67"/>
        <v>44.238512319465308</v>
      </c>
      <c r="DM23" s="66">
        <f t="shared" si="67"/>
        <v>44.238512319465308</v>
      </c>
      <c r="DN23" s="66">
        <f t="shared" si="67"/>
        <v>45.354107142857139</v>
      </c>
      <c r="DO23" s="66">
        <f t="shared" si="67"/>
        <v>46.561281100855197</v>
      </c>
      <c r="DP23" s="66">
        <f t="shared" si="67"/>
        <v>41.892094871235798</v>
      </c>
      <c r="DQ23" s="66">
        <f t="shared" si="67"/>
        <v>46.561281100855197</v>
      </c>
      <c r="DV23" s="149"/>
      <c r="DY23" s="149"/>
    </row>
    <row r="24" spans="1:129" ht="30">
      <c r="A24" s="72" t="s">
        <v>2395</v>
      </c>
      <c r="B24" s="97" t="s">
        <v>2396</v>
      </c>
      <c r="C24" s="97" t="s">
        <v>2397</v>
      </c>
      <c r="D24" s="97" t="s">
        <v>2398</v>
      </c>
      <c r="E24" s="97" t="s">
        <v>2399</v>
      </c>
      <c r="F24" s="97" t="s">
        <v>2399</v>
      </c>
      <c r="G24" s="97" t="s">
        <v>2400</v>
      </c>
      <c r="H24" s="97" t="s">
        <v>2401</v>
      </c>
      <c r="I24" s="97" t="s">
        <v>2402</v>
      </c>
      <c r="J24" s="97" t="s">
        <v>2402</v>
      </c>
      <c r="K24" s="97" t="s">
        <v>2403</v>
      </c>
      <c r="L24" s="97" t="s">
        <v>2403</v>
      </c>
      <c r="M24" s="97" t="s">
        <v>2404</v>
      </c>
      <c r="N24" s="66" t="s">
        <v>2405</v>
      </c>
      <c r="O24" s="97" t="s">
        <v>2406</v>
      </c>
      <c r="P24" s="97" t="s">
        <v>2407</v>
      </c>
      <c r="Q24" s="97" t="s">
        <v>2408</v>
      </c>
      <c r="R24" s="97" t="s">
        <v>2409</v>
      </c>
      <c r="S24" s="97" t="s">
        <v>2409</v>
      </c>
      <c r="T24" s="97" t="s">
        <v>2410</v>
      </c>
      <c r="U24" s="97" t="s">
        <v>2410</v>
      </c>
      <c r="V24" s="97" t="s">
        <v>2411</v>
      </c>
      <c r="W24" s="97" t="s">
        <v>2412</v>
      </c>
      <c r="X24" s="97" t="s">
        <v>2413</v>
      </c>
      <c r="Y24" s="97" t="s">
        <v>2414</v>
      </c>
      <c r="Z24" s="66" t="s">
        <v>2415</v>
      </c>
      <c r="AA24" s="97" t="s">
        <v>2416</v>
      </c>
      <c r="AB24" s="97" t="s">
        <v>2417</v>
      </c>
      <c r="AC24" s="97" t="s">
        <v>2418</v>
      </c>
      <c r="AD24" s="97" t="s">
        <v>2419</v>
      </c>
      <c r="AE24" s="97" t="s">
        <v>2420</v>
      </c>
      <c r="AF24" s="97" t="s">
        <v>2421</v>
      </c>
      <c r="AG24" s="97" t="s">
        <v>2422</v>
      </c>
      <c r="AH24" s="97" t="s">
        <v>2423</v>
      </c>
      <c r="AI24" s="97" t="s">
        <v>2424</v>
      </c>
      <c r="AJ24" s="97" t="s">
        <v>2425</v>
      </c>
      <c r="AK24" s="66" t="s">
        <v>2426</v>
      </c>
      <c r="AL24" s="97" t="s">
        <v>2427</v>
      </c>
      <c r="AM24" s="97" t="s">
        <v>2428</v>
      </c>
      <c r="AN24" s="66" t="s">
        <v>2429</v>
      </c>
      <c r="AO24" s="97" t="s">
        <v>2418</v>
      </c>
      <c r="AP24" s="97" t="s">
        <v>2416</v>
      </c>
      <c r="AQ24" s="97" t="s">
        <v>2430</v>
      </c>
      <c r="AR24" s="97" t="s">
        <v>2431</v>
      </c>
      <c r="AS24" s="97" t="s">
        <v>2432</v>
      </c>
      <c r="AT24" s="97" t="s">
        <v>2433</v>
      </c>
      <c r="AU24" s="133" t="s">
        <v>2434</v>
      </c>
      <c r="AV24" s="134" t="s">
        <v>2435</v>
      </c>
      <c r="AW24" s="97" t="s">
        <v>2436</v>
      </c>
      <c r="AX24" s="97" t="s">
        <v>2437</v>
      </c>
      <c r="AY24" s="97" t="s">
        <v>2438</v>
      </c>
      <c r="AZ24" s="66" t="s">
        <v>2439</v>
      </c>
      <c r="BA24" s="66" t="s">
        <v>2440</v>
      </c>
      <c r="BB24" s="97" t="s">
        <v>2441</v>
      </c>
      <c r="BC24" s="97" t="s">
        <v>2442</v>
      </c>
      <c r="BD24" s="97" t="s">
        <v>2443</v>
      </c>
      <c r="BE24" s="66" t="s">
        <v>2429</v>
      </c>
      <c r="BF24" s="66" t="s">
        <v>2444</v>
      </c>
      <c r="BG24" s="66" t="s">
        <v>2445</v>
      </c>
      <c r="BH24" s="97" t="s">
        <v>2446</v>
      </c>
      <c r="BI24" s="97" t="s">
        <v>2447</v>
      </c>
      <c r="BJ24" s="97" t="s">
        <v>2448</v>
      </c>
      <c r="BK24" s="66" t="s">
        <v>2449</v>
      </c>
      <c r="BL24" s="66" t="s">
        <v>2449</v>
      </c>
      <c r="BM24" s="66" t="s">
        <v>2450</v>
      </c>
      <c r="BN24" s="66" t="s">
        <v>2450</v>
      </c>
      <c r="BO24" s="66" t="s">
        <v>2449</v>
      </c>
      <c r="BP24" s="66" t="s">
        <v>2451</v>
      </c>
      <c r="BQ24" s="97" t="s">
        <v>2452</v>
      </c>
      <c r="BR24" s="15" t="s">
        <v>2453</v>
      </c>
      <c r="BS24" s="5" t="s">
        <v>2454</v>
      </c>
      <c r="BT24" s="5" t="s">
        <v>2455</v>
      </c>
      <c r="BU24" s="5" t="s">
        <v>2456</v>
      </c>
      <c r="BV24" s="5" t="s">
        <v>2457</v>
      </c>
      <c r="BW24" s="5" t="s">
        <v>2458</v>
      </c>
      <c r="BX24" s="5" t="s">
        <v>2459</v>
      </c>
      <c r="BY24" s="5" t="s">
        <v>2460</v>
      </c>
      <c r="BZ24" s="5" t="s">
        <v>2460</v>
      </c>
      <c r="CA24" s="5" t="s">
        <v>2461</v>
      </c>
      <c r="CB24" s="5" t="s">
        <v>2461</v>
      </c>
      <c r="CC24" s="5" t="s">
        <v>2462</v>
      </c>
      <c r="CD24" s="5" t="s">
        <v>2463</v>
      </c>
      <c r="CE24" s="5" t="s">
        <v>2457</v>
      </c>
      <c r="CF24" s="5" t="s">
        <v>2462</v>
      </c>
      <c r="CG24" s="5" t="s">
        <v>2464</v>
      </c>
      <c r="CH24" s="5" t="s">
        <v>2462</v>
      </c>
      <c r="CI24" s="5" t="s">
        <v>2465</v>
      </c>
      <c r="CJ24" s="5" t="s">
        <v>2466</v>
      </c>
      <c r="CK24" s="5" t="s">
        <v>2467</v>
      </c>
      <c r="CL24" s="66" t="s">
        <v>2468</v>
      </c>
      <c r="CM24" s="66" t="s">
        <v>2469</v>
      </c>
      <c r="CN24" s="66" t="s">
        <v>2470</v>
      </c>
      <c r="CO24" s="66" t="s">
        <v>2471</v>
      </c>
      <c r="CP24" s="66" t="s">
        <v>2472</v>
      </c>
      <c r="CQ24" s="66" t="s">
        <v>2473</v>
      </c>
      <c r="CR24" s="66" t="s">
        <v>2474</v>
      </c>
      <c r="CS24" s="66" t="s">
        <v>2475</v>
      </c>
      <c r="CT24" s="66" t="s">
        <v>2475</v>
      </c>
      <c r="CU24" s="66" t="s">
        <v>2474</v>
      </c>
      <c r="CV24" s="66" t="s">
        <v>2473</v>
      </c>
      <c r="CW24" s="98" t="s">
        <v>2476</v>
      </c>
      <c r="CX24" s="98" t="s">
        <v>2477</v>
      </c>
      <c r="CY24" s="99" t="s">
        <v>2478</v>
      </c>
      <c r="CZ24" s="66" t="s">
        <v>2479</v>
      </c>
      <c r="DA24" s="99" t="s">
        <v>2480</v>
      </c>
      <c r="DB24" s="99" t="s">
        <v>2481</v>
      </c>
      <c r="DC24" s="99" t="s">
        <v>2482</v>
      </c>
      <c r="DD24" s="99" t="s">
        <v>2481</v>
      </c>
      <c r="DE24" s="99" t="s">
        <v>2483</v>
      </c>
      <c r="DF24" s="66" t="s">
        <v>2484</v>
      </c>
      <c r="DG24" s="66" t="s">
        <v>2485</v>
      </c>
      <c r="DH24" s="66" t="s">
        <v>2486</v>
      </c>
      <c r="DI24" s="66" t="s">
        <v>2487</v>
      </c>
      <c r="DJ24" s="66" t="s">
        <v>2488</v>
      </c>
      <c r="DK24" s="66" t="s">
        <v>2489</v>
      </c>
      <c r="DL24" s="66" t="s">
        <v>2490</v>
      </c>
      <c r="DM24" s="66" t="s">
        <v>2491</v>
      </c>
      <c r="DN24" s="99" t="s">
        <v>2492</v>
      </c>
      <c r="DO24" s="99" t="s">
        <v>2481</v>
      </c>
      <c r="DP24" s="99" t="s">
        <v>2493</v>
      </c>
      <c r="DQ24" s="99" t="s">
        <v>2494</v>
      </c>
      <c r="DV24" s="149"/>
      <c r="DY24" s="149"/>
    </row>
    <row r="25" spans="1:129">
      <c r="A25" s="72" t="s">
        <v>2552</v>
      </c>
      <c r="B25" s="66">
        <v>112.8</v>
      </c>
      <c r="C25" s="66">
        <v>112.8</v>
      </c>
      <c r="D25" s="66">
        <v>124.71655328798185</v>
      </c>
      <c r="E25" s="66">
        <v>126</v>
      </c>
      <c r="F25" s="66">
        <v>126</v>
      </c>
      <c r="G25" s="66">
        <v>499.1</v>
      </c>
      <c r="H25" s="66">
        <v>172.15419501133786</v>
      </c>
      <c r="I25" s="66">
        <v>112.9</v>
      </c>
      <c r="J25" s="66">
        <v>112.9</v>
      </c>
      <c r="K25" s="66">
        <v>98</v>
      </c>
      <c r="L25" s="66">
        <v>98</v>
      </c>
      <c r="M25" s="66">
        <v>186.39455782312925</v>
      </c>
      <c r="N25" s="66">
        <v>163.26530612244898</v>
      </c>
      <c r="O25" s="66">
        <v>193.6</v>
      </c>
      <c r="P25" s="66">
        <v>203.2</v>
      </c>
      <c r="Q25" s="66">
        <v>186.39455782312925</v>
      </c>
      <c r="R25" s="66">
        <v>148.29931972789115</v>
      </c>
      <c r="S25" s="66">
        <v>148.29931972789115</v>
      </c>
      <c r="T25" s="66">
        <v>187.30158730158729</v>
      </c>
      <c r="U25" s="66">
        <v>187.30158730158729</v>
      </c>
      <c r="V25" s="66">
        <v>186.39455782312925</v>
      </c>
      <c r="W25" s="66">
        <v>241.26984126984127</v>
      </c>
      <c r="X25" s="66">
        <v>173.24263038548753</v>
      </c>
      <c r="Y25" s="66">
        <v>89.3</v>
      </c>
      <c r="Z25" s="66">
        <v>145.57823129251699</v>
      </c>
      <c r="AA25" s="66">
        <v>126.07709750566893</v>
      </c>
      <c r="AB25" s="66">
        <v>172.2</v>
      </c>
      <c r="AC25" s="66">
        <v>226.4</v>
      </c>
      <c r="AD25" s="66">
        <v>285</v>
      </c>
      <c r="AE25" s="66">
        <v>125.9</v>
      </c>
      <c r="AF25" s="66">
        <v>265</v>
      </c>
      <c r="AG25" s="66">
        <v>186</v>
      </c>
      <c r="AH25" s="66">
        <v>136.05442176870747</v>
      </c>
      <c r="AI25" s="66">
        <v>56.6</v>
      </c>
      <c r="AJ25" s="66">
        <v>29.1</v>
      </c>
      <c r="AK25" s="66">
        <v>270.3</v>
      </c>
      <c r="AL25" s="66">
        <v>269.84126984126982</v>
      </c>
      <c r="AM25" s="66">
        <v>147.84580498866214</v>
      </c>
      <c r="AN25" s="66">
        <v>150.1</v>
      </c>
      <c r="AO25" s="66">
        <v>226.4</v>
      </c>
      <c r="AP25" s="66">
        <v>126.1</v>
      </c>
      <c r="AQ25" s="66">
        <v>121.54195011337868</v>
      </c>
      <c r="AR25" s="66">
        <v>125</v>
      </c>
      <c r="AS25" s="66">
        <v>207.2562358276644</v>
      </c>
      <c r="AT25" s="66">
        <v>207.2562358276644</v>
      </c>
      <c r="AU25" s="113">
        <v>212.69841269841268</v>
      </c>
      <c r="AV25" s="114">
        <v>241.7233560090703</v>
      </c>
      <c r="AW25" s="66">
        <v>219.95464852607708</v>
      </c>
      <c r="AX25" s="66">
        <v>139</v>
      </c>
      <c r="AY25" s="66">
        <v>145.57823129251699</v>
      </c>
      <c r="AZ25" s="66">
        <v>190</v>
      </c>
      <c r="BA25" s="66">
        <v>192.7437641723356</v>
      </c>
      <c r="BB25" s="66">
        <v>135.14739229024943</v>
      </c>
      <c r="BC25" s="66">
        <v>156.91609977324262</v>
      </c>
      <c r="BD25" s="66">
        <v>186</v>
      </c>
      <c r="BE25" s="66">
        <v>150.1</v>
      </c>
      <c r="BF25" s="66">
        <v>206.8</v>
      </c>
      <c r="BG25" s="66">
        <v>206.8</v>
      </c>
      <c r="BH25" s="66">
        <v>224</v>
      </c>
      <c r="BI25" s="66">
        <v>279.36507936507934</v>
      </c>
      <c r="BJ25" s="66">
        <v>112.47165532879818</v>
      </c>
      <c r="BK25" s="66">
        <v>215.42</v>
      </c>
      <c r="BL25" s="66">
        <v>215.42</v>
      </c>
      <c r="BM25" s="66">
        <v>204</v>
      </c>
      <c r="BN25" s="66">
        <v>204</v>
      </c>
      <c r="BO25" s="66">
        <v>215.42</v>
      </c>
      <c r="BP25" s="66">
        <v>229.47845804988663</v>
      </c>
      <c r="BQ25" s="66">
        <v>219.8</v>
      </c>
      <c r="BR25" s="5">
        <v>411.4</v>
      </c>
      <c r="BS25" s="5">
        <v>450</v>
      </c>
      <c r="BT25" s="5">
        <v>450</v>
      </c>
      <c r="BU25" s="5">
        <v>873.1</v>
      </c>
      <c r="BV25" s="5">
        <v>423.2</v>
      </c>
      <c r="BW25" s="5">
        <v>423.2</v>
      </c>
      <c r="BX25" s="5">
        <v>355.2</v>
      </c>
      <c r="BY25" s="5">
        <v>390.5</v>
      </c>
      <c r="BZ25" s="5">
        <v>390.5</v>
      </c>
      <c r="CA25" s="5">
        <v>392.8</v>
      </c>
      <c r="CB25" s="5">
        <v>392.8</v>
      </c>
      <c r="CC25" s="5">
        <v>481.7</v>
      </c>
      <c r="CD25" s="5">
        <v>417.3</v>
      </c>
      <c r="CE25" s="5">
        <v>423.2</v>
      </c>
      <c r="CF25" s="5">
        <v>481.7</v>
      </c>
      <c r="CG25" s="5">
        <v>434</v>
      </c>
      <c r="CH25" s="5">
        <v>481.7</v>
      </c>
      <c r="CI25" s="5">
        <v>480.1</v>
      </c>
      <c r="CJ25" s="5">
        <v>480.8</v>
      </c>
      <c r="CK25" s="5">
        <v>480.8</v>
      </c>
      <c r="CL25" s="66">
        <v>6847</v>
      </c>
      <c r="CM25" s="66">
        <v>7140</v>
      </c>
      <c r="CN25" s="66">
        <v>8761</v>
      </c>
      <c r="CO25" s="66">
        <v>4957.8</v>
      </c>
      <c r="CP25" s="66">
        <v>2990</v>
      </c>
      <c r="CQ25" s="66">
        <v>2644.4</v>
      </c>
      <c r="CR25" s="66">
        <v>2644.4</v>
      </c>
      <c r="CS25" s="66">
        <v>2644.4</v>
      </c>
      <c r="CT25" s="66">
        <v>2644.4</v>
      </c>
      <c r="CU25" s="66">
        <v>2644.4</v>
      </c>
      <c r="CV25" s="66">
        <v>2644.4</v>
      </c>
      <c r="CW25" s="66">
        <v>4440.7</v>
      </c>
      <c r="CX25" s="99">
        <v>4272.84</v>
      </c>
      <c r="CY25" s="100">
        <v>5775</v>
      </c>
      <c r="CZ25" s="66">
        <v>5091</v>
      </c>
      <c r="DA25" s="66">
        <v>4272.1088435374149</v>
      </c>
      <c r="DB25" s="66">
        <v>4272.1088435374149</v>
      </c>
      <c r="DC25" s="66">
        <v>4440.7</v>
      </c>
      <c r="DD25" s="66">
        <v>4272.1088435374149</v>
      </c>
      <c r="DE25" s="66">
        <v>4522</v>
      </c>
      <c r="DF25" s="66">
        <v>7277</v>
      </c>
      <c r="DG25" s="66">
        <v>7549</v>
      </c>
      <c r="DH25" s="66">
        <v>4067</v>
      </c>
      <c r="DI25" s="66">
        <v>4067</v>
      </c>
      <c r="DJ25" s="66">
        <v>4067</v>
      </c>
      <c r="DK25" s="66">
        <v>4067</v>
      </c>
      <c r="DL25" s="66">
        <v>3833</v>
      </c>
      <c r="DM25" s="66">
        <v>4143</v>
      </c>
      <c r="DN25" s="66">
        <v>6436</v>
      </c>
      <c r="DO25" s="99">
        <v>4272.1088435374149</v>
      </c>
      <c r="DP25" s="100">
        <v>5703</v>
      </c>
      <c r="DQ25" s="100">
        <v>4440.7</v>
      </c>
      <c r="DV25" s="149"/>
      <c r="DY25" s="149"/>
    </row>
    <row r="26" spans="1:129">
      <c r="A26" s="72" t="s">
        <v>2553</v>
      </c>
      <c r="B26" s="66">
        <v>1</v>
      </c>
      <c r="C26" s="66">
        <v>1</v>
      </c>
      <c r="D26" s="66">
        <v>1</v>
      </c>
      <c r="E26" s="66">
        <v>1</v>
      </c>
      <c r="F26" s="66">
        <v>1</v>
      </c>
      <c r="G26" s="66">
        <v>1</v>
      </c>
      <c r="H26" s="66">
        <v>2</v>
      </c>
      <c r="I26" s="66">
        <v>1</v>
      </c>
      <c r="J26" s="66">
        <v>1</v>
      </c>
      <c r="K26" s="66">
        <v>1</v>
      </c>
      <c r="L26" s="66">
        <v>1</v>
      </c>
      <c r="M26" s="66">
        <v>1</v>
      </c>
      <c r="N26" s="66">
        <v>1</v>
      </c>
      <c r="O26" s="66">
        <v>1</v>
      </c>
      <c r="P26" s="66">
        <v>2</v>
      </c>
      <c r="Q26" s="66">
        <v>2</v>
      </c>
      <c r="R26" s="66">
        <v>2</v>
      </c>
      <c r="S26" s="66">
        <v>2</v>
      </c>
      <c r="T26" s="66">
        <v>1</v>
      </c>
      <c r="U26" s="66">
        <v>1</v>
      </c>
      <c r="V26" s="66">
        <v>1</v>
      </c>
      <c r="W26" s="66">
        <v>1</v>
      </c>
      <c r="X26" s="66">
        <v>1</v>
      </c>
      <c r="Y26" s="66">
        <v>1</v>
      </c>
      <c r="Z26" s="66">
        <v>2</v>
      </c>
      <c r="AA26" s="66">
        <v>1</v>
      </c>
      <c r="AB26" s="66">
        <v>1</v>
      </c>
      <c r="AC26" s="66">
        <v>1</v>
      </c>
      <c r="AD26" s="66">
        <v>1</v>
      </c>
      <c r="AE26" s="66">
        <v>1</v>
      </c>
      <c r="AF26" s="66">
        <v>1</v>
      </c>
      <c r="AG26" s="66">
        <v>1</v>
      </c>
      <c r="AH26" s="66">
        <v>1</v>
      </c>
      <c r="AI26" s="66">
        <v>1</v>
      </c>
      <c r="AJ26" s="66">
        <v>1</v>
      </c>
      <c r="AK26" s="66">
        <v>1</v>
      </c>
      <c r="AL26" s="66">
        <v>1</v>
      </c>
      <c r="AM26" s="66">
        <v>1</v>
      </c>
      <c r="AN26" s="66">
        <v>1</v>
      </c>
      <c r="AO26" s="66">
        <v>1</v>
      </c>
      <c r="AP26" s="66">
        <v>1</v>
      </c>
      <c r="AQ26" s="66">
        <v>1</v>
      </c>
      <c r="AR26" s="66">
        <v>1</v>
      </c>
      <c r="AS26" s="66">
        <v>1</v>
      </c>
      <c r="AT26" s="66">
        <v>1</v>
      </c>
      <c r="AU26" s="113">
        <v>1</v>
      </c>
      <c r="AV26" s="114">
        <v>1</v>
      </c>
      <c r="AW26" s="66">
        <v>2</v>
      </c>
      <c r="AX26" s="66">
        <v>2</v>
      </c>
      <c r="AY26" s="66">
        <v>2</v>
      </c>
      <c r="AZ26" s="66">
        <v>1</v>
      </c>
      <c r="BA26" s="66">
        <v>2</v>
      </c>
      <c r="BB26" s="66">
        <v>2</v>
      </c>
      <c r="BC26" s="66">
        <v>2</v>
      </c>
      <c r="BD26" s="66">
        <v>2</v>
      </c>
      <c r="BE26" s="66">
        <v>2</v>
      </c>
      <c r="BF26" s="66">
        <v>1</v>
      </c>
      <c r="BG26" s="66">
        <v>2</v>
      </c>
      <c r="BH26" s="66">
        <v>2</v>
      </c>
      <c r="BI26" s="66">
        <v>2</v>
      </c>
      <c r="BJ26" s="66">
        <v>1</v>
      </c>
      <c r="BK26" s="66">
        <v>2</v>
      </c>
      <c r="BL26" s="66">
        <v>2</v>
      </c>
      <c r="BM26" s="66">
        <v>2</v>
      </c>
      <c r="BN26" s="66">
        <v>2</v>
      </c>
      <c r="BO26" s="66">
        <v>2</v>
      </c>
      <c r="BP26" s="66">
        <v>2</v>
      </c>
      <c r="BQ26" s="66">
        <v>1</v>
      </c>
      <c r="BR26" s="5">
        <v>2</v>
      </c>
      <c r="BS26" s="5">
        <v>2</v>
      </c>
      <c r="BT26" s="5">
        <v>2</v>
      </c>
      <c r="BU26" s="5">
        <v>2</v>
      </c>
      <c r="BV26" s="5">
        <v>2</v>
      </c>
      <c r="BW26" s="5">
        <v>2</v>
      </c>
      <c r="BX26" s="5">
        <v>2</v>
      </c>
      <c r="BY26" s="5">
        <v>2</v>
      </c>
      <c r="BZ26" s="5">
        <v>2</v>
      </c>
      <c r="CA26" s="5">
        <v>2</v>
      </c>
      <c r="CB26" s="5">
        <v>2</v>
      </c>
      <c r="CC26" s="5">
        <v>2</v>
      </c>
      <c r="CD26" s="5">
        <v>2</v>
      </c>
      <c r="CE26" s="5">
        <v>2</v>
      </c>
      <c r="CF26" s="5">
        <v>2</v>
      </c>
      <c r="CG26" s="5">
        <v>2</v>
      </c>
      <c r="CH26" s="5">
        <v>2</v>
      </c>
      <c r="CI26" s="5">
        <v>2</v>
      </c>
      <c r="CJ26" s="5">
        <v>2</v>
      </c>
      <c r="CK26" s="5">
        <v>2</v>
      </c>
      <c r="CL26" s="66">
        <v>2</v>
      </c>
      <c r="CM26" s="66">
        <v>2</v>
      </c>
      <c r="CN26" s="66">
        <v>2</v>
      </c>
      <c r="CO26" s="66">
        <v>4</v>
      </c>
      <c r="CP26" s="66">
        <v>4</v>
      </c>
      <c r="CQ26" s="66">
        <v>4</v>
      </c>
      <c r="CR26" s="66">
        <v>4</v>
      </c>
      <c r="CS26" s="66">
        <v>4</v>
      </c>
      <c r="CT26" s="66">
        <v>4</v>
      </c>
      <c r="CU26" s="66">
        <v>4</v>
      </c>
      <c r="CV26" s="66">
        <v>4</v>
      </c>
      <c r="CW26" s="66">
        <v>4</v>
      </c>
      <c r="CX26" s="66">
        <v>4</v>
      </c>
      <c r="CY26" s="66">
        <v>4</v>
      </c>
      <c r="CZ26" s="66">
        <v>2</v>
      </c>
      <c r="DA26" s="66">
        <v>2</v>
      </c>
      <c r="DB26" s="66">
        <v>2</v>
      </c>
      <c r="DC26" s="66">
        <v>2</v>
      </c>
      <c r="DD26" s="66">
        <v>2</v>
      </c>
      <c r="DE26" s="66">
        <v>2</v>
      </c>
      <c r="DF26" s="66">
        <v>2</v>
      </c>
      <c r="DG26" s="66">
        <v>2</v>
      </c>
      <c r="DH26" s="66">
        <v>3</v>
      </c>
      <c r="DI26" s="66">
        <v>3</v>
      </c>
      <c r="DJ26" s="66">
        <v>3</v>
      </c>
      <c r="DK26" s="66">
        <v>3</v>
      </c>
      <c r="DL26" s="66">
        <v>3</v>
      </c>
      <c r="DM26" s="66">
        <v>3</v>
      </c>
      <c r="DN26" s="66">
        <v>4</v>
      </c>
      <c r="DO26" s="66">
        <v>4</v>
      </c>
      <c r="DP26" s="66">
        <v>4</v>
      </c>
      <c r="DQ26" s="66">
        <v>4</v>
      </c>
      <c r="DV26" s="149"/>
      <c r="DY26" s="149"/>
    </row>
    <row r="27" spans="1:129" ht="15.75" customHeight="1">
      <c r="A27" s="72" t="s">
        <v>2554</v>
      </c>
      <c r="B27" s="66">
        <f t="shared" ref="B27:AG27" si="68">B29/B11*1000</f>
        <v>4.0266000000000002</v>
      </c>
      <c r="C27" s="66">
        <f t="shared" si="68"/>
        <v>4.0266000000000002</v>
      </c>
      <c r="D27" s="66">
        <f t="shared" si="68"/>
        <v>4.0990759023773791</v>
      </c>
      <c r="E27" s="66">
        <f t="shared" si="68"/>
        <v>4.2054186413902057</v>
      </c>
      <c r="F27" s="66">
        <f t="shared" si="68"/>
        <v>4.2161803105015601</v>
      </c>
      <c r="G27" s="66">
        <f t="shared" si="68"/>
        <v>5.9860642919200711</v>
      </c>
      <c r="H27" s="66">
        <f t="shared" si="68"/>
        <v>9.6620798782327402</v>
      </c>
      <c r="I27" s="66">
        <f t="shared" si="68"/>
        <v>4.1757333333333335</v>
      </c>
      <c r="J27" s="66">
        <f t="shared" si="68"/>
        <v>4.1757333333333335</v>
      </c>
      <c r="K27" s="66">
        <f t="shared" si="68"/>
        <v>3.3555000000000001</v>
      </c>
      <c r="L27" s="66">
        <f t="shared" si="68"/>
        <v>3.0504545454545458</v>
      </c>
      <c r="M27" s="66">
        <f t="shared" si="68"/>
        <v>7.5267514414343255</v>
      </c>
      <c r="N27" s="66">
        <f t="shared" si="68"/>
        <v>11.583423110338838</v>
      </c>
      <c r="O27" s="66">
        <f t="shared" si="68"/>
        <v>6.4127333333333327</v>
      </c>
      <c r="P27" s="66">
        <f t="shared" si="68"/>
        <v>9.6382467478664182</v>
      </c>
      <c r="Q27" s="66">
        <f t="shared" si="68"/>
        <v>10.490364586059268</v>
      </c>
      <c r="R27" s="66">
        <f t="shared" si="68"/>
        <v>8.7802250000000015</v>
      </c>
      <c r="S27" s="66">
        <f t="shared" si="68"/>
        <v>8.7802250000000015</v>
      </c>
      <c r="T27" s="66">
        <f t="shared" si="68"/>
        <v>6.2555928411633106</v>
      </c>
      <c r="U27" s="66">
        <f t="shared" si="68"/>
        <v>6.2555928411633106</v>
      </c>
      <c r="V27" s="66">
        <f t="shared" si="68"/>
        <v>8.6958718904094674</v>
      </c>
      <c r="W27" s="66">
        <f t="shared" si="68"/>
        <v>8.1688493515967728</v>
      </c>
      <c r="X27" s="66">
        <f t="shared" si="68"/>
        <v>5.555695929983826</v>
      </c>
      <c r="Y27" s="66">
        <f t="shared" si="68"/>
        <v>2.9152910512597741</v>
      </c>
      <c r="Z27" s="66">
        <f t="shared" si="68"/>
        <v>13.338633540372673</v>
      </c>
      <c r="AA27" s="66">
        <f t="shared" si="68"/>
        <v>4.013553097792534</v>
      </c>
      <c r="AB27" s="66">
        <f t="shared" si="68"/>
        <v>4.1408913763854613</v>
      </c>
      <c r="AC27" s="66">
        <f t="shared" si="68"/>
        <v>6.1546125251756525</v>
      </c>
      <c r="AD27" s="66">
        <f t="shared" si="68"/>
        <v>5.5004008945361091</v>
      </c>
      <c r="AE27" s="66">
        <f t="shared" si="68"/>
        <v>2.5589014501780678</v>
      </c>
      <c r="AF27" s="66">
        <f t="shared" si="68"/>
        <v>6.3566314988373307</v>
      </c>
      <c r="AG27" s="66">
        <f t="shared" si="68"/>
        <v>3.6259838946017093</v>
      </c>
      <c r="AH27" s="66">
        <f t="shared" ref="AH27:BR27" si="69">AH29/AH11*1000</f>
        <v>3.8936739807803593</v>
      </c>
      <c r="AI27" s="66">
        <f t="shared" si="69"/>
        <v>3.8568965517241378</v>
      </c>
      <c r="AJ27" s="66">
        <f t="shared" si="69"/>
        <v>2.1595997999999996</v>
      </c>
      <c r="AK27" s="66">
        <f t="shared" si="69"/>
        <v>12.978913269267863</v>
      </c>
      <c r="AL27" s="66">
        <f t="shared" si="69"/>
        <v>7.2882068047014226</v>
      </c>
      <c r="AM27" s="66">
        <f t="shared" si="69"/>
        <v>5.1327941260827163</v>
      </c>
      <c r="AN27" s="66">
        <f t="shared" si="69"/>
        <v>17.866173333333336</v>
      </c>
      <c r="AO27" s="66">
        <f t="shared" si="69"/>
        <v>7.8572663705432886</v>
      </c>
      <c r="AP27" s="66">
        <f t="shared" si="69"/>
        <v>4.2054186413902057</v>
      </c>
      <c r="AQ27" s="66">
        <f t="shared" si="69"/>
        <v>4.1757333333333335</v>
      </c>
      <c r="AR27" s="66">
        <f t="shared" si="69"/>
        <v>4.3479359452047337</v>
      </c>
      <c r="AS27" s="66">
        <f t="shared" si="69"/>
        <v>7.1492489613294978</v>
      </c>
      <c r="AT27" s="66">
        <f t="shared" si="69"/>
        <v>7.8194910514541389</v>
      </c>
      <c r="AU27" s="113">
        <f t="shared" si="69"/>
        <v>8.2036527268013852</v>
      </c>
      <c r="AV27" s="114">
        <f t="shared" si="69"/>
        <v>7.6279577986047959</v>
      </c>
      <c r="AW27" s="66">
        <f t="shared" si="69"/>
        <v>9.7901647058823524</v>
      </c>
      <c r="AX27" s="66">
        <f t="shared" si="69"/>
        <v>7.8426588235294119</v>
      </c>
      <c r="AY27" s="66">
        <f t="shared" si="69"/>
        <v>8.7297560975609763</v>
      </c>
      <c r="AZ27" s="66">
        <f t="shared" si="69"/>
        <v>8.8389936440677968</v>
      </c>
      <c r="BA27" s="66">
        <f t="shared" si="69"/>
        <v>12.967528257628153</v>
      </c>
      <c r="BB27" s="66">
        <f t="shared" si="69"/>
        <v>7.4381637717121603</v>
      </c>
      <c r="BC27" s="66">
        <f t="shared" si="69"/>
        <v>6.7665462753950347</v>
      </c>
      <c r="BD27" s="66">
        <f t="shared" si="69"/>
        <v>6.5794117647058821</v>
      </c>
      <c r="BE27" s="66">
        <f t="shared" si="69"/>
        <v>31.340426065162916</v>
      </c>
      <c r="BF27" s="66">
        <f t="shared" si="69"/>
        <v>24.399870370370369</v>
      </c>
      <c r="BG27" s="66">
        <f t="shared" si="69"/>
        <v>32.50186688311689</v>
      </c>
      <c r="BH27" s="66">
        <f t="shared" si="69"/>
        <v>9.3804578686609901</v>
      </c>
      <c r="BI27" s="66">
        <f t="shared" si="69"/>
        <v>12.806062112549808</v>
      </c>
      <c r="BJ27" s="66">
        <f t="shared" si="69"/>
        <v>2.9762656767770497</v>
      </c>
      <c r="BK27" s="66">
        <f t="shared" si="69"/>
        <v>34.176995121951222</v>
      </c>
      <c r="BL27" s="66">
        <f t="shared" si="69"/>
        <v>34.616027667984191</v>
      </c>
      <c r="BM27" s="66">
        <f t="shared" si="69"/>
        <v>28.028814229249011</v>
      </c>
      <c r="BN27" s="66">
        <f t="shared" si="69"/>
        <v>29.858063157894737</v>
      </c>
      <c r="BO27" s="66">
        <f t="shared" si="69"/>
        <v>57.282440201714977</v>
      </c>
      <c r="BP27" s="66">
        <f t="shared" si="69"/>
        <v>36.691442575567386</v>
      </c>
      <c r="BQ27" s="66">
        <f t="shared" si="69"/>
        <v>5.8063499420625737</v>
      </c>
      <c r="BR27" s="7">
        <f t="shared" si="69"/>
        <v>57.457736355738085</v>
      </c>
      <c r="BS27" s="7"/>
      <c r="BT27" s="7"/>
      <c r="BU27" s="7"/>
      <c r="BV27" s="7"/>
      <c r="BW27" s="7"/>
      <c r="BX27" s="7">
        <f t="shared" ref="BX27:CK27" si="70">BX29/BX11*1000</f>
        <v>40.304622667780563</v>
      </c>
      <c r="BY27" s="7">
        <f t="shared" si="70"/>
        <v>54.237651309846441</v>
      </c>
      <c r="BZ27" s="7">
        <f t="shared" si="70"/>
        <v>54.237651309846441</v>
      </c>
      <c r="CA27" s="7">
        <f t="shared" si="70"/>
        <v>54.237651309846441</v>
      </c>
      <c r="CB27" s="7">
        <f t="shared" si="70"/>
        <v>54.237651309846441</v>
      </c>
      <c r="CC27" s="5">
        <f t="shared" si="70"/>
        <v>55.916322730799067</v>
      </c>
      <c r="CD27" s="5">
        <f t="shared" si="70"/>
        <v>48.300254207291573</v>
      </c>
      <c r="CE27" s="5">
        <f t="shared" si="70"/>
        <v>51.107571515912092</v>
      </c>
      <c r="CF27" s="5">
        <f t="shared" si="70"/>
        <v>55.87641181581234</v>
      </c>
      <c r="CG27" s="5">
        <f t="shared" si="70"/>
        <v>51.827396466840433</v>
      </c>
      <c r="CH27" s="5">
        <f t="shared" si="70"/>
        <v>62.514350453172206</v>
      </c>
      <c r="CI27" s="5">
        <f t="shared" si="70"/>
        <v>62.530880519774861</v>
      </c>
      <c r="CJ27" s="5">
        <f t="shared" si="70"/>
        <v>54.452566766139086</v>
      </c>
      <c r="CK27" s="5">
        <f t="shared" si="70"/>
        <v>63.500026910035906</v>
      </c>
      <c r="CL27" s="66">
        <f>355.7 * 2</f>
        <v>711.4</v>
      </c>
      <c r="CM27" s="66">
        <f>CM26*425.6</f>
        <v>851.2</v>
      </c>
      <c r="CN27" s="66">
        <f>439.8*2</f>
        <v>879.6</v>
      </c>
      <c r="CO27" s="66">
        <f>CO26*235.8</f>
        <v>943.2</v>
      </c>
      <c r="CP27" s="66">
        <f>224.99*4</f>
        <v>899.96</v>
      </c>
      <c r="CQ27" s="66">
        <f>138.78*4</f>
        <v>555.12</v>
      </c>
      <c r="CR27" s="66">
        <f>144.57*4</f>
        <v>578.28</v>
      </c>
      <c r="CS27" s="66">
        <f>151.25*4</f>
        <v>605</v>
      </c>
      <c r="CT27" s="66">
        <f>151.25*4</f>
        <v>605</v>
      </c>
      <c r="CU27" s="66">
        <f>144.57*4</f>
        <v>578.28</v>
      </c>
      <c r="CV27" s="66">
        <f>138.78*4</f>
        <v>555.12</v>
      </c>
      <c r="CW27" s="66">
        <f>254.3*4</f>
        <v>1017.2</v>
      </c>
      <c r="CX27" s="66">
        <f>4*252.3</f>
        <v>1009.2</v>
      </c>
      <c r="CY27" s="66">
        <f>258.007*4</f>
        <v>1032.028</v>
      </c>
      <c r="CZ27" s="66">
        <f>320.2*2</f>
        <v>640.4</v>
      </c>
      <c r="DA27" s="66">
        <f>232.1*2</f>
        <v>464.2</v>
      </c>
      <c r="DB27" s="66">
        <f>275.8*2</f>
        <v>551.6</v>
      </c>
      <c r="DC27" s="66">
        <f>2*267.03</f>
        <v>534.05999999999995</v>
      </c>
      <c r="DD27" s="66">
        <f>275.8*2</f>
        <v>551.6</v>
      </c>
      <c r="DE27" s="66">
        <f>280.2*2</f>
        <v>560.4</v>
      </c>
      <c r="DF27" s="66">
        <f>374.5*2</f>
        <v>749</v>
      </c>
      <c r="DG27" s="66">
        <f>431.5*DG26</f>
        <v>863</v>
      </c>
      <c r="DH27" s="66">
        <f>203.5*DH26</f>
        <v>610.5</v>
      </c>
      <c r="DI27" s="66">
        <f>182.4*DI26</f>
        <v>547.20000000000005</v>
      </c>
      <c r="DJ27" s="66">
        <f>226.8*DJ26</f>
        <v>680.40000000000009</v>
      </c>
      <c r="DK27" s="66">
        <f>233.5*DK26</f>
        <v>700.5</v>
      </c>
      <c r="DL27" s="66">
        <f>206*DL26</f>
        <v>618</v>
      </c>
      <c r="DM27" s="66">
        <f>236*DM26</f>
        <v>708</v>
      </c>
      <c r="DN27" s="66">
        <f>311.4 *4</f>
        <v>1245.5999999999999</v>
      </c>
      <c r="DO27" s="66">
        <f>4*275.8</f>
        <v>1103.2</v>
      </c>
      <c r="DP27" s="66">
        <f>4*269.6</f>
        <v>1078.4000000000001</v>
      </c>
      <c r="DQ27" s="66">
        <f>4*267</f>
        <v>1068</v>
      </c>
      <c r="DV27" s="149"/>
      <c r="DY27" s="149"/>
    </row>
    <row r="28" spans="1:129">
      <c r="A28" s="72" t="s">
        <v>2555</v>
      </c>
      <c r="B28" s="108">
        <f t="shared" ref="B28:AT28" si="71">B30/B14*1000</f>
        <v>1.3833017077798861</v>
      </c>
      <c r="C28" s="108">
        <f t="shared" si="71"/>
        <v>1.3938814531548758</v>
      </c>
      <c r="D28" s="108">
        <f t="shared" si="71"/>
        <v>1.4092872570194384</v>
      </c>
      <c r="E28" s="108">
        <f t="shared" si="71"/>
        <v>1.3991464901585091</v>
      </c>
      <c r="F28" s="108">
        <f t="shared" si="71"/>
        <v>1.4257853760520811</v>
      </c>
      <c r="G28" s="108">
        <f t="shared" si="71"/>
        <v>1.7724792542912358</v>
      </c>
      <c r="H28" s="108">
        <f t="shared" si="71"/>
        <v>2.8164801793774914</v>
      </c>
      <c r="I28" s="108">
        <f t="shared" si="71"/>
        <v>1.4345351043643264</v>
      </c>
      <c r="J28" s="108">
        <f t="shared" si="71"/>
        <v>1.423809254760156</v>
      </c>
      <c r="K28" s="108">
        <f t="shared" si="71"/>
        <v>1.0487880671224363</v>
      </c>
      <c r="L28" s="108">
        <f t="shared" si="71"/>
        <v>1.0756800688435242</v>
      </c>
      <c r="M28" s="108">
        <f t="shared" si="71"/>
        <v>2.0981699842390991</v>
      </c>
      <c r="N28" s="108">
        <f t="shared" si="71"/>
        <v>3.7238506633755013</v>
      </c>
      <c r="O28" s="108">
        <f t="shared" si="71"/>
        <v>1.7707145771294139</v>
      </c>
      <c r="P28" s="108">
        <f t="shared" si="71"/>
        <v>2.9310910637008334</v>
      </c>
      <c r="Q28" s="108">
        <f t="shared" si="71"/>
        <v>3.3666585023713567</v>
      </c>
      <c r="R28" s="108">
        <f t="shared" si="71"/>
        <v>2.7732164469595371</v>
      </c>
      <c r="S28" s="108">
        <f t="shared" si="71"/>
        <v>2.7443287756370416</v>
      </c>
      <c r="T28" s="108">
        <f t="shared" si="71"/>
        <v>1.9968357696652601</v>
      </c>
      <c r="U28" s="108">
        <f t="shared" si="71"/>
        <v>1.975816445774047</v>
      </c>
      <c r="V28" s="108">
        <f t="shared" si="71"/>
        <v>2.2186966311014524</v>
      </c>
      <c r="W28" s="108">
        <f t="shared" si="71"/>
        <v>2.0550001113677481</v>
      </c>
      <c r="X28" s="108">
        <f t="shared" si="71"/>
        <v>1.7244628298285083</v>
      </c>
      <c r="Y28" s="108">
        <f t="shared" si="71"/>
        <v>1.0029717682020802</v>
      </c>
      <c r="Z28" s="108">
        <f t="shared" si="71"/>
        <v>3.7826163096141499</v>
      </c>
      <c r="AA28" s="108">
        <f t="shared" si="71"/>
        <v>1.425432084100493</v>
      </c>
      <c r="AB28" s="108">
        <f t="shared" si="71"/>
        <v>1.5312131679432566</v>
      </c>
      <c r="AC28" s="108">
        <f t="shared" si="71"/>
        <v>2.0425455652382465</v>
      </c>
      <c r="AD28" s="108">
        <f t="shared" si="71"/>
        <v>2.0026656433363113</v>
      </c>
      <c r="AE28" s="108">
        <f t="shared" si="71"/>
        <v>1.0453474511920307</v>
      </c>
      <c r="AF28" s="108">
        <f t="shared" si="71"/>
        <v>1.8030652108584591</v>
      </c>
      <c r="AG28" s="108">
        <f t="shared" si="71"/>
        <v>1.4463128663992595</v>
      </c>
      <c r="AH28" s="108">
        <f t="shared" si="71"/>
        <v>1.3045936190876541</v>
      </c>
      <c r="AI28" s="108">
        <f t="shared" si="71"/>
        <v>1.1911764705882353</v>
      </c>
      <c r="AJ28" s="108">
        <f t="shared" si="71"/>
        <v>0.81000000000000016</v>
      </c>
      <c r="AK28" s="108">
        <f t="shared" si="71"/>
        <v>4.4992688688088185</v>
      </c>
      <c r="AL28" s="108">
        <f t="shared" si="71"/>
        <v>1.7840455356384335</v>
      </c>
      <c r="AM28" s="108">
        <f t="shared" si="71"/>
        <v>1.5076511032010802</v>
      </c>
      <c r="AN28" s="108">
        <f t="shared" si="71"/>
        <v>6.4691999999999998</v>
      </c>
      <c r="AO28" s="108">
        <f t="shared" si="71"/>
        <v>2.8263157894736843</v>
      </c>
      <c r="AP28" s="108">
        <f t="shared" si="71"/>
        <v>1.3789699570815452</v>
      </c>
      <c r="AQ28" s="108">
        <f t="shared" si="71"/>
        <v>1.4896551724137932</v>
      </c>
      <c r="AR28" s="108">
        <f t="shared" si="71"/>
        <v>1.5291818876900858</v>
      </c>
      <c r="AS28" s="108">
        <f t="shared" si="71"/>
        <v>2.2340749552005912</v>
      </c>
      <c r="AT28" s="108">
        <f t="shared" si="71"/>
        <v>2.19488094258528</v>
      </c>
      <c r="AU28" s="127"/>
      <c r="AV28" s="128"/>
      <c r="AW28" s="110">
        <f t="shared" ref="AW28:BQ28" si="72">AW30/AW14*1000</f>
        <v>2.9963127811653525</v>
      </c>
      <c r="AX28" s="110">
        <f t="shared" si="72"/>
        <v>2.3532667386609072</v>
      </c>
      <c r="AY28" s="110">
        <f t="shared" si="72"/>
        <v>1.9562264150943396</v>
      </c>
      <c r="AZ28" s="110">
        <f t="shared" si="72"/>
        <v>2.2682432432432433</v>
      </c>
      <c r="BA28" s="110">
        <f t="shared" si="72"/>
        <v>4.807329763969534</v>
      </c>
      <c r="BB28" s="110">
        <f t="shared" si="72"/>
        <v>1.6479503105590065</v>
      </c>
      <c r="BC28" s="110">
        <f t="shared" si="72"/>
        <v>1.8048979591836736</v>
      </c>
      <c r="BD28" s="110">
        <f t="shared" si="72"/>
        <v>1.7513513513513514</v>
      </c>
      <c r="BE28" s="110">
        <f t="shared" si="72"/>
        <v>8.954612874517947</v>
      </c>
      <c r="BF28" s="110">
        <f t="shared" si="72"/>
        <v>5.9229050279329609</v>
      </c>
      <c r="BG28" s="110">
        <f t="shared" si="72"/>
        <v>6.6024590163934436</v>
      </c>
      <c r="BH28" s="110">
        <f t="shared" si="72"/>
        <v>3.451581975071901</v>
      </c>
      <c r="BI28" s="110">
        <f t="shared" si="72"/>
        <v>3.6261239157185887</v>
      </c>
      <c r="BJ28" s="110">
        <f t="shared" si="72"/>
        <v>1.3235602158515711</v>
      </c>
      <c r="BK28" s="110">
        <f t="shared" si="72"/>
        <v>7.3152249134948102</v>
      </c>
      <c r="BL28" s="110">
        <f t="shared" si="72"/>
        <v>7.5348031563415514</v>
      </c>
      <c r="BM28" s="110">
        <f t="shared" si="72"/>
        <v>5.9644599303135903</v>
      </c>
      <c r="BN28" s="110">
        <f t="shared" si="72"/>
        <v>5.9632132655194034</v>
      </c>
      <c r="BO28" s="110">
        <f t="shared" si="72"/>
        <v>9.5926275477793723</v>
      </c>
      <c r="BP28" s="110">
        <f t="shared" si="72"/>
        <v>8.6972907939176949</v>
      </c>
      <c r="BQ28" s="110">
        <f t="shared" si="72"/>
        <v>1.8782608695652174</v>
      </c>
      <c r="BR28" s="7">
        <f t="shared" ref="BR28" si="73">BR27*0.2</f>
        <v>11.491547271147617</v>
      </c>
      <c r="BS28" s="5"/>
      <c r="BT28" s="5"/>
      <c r="BU28" s="5"/>
      <c r="BV28" s="5"/>
      <c r="BW28" s="5"/>
      <c r="BX28" s="5"/>
      <c r="BY28" s="5"/>
      <c r="BZ28" s="5"/>
      <c r="CA28" s="5"/>
      <c r="CB28" s="5"/>
      <c r="CC28" s="5">
        <f t="shared" ref="CC28:CK28" si="74">CC30/CC14*1000</f>
        <v>20.604751619870409</v>
      </c>
      <c r="CD28" s="5">
        <f t="shared" si="74"/>
        <v>17.684600269572417</v>
      </c>
      <c r="CE28" s="5">
        <f t="shared" si="74"/>
        <v>18.288000000000004</v>
      </c>
      <c r="CF28" s="5">
        <f t="shared" si="74"/>
        <v>20.589928057553958</v>
      </c>
      <c r="CG28" s="5">
        <f t="shared" si="74"/>
        <v>18.892561983471076</v>
      </c>
      <c r="CH28" s="5">
        <f t="shared" si="74"/>
        <v>22.477910858040449</v>
      </c>
      <c r="CI28" s="5">
        <f t="shared" si="74"/>
        <v>22.447058823529414</v>
      </c>
      <c r="CJ28" s="5">
        <f t="shared" si="74"/>
        <v>21.781747572815537</v>
      </c>
      <c r="CK28" s="5">
        <f t="shared" si="74"/>
        <v>22.1431334622824</v>
      </c>
      <c r="CL28" s="79"/>
      <c r="CM28" s="79"/>
      <c r="CN28" s="79"/>
      <c r="CO28" s="66">
        <f>CO26*47.71</f>
        <v>190.84</v>
      </c>
      <c r="CP28" s="66">
        <f>47.71*4</f>
        <v>190.84</v>
      </c>
      <c r="CQ28" s="102">
        <f>30759.45*4/1000</f>
        <v>123.0378</v>
      </c>
      <c r="CR28" s="102">
        <f>30737.21*4/1000</f>
        <v>122.94883999999999</v>
      </c>
      <c r="CS28" s="102">
        <f>31582.37*4/1000</f>
        <v>126.32947999999999</v>
      </c>
      <c r="CT28" s="102">
        <f>31582.37*4/1000</f>
        <v>126.32947999999999</v>
      </c>
      <c r="CU28" s="102">
        <f>30737.21*4/1000</f>
        <v>122.94883999999999</v>
      </c>
      <c r="CV28" s="102">
        <f>30759.45*4/1000</f>
        <v>123.0378</v>
      </c>
      <c r="CW28" s="102">
        <f>57026.201*4/1000</f>
        <v>228.104804</v>
      </c>
      <c r="CX28" s="79"/>
      <c r="CY28" s="66">
        <f>52.5*4</f>
        <v>210</v>
      </c>
      <c r="CZ28" s="79"/>
      <c r="DA28" s="79"/>
      <c r="DB28" s="79"/>
      <c r="DC28" s="66">
        <f>50.4 * 2</f>
        <v>100.8</v>
      </c>
      <c r="DD28" s="79"/>
      <c r="DE28" s="79"/>
      <c r="DF28" s="79"/>
      <c r="DG28" s="79"/>
      <c r="DH28" s="66">
        <f>40.6*DH26</f>
        <v>121.80000000000001</v>
      </c>
      <c r="DI28" s="66">
        <f>41.1*DI26</f>
        <v>123.30000000000001</v>
      </c>
      <c r="DJ28" s="66">
        <f>48*DJ26</f>
        <v>144</v>
      </c>
      <c r="DK28" s="66">
        <f>48*DK26</f>
        <v>144</v>
      </c>
      <c r="DL28" s="66">
        <f>47.5*DL26</f>
        <v>142.5</v>
      </c>
      <c r="DM28" s="66">
        <f>53.2*DM26</f>
        <v>159.60000000000002</v>
      </c>
      <c r="DN28" s="66">
        <f>65.4*4</f>
        <v>261.60000000000002</v>
      </c>
      <c r="DO28" s="79"/>
      <c r="DP28" s="66">
        <f>4*53.5</f>
        <v>214</v>
      </c>
      <c r="DQ28" s="79"/>
      <c r="DV28" s="149"/>
      <c r="DY28" s="149"/>
    </row>
    <row r="29" spans="1:129">
      <c r="A29" s="72" t="s">
        <v>2556</v>
      </c>
      <c r="B29" s="66">
        <v>0.108</v>
      </c>
      <c r="C29" s="66">
        <v>0.108</v>
      </c>
      <c r="D29" s="66">
        <v>0.11600000000000001</v>
      </c>
      <c r="E29" s="66">
        <v>0.11899999999999999</v>
      </c>
      <c r="F29" s="66">
        <v>0.11931394481730052</v>
      </c>
      <c r="G29" s="66">
        <v>0.23100000000000001</v>
      </c>
      <c r="H29" s="66">
        <f>2*0.186428038777032</f>
        <v>0.37285607755406402</v>
      </c>
      <c r="I29" s="66">
        <v>0.112</v>
      </c>
      <c r="J29" s="66">
        <v>0.112</v>
      </c>
      <c r="K29" s="66">
        <v>7.4999999999999997E-2</v>
      </c>
      <c r="L29" s="66">
        <v>7.4999999999999997E-2</v>
      </c>
      <c r="M29" s="66">
        <v>0.21299999999999999</v>
      </c>
      <c r="N29" s="66">
        <v>0.44700000000000001</v>
      </c>
      <c r="O29" s="66">
        <v>0.17199999999999999</v>
      </c>
      <c r="P29" s="66">
        <f>2*0.193885160328113</f>
        <v>0.38777032065622602</v>
      </c>
      <c r="Q29" s="66">
        <f>0.224*2</f>
        <v>0.44800000000000001</v>
      </c>
      <c r="R29" s="66">
        <f>0.157*2</f>
        <v>0.314</v>
      </c>
      <c r="S29" s="66">
        <f>0.157*2</f>
        <v>0.314</v>
      </c>
      <c r="T29" s="66">
        <v>0.22371364653243847</v>
      </c>
      <c r="U29" s="66">
        <v>0.22371364653243847</v>
      </c>
      <c r="V29" s="66">
        <v>0.22371364653243847</v>
      </c>
      <c r="W29" s="66">
        <v>0.23117076808351977</v>
      </c>
      <c r="X29" s="66">
        <v>0.17151379567486949</v>
      </c>
      <c r="Y29" s="66">
        <v>7.4999999999999997E-2</v>
      </c>
      <c r="Z29" s="66">
        <f>0.336*2</f>
        <v>0.67200000000000004</v>
      </c>
      <c r="AA29" s="66">
        <v>0.11931394481730052</v>
      </c>
      <c r="AB29" s="66">
        <v>0.14914243102162567</v>
      </c>
      <c r="AC29" s="66">
        <v>0.23117076808351977</v>
      </c>
      <c r="AD29" s="66">
        <v>0.2348993288590604</v>
      </c>
      <c r="AE29" s="66">
        <v>9.3214019388516034E-2</v>
      </c>
      <c r="AF29" s="66">
        <v>0.22371364653243847</v>
      </c>
      <c r="AG29" s="66">
        <v>0.125</v>
      </c>
      <c r="AH29" s="66">
        <v>0.13422818791946309</v>
      </c>
      <c r="AI29" s="66">
        <v>7.4999999999999997E-2</v>
      </c>
      <c r="AJ29" s="66">
        <v>4.8000000000000001E-2</v>
      </c>
      <c r="AK29" s="66">
        <v>0.89485458612975388</v>
      </c>
      <c r="AL29" s="66">
        <v>0.26099925428784487</v>
      </c>
      <c r="AM29" s="66">
        <v>0.14914243102162567</v>
      </c>
      <c r="AN29" s="66">
        <v>0.59899999999999998</v>
      </c>
      <c r="AO29" s="66">
        <v>0.24235645041014167</v>
      </c>
      <c r="AP29" s="66">
        <v>0.11899999999999999</v>
      </c>
      <c r="AQ29" s="66">
        <f>0.112</f>
        <v>0.112</v>
      </c>
      <c r="AR29" s="66">
        <v>0.13422818791946309</v>
      </c>
      <c r="AS29" s="66">
        <v>0.22371364653243847</v>
      </c>
      <c r="AT29" s="66">
        <v>0.22371364653243847</v>
      </c>
      <c r="AU29" s="113">
        <v>0.22371364653243847</v>
      </c>
      <c r="AV29" s="114">
        <v>0.22371364653243847</v>
      </c>
      <c r="AW29" s="66">
        <f>0.186*2</f>
        <v>0.372</v>
      </c>
      <c r="AX29" s="66">
        <f>0.149*2</f>
        <v>0.29799999999999999</v>
      </c>
      <c r="AY29" s="66">
        <f>0.16*2</f>
        <v>0.32</v>
      </c>
      <c r="AZ29" s="66">
        <v>0.373</v>
      </c>
      <c r="BA29" s="66">
        <v>0.63385533184190901</v>
      </c>
      <c r="BB29" s="66">
        <f>0.134*2</f>
        <v>0.26800000000000002</v>
      </c>
      <c r="BC29" s="66">
        <f>0.134*2</f>
        <v>0.26800000000000002</v>
      </c>
      <c r="BD29" s="66">
        <f>0.132*2</f>
        <v>0.26400000000000001</v>
      </c>
      <c r="BE29" s="66">
        <f>0.559*BE26</f>
        <v>1.1180000000000001</v>
      </c>
      <c r="BF29" s="66">
        <f>1.178*BF26</f>
        <v>1.1779999999999999</v>
      </c>
      <c r="BG29" s="66">
        <f>0.895*BG26</f>
        <v>1.79</v>
      </c>
      <c r="BH29" s="66">
        <f>0.223713646532438*2</f>
        <v>0.447427293064876</v>
      </c>
      <c r="BI29" s="66">
        <v>0.56674123788217745</v>
      </c>
      <c r="BJ29" s="66">
        <v>8.5756897837434745E-2</v>
      </c>
      <c r="BK29" s="66">
        <f>0.783*2</f>
        <v>1.5660000000000001</v>
      </c>
      <c r="BL29" s="66">
        <f>0.783*2</f>
        <v>1.5660000000000001</v>
      </c>
      <c r="BM29" s="66">
        <f>0.634*2</f>
        <v>1.268</v>
      </c>
      <c r="BN29" s="66">
        <f>0.634*2</f>
        <v>1.268</v>
      </c>
      <c r="BO29" s="66">
        <f>0.783*2</f>
        <v>1.5660000000000001</v>
      </c>
      <c r="BP29" s="66">
        <f>0.894854586129754*2</f>
        <v>1.789709172259508</v>
      </c>
      <c r="BQ29" s="66">
        <f>0.224*BQ26</f>
        <v>0.224</v>
      </c>
      <c r="BR29" s="7">
        <f>1.626*2</f>
        <v>3.2519999999999998</v>
      </c>
      <c r="BS29" s="7">
        <f>1.603*BS26</f>
        <v>3.206</v>
      </c>
      <c r="BT29" s="7">
        <f>1.775*BT26</f>
        <v>3.55</v>
      </c>
      <c r="BU29" s="7">
        <v>7.5620000000000003</v>
      </c>
      <c r="BV29" s="7">
        <f>2*1.2</f>
        <v>2.4</v>
      </c>
      <c r="BW29" s="7">
        <f>1.1*2</f>
        <v>2.2000000000000002</v>
      </c>
      <c r="BX29" s="7">
        <f>1.294*2</f>
        <v>2.5880000000000001</v>
      </c>
      <c r="BY29" s="7">
        <f>1.342*2</f>
        <v>2.6840000000000002</v>
      </c>
      <c r="BZ29" s="7">
        <f>1.342*2</f>
        <v>2.6840000000000002</v>
      </c>
      <c r="CA29" s="7">
        <f t="shared" ref="CA29:CB29" si="75">1.342*2</f>
        <v>2.6840000000000002</v>
      </c>
      <c r="CB29" s="7">
        <f t="shared" si="75"/>
        <v>2.6840000000000002</v>
      </c>
      <c r="CC29" s="5">
        <f>1.611*CC26</f>
        <v>3.222</v>
      </c>
      <c r="CD29" s="5">
        <f>1.342*2</f>
        <v>2.6840000000000002</v>
      </c>
      <c r="CE29" s="5">
        <f>1.42*2</f>
        <v>2.84</v>
      </c>
      <c r="CF29" s="5">
        <f>1.61*2</f>
        <v>3.22</v>
      </c>
      <c r="CG29" s="5">
        <f>1.48*2</f>
        <v>2.96</v>
      </c>
      <c r="CH29" s="5">
        <v>3.7</v>
      </c>
      <c r="CI29" s="5">
        <f>1.85*2</f>
        <v>3.7</v>
      </c>
      <c r="CJ29" s="5">
        <f>2*1.611</f>
        <v>3.222</v>
      </c>
      <c r="CK29" s="5">
        <f>1.846*2</f>
        <v>3.6920000000000002</v>
      </c>
      <c r="CL29" s="66">
        <f t="shared" ref="CL29:DQ29" si="76">CL27/1000*CL11</f>
        <v>62.203772910147514</v>
      </c>
      <c r="CM29" s="66">
        <f t="shared" si="76"/>
        <v>68.491729995529724</v>
      </c>
      <c r="CN29" s="66">
        <f t="shared" si="76"/>
        <v>70.776933392936968</v>
      </c>
      <c r="CO29" s="66">
        <f t="shared" si="76"/>
        <v>86.435404559678148</v>
      </c>
      <c r="CP29" s="66">
        <f t="shared" si="76"/>
        <v>82.472865444792134</v>
      </c>
      <c r="CQ29" s="66">
        <f t="shared" si="76"/>
        <v>50.87152436298615</v>
      </c>
      <c r="CR29" s="66">
        <f t="shared" si="76"/>
        <v>52.993920429146179</v>
      </c>
      <c r="CS29" s="66">
        <f t="shared" si="76"/>
        <v>55.442556995976751</v>
      </c>
      <c r="CT29" s="66">
        <f t="shared" si="76"/>
        <v>55.442556995976751</v>
      </c>
      <c r="CU29" s="66">
        <f t="shared" si="76"/>
        <v>52.993920429146179</v>
      </c>
      <c r="CV29" s="66">
        <f t="shared" si="76"/>
        <v>50.87152436298615</v>
      </c>
      <c r="CW29" s="66">
        <f t="shared" si="76"/>
        <v>89.488135896289677</v>
      </c>
      <c r="CX29" s="66">
        <f t="shared" si="76"/>
        <v>88.784336164506044</v>
      </c>
      <c r="CY29" s="66">
        <f t="shared" si="76"/>
        <v>90.79262869915064</v>
      </c>
      <c r="CZ29" s="66">
        <f t="shared" si="76"/>
        <v>61.287740008940546</v>
      </c>
      <c r="DA29" s="66">
        <f t="shared" si="76"/>
        <v>37.351810460438081</v>
      </c>
      <c r="DB29" s="66">
        <f t="shared" si="76"/>
        <v>45.410217255252569</v>
      </c>
      <c r="DC29" s="66">
        <f t="shared" si="76"/>
        <v>43.966244792132315</v>
      </c>
      <c r="DD29" s="66">
        <f t="shared" si="76"/>
        <v>45.410217255252569</v>
      </c>
      <c r="DE29" s="66">
        <f t="shared" si="76"/>
        <v>46.134673223066606</v>
      </c>
      <c r="DF29" s="66">
        <f t="shared" si="76"/>
        <v>60.268216361198029</v>
      </c>
      <c r="DG29" s="66">
        <f t="shared" si="76"/>
        <v>69.441215914170755</v>
      </c>
      <c r="DH29" s="66">
        <f t="shared" si="76"/>
        <v>59.221502011622711</v>
      </c>
      <c r="DI29" s="66">
        <f t="shared" si="76"/>
        <v>53.081090746535537</v>
      </c>
      <c r="DJ29" s="66">
        <f t="shared" si="76"/>
        <v>66.002145730889595</v>
      </c>
      <c r="DK29" s="66">
        <f t="shared" si="76"/>
        <v>67.951944568618686</v>
      </c>
      <c r="DL29" s="66">
        <f t="shared" si="76"/>
        <v>59.396513187304421</v>
      </c>
      <c r="DM29" s="66">
        <f t="shared" si="76"/>
        <v>64.881537773804197</v>
      </c>
      <c r="DN29" s="66">
        <f t="shared" si="76"/>
        <v>96.162324541797034</v>
      </c>
      <c r="DO29" s="66">
        <f t="shared" si="76"/>
        <v>97.053983012963783</v>
      </c>
      <c r="DP29" s="66">
        <f t="shared" si="76"/>
        <v>94.872203844434509</v>
      </c>
      <c r="DQ29" s="66">
        <f t="shared" si="76"/>
        <v>93.957264193115776</v>
      </c>
      <c r="DV29" s="149"/>
      <c r="DY29" s="149"/>
    </row>
    <row r="30" spans="1:129">
      <c r="A30" s="72" t="s">
        <v>2557</v>
      </c>
      <c r="B30" s="66">
        <f t="shared" ref="B30:AN30" si="77">B29*0.75</f>
        <v>8.1000000000000003E-2</v>
      </c>
      <c r="C30" s="66">
        <f t="shared" si="77"/>
        <v>8.1000000000000003E-2</v>
      </c>
      <c r="D30" s="66">
        <f t="shared" si="77"/>
        <v>8.7000000000000008E-2</v>
      </c>
      <c r="E30" s="66">
        <f t="shared" si="77"/>
        <v>8.9249999999999996E-2</v>
      </c>
      <c r="F30" s="66">
        <f t="shared" si="77"/>
        <v>8.9485458612975396E-2</v>
      </c>
      <c r="G30" s="66">
        <f t="shared" si="77"/>
        <v>0.17325000000000002</v>
      </c>
      <c r="H30" s="66">
        <f t="shared" si="77"/>
        <v>0.27964205816554799</v>
      </c>
      <c r="I30" s="66">
        <f t="shared" si="77"/>
        <v>8.4000000000000005E-2</v>
      </c>
      <c r="J30" s="66">
        <f t="shared" si="77"/>
        <v>8.4000000000000005E-2</v>
      </c>
      <c r="K30" s="66">
        <f t="shared" si="77"/>
        <v>5.6249999999999994E-2</v>
      </c>
      <c r="L30" s="66">
        <f t="shared" si="77"/>
        <v>5.6249999999999994E-2</v>
      </c>
      <c r="M30" s="66">
        <f t="shared" si="77"/>
        <v>0.15975</v>
      </c>
      <c r="N30" s="66">
        <f t="shared" si="77"/>
        <v>0.33524999999999999</v>
      </c>
      <c r="O30" s="66">
        <f t="shared" si="77"/>
        <v>0.129</v>
      </c>
      <c r="P30" s="66">
        <f t="shared" si="77"/>
        <v>0.29082774049216953</v>
      </c>
      <c r="Q30" s="66">
        <f t="shared" si="77"/>
        <v>0.33600000000000002</v>
      </c>
      <c r="R30" s="66">
        <f t="shared" si="77"/>
        <v>0.23549999999999999</v>
      </c>
      <c r="S30" s="66">
        <f t="shared" si="77"/>
        <v>0.23549999999999999</v>
      </c>
      <c r="T30" s="66">
        <f t="shared" si="77"/>
        <v>0.16778523489932884</v>
      </c>
      <c r="U30" s="66">
        <f t="shared" si="77"/>
        <v>0.16778523489932884</v>
      </c>
      <c r="V30" s="66">
        <f t="shared" si="77"/>
        <v>0.16778523489932884</v>
      </c>
      <c r="W30" s="66">
        <f t="shared" si="77"/>
        <v>0.17337807606263983</v>
      </c>
      <c r="X30" s="66">
        <f t="shared" si="77"/>
        <v>0.12863534675615212</v>
      </c>
      <c r="Y30" s="66">
        <f t="shared" si="77"/>
        <v>5.6249999999999994E-2</v>
      </c>
      <c r="Z30" s="66">
        <f t="shared" si="77"/>
        <v>0.504</v>
      </c>
      <c r="AA30" s="66">
        <f t="shared" si="77"/>
        <v>8.9485458612975396E-2</v>
      </c>
      <c r="AB30" s="66">
        <f t="shared" si="77"/>
        <v>0.11185682326621925</v>
      </c>
      <c r="AC30" s="66">
        <f t="shared" si="77"/>
        <v>0.17337807606263983</v>
      </c>
      <c r="AD30" s="66">
        <f t="shared" si="77"/>
        <v>0.1761744966442953</v>
      </c>
      <c r="AE30" s="66">
        <f t="shared" si="77"/>
        <v>6.9910514541387025E-2</v>
      </c>
      <c r="AF30" s="66">
        <f t="shared" si="77"/>
        <v>0.16778523489932884</v>
      </c>
      <c r="AG30" s="66">
        <f t="shared" si="77"/>
        <v>9.375E-2</v>
      </c>
      <c r="AH30" s="66">
        <f t="shared" si="77"/>
        <v>0.10067114093959731</v>
      </c>
      <c r="AI30" s="66">
        <f t="shared" si="77"/>
        <v>5.6249999999999994E-2</v>
      </c>
      <c r="AJ30" s="66">
        <f t="shared" si="77"/>
        <v>3.6000000000000004E-2</v>
      </c>
      <c r="AK30" s="66">
        <f t="shared" si="77"/>
        <v>0.67114093959731536</v>
      </c>
      <c r="AL30" s="66">
        <f t="shared" si="77"/>
        <v>0.19574944071588365</v>
      </c>
      <c r="AM30" s="66">
        <f t="shared" si="77"/>
        <v>0.11185682326621925</v>
      </c>
      <c r="AN30" s="66">
        <f t="shared" si="77"/>
        <v>0.44924999999999998</v>
      </c>
      <c r="AO30" s="112">
        <v>0.17899999999999999</v>
      </c>
      <c r="AP30" s="66">
        <f>0.75*AP29</f>
        <v>8.9249999999999996E-2</v>
      </c>
      <c r="AQ30" s="66">
        <f>0.75*AQ29</f>
        <v>8.4000000000000005E-2</v>
      </c>
      <c r="AR30" s="66">
        <f>0.75*AR29</f>
        <v>0.10067114093959731</v>
      </c>
      <c r="AS30" s="66">
        <f t="shared" ref="AS30:AT30" si="78">0.75*AS29</f>
        <v>0.16778523489932884</v>
      </c>
      <c r="AT30" s="66">
        <f t="shared" si="78"/>
        <v>0.16778523489932884</v>
      </c>
      <c r="AU30" s="127">
        <f>AU28*AU14*1000/10^6</f>
        <v>0</v>
      </c>
      <c r="AV30" s="128">
        <f>AV28*AV14*1000/10^6</f>
        <v>0</v>
      </c>
      <c r="AW30" s="66">
        <f>0.75*AW29</f>
        <v>0.27900000000000003</v>
      </c>
      <c r="AX30" s="66">
        <f>0.65*AX29</f>
        <v>0.19370000000000001</v>
      </c>
      <c r="AY30" s="66">
        <f>0.45*AY29</f>
        <v>0.14400000000000002</v>
      </c>
      <c r="AZ30" s="66">
        <f>0.75*AZ29</f>
        <v>0.27975</v>
      </c>
      <c r="BA30" s="66">
        <f>0.75*BA29</f>
        <v>0.47539149888143173</v>
      </c>
      <c r="BB30" s="66">
        <f>0.55*BB29</f>
        <v>0.14740000000000003</v>
      </c>
      <c r="BC30" s="66">
        <f>0.55*BC29</f>
        <v>0.14740000000000003</v>
      </c>
      <c r="BD30" s="66">
        <f>0.75*BD29</f>
        <v>0.19800000000000001</v>
      </c>
      <c r="BE30" s="66">
        <f>0.75*BE29</f>
        <v>0.83850000000000002</v>
      </c>
      <c r="BF30" s="66">
        <f>0.75*BF29</f>
        <v>0.88349999999999995</v>
      </c>
      <c r="BG30" s="66">
        <f>0.75*BG29</f>
        <v>1.3425</v>
      </c>
      <c r="BH30" s="66">
        <f>0.75*BH29</f>
        <v>0.33557046979865701</v>
      </c>
      <c r="BI30" s="66">
        <f>0.79*BI29</f>
        <v>0.44772557792692019</v>
      </c>
      <c r="BJ30" s="66">
        <f>0.75*BJ29</f>
        <v>6.4317673378076062E-2</v>
      </c>
      <c r="BK30" s="66">
        <f t="shared" ref="BK30:BQ30" si="79">0.75*BK29</f>
        <v>1.1745000000000001</v>
      </c>
      <c r="BL30" s="66">
        <f t="shared" si="79"/>
        <v>1.1745000000000001</v>
      </c>
      <c r="BM30" s="66">
        <f t="shared" si="79"/>
        <v>0.95100000000000007</v>
      </c>
      <c r="BN30" s="66">
        <f t="shared" si="79"/>
        <v>0.95100000000000007</v>
      </c>
      <c r="BO30" s="66">
        <f t="shared" si="79"/>
        <v>1.1745000000000001</v>
      </c>
      <c r="BP30" s="66">
        <f t="shared" si="79"/>
        <v>1.3422818791946309</v>
      </c>
      <c r="BQ30" s="66">
        <f t="shared" si="79"/>
        <v>0.16800000000000001</v>
      </c>
      <c r="BR30" s="7">
        <f>(BR28*BR14*1000/10^6)</f>
        <v>1.9790998078087563</v>
      </c>
      <c r="BS30" s="7"/>
      <c r="BT30" s="7"/>
      <c r="BU30" s="7"/>
      <c r="BV30" s="7"/>
      <c r="BW30" s="7"/>
      <c r="BX30" s="7"/>
      <c r="BY30" s="10"/>
      <c r="BZ30" s="10"/>
      <c r="CA30" s="10"/>
      <c r="CB30" s="10"/>
      <c r="CC30" s="5">
        <f>1.59*2</f>
        <v>3.18</v>
      </c>
      <c r="CD30" s="5">
        <f>1.21*2</f>
        <v>2.42</v>
      </c>
      <c r="CE30" s="5">
        <f>1.27*2</f>
        <v>2.54</v>
      </c>
      <c r="CF30" s="5">
        <f>1.59*2</f>
        <v>3.18</v>
      </c>
      <c r="CG30" s="5">
        <f>1.27*2</f>
        <v>2.54</v>
      </c>
      <c r="CH30" s="5">
        <v>3.18</v>
      </c>
      <c r="CI30" s="5">
        <f>1.59*2</f>
        <v>3.18</v>
      </c>
      <c r="CJ30" s="5">
        <f>1.558*2</f>
        <v>3.1160000000000001</v>
      </c>
      <c r="CK30" s="5">
        <f>2*1.59</f>
        <v>3.18</v>
      </c>
      <c r="CL30" s="79"/>
      <c r="CM30" s="79"/>
      <c r="CN30" s="79"/>
      <c r="CO30" s="66">
        <f t="shared" ref="CO30:CW30" si="80">CO28*CO14*1000/10^6</f>
        <v>47.17988888888889</v>
      </c>
      <c r="CP30" s="66">
        <f t="shared" si="80"/>
        <v>44.953422222222223</v>
      </c>
      <c r="CQ30" s="66">
        <f t="shared" si="80"/>
        <v>31.015095206666668</v>
      </c>
      <c r="CR30" s="66">
        <f t="shared" si="80"/>
        <v>30.992670367555554</v>
      </c>
      <c r="CS30" s="66">
        <f t="shared" si="80"/>
        <v>31.844854586222219</v>
      </c>
      <c r="CT30" s="66">
        <f t="shared" si="80"/>
        <v>31.844854586222219</v>
      </c>
      <c r="CU30" s="66">
        <f t="shared" si="80"/>
        <v>30.992670367555554</v>
      </c>
      <c r="CV30" s="66">
        <f t="shared" si="80"/>
        <v>31.015095206666668</v>
      </c>
      <c r="CW30" s="66">
        <f t="shared" si="80"/>
        <v>57.659825455555549</v>
      </c>
      <c r="CX30" s="79"/>
      <c r="CY30" s="66">
        <f>CY28*CY14*1000/10^6</f>
        <v>53.083333333333329</v>
      </c>
      <c r="CZ30" s="79"/>
      <c r="DA30" s="79"/>
      <c r="DB30" s="79"/>
      <c r="DC30" s="66">
        <f>DC28*DC14*1000/10^6</f>
        <v>23.856000000000002</v>
      </c>
      <c r="DD30" s="79"/>
      <c r="DE30" s="79"/>
      <c r="DF30" s="79"/>
      <c r="DG30" s="79"/>
      <c r="DH30" s="66">
        <f t="shared" ref="DH30:DN30" si="81">DH28*DH14*1000/10^6</f>
        <v>30.72066666666667</v>
      </c>
      <c r="DI30" s="66">
        <f t="shared" si="81"/>
        <v>31.099000000000004</v>
      </c>
      <c r="DJ30" s="66">
        <f t="shared" si="81"/>
        <v>36.28</v>
      </c>
      <c r="DK30" s="66">
        <f t="shared" si="81"/>
        <v>36.28</v>
      </c>
      <c r="DL30" s="66">
        <f t="shared" si="81"/>
        <v>35.862499999999997</v>
      </c>
      <c r="DM30" s="66">
        <f t="shared" si="81"/>
        <v>40.875333333333337</v>
      </c>
      <c r="DN30" s="66">
        <f t="shared" si="81"/>
        <v>63.583333333333336</v>
      </c>
      <c r="DO30" s="79"/>
      <c r="DP30" s="66">
        <f>DP28*DP14*1000/10^6</f>
        <v>54.213333333333331</v>
      </c>
      <c r="DQ30" s="79"/>
      <c r="DV30" s="149"/>
      <c r="DY30" s="149"/>
    </row>
    <row r="31" spans="1:129">
      <c r="A31" s="72" t="s">
        <v>2558</v>
      </c>
      <c r="B31" s="66">
        <f>B25*B26</f>
        <v>112.8</v>
      </c>
      <c r="C31" s="66">
        <f t="shared" ref="C31:S31" si="82">C25*C26</f>
        <v>112.8</v>
      </c>
      <c r="D31" s="66">
        <f t="shared" si="82"/>
        <v>124.71655328798185</v>
      </c>
      <c r="E31" s="66">
        <f t="shared" si="82"/>
        <v>126</v>
      </c>
      <c r="F31" s="66">
        <f t="shared" si="82"/>
        <v>126</v>
      </c>
      <c r="G31" s="66">
        <f t="shared" si="82"/>
        <v>499.1</v>
      </c>
      <c r="H31" s="66">
        <f t="shared" si="82"/>
        <v>344.30839002267572</v>
      </c>
      <c r="I31" s="66">
        <f t="shared" si="82"/>
        <v>112.9</v>
      </c>
      <c r="J31" s="66">
        <f t="shared" si="82"/>
        <v>112.9</v>
      </c>
      <c r="K31" s="66">
        <f t="shared" si="82"/>
        <v>98</v>
      </c>
      <c r="L31" s="66">
        <f t="shared" si="82"/>
        <v>98</v>
      </c>
      <c r="M31" s="66">
        <f t="shared" si="82"/>
        <v>186.39455782312925</v>
      </c>
      <c r="N31" s="66">
        <f t="shared" si="82"/>
        <v>163.26530612244898</v>
      </c>
      <c r="O31" s="66">
        <f t="shared" si="82"/>
        <v>193.6</v>
      </c>
      <c r="P31" s="66">
        <f t="shared" si="82"/>
        <v>406.4</v>
      </c>
      <c r="Q31" s="66">
        <f t="shared" si="82"/>
        <v>372.78911564625849</v>
      </c>
      <c r="R31" s="66">
        <f t="shared" si="82"/>
        <v>296.59863945578229</v>
      </c>
      <c r="S31" s="66">
        <f t="shared" si="82"/>
        <v>296.59863945578229</v>
      </c>
      <c r="T31" s="66">
        <f t="shared" ref="T31:U31" si="83">T25*T26</f>
        <v>187.30158730158729</v>
      </c>
      <c r="U31" s="66">
        <f t="shared" si="83"/>
        <v>187.30158730158729</v>
      </c>
      <c r="V31" s="66">
        <f t="shared" ref="V31:AR31" si="84">V25*V26</f>
        <v>186.39455782312925</v>
      </c>
      <c r="W31" s="66">
        <f t="shared" si="84"/>
        <v>241.26984126984127</v>
      </c>
      <c r="X31" s="66">
        <f t="shared" si="84"/>
        <v>173.24263038548753</v>
      </c>
      <c r="Y31" s="66">
        <f t="shared" si="84"/>
        <v>89.3</v>
      </c>
      <c r="Z31" s="66">
        <f t="shared" si="84"/>
        <v>291.15646258503398</v>
      </c>
      <c r="AA31" s="66">
        <f t="shared" si="84"/>
        <v>126.07709750566893</v>
      </c>
      <c r="AB31" s="66">
        <f t="shared" si="84"/>
        <v>172.2</v>
      </c>
      <c r="AC31" s="66">
        <f t="shared" si="84"/>
        <v>226.4</v>
      </c>
      <c r="AD31" s="66">
        <f t="shared" si="84"/>
        <v>285</v>
      </c>
      <c r="AE31" s="66">
        <f t="shared" si="84"/>
        <v>125.9</v>
      </c>
      <c r="AF31" s="66">
        <f t="shared" si="84"/>
        <v>265</v>
      </c>
      <c r="AG31" s="66">
        <f t="shared" si="84"/>
        <v>186</v>
      </c>
      <c r="AH31" s="66">
        <f t="shared" si="84"/>
        <v>136.05442176870747</v>
      </c>
      <c r="AI31" s="66">
        <f t="shared" si="84"/>
        <v>56.6</v>
      </c>
      <c r="AJ31" s="66">
        <f t="shared" si="84"/>
        <v>29.1</v>
      </c>
      <c r="AK31" s="66">
        <f t="shared" si="84"/>
        <v>270.3</v>
      </c>
      <c r="AL31" s="66">
        <f t="shared" si="84"/>
        <v>269.84126984126982</v>
      </c>
      <c r="AM31" s="66">
        <f t="shared" si="84"/>
        <v>147.84580498866214</v>
      </c>
      <c r="AN31" s="66">
        <f t="shared" si="84"/>
        <v>150.1</v>
      </c>
      <c r="AO31" s="66">
        <f t="shared" si="84"/>
        <v>226.4</v>
      </c>
      <c r="AP31" s="66">
        <f t="shared" si="84"/>
        <v>126.1</v>
      </c>
      <c r="AQ31" s="66">
        <f t="shared" si="84"/>
        <v>121.54195011337868</v>
      </c>
      <c r="AR31" s="66">
        <f t="shared" si="84"/>
        <v>125</v>
      </c>
      <c r="AS31" s="66">
        <f t="shared" ref="AS31:AT31" si="85">AS25*AS26</f>
        <v>207.2562358276644</v>
      </c>
      <c r="AT31" s="66">
        <f t="shared" si="85"/>
        <v>207.2562358276644</v>
      </c>
      <c r="AU31" s="113">
        <f t="shared" ref="AU31:AV31" si="86">AU25*AU26</f>
        <v>212.69841269841268</v>
      </c>
      <c r="AV31" s="114">
        <f t="shared" si="86"/>
        <v>241.7233560090703</v>
      </c>
      <c r="AW31" s="66">
        <f t="shared" ref="AW31:AY31" si="87">AW25*AW26</f>
        <v>439.90929705215416</v>
      </c>
      <c r="AX31" s="66">
        <f t="shared" ref="AX31" si="88">AX25*AX26</f>
        <v>278</v>
      </c>
      <c r="AY31" s="66">
        <f t="shared" si="87"/>
        <v>291.15646258503398</v>
      </c>
      <c r="AZ31" s="66">
        <f t="shared" ref="AZ31:BW31" si="89">AZ25*AZ26</f>
        <v>190</v>
      </c>
      <c r="BA31" s="66">
        <f t="shared" si="89"/>
        <v>385.4875283446712</v>
      </c>
      <c r="BB31" s="66">
        <f t="shared" si="89"/>
        <v>270.29478458049886</v>
      </c>
      <c r="BC31" s="66">
        <f t="shared" si="89"/>
        <v>313.83219954648524</v>
      </c>
      <c r="BD31" s="66">
        <f t="shared" si="89"/>
        <v>372</v>
      </c>
      <c r="BE31" s="66">
        <f t="shared" si="89"/>
        <v>300.2</v>
      </c>
      <c r="BF31" s="66">
        <f t="shared" si="89"/>
        <v>206.8</v>
      </c>
      <c r="BG31" s="66">
        <f t="shared" si="89"/>
        <v>413.6</v>
      </c>
      <c r="BH31" s="66">
        <f t="shared" si="89"/>
        <v>448</v>
      </c>
      <c r="BI31" s="66">
        <f t="shared" si="89"/>
        <v>558.73015873015868</v>
      </c>
      <c r="BJ31" s="66">
        <f t="shared" si="89"/>
        <v>112.47165532879818</v>
      </c>
      <c r="BK31" s="66">
        <f t="shared" si="89"/>
        <v>430.84</v>
      </c>
      <c r="BL31" s="66">
        <f t="shared" si="89"/>
        <v>430.84</v>
      </c>
      <c r="BM31" s="66">
        <f t="shared" si="89"/>
        <v>408</v>
      </c>
      <c r="BN31" s="66">
        <f t="shared" si="89"/>
        <v>408</v>
      </c>
      <c r="BO31" s="66">
        <f t="shared" si="89"/>
        <v>430.84</v>
      </c>
      <c r="BP31" s="66">
        <f t="shared" si="89"/>
        <v>458.95691609977325</v>
      </c>
      <c r="BQ31" s="66">
        <f t="shared" si="89"/>
        <v>219.8</v>
      </c>
      <c r="BR31" s="5">
        <f t="shared" si="89"/>
        <v>822.8</v>
      </c>
      <c r="BS31" s="5">
        <f t="shared" si="89"/>
        <v>900</v>
      </c>
      <c r="BT31" s="5">
        <f t="shared" si="89"/>
        <v>900</v>
      </c>
      <c r="BU31" s="5">
        <f t="shared" si="89"/>
        <v>1746.2</v>
      </c>
      <c r="BV31" s="5">
        <f t="shared" si="89"/>
        <v>846.4</v>
      </c>
      <c r="BW31" s="5">
        <f t="shared" si="89"/>
        <v>846.4</v>
      </c>
      <c r="BX31" s="5">
        <f>BX25*BX26</f>
        <v>710.4</v>
      </c>
      <c r="BY31" s="5">
        <f t="shared" ref="BY31:CK31" si="90">BY25*BY26</f>
        <v>781</v>
      </c>
      <c r="BZ31" s="5">
        <f t="shared" si="90"/>
        <v>781</v>
      </c>
      <c r="CA31" s="5">
        <f t="shared" si="90"/>
        <v>785.6</v>
      </c>
      <c r="CB31" s="5">
        <f t="shared" si="90"/>
        <v>785.6</v>
      </c>
      <c r="CC31" s="5">
        <f t="shared" si="90"/>
        <v>963.4</v>
      </c>
      <c r="CD31" s="5">
        <f t="shared" si="90"/>
        <v>834.6</v>
      </c>
      <c r="CE31" s="5">
        <f t="shared" si="90"/>
        <v>846.4</v>
      </c>
      <c r="CF31" s="5">
        <f t="shared" si="90"/>
        <v>963.4</v>
      </c>
      <c r="CG31" s="5">
        <f t="shared" si="90"/>
        <v>868</v>
      </c>
      <c r="CH31" s="5">
        <f t="shared" si="90"/>
        <v>963.4</v>
      </c>
      <c r="CI31" s="5">
        <f t="shared" si="90"/>
        <v>960.2</v>
      </c>
      <c r="CJ31" s="5">
        <f t="shared" si="90"/>
        <v>961.6</v>
      </c>
      <c r="CK31" s="5">
        <f t="shared" si="90"/>
        <v>961.6</v>
      </c>
      <c r="CL31" s="66">
        <f>CL25*CL26</f>
        <v>13694</v>
      </c>
      <c r="CM31" s="66">
        <f>CM25*CM26</f>
        <v>14280</v>
      </c>
      <c r="CN31" s="66">
        <f>CN25*CN26</f>
        <v>17522</v>
      </c>
      <c r="CO31" s="66">
        <f>CO25*CO26</f>
        <v>19831.2</v>
      </c>
      <c r="CP31" s="66">
        <f>CP25*CP26</f>
        <v>11960</v>
      </c>
      <c r="CQ31" s="66">
        <f t="shared" ref="CQ31:CV31" si="91">CQ25*CQ26</f>
        <v>10577.6</v>
      </c>
      <c r="CR31" s="66">
        <f t="shared" si="91"/>
        <v>10577.6</v>
      </c>
      <c r="CS31" s="66">
        <f t="shared" si="91"/>
        <v>10577.6</v>
      </c>
      <c r="CT31" s="66">
        <f t="shared" si="91"/>
        <v>10577.6</v>
      </c>
      <c r="CU31" s="66">
        <f t="shared" si="91"/>
        <v>10577.6</v>
      </c>
      <c r="CV31" s="66">
        <f t="shared" si="91"/>
        <v>10577.6</v>
      </c>
      <c r="CW31" s="66">
        <f>CW25*CW26</f>
        <v>17762.8</v>
      </c>
      <c r="CX31" s="66">
        <f>CX25*CX26</f>
        <v>17091.36</v>
      </c>
      <c r="CY31" s="66">
        <f>CY25*CY26</f>
        <v>23100</v>
      </c>
      <c r="CZ31" s="66">
        <f t="shared" ref="CZ31" si="92">CZ25*CZ26</f>
        <v>10182</v>
      </c>
      <c r="DA31" s="66">
        <f>DA25*DA26</f>
        <v>8544.2176870748299</v>
      </c>
      <c r="DB31" s="66">
        <f>DB25*DB26</f>
        <v>8544.2176870748299</v>
      </c>
      <c r="DC31" s="66">
        <f>DC25*DC26</f>
        <v>8881.4</v>
      </c>
      <c r="DD31" s="66">
        <f>DD25*DD26</f>
        <v>8544.2176870748299</v>
      </c>
      <c r="DE31" s="66">
        <f>DE25*DE26</f>
        <v>9044</v>
      </c>
      <c r="DF31" s="66">
        <f t="shared" ref="DF31:DG31" si="93">DF25*DF26</f>
        <v>14554</v>
      </c>
      <c r="DG31" s="66">
        <f t="shared" si="93"/>
        <v>15098</v>
      </c>
      <c r="DH31" s="66">
        <f t="shared" ref="DH31:DI31" si="94">DH25*DH26</f>
        <v>12201</v>
      </c>
      <c r="DI31" s="66">
        <f t="shared" si="94"/>
        <v>12201</v>
      </c>
      <c r="DJ31" s="66">
        <f t="shared" ref="DJ31:DK31" si="95">DJ25*DJ26</f>
        <v>12201</v>
      </c>
      <c r="DK31" s="66">
        <f t="shared" si="95"/>
        <v>12201</v>
      </c>
      <c r="DL31" s="66">
        <f t="shared" ref="DL31" si="96">DL25*DL26</f>
        <v>11499</v>
      </c>
      <c r="DM31" s="66">
        <f t="shared" ref="DM31" si="97">DM25*DM26</f>
        <v>12429</v>
      </c>
      <c r="DN31" s="66">
        <f>DN25*DN26</f>
        <v>25744</v>
      </c>
      <c r="DO31" s="66">
        <f t="shared" ref="DO31:DQ31" si="98">DO25*DO26</f>
        <v>17088.43537414966</v>
      </c>
      <c r="DP31" s="66">
        <f t="shared" si="98"/>
        <v>22812</v>
      </c>
      <c r="DQ31" s="66">
        <f t="shared" si="98"/>
        <v>17762.8</v>
      </c>
      <c r="DV31" s="149"/>
      <c r="DY31" s="149"/>
    </row>
    <row r="32" spans="1:129">
      <c r="A32" s="72" t="s">
        <v>2559</v>
      </c>
      <c r="B32" s="66">
        <f>B31/B20 *100</f>
        <v>10.811847023866578</v>
      </c>
      <c r="C32" s="66">
        <f t="shared" ref="C32:S32" si="99">C31/C20 *100</f>
        <v>10.811847023866578</v>
      </c>
      <c r="D32" s="66">
        <f t="shared" si="99"/>
        <v>11.458333333333334</v>
      </c>
      <c r="E32" s="66">
        <f t="shared" si="99"/>
        <v>10.893057836949943</v>
      </c>
      <c r="F32" s="66">
        <f t="shared" si="99"/>
        <v>11.34</v>
      </c>
      <c r="G32" s="66">
        <f t="shared" si="99"/>
        <v>32.367055771725035</v>
      </c>
      <c r="H32" s="66">
        <f t="shared" si="99"/>
        <v>14.741747572815534</v>
      </c>
      <c r="I32" s="66">
        <f t="shared" si="99"/>
        <v>10.823672877735637</v>
      </c>
      <c r="J32" s="66">
        <f t="shared" si="99"/>
        <v>10.823673913043478</v>
      </c>
      <c r="K32" s="66">
        <f t="shared" si="99"/>
        <v>13.506063947078278</v>
      </c>
      <c r="L32" s="66">
        <f t="shared" si="99"/>
        <v>13.506063947078278</v>
      </c>
      <c r="M32" s="66">
        <f t="shared" si="99"/>
        <v>10.815789473684211</v>
      </c>
      <c r="N32" s="66">
        <f t="shared" si="99"/>
        <v>4.1142857142857139</v>
      </c>
      <c r="O32" s="66">
        <f t="shared" si="99"/>
        <v>12.935996883600751</v>
      </c>
      <c r="P32" s="66">
        <f t="shared" si="99"/>
        <v>17.232923076923075</v>
      </c>
      <c r="Q32" s="66">
        <f t="shared" si="99"/>
        <v>14.945454545454545</v>
      </c>
      <c r="R32" s="66">
        <f t="shared" si="99"/>
        <v>14.125269978401727</v>
      </c>
      <c r="S32" s="66">
        <f t="shared" si="99"/>
        <v>15.571428571428573</v>
      </c>
      <c r="T32" s="66">
        <f t="shared" ref="T32:U32" si="100">T31/T20 *100</f>
        <v>10.868421052631579</v>
      </c>
      <c r="U32" s="66">
        <f t="shared" si="100"/>
        <v>12.147058823529411</v>
      </c>
      <c r="V32" s="66">
        <f t="shared" ref="V32:AR32" si="101">V31/V20 *100</f>
        <v>11.416666666666668</v>
      </c>
      <c r="W32" s="66">
        <f t="shared" si="101"/>
        <v>14.777777777777779</v>
      </c>
      <c r="X32" s="66">
        <f t="shared" si="101"/>
        <v>12.32258064516129</v>
      </c>
      <c r="Y32" s="66">
        <f t="shared" si="101"/>
        <v>14.915650576248538</v>
      </c>
      <c r="Z32" s="66">
        <f t="shared" si="101"/>
        <v>7.4651162790697665</v>
      </c>
      <c r="AA32" s="66">
        <f t="shared" si="101"/>
        <v>14.008566389518769</v>
      </c>
      <c r="AB32" s="66">
        <f t="shared" si="101"/>
        <v>12.652461425422482</v>
      </c>
      <c r="AC32" s="66">
        <f t="shared" si="101"/>
        <v>14.682230869001298</v>
      </c>
      <c r="AD32" s="66">
        <f t="shared" si="101"/>
        <v>17.45254133496632</v>
      </c>
      <c r="AE32" s="66">
        <f t="shared" si="101"/>
        <v>15.737500000000001</v>
      </c>
      <c r="AF32" s="66">
        <f t="shared" si="101"/>
        <v>13.256628314157078</v>
      </c>
      <c r="AG32" s="66">
        <f t="shared" si="101"/>
        <v>14.201177285318559</v>
      </c>
      <c r="AH32" s="66">
        <f t="shared" si="101"/>
        <v>11.342155009451796</v>
      </c>
      <c r="AI32" s="66">
        <f t="shared" si="101"/>
        <v>12.577777777777779</v>
      </c>
      <c r="AJ32" s="66">
        <f t="shared" si="101"/>
        <v>9.7000000000000011</v>
      </c>
      <c r="AK32" s="66">
        <f t="shared" si="101"/>
        <v>5.7025316455696204</v>
      </c>
      <c r="AL32" s="66">
        <f t="shared" si="101"/>
        <v>13.704482978225993</v>
      </c>
      <c r="AM32" s="66">
        <f t="shared" si="101"/>
        <v>12.53846153846154</v>
      </c>
      <c r="AN32" s="66">
        <f t="shared" si="101"/>
        <v>4.9033058931138118</v>
      </c>
      <c r="AO32" s="66">
        <f t="shared" si="101"/>
        <v>22.691454545454548</v>
      </c>
      <c r="AP32" s="66">
        <f t="shared" si="101"/>
        <v>11.969625059326056</v>
      </c>
      <c r="AQ32" s="66">
        <f t="shared" si="101"/>
        <v>12.465116279069766</v>
      </c>
      <c r="AR32" s="66">
        <f t="shared" si="101"/>
        <v>10.808823529411764</v>
      </c>
      <c r="AS32" s="66">
        <f t="shared" ref="AS32:AT32" si="102">AS31/AS20 *100</f>
        <v>13.438876564968572</v>
      </c>
      <c r="AT32" s="66">
        <f t="shared" si="102"/>
        <v>15.755922134839603</v>
      </c>
      <c r="AU32" s="113">
        <f t="shared" ref="AU32" si="103">AU31/AU20 *100</f>
        <v>13.025009963160606</v>
      </c>
      <c r="AV32" s="114">
        <f t="shared" ref="AV32:AW32" si="104">AV31/AV20 *100</f>
        <v>14.802410043421329</v>
      </c>
      <c r="AW32" s="66">
        <f t="shared" si="104"/>
        <v>18.650656174307418</v>
      </c>
      <c r="AX32" s="66">
        <f t="shared" ref="AX32" si="105">AX31/AX20 *100</f>
        <v>15.32213127539106</v>
      </c>
      <c r="AY32" s="66">
        <f t="shared" ref="AY32" si="106">AY31/AY20 *100</f>
        <v>14.565105682092746</v>
      </c>
      <c r="AZ32" s="66">
        <f t="shared" ref="AZ32:BW32" si="107">AZ31/AZ20 *100</f>
        <v>8.2286704200952805</v>
      </c>
      <c r="BA32" s="66">
        <f t="shared" si="107"/>
        <v>7.5892857142857135</v>
      </c>
      <c r="BB32" s="66">
        <f t="shared" si="107"/>
        <v>15.684210526315789</v>
      </c>
      <c r="BC32" s="66">
        <f t="shared" si="107"/>
        <v>17.630573248407639</v>
      </c>
      <c r="BD32" s="66">
        <f t="shared" si="107"/>
        <v>16.173913043478262</v>
      </c>
      <c r="BE32" s="66">
        <f t="shared" si="107"/>
        <v>5.2945326278659612</v>
      </c>
      <c r="BF32" s="66">
        <f t="shared" si="107"/>
        <v>6.9302949061662202</v>
      </c>
      <c r="BG32" s="66">
        <f t="shared" si="107"/>
        <v>7.8946363809887385</v>
      </c>
      <c r="BH32" s="66">
        <f t="shared" si="107"/>
        <v>17.955911823647295</v>
      </c>
      <c r="BI32" s="66">
        <f t="shared" si="107"/>
        <v>18.181391445027238</v>
      </c>
      <c r="BJ32" s="66">
        <f t="shared" si="107"/>
        <v>14.803436543298812</v>
      </c>
      <c r="BK32" s="66">
        <f t="shared" si="107"/>
        <v>6.3321575543797763</v>
      </c>
      <c r="BL32" s="66">
        <f t="shared" si="107"/>
        <v>5.756814537680385</v>
      </c>
      <c r="BM32" s="66">
        <f t="shared" si="107"/>
        <v>7.1957671957671954</v>
      </c>
      <c r="BN32" s="66">
        <f t="shared" si="107"/>
        <v>7.1957671957671954</v>
      </c>
      <c r="BO32" s="66">
        <f t="shared" si="107"/>
        <v>5.756814537680385</v>
      </c>
      <c r="BP32" s="66">
        <f t="shared" si="107"/>
        <v>6.7919463087248335</v>
      </c>
      <c r="BQ32" s="66">
        <f t="shared" si="107"/>
        <v>12.734646581691775</v>
      </c>
      <c r="BR32" s="5">
        <f t="shared" si="107"/>
        <v>5.8813438170121506</v>
      </c>
      <c r="BS32" s="5">
        <f t="shared" si="107"/>
        <v>5.4658083323211466</v>
      </c>
      <c r="BT32" s="5">
        <f t="shared" si="107"/>
        <v>4.8283261802575108</v>
      </c>
      <c r="BU32" s="5">
        <f t="shared" si="107"/>
        <v>6.2393254010790722</v>
      </c>
      <c r="BV32" s="5">
        <f t="shared" si="107"/>
        <v>5.4096000000000002</v>
      </c>
      <c r="BW32" s="5">
        <f t="shared" si="107"/>
        <v>5.4096000000000002</v>
      </c>
      <c r="BX32" s="5">
        <f>BX31/BX20 *100</f>
        <v>5.4002280501710374</v>
      </c>
      <c r="BY32" s="5">
        <f t="shared" ref="BY32:CK32" si="108">BY31/BY20 *100</f>
        <v>6.7913043478260864</v>
      </c>
      <c r="BZ32" s="5">
        <f t="shared" si="108"/>
        <v>6.5137614678899087</v>
      </c>
      <c r="CA32" s="5">
        <f t="shared" si="108"/>
        <v>6.8313043478260864</v>
      </c>
      <c r="CB32" s="5">
        <f t="shared" si="108"/>
        <v>6.5521267723102588</v>
      </c>
      <c r="CC32" s="5">
        <f t="shared" si="108"/>
        <v>5.1795698924731184</v>
      </c>
      <c r="CD32" s="5">
        <f t="shared" si="108"/>
        <v>4.9384615384615387</v>
      </c>
      <c r="CE32" s="5">
        <f t="shared" si="108"/>
        <v>5.0082840236686392</v>
      </c>
      <c r="CF32" s="5">
        <f t="shared" si="108"/>
        <v>5.1795698924731184</v>
      </c>
      <c r="CG32" s="5">
        <f t="shared" si="108"/>
        <v>4.8491620111731848</v>
      </c>
      <c r="CH32" s="5">
        <f t="shared" si="108"/>
        <v>4.1886956521739123</v>
      </c>
      <c r="CI32" s="5">
        <f t="shared" si="108"/>
        <v>4.3645454545454552</v>
      </c>
      <c r="CJ32" s="5">
        <f t="shared" si="108"/>
        <v>4.4725581395348835</v>
      </c>
      <c r="CK32" s="5">
        <f t="shared" si="108"/>
        <v>4.4725581395348835</v>
      </c>
      <c r="CL32" s="66">
        <f>CL31/CL20 *100</f>
        <v>5.6439846680130241</v>
      </c>
      <c r="CM32" s="66">
        <f>CM31/CM20 *100</f>
        <v>4.7991127690679036</v>
      </c>
      <c r="CN32" s="66">
        <f>CN31/CN20 *100</f>
        <v>5.0377355778215431</v>
      </c>
      <c r="CO32" s="66">
        <f>CO31/CO20 *100</f>
        <v>5.330967741935484</v>
      </c>
      <c r="CP32" s="66">
        <f>CP31/CP20 *100</f>
        <v>3.25</v>
      </c>
      <c r="CQ32" s="66">
        <f t="shared" ref="CQ32:CV32" si="109">CQ31/CQ20 *100</f>
        <v>4.0683076923076928</v>
      </c>
      <c r="CR32" s="66">
        <f t="shared" si="109"/>
        <v>4.0683076923076928</v>
      </c>
      <c r="CS32" s="66">
        <f t="shared" si="109"/>
        <v>4.0683076923076928</v>
      </c>
      <c r="CT32" s="66">
        <f t="shared" si="109"/>
        <v>4.1726232741617357</v>
      </c>
      <c r="CU32" s="66">
        <f t="shared" si="109"/>
        <v>4.0683076923076928</v>
      </c>
      <c r="CV32" s="66">
        <f t="shared" si="109"/>
        <v>4.0683076923076928</v>
      </c>
      <c r="CW32" s="66">
        <f>CW31/CW20 *100</f>
        <v>4.4754518838783151</v>
      </c>
      <c r="CX32" s="66">
        <f>CX31/CX20 *100</f>
        <v>4.3062782506160335</v>
      </c>
      <c r="CY32" s="66">
        <f>CY31/CY20 *100</f>
        <v>5.8201938048950099</v>
      </c>
      <c r="CZ32" s="66">
        <f t="shared" ref="CZ32" si="110">CZ31/CZ20 *100</f>
        <v>4.4269565217391307</v>
      </c>
      <c r="DA32" s="66">
        <f>DA31/DA20 *100</f>
        <v>5.3819131552897046</v>
      </c>
      <c r="DB32" s="66">
        <f>DB31/DB20 *100</f>
        <v>4.709192550072383</v>
      </c>
      <c r="DC32" s="66">
        <f>DC31/DC20 *100</f>
        <v>4.7575530319262906</v>
      </c>
      <c r="DD32" s="66">
        <f>DD31/DD20 *100</f>
        <v>4.1859617507078468</v>
      </c>
      <c r="DE32" s="66">
        <f>DE31/DE20 *100</f>
        <v>4.4308138509475006</v>
      </c>
      <c r="DF32" s="66">
        <f t="shared" ref="DF32:DG32" si="111">DF31/DF20 *100</f>
        <v>5.4305970149253726</v>
      </c>
      <c r="DG32" s="66">
        <f t="shared" si="111"/>
        <v>4.7778481012658229</v>
      </c>
      <c r="DH32" s="66">
        <f t="shared" ref="DH32:DI32" si="112">DH31/DH20 *100</f>
        <v>5.9117668435206046</v>
      </c>
      <c r="DI32" s="66">
        <f t="shared" si="112"/>
        <v>5.9117668435206046</v>
      </c>
      <c r="DJ32" s="66">
        <f t="shared" ref="DJ32:DK32" si="113">DJ31/DJ20 *100</f>
        <v>4.8465901868564893</v>
      </c>
      <c r="DK32" s="66">
        <f t="shared" si="113"/>
        <v>4.8465901868564893</v>
      </c>
      <c r="DL32" s="66">
        <f t="shared" ref="DL32" si="114">DL31/DL20 *100</f>
        <v>4.5677354773102836</v>
      </c>
      <c r="DM32" s="66">
        <f t="shared" ref="DM32" si="115">DM31/DM20 *100</f>
        <v>4.9371583831193595</v>
      </c>
      <c r="DN32" s="66">
        <f>DN31/DN20 *100</f>
        <v>4.597142857142857</v>
      </c>
      <c r="DO32" s="66">
        <f t="shared" ref="DO32:DQ32" si="116">DO31/DO20 *100</f>
        <v>4.1399412200861647</v>
      </c>
      <c r="DP32" s="66">
        <f t="shared" si="116"/>
        <v>5.5265644305545463</v>
      </c>
      <c r="DQ32" s="66">
        <f t="shared" si="116"/>
        <v>4.3033166170022046</v>
      </c>
      <c r="DV32" s="149"/>
      <c r="DY32" s="149"/>
    </row>
    <row r="33" spans="1:129">
      <c r="A33" s="72" t="s">
        <v>2560</v>
      </c>
      <c r="B33" s="102">
        <f>1/(B35*(1/(2.205*B20)))</f>
        <v>174.27852272727273</v>
      </c>
      <c r="C33" s="102">
        <f>1/(C35*(1/(2.205*C20)))</f>
        <v>174.27852272727273</v>
      </c>
      <c r="D33" s="102">
        <f>1/(D35*(1/(2.205*D20)))</f>
        <v>173.91304347826085</v>
      </c>
      <c r="E33" s="102">
        <f>1/(E35*(1/(2.205*E20)))</f>
        <v>173.505</v>
      </c>
      <c r="F33" s="102">
        <f>1/(F35*(1/(2.205*F20)))</f>
        <v>173.75886524822695</v>
      </c>
      <c r="G33" s="66">
        <v>141.19999999999999</v>
      </c>
      <c r="H33" s="66">
        <v>189.2</v>
      </c>
      <c r="I33" s="102">
        <f t="shared" ref="I33:Y33" si="117">1/(I35*(1/(2.205*I20)))</f>
        <v>174.24244090909093</v>
      </c>
      <c r="J33" s="102">
        <f t="shared" si="117"/>
        <v>174.24242424242425</v>
      </c>
      <c r="K33" s="102">
        <f t="shared" si="117"/>
        <v>156.85764705882355</v>
      </c>
      <c r="L33" s="102">
        <f t="shared" si="117"/>
        <v>156.85764705882355</v>
      </c>
      <c r="M33" s="102">
        <f t="shared" si="117"/>
        <v>174.31192660550457</v>
      </c>
      <c r="N33" s="102">
        <f t="shared" si="117"/>
        <v>279.55271565495207</v>
      </c>
      <c r="O33" s="102">
        <f t="shared" si="117"/>
        <v>175.53195718085104</v>
      </c>
      <c r="P33" s="102">
        <f t="shared" si="117"/>
        <v>178.69415807560136</v>
      </c>
      <c r="Q33" s="102">
        <f t="shared" si="117"/>
        <v>178.97819720143184</v>
      </c>
      <c r="R33" s="102">
        <f t="shared" si="117"/>
        <v>202.18340611353713</v>
      </c>
      <c r="S33" s="102">
        <f t="shared" si="117"/>
        <v>202.89855072463772</v>
      </c>
      <c r="T33" s="102">
        <f t="shared" si="117"/>
        <v>175.11520737327191</v>
      </c>
      <c r="U33" s="102">
        <f t="shared" si="117"/>
        <v>175.25773195876292</v>
      </c>
      <c r="V33" s="102">
        <f t="shared" si="117"/>
        <v>173.91304347826087</v>
      </c>
      <c r="W33" s="102">
        <f t="shared" si="117"/>
        <v>173.91304347826087</v>
      </c>
      <c r="X33" s="102">
        <f t="shared" si="117"/>
        <v>174.15730337078651</v>
      </c>
      <c r="Y33" s="102">
        <f t="shared" si="117"/>
        <v>120.01213636363639</v>
      </c>
      <c r="Z33" s="66">
        <v>225</v>
      </c>
      <c r="AA33" s="66">
        <v>140</v>
      </c>
      <c r="AB33" s="66">
        <v>135.19999999999999</v>
      </c>
      <c r="AC33" s="66">
        <v>144.9</v>
      </c>
      <c r="AD33" s="66">
        <v>144.9</v>
      </c>
      <c r="AE33" s="66">
        <v>125</v>
      </c>
      <c r="AF33" s="66">
        <v>148</v>
      </c>
      <c r="AG33" s="110">
        <f>1/(AG35*(1/(2.205*AG20)))</f>
        <v>172.31503579952266</v>
      </c>
      <c r="AH33" s="66">
        <v>135</v>
      </c>
      <c r="AI33" s="66">
        <v>134.5</v>
      </c>
      <c r="AJ33" s="66">
        <v>76.4238</v>
      </c>
      <c r="AK33" s="110">
        <f>1/(AK35*(1/(2.205*AK20)))</f>
        <v>277.82296650717706</v>
      </c>
      <c r="AL33" s="66">
        <v>175</v>
      </c>
      <c r="AM33" s="66">
        <v>160</v>
      </c>
      <c r="AN33" s="66">
        <v>240</v>
      </c>
      <c r="AO33" s="110">
        <f>1/(AO35*(1/(2.205*AO20)))</f>
        <v>82.397003745318358</v>
      </c>
      <c r="AP33" s="66">
        <v>170</v>
      </c>
      <c r="AQ33" s="66">
        <v>160</v>
      </c>
      <c r="AR33" s="110">
        <f>1/(AR35*(1/(2.205*AR20)))</f>
        <v>170</v>
      </c>
      <c r="AS33" s="66">
        <v>174.5</v>
      </c>
      <c r="AT33" s="66">
        <v>174.5</v>
      </c>
      <c r="AU33" s="113"/>
      <c r="AV33" s="114"/>
      <c r="AW33" s="66">
        <v>207</v>
      </c>
      <c r="AX33" s="66">
        <v>208.7</v>
      </c>
      <c r="AY33" s="66">
        <v>208.7</v>
      </c>
      <c r="AZ33" s="66">
        <v>183</v>
      </c>
      <c r="BA33" s="66">
        <v>293</v>
      </c>
      <c r="BB33" s="66">
        <v>183.8</v>
      </c>
      <c r="BC33" s="66">
        <v>183.8</v>
      </c>
      <c r="BD33" s="66">
        <v>184.1</v>
      </c>
      <c r="BE33" s="66">
        <v>420</v>
      </c>
      <c r="BF33" s="66">
        <v>193.75</v>
      </c>
      <c r="BG33" s="66">
        <v>172.2</v>
      </c>
      <c r="BH33" s="66">
        <v>199</v>
      </c>
      <c r="BI33" s="66">
        <v>212.9</v>
      </c>
      <c r="BJ33" s="66">
        <v>129.80000000000001</v>
      </c>
      <c r="BK33" s="66">
        <v>310</v>
      </c>
      <c r="BL33" s="66">
        <v>310</v>
      </c>
      <c r="BM33" s="66">
        <v>310</v>
      </c>
      <c r="BN33" s="66">
        <v>310</v>
      </c>
      <c r="BO33" s="66">
        <v>310</v>
      </c>
      <c r="BP33" s="66">
        <v>280.88</v>
      </c>
      <c r="BQ33" s="66">
        <v>181</v>
      </c>
      <c r="BR33" s="66">
        <f>(68+10/12)^2/11</f>
        <v>430.72979797979792</v>
      </c>
      <c r="BS33" s="66">
        <v>585</v>
      </c>
      <c r="BT33" s="66">
        <v>605</v>
      </c>
      <c r="BU33" s="79"/>
      <c r="BV33" s="66">
        <v>585</v>
      </c>
      <c r="BW33" s="66">
        <v>585</v>
      </c>
      <c r="BX33" s="66">
        <v>450</v>
      </c>
      <c r="BY33" s="66">
        <v>424.4</v>
      </c>
      <c r="BZ33" s="66">
        <v>424.4</v>
      </c>
      <c r="CA33" s="66">
        <v>424.4</v>
      </c>
      <c r="CB33" s="66">
        <v>424.4</v>
      </c>
      <c r="CC33" s="66">
        <v>585.6</v>
      </c>
      <c r="CD33" s="66">
        <v>586</v>
      </c>
      <c r="CE33" s="66">
        <v>586</v>
      </c>
      <c r="CF33" s="66">
        <v>586</v>
      </c>
      <c r="CG33" s="66">
        <v>586</v>
      </c>
      <c r="CH33" s="66">
        <v>656.6</v>
      </c>
      <c r="CI33" s="66">
        <v>657</v>
      </c>
      <c r="CJ33" s="66">
        <v>657</v>
      </c>
      <c r="CK33" s="66">
        <v>657</v>
      </c>
      <c r="CL33" s="66">
        <v>4605</v>
      </c>
      <c r="CM33" s="66">
        <v>4605</v>
      </c>
      <c r="CN33" s="66">
        <v>4605</v>
      </c>
      <c r="CO33" s="66">
        <v>4707.1000000000004</v>
      </c>
      <c r="CP33" s="66">
        <v>4707.1000000000004</v>
      </c>
      <c r="CQ33" s="66">
        <v>3892.6</v>
      </c>
      <c r="CR33" s="66">
        <v>3892.6</v>
      </c>
      <c r="CS33" s="66">
        <v>3892.6</v>
      </c>
      <c r="CT33" s="66">
        <v>3892.6</v>
      </c>
      <c r="CU33" s="66">
        <v>3892.6</v>
      </c>
      <c r="CV33" s="66">
        <v>3892.6</v>
      </c>
      <c r="CW33" s="76">
        <v>5825</v>
      </c>
      <c r="CX33" s="76">
        <v>5825</v>
      </c>
      <c r="CY33" s="76">
        <v>5825</v>
      </c>
      <c r="CZ33" s="66">
        <v>3892.5</v>
      </c>
      <c r="DA33" s="66">
        <v>3050</v>
      </c>
      <c r="DB33" s="66">
        <v>3050</v>
      </c>
      <c r="DC33" s="66">
        <v>3050</v>
      </c>
      <c r="DD33" s="66">
        <v>3129</v>
      </c>
      <c r="DE33" s="66">
        <v>3129</v>
      </c>
      <c r="DF33" s="66">
        <v>4768.3999999999996</v>
      </c>
      <c r="DG33" s="66">
        <v>4768.3999999999996</v>
      </c>
      <c r="DH33" s="79"/>
      <c r="DI33" s="79"/>
      <c r="DJ33" s="66">
        <v>3958</v>
      </c>
      <c r="DK33" s="66">
        <v>3958</v>
      </c>
      <c r="DL33" s="66">
        <v>3958</v>
      </c>
      <c r="DM33" s="66">
        <v>3958</v>
      </c>
      <c r="DN33" s="66">
        <v>9095.5</v>
      </c>
      <c r="DO33" s="76">
        <v>5825</v>
      </c>
      <c r="DP33" s="76">
        <v>5825</v>
      </c>
      <c r="DQ33" s="76">
        <v>5825</v>
      </c>
      <c r="DV33" s="149"/>
      <c r="DY33" s="149"/>
    </row>
    <row r="34" spans="1:129">
      <c r="A34" s="72" t="s">
        <v>2561</v>
      </c>
      <c r="B34" s="66">
        <v>6.2893081761006289E-2</v>
      </c>
      <c r="C34" s="66">
        <v>6.2893081761006289E-2</v>
      </c>
      <c r="D34" s="66">
        <v>6.6666666666666666E-2</v>
      </c>
      <c r="E34" s="66">
        <v>7.0422535211267609E-2</v>
      </c>
      <c r="F34" s="66">
        <v>7.5757575757575801E-2</v>
      </c>
      <c r="G34" s="66">
        <v>8.6132644272179162E-2</v>
      </c>
      <c r="H34" s="66">
        <v>9.7087378640776698E-2</v>
      </c>
      <c r="I34" s="66">
        <v>7.575757575757576E-2</v>
      </c>
      <c r="J34" s="66">
        <v>7.575757575757576E-2</v>
      </c>
      <c r="K34" s="66">
        <v>6.25E-2</v>
      </c>
      <c r="L34" s="66">
        <v>6.25E-2</v>
      </c>
      <c r="M34" s="66">
        <v>8.1300813008130079E-2</v>
      </c>
      <c r="N34" s="66">
        <v>7.6923076923076927E-2</v>
      </c>
      <c r="O34" s="66">
        <v>7.874015748031496E-2</v>
      </c>
      <c r="P34" s="66">
        <v>0.1</v>
      </c>
      <c r="Q34" s="66">
        <v>0.10362694300518134</v>
      </c>
      <c r="R34" s="66">
        <v>9.0909090909090912E-2</v>
      </c>
      <c r="S34" s="66">
        <v>0.1</v>
      </c>
      <c r="T34" s="66">
        <v>7.874015748031496E-2</v>
      </c>
      <c r="U34" s="66">
        <v>8.8495575221238937E-2</v>
      </c>
      <c r="V34" s="66">
        <v>8.3333333333333329E-2</v>
      </c>
      <c r="W34" s="66">
        <v>8.6206896551724144E-2</v>
      </c>
      <c r="X34" s="66">
        <v>7.407407407407407E-2</v>
      </c>
      <c r="Y34" s="66">
        <v>7.575757575757576E-2</v>
      </c>
      <c r="Z34" s="66">
        <v>0.10416666666666667</v>
      </c>
      <c r="AA34" s="79"/>
      <c r="AB34" s="66">
        <v>6.6666666666666666E-2</v>
      </c>
      <c r="AC34" s="66">
        <v>9.0909090909090912E-2</v>
      </c>
      <c r="AD34" s="66">
        <v>8.771929824561403E-2</v>
      </c>
      <c r="AE34" s="66">
        <v>7.0771408351026188E-2</v>
      </c>
      <c r="AF34" s="66">
        <v>5.7971014492753624E-2</v>
      </c>
      <c r="AG34" s="66">
        <v>5.0530570995452252E-2</v>
      </c>
      <c r="AH34" s="79"/>
      <c r="AI34" s="79"/>
      <c r="AJ34" s="79"/>
      <c r="AK34" s="66">
        <v>0.11481056257175659</v>
      </c>
      <c r="AL34" s="66">
        <v>8.0645161290322578E-2</v>
      </c>
      <c r="AM34" s="66">
        <v>7.6923076923076927E-2</v>
      </c>
      <c r="AN34" s="66">
        <v>0.1111111111111111</v>
      </c>
      <c r="AO34" s="66">
        <v>0.14084507042253522</v>
      </c>
      <c r="AP34" s="66">
        <v>6.8965517241379309E-2</v>
      </c>
      <c r="AQ34" s="66">
        <v>6.9930069930069921E-2</v>
      </c>
      <c r="AR34" s="66">
        <v>7.0422535211267609E-2</v>
      </c>
      <c r="AS34" s="66">
        <v>8.8495575221238937E-2</v>
      </c>
      <c r="AT34" s="66">
        <v>8.8495575221238937E-2</v>
      </c>
      <c r="AU34" s="113"/>
      <c r="AV34" s="114"/>
      <c r="AW34" s="66">
        <v>9.6153846153846145E-2</v>
      </c>
      <c r="AX34" s="66">
        <v>9.5238095238095233E-2</v>
      </c>
      <c r="AY34" s="66">
        <v>9.0909090909090912E-2</v>
      </c>
      <c r="AZ34" s="66">
        <v>9.8039215686274522E-2</v>
      </c>
      <c r="BA34" s="66">
        <v>0.12853470437017994</v>
      </c>
      <c r="BB34" s="66">
        <v>9.4786729857819899E-2</v>
      </c>
      <c r="BC34" s="66">
        <v>9.1743119266055037E-2</v>
      </c>
      <c r="BD34" s="66">
        <v>7.1022727272727279E-2</v>
      </c>
      <c r="BE34" s="66">
        <v>9.9206349206349201E-2</v>
      </c>
      <c r="BF34" s="66">
        <v>0.10638297872340426</v>
      </c>
      <c r="BG34" s="66">
        <v>0.14727540500736377</v>
      </c>
      <c r="BH34" s="66">
        <v>0.10905125408942203</v>
      </c>
      <c r="BI34" s="66">
        <v>0.11235955056179775</v>
      </c>
      <c r="BJ34" s="66">
        <v>6.8493150684931503E-2</v>
      </c>
      <c r="BK34" s="79"/>
      <c r="BL34" s="79"/>
      <c r="BM34" s="79"/>
      <c r="BN34" s="79"/>
      <c r="BO34" s="79"/>
      <c r="BP34" s="66">
        <v>0.1610305958132045</v>
      </c>
      <c r="BQ34" s="66">
        <v>8.2169268693508629E-2</v>
      </c>
      <c r="BR34" s="66">
        <v>0.12315270935960593</v>
      </c>
      <c r="BS34" s="66">
        <v>0.11848341232227488</v>
      </c>
      <c r="BT34" s="66">
        <v>0.11587485515643105</v>
      </c>
      <c r="BU34" s="79"/>
      <c r="BV34" s="66">
        <v>0.11587485515643105</v>
      </c>
      <c r="BW34" s="66">
        <v>0.11587485515643105</v>
      </c>
      <c r="BX34" s="66">
        <v>0.12903225806451613</v>
      </c>
      <c r="BY34" s="66">
        <v>0.13623978201634879</v>
      </c>
      <c r="BZ34" s="66">
        <v>0.13623978201634879</v>
      </c>
      <c r="CA34" s="66">
        <v>0.13623978201634879</v>
      </c>
      <c r="CB34" s="66">
        <v>0.13623978201634879</v>
      </c>
      <c r="CC34" s="66">
        <v>0.15408320493066255</v>
      </c>
      <c r="CD34" s="66">
        <v>9.6586402608380625E-2</v>
      </c>
      <c r="CE34" s="66">
        <v>0.10220021736505253</v>
      </c>
      <c r="CF34" s="66">
        <v>0.105284178187404</v>
      </c>
      <c r="CG34" s="66">
        <v>0.10056778018469958</v>
      </c>
      <c r="CH34" s="66">
        <v>9.852216748768472E-2</v>
      </c>
      <c r="CI34" s="66">
        <v>0.10228200371057514</v>
      </c>
      <c r="CJ34" s="66">
        <v>9.1139629805410544E-2</v>
      </c>
      <c r="CK34" s="66">
        <v>0.10443436165163741</v>
      </c>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V34" s="149"/>
      <c r="DY34" s="149"/>
    </row>
    <row r="35" spans="1:129">
      <c r="A35" s="66" t="s">
        <v>1215</v>
      </c>
      <c r="B35" s="66">
        <v>13.2</v>
      </c>
      <c r="C35" s="66">
        <v>13.2</v>
      </c>
      <c r="D35" s="66">
        <v>13.8</v>
      </c>
      <c r="E35" s="66">
        <v>14.7</v>
      </c>
      <c r="F35" s="66">
        <v>14.1</v>
      </c>
      <c r="G35" s="66">
        <v>25.5</v>
      </c>
      <c r="H35" s="66">
        <v>27.2</v>
      </c>
      <c r="I35" s="66">
        <v>13.2</v>
      </c>
      <c r="J35" s="66">
        <v>13.2</v>
      </c>
      <c r="K35" s="66">
        <v>10.199999999999999</v>
      </c>
      <c r="L35" s="66">
        <v>10.199999999999999</v>
      </c>
      <c r="M35" s="66">
        <v>21.8</v>
      </c>
      <c r="N35" s="66">
        <v>31.3</v>
      </c>
      <c r="O35" s="66">
        <v>18.8</v>
      </c>
      <c r="P35" s="66">
        <v>29.1</v>
      </c>
      <c r="Q35" s="66">
        <v>30.73</v>
      </c>
      <c r="R35" s="66">
        <v>22.9</v>
      </c>
      <c r="S35" s="66">
        <v>20.7</v>
      </c>
      <c r="T35" s="66">
        <v>21.7</v>
      </c>
      <c r="U35" s="66">
        <v>19.399999999999999</v>
      </c>
      <c r="V35" s="66">
        <v>20.7</v>
      </c>
      <c r="W35" s="66">
        <v>20.7</v>
      </c>
      <c r="X35" s="66">
        <v>17.8</v>
      </c>
      <c r="Y35" s="66">
        <v>11</v>
      </c>
      <c r="Z35" s="66">
        <v>38.200000000000003</v>
      </c>
      <c r="AA35" s="139">
        <f>AA20*2.205/AA33</f>
        <v>14.175000000000001</v>
      </c>
      <c r="AB35" s="95">
        <v>22.2</v>
      </c>
      <c r="AC35" s="66">
        <v>23.5</v>
      </c>
      <c r="AD35" s="66">
        <v>24.8</v>
      </c>
      <c r="AE35" s="66">
        <v>14.11</v>
      </c>
      <c r="AF35" s="66">
        <v>22.04</v>
      </c>
      <c r="AG35" s="66">
        <v>16.760000000000002</v>
      </c>
      <c r="AH35" s="139">
        <f>AH20*2.205/AH33</f>
        <v>19.592592592592592</v>
      </c>
      <c r="AI35" s="139">
        <f t="shared" ref="AI35:AJ35" si="118">AI20*2.205/AI33</f>
        <v>7.3773234200743492</v>
      </c>
      <c r="AJ35" s="139">
        <f t="shared" si="118"/>
        <v>8.6556805602443223</v>
      </c>
      <c r="AK35" s="66">
        <v>37.619999999999997</v>
      </c>
      <c r="AL35" s="66">
        <v>24.8</v>
      </c>
      <c r="AM35" s="66">
        <v>16.3</v>
      </c>
      <c r="AN35" s="66">
        <v>28</v>
      </c>
      <c r="AO35" s="66">
        <v>26.7</v>
      </c>
      <c r="AP35" s="95">
        <v>13.7</v>
      </c>
      <c r="AQ35" s="66">
        <v>13.4</v>
      </c>
      <c r="AR35" s="66">
        <v>15</v>
      </c>
      <c r="AS35" s="66">
        <v>19.5</v>
      </c>
      <c r="AT35" s="66">
        <v>19.5</v>
      </c>
      <c r="AU35" s="113"/>
      <c r="AV35" s="114"/>
      <c r="AW35" s="66">
        <v>25.1</v>
      </c>
      <c r="AX35" s="66">
        <v>20.100000000000001</v>
      </c>
      <c r="AY35" s="66">
        <v>21.1</v>
      </c>
      <c r="AZ35" s="66">
        <v>27.8</v>
      </c>
      <c r="BA35" s="66">
        <v>38.22</v>
      </c>
      <c r="BB35" s="66">
        <v>21.1</v>
      </c>
      <c r="BC35" s="66">
        <v>21.4</v>
      </c>
      <c r="BD35" s="66">
        <v>27.54</v>
      </c>
      <c r="BE35" s="66">
        <v>29.76</v>
      </c>
      <c r="BF35" s="66">
        <v>34</v>
      </c>
      <c r="BG35" s="66">
        <v>67.069999999999993</v>
      </c>
      <c r="BH35" s="139">
        <f>BH20*2.205/BH33</f>
        <v>27.64560301507538</v>
      </c>
      <c r="BI35" s="66">
        <v>31.8</v>
      </c>
      <c r="BJ35" s="95">
        <v>12.9</v>
      </c>
      <c r="BK35" s="139">
        <f>BK20*2.205/BK33</f>
        <v>48.396193548387096</v>
      </c>
      <c r="BL35" s="139">
        <f>BL20*2.205/BL33</f>
        <v>53.232967741935489</v>
      </c>
      <c r="BM35" s="139">
        <f>BM20*2.205/BM33</f>
        <v>40.330161290322579</v>
      </c>
      <c r="BN35" s="139">
        <f>BN20*2.205/BN33</f>
        <v>40.330161290322579</v>
      </c>
      <c r="BO35" s="139">
        <f>BO20*2.205/BO33</f>
        <v>53.232967741935489</v>
      </c>
      <c r="BP35" s="66">
        <v>53.05</v>
      </c>
      <c r="BQ35" s="95">
        <v>20.170000000000002</v>
      </c>
      <c r="BR35" s="66">
        <v>71.63</v>
      </c>
      <c r="BS35" s="66">
        <v>62.05</v>
      </c>
      <c r="BT35" s="66">
        <v>67.930000000000007</v>
      </c>
      <c r="BU35" s="79"/>
      <c r="BV35" s="66">
        <v>58.97</v>
      </c>
      <c r="BW35" s="66">
        <v>58.97</v>
      </c>
      <c r="BX35" s="66">
        <v>64.44</v>
      </c>
      <c r="BY35" s="66">
        <v>62.28</v>
      </c>
      <c r="BZ35" s="66">
        <v>62.28</v>
      </c>
      <c r="CA35" s="66">
        <v>62.28</v>
      </c>
      <c r="CB35" s="66">
        <v>62.28</v>
      </c>
      <c r="CC35" s="66">
        <v>69.900000000000006</v>
      </c>
      <c r="CD35" s="139">
        <f>CD20*2.205/CD33</f>
        <v>63.591296928327644</v>
      </c>
      <c r="CE35" s="139">
        <f t="shared" ref="CE35:CK35" si="119">CE20*2.205/CE33</f>
        <v>63.591296928327644</v>
      </c>
      <c r="CF35" s="139">
        <f t="shared" si="119"/>
        <v>69.988054607508531</v>
      </c>
      <c r="CG35" s="139">
        <f t="shared" si="119"/>
        <v>67.354095563139936</v>
      </c>
      <c r="CH35" s="66">
        <v>76.56</v>
      </c>
      <c r="CI35" s="139">
        <f t="shared" si="119"/>
        <v>73.835616438356169</v>
      </c>
      <c r="CJ35" s="139">
        <f t="shared" si="119"/>
        <v>72.157534246575338</v>
      </c>
      <c r="CK35" s="139">
        <f t="shared" si="119"/>
        <v>72.157534246575338</v>
      </c>
      <c r="CL35" s="110">
        <v>118.35</v>
      </c>
      <c r="CM35" s="66">
        <v>142.44999999999999</v>
      </c>
      <c r="CN35" s="110">
        <f>CN20*2.205/CN33</f>
        <v>166.543338762215</v>
      </c>
      <c r="CO35" s="66">
        <v>174.36</v>
      </c>
      <c r="CP35" s="66">
        <v>172.48</v>
      </c>
      <c r="CQ35" s="66">
        <v>155.76</v>
      </c>
      <c r="CR35" s="66">
        <v>155.76</v>
      </c>
      <c r="CS35" s="66">
        <v>155.76</v>
      </c>
      <c r="CT35" s="66">
        <v>143.58000000000001</v>
      </c>
      <c r="CU35" s="66">
        <v>143.58000000000001</v>
      </c>
      <c r="CV35" s="66">
        <v>143.58000000000001</v>
      </c>
      <c r="CW35" s="73">
        <v>137.34</v>
      </c>
      <c r="CX35" s="73">
        <v>137.34</v>
      </c>
      <c r="CY35" s="73">
        <v>137.34</v>
      </c>
      <c r="CZ35" s="66">
        <v>129.72999999999999</v>
      </c>
      <c r="DA35" s="110">
        <f t="shared" ref="DA35" si="120">DA20/DA33*2.205</f>
        <v>114.7742262295082</v>
      </c>
      <c r="DB35" s="66">
        <v>135.08000000000001</v>
      </c>
      <c r="DC35" s="66">
        <v>135.08000000000001</v>
      </c>
      <c r="DD35" s="66">
        <v>143.82</v>
      </c>
      <c r="DE35" s="66">
        <v>143.82</v>
      </c>
      <c r="DF35" s="66">
        <v>123.91</v>
      </c>
      <c r="DG35" s="66">
        <v>137.78</v>
      </c>
      <c r="DH35" s="79"/>
      <c r="DI35" s="79"/>
      <c r="DJ35" s="66">
        <v>144.5</v>
      </c>
      <c r="DK35" s="66">
        <v>144.5</v>
      </c>
      <c r="DL35" s="66">
        <v>140.19999999999999</v>
      </c>
      <c r="DM35" s="66">
        <v>144.5</v>
      </c>
      <c r="DN35" s="66">
        <v>135.74</v>
      </c>
      <c r="DO35" s="111">
        <f>DO20/DO33*2.205</f>
        <v>156.25027467811159</v>
      </c>
      <c r="DP35" s="111">
        <f>DP20/DP33*2.205</f>
        <v>156.25027467811159</v>
      </c>
      <c r="DQ35" s="111">
        <f>DQ20/DQ33*2.205</f>
        <v>156.25027467811159</v>
      </c>
      <c r="DV35" s="149"/>
      <c r="DY35" s="149"/>
    </row>
    <row r="36" spans="1:129">
      <c r="A36" s="66" t="s">
        <v>2562</v>
      </c>
      <c r="B36" s="104"/>
      <c r="C36" s="104"/>
      <c r="D36" s="104"/>
      <c r="E36" s="104"/>
      <c r="F36" s="104"/>
      <c r="G36" s="104"/>
      <c r="H36" s="104"/>
      <c r="I36" s="104"/>
      <c r="J36" s="104"/>
      <c r="K36" s="104"/>
      <c r="L36" s="104"/>
      <c r="M36" s="104"/>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105"/>
      <c r="AQ36" s="79"/>
      <c r="AR36" s="79"/>
      <c r="AS36" s="79"/>
      <c r="AT36" s="79"/>
      <c r="AU36" s="113"/>
      <c r="AV36" s="114"/>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66">
        <v>0.89</v>
      </c>
      <c r="CM36" s="66">
        <v>0.89</v>
      </c>
      <c r="CN36" s="66">
        <v>0.89</v>
      </c>
      <c r="CO36" s="66">
        <v>0.86</v>
      </c>
      <c r="CP36" s="66">
        <v>0.86</v>
      </c>
      <c r="CQ36" s="66">
        <v>0.86</v>
      </c>
      <c r="CR36" s="66">
        <v>0.86</v>
      </c>
      <c r="CS36" s="66">
        <v>0.86</v>
      </c>
      <c r="CT36" s="66">
        <v>0.86</v>
      </c>
      <c r="CU36" s="66">
        <v>0.86</v>
      </c>
      <c r="CV36" s="66">
        <v>0.86</v>
      </c>
      <c r="CW36" s="79"/>
      <c r="CX36" s="79"/>
      <c r="CY36" s="79"/>
      <c r="CZ36" s="66">
        <v>0.86</v>
      </c>
      <c r="DA36" s="79"/>
      <c r="DB36" s="79"/>
      <c r="DC36" s="79"/>
      <c r="DD36" s="79"/>
      <c r="DE36" s="105"/>
      <c r="DF36" s="66">
        <v>0.89</v>
      </c>
      <c r="DG36" s="66">
        <v>0.89</v>
      </c>
      <c r="DH36" s="66">
        <v>0.95</v>
      </c>
      <c r="DI36" s="66">
        <v>0.95</v>
      </c>
      <c r="DJ36" s="66">
        <v>0.95</v>
      </c>
      <c r="DK36" s="66">
        <v>0.95</v>
      </c>
      <c r="DL36" s="66">
        <v>0.95</v>
      </c>
      <c r="DM36" s="66">
        <v>0.95</v>
      </c>
      <c r="DN36" s="66">
        <v>0.89</v>
      </c>
      <c r="DO36" s="79"/>
      <c r="DP36" s="79"/>
      <c r="DQ36" s="79"/>
      <c r="DV36" s="149"/>
      <c r="DY36" s="149"/>
    </row>
    <row r="37" spans="1:129">
      <c r="A37" s="66" t="s">
        <v>1804</v>
      </c>
      <c r="B37" s="104"/>
      <c r="C37" s="104"/>
      <c r="D37" s="104"/>
      <c r="E37" s="104"/>
      <c r="F37" s="104"/>
      <c r="G37" s="104"/>
      <c r="H37" s="104"/>
      <c r="I37" s="104"/>
      <c r="J37" s="104"/>
      <c r="K37" s="104"/>
      <c r="L37" s="104"/>
      <c r="M37" s="104"/>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105"/>
      <c r="AQ37" s="79"/>
      <c r="AR37" s="79"/>
      <c r="AS37" s="79"/>
      <c r="AT37" s="79"/>
      <c r="AU37" s="113"/>
      <c r="AV37" s="114"/>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66">
        <v>6.2</v>
      </c>
      <c r="CM37" s="66">
        <v>6.3</v>
      </c>
      <c r="CN37" s="79"/>
      <c r="CO37" s="66">
        <v>7.5</v>
      </c>
      <c r="CP37" s="66">
        <v>7.6</v>
      </c>
      <c r="CQ37" s="66">
        <v>6.6</v>
      </c>
      <c r="CR37" s="66">
        <v>6.5</v>
      </c>
      <c r="CS37" s="66">
        <v>6.4</v>
      </c>
      <c r="CT37" s="66">
        <v>6.4</v>
      </c>
      <c r="CU37" s="66">
        <v>6.5</v>
      </c>
      <c r="CV37" s="66">
        <v>6.6</v>
      </c>
      <c r="CW37" s="66">
        <v>5.15</v>
      </c>
      <c r="CX37" s="66">
        <v>4.9000000000000004</v>
      </c>
      <c r="CY37" s="66">
        <v>4.3</v>
      </c>
      <c r="CZ37" s="79"/>
      <c r="DA37" s="66">
        <v>5.0999999999999996</v>
      </c>
      <c r="DB37" s="66">
        <v>4.8</v>
      </c>
      <c r="DC37" s="79"/>
      <c r="DD37" s="66">
        <v>4.8</v>
      </c>
      <c r="DE37" s="106"/>
      <c r="DF37" s="79"/>
      <c r="DG37" s="79"/>
      <c r="DH37" s="66">
        <v>5.9</v>
      </c>
      <c r="DI37" s="66">
        <v>5.9</v>
      </c>
      <c r="DJ37" s="66">
        <v>4.4000000000000004</v>
      </c>
      <c r="DK37" s="66">
        <v>4.4000000000000004</v>
      </c>
      <c r="DL37" s="66">
        <v>5.2</v>
      </c>
      <c r="DM37" s="66">
        <v>4.9000000000000004</v>
      </c>
      <c r="DN37" s="79"/>
      <c r="DO37" s="66">
        <v>4.8</v>
      </c>
      <c r="DP37" s="66">
        <v>4.0999999999999996</v>
      </c>
      <c r="DQ37" s="79"/>
      <c r="DV37" s="149"/>
      <c r="DY37" s="149"/>
    </row>
    <row r="38" spans="1:129" ht="15.75" customHeight="1">
      <c r="A38" s="66" t="s">
        <v>2563</v>
      </c>
      <c r="B38" s="104"/>
      <c r="C38" s="104"/>
      <c r="D38" s="104"/>
      <c r="E38" s="104"/>
      <c r="F38" s="104"/>
      <c r="G38" s="104"/>
      <c r="H38" s="104"/>
      <c r="I38" s="104"/>
      <c r="J38" s="104"/>
      <c r="K38" s="104"/>
      <c r="L38" s="104"/>
      <c r="M38" s="104"/>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7">
        <v>0.59499999999999997</v>
      </c>
      <c r="AO38" s="66">
        <f>0.48*AO29</f>
        <v>0.116331096196868</v>
      </c>
      <c r="AP38" s="79"/>
      <c r="AQ38" s="79"/>
      <c r="AR38" s="79"/>
      <c r="AS38" s="79"/>
      <c r="AT38" s="79"/>
      <c r="AU38" s="113"/>
      <c r="AV38" s="114"/>
      <c r="AW38" s="79"/>
      <c r="AX38" s="79"/>
      <c r="AY38" s="79"/>
      <c r="AZ38" s="77">
        <v>0.60099999999999998</v>
      </c>
      <c r="BA38" s="77">
        <v>0.59099999999999997</v>
      </c>
      <c r="BB38" s="79"/>
      <c r="BC38" s="79"/>
      <c r="BD38" s="79"/>
      <c r="BE38" s="77">
        <v>0.59499999999999997</v>
      </c>
      <c r="BF38" s="77">
        <v>0.70299999999999996</v>
      </c>
      <c r="BG38" s="79"/>
      <c r="BH38" s="79"/>
      <c r="BI38" s="79"/>
      <c r="BJ38" s="79"/>
      <c r="BK38" s="77">
        <v>0.54800000000000004</v>
      </c>
      <c r="BL38" s="77">
        <v>0.54800000000000004</v>
      </c>
      <c r="BM38" s="79"/>
      <c r="BN38" s="79"/>
      <c r="BO38" s="77"/>
      <c r="BP38" s="77"/>
      <c r="BQ38" s="79"/>
      <c r="BR38" s="66">
        <f>82.8*0.00591448931</f>
        <v>0.48971971486799998</v>
      </c>
      <c r="BS38" s="66">
        <f>81.6*0.00591448931</f>
        <v>0.48262232769599994</v>
      </c>
      <c r="BT38" s="66">
        <f>79.4*0.00591448931</f>
        <v>0.46961045121400002</v>
      </c>
      <c r="BU38" s="66">
        <f>73.2*0.00591448931</f>
        <v>0.43294061749200002</v>
      </c>
      <c r="BV38" s="66">
        <f>80.6*0.00591448931</f>
        <v>0.47670783838599995</v>
      </c>
      <c r="BW38" s="144">
        <f>82*0.00591448931</f>
        <v>0.48498812341999997</v>
      </c>
      <c r="BX38" s="144"/>
      <c r="BY38" s="144">
        <f>84.2*0.00591448931</f>
        <v>0.497999999902</v>
      </c>
      <c r="BZ38" s="144">
        <f>84.2*0.00591448931</f>
        <v>0.497999999902</v>
      </c>
      <c r="CA38" s="144">
        <f>85.2*0.00591448931</f>
        <v>0.50391448921199999</v>
      </c>
      <c r="CB38" s="144">
        <f>85.2*0.00591448931</f>
        <v>0.50391448921199999</v>
      </c>
      <c r="CC38" s="66">
        <f>77.6*0.00591448931</f>
        <v>0.45896437045599997</v>
      </c>
      <c r="CD38" s="66">
        <f>82*0.00591448931</f>
        <v>0.48498812341999997</v>
      </c>
      <c r="CE38" s="66">
        <f>80.6*0.00591448931</f>
        <v>0.47670783838599995</v>
      </c>
      <c r="CF38" s="66">
        <f>77.6*0.00591448931</f>
        <v>0.45896437045599997</v>
      </c>
      <c r="CG38" s="66">
        <f>80.1*0.00591448931</f>
        <v>0.47375059373099998</v>
      </c>
      <c r="CH38" s="66">
        <f>77.6*0.00591448931</f>
        <v>0.45896437045599997</v>
      </c>
      <c r="CI38" s="66">
        <f>77.6*0.00591448931</f>
        <v>0.45896437045599997</v>
      </c>
      <c r="CJ38" s="66">
        <f>79.1*0.00591448931</f>
        <v>0.46783610442099993</v>
      </c>
      <c r="CK38" s="66">
        <f>77.6*0.00591448931</f>
        <v>0.45896437045599997</v>
      </c>
      <c r="CL38" s="79"/>
      <c r="CM38" s="79"/>
      <c r="CN38" s="79"/>
      <c r="CO38" s="66">
        <v>0.53900000000000003</v>
      </c>
      <c r="CP38" s="66">
        <v>0.53900000000000003</v>
      </c>
      <c r="CQ38" s="66">
        <v>0.54500000000000004</v>
      </c>
      <c r="CR38" s="66">
        <v>0.54500000000000004</v>
      </c>
      <c r="CS38" s="66">
        <v>0.54500000000000004</v>
      </c>
      <c r="CT38" s="66">
        <v>0.54500000000000004</v>
      </c>
      <c r="CU38" s="66">
        <v>0.54500000000000004</v>
      </c>
      <c r="CV38" s="66">
        <v>0.54500000000000004</v>
      </c>
      <c r="CW38" s="73">
        <v>0.56399999999999995</v>
      </c>
      <c r="CX38" s="145"/>
      <c r="CY38" s="66">
        <v>0.58199999999999996</v>
      </c>
      <c r="CZ38" s="79"/>
      <c r="DA38" s="79"/>
      <c r="DB38" s="79"/>
      <c r="DC38" s="79"/>
      <c r="DD38" s="79"/>
      <c r="DE38" s="79"/>
      <c r="DF38" s="79"/>
      <c r="DG38" s="79"/>
      <c r="DH38" s="66">
        <v>0.64600000000000002</v>
      </c>
      <c r="DI38" s="66">
        <v>0.64600000000000002</v>
      </c>
      <c r="DJ38" s="66">
        <v>0.65700000000000003</v>
      </c>
      <c r="DK38" s="66">
        <v>0.65700000000000003</v>
      </c>
      <c r="DL38" s="66">
        <v>0.624</v>
      </c>
      <c r="DM38" s="79"/>
      <c r="DN38" s="66">
        <v>0.51800000000000002</v>
      </c>
      <c r="DO38" s="145"/>
      <c r="DP38" s="66">
        <v>0.57199999999999995</v>
      </c>
      <c r="DQ38" s="145"/>
      <c r="DV38" s="149"/>
      <c r="DY38" s="149"/>
    </row>
    <row r="39" spans="1:129">
      <c r="A39" s="66" t="s">
        <v>2564</v>
      </c>
      <c r="B39" s="66">
        <v>865</v>
      </c>
      <c r="C39" s="66">
        <v>865</v>
      </c>
      <c r="D39" s="66">
        <v>890</v>
      </c>
      <c r="E39" s="66">
        <v>960</v>
      </c>
      <c r="F39" s="66">
        <v>945</v>
      </c>
      <c r="G39" s="66">
        <v>1300</v>
      </c>
      <c r="H39" s="66">
        <v>1275</v>
      </c>
      <c r="I39" s="66">
        <v>865</v>
      </c>
      <c r="J39" s="66">
        <v>865</v>
      </c>
      <c r="K39" s="66">
        <v>735</v>
      </c>
      <c r="L39" s="66">
        <v>735</v>
      </c>
      <c r="M39" s="66">
        <v>1030</v>
      </c>
      <c r="N39" s="66">
        <v>1405</v>
      </c>
      <c r="O39" s="66">
        <v>685</v>
      </c>
      <c r="P39" s="66">
        <v>1451</v>
      </c>
      <c r="Q39" s="66">
        <v>1335</v>
      </c>
      <c r="R39" s="66">
        <v>1000</v>
      </c>
      <c r="S39" s="66">
        <v>800</v>
      </c>
      <c r="T39" s="66">
        <v>1100</v>
      </c>
      <c r="U39" s="66">
        <v>850</v>
      </c>
      <c r="V39" s="66">
        <v>900</v>
      </c>
      <c r="W39" s="66">
        <v>910</v>
      </c>
      <c r="X39" s="66">
        <v>795</v>
      </c>
      <c r="Y39" s="66">
        <v>640</v>
      </c>
      <c r="Z39" s="66">
        <v>2400</v>
      </c>
      <c r="AA39" s="66">
        <v>1050</v>
      </c>
      <c r="AB39" s="66">
        <v>1287</v>
      </c>
      <c r="AC39" s="66">
        <v>605</v>
      </c>
      <c r="AD39" s="66">
        <v>1352</v>
      </c>
      <c r="AE39" s="66">
        <v>1256</v>
      </c>
      <c r="AF39" s="66">
        <v>1250</v>
      </c>
      <c r="AG39" s="66">
        <v>1214</v>
      </c>
      <c r="AH39" s="66">
        <v>1000</v>
      </c>
      <c r="AI39" s="79"/>
      <c r="AJ39" s="66">
        <v>329</v>
      </c>
      <c r="AK39" s="146">
        <v>2485</v>
      </c>
      <c r="AL39" s="146">
        <v>2090</v>
      </c>
      <c r="AM39" s="66">
        <v>770</v>
      </c>
      <c r="AN39" s="66">
        <v>1000</v>
      </c>
      <c r="AO39" s="66">
        <v>800</v>
      </c>
      <c r="AP39" s="66">
        <v>1450</v>
      </c>
      <c r="AQ39" s="66">
        <v>800</v>
      </c>
      <c r="AR39" s="66">
        <v>1135</v>
      </c>
      <c r="AS39" s="66">
        <v>1050</v>
      </c>
      <c r="AT39" s="66">
        <v>750</v>
      </c>
      <c r="AU39" s="113"/>
      <c r="AV39" s="114"/>
      <c r="AW39" s="79"/>
      <c r="AX39" s="66">
        <v>750</v>
      </c>
      <c r="AY39" s="66">
        <v>1100</v>
      </c>
      <c r="AZ39" s="66">
        <v>1804</v>
      </c>
      <c r="BA39" s="66">
        <v>1465</v>
      </c>
      <c r="BB39" s="66">
        <v>1100</v>
      </c>
      <c r="BC39" s="66">
        <v>1300</v>
      </c>
      <c r="BD39" s="66">
        <v>1574</v>
      </c>
      <c r="BE39" s="66">
        <v>700</v>
      </c>
      <c r="BF39" s="66">
        <v>1378</v>
      </c>
      <c r="BG39" s="66">
        <v>2850</v>
      </c>
      <c r="BH39" s="66">
        <v>1373</v>
      </c>
      <c r="BI39" s="66">
        <v>2075</v>
      </c>
      <c r="BJ39" s="66">
        <v>700</v>
      </c>
      <c r="BK39" s="66">
        <v>3300</v>
      </c>
      <c r="BL39" s="66">
        <v>4057</v>
      </c>
      <c r="BM39" s="66">
        <v>1715</v>
      </c>
      <c r="BN39" s="66">
        <v>2111</v>
      </c>
      <c r="BO39" s="66">
        <v>4057</v>
      </c>
      <c r="BP39" s="66">
        <v>3113</v>
      </c>
      <c r="BQ39" s="66">
        <v>1300</v>
      </c>
      <c r="BR39" s="66"/>
      <c r="BS39" s="66">
        <v>3280</v>
      </c>
      <c r="BT39" s="66">
        <v>3600</v>
      </c>
      <c r="BU39" s="66">
        <v>4600</v>
      </c>
      <c r="BV39" s="66">
        <v>3250</v>
      </c>
      <c r="BW39" s="66">
        <v>3250</v>
      </c>
      <c r="BX39" s="66">
        <v>5493</v>
      </c>
      <c r="BY39" s="66">
        <v>5086</v>
      </c>
      <c r="BZ39" s="66">
        <v>5086</v>
      </c>
      <c r="CA39" s="66">
        <v>5086</v>
      </c>
      <c r="CB39" s="66">
        <v>5086</v>
      </c>
      <c r="CC39" s="66">
        <v>3823</v>
      </c>
      <c r="CD39" s="79"/>
      <c r="CE39" s="79"/>
      <c r="CF39" s="79"/>
      <c r="CG39" s="79"/>
      <c r="CH39" s="66">
        <v>3855</v>
      </c>
      <c r="CI39" s="79"/>
      <c r="CJ39" s="79"/>
      <c r="CK39" s="79"/>
      <c r="CL39" s="66">
        <v>8450</v>
      </c>
      <c r="CM39" s="66">
        <v>11700</v>
      </c>
      <c r="CN39" s="66">
        <v>10000</v>
      </c>
      <c r="CO39" s="66">
        <v>11550</v>
      </c>
      <c r="CP39" s="66">
        <v>11500</v>
      </c>
      <c r="CQ39" s="66">
        <v>9100</v>
      </c>
      <c r="CR39" s="66">
        <v>9150</v>
      </c>
      <c r="CS39" s="66">
        <v>8900</v>
      </c>
      <c r="CT39" s="66">
        <v>9500</v>
      </c>
      <c r="CU39" s="66">
        <v>8202</v>
      </c>
      <c r="CV39" s="66">
        <v>9700</v>
      </c>
      <c r="CW39" s="73">
        <v>10500</v>
      </c>
      <c r="CX39" s="73">
        <v>10500</v>
      </c>
      <c r="CY39" s="73">
        <v>10500</v>
      </c>
      <c r="CZ39" s="66">
        <v>7217.8</v>
      </c>
      <c r="DA39" s="66">
        <v>7750</v>
      </c>
      <c r="DB39" s="66">
        <v>10500</v>
      </c>
      <c r="DC39" s="66">
        <v>8400</v>
      </c>
      <c r="DD39" s="66">
        <v>10750</v>
      </c>
      <c r="DE39" s="66">
        <v>10350</v>
      </c>
      <c r="DF39" s="66">
        <v>9186</v>
      </c>
      <c r="DG39" s="66">
        <v>10171</v>
      </c>
      <c r="DH39" s="66">
        <v>10170.6</v>
      </c>
      <c r="DI39" s="66">
        <v>10000</v>
      </c>
      <c r="DJ39" s="66">
        <v>10400</v>
      </c>
      <c r="DK39" s="66">
        <v>10171</v>
      </c>
      <c r="DL39" s="66">
        <v>10280</v>
      </c>
      <c r="DM39" s="66">
        <v>10100</v>
      </c>
      <c r="DN39" s="66">
        <v>12500</v>
      </c>
      <c r="DO39" s="73">
        <v>10100</v>
      </c>
      <c r="DP39" s="73">
        <v>10950</v>
      </c>
      <c r="DQ39" s="73">
        <v>10500</v>
      </c>
      <c r="DV39" s="149"/>
      <c r="DY39" s="149"/>
    </row>
    <row r="40" spans="1:129">
      <c r="A40" s="66" t="s">
        <v>2565</v>
      </c>
      <c r="B40" s="66">
        <v>520</v>
      </c>
      <c r="C40" s="66">
        <v>520</v>
      </c>
      <c r="D40" s="66">
        <v>540</v>
      </c>
      <c r="E40" s="66">
        <v>575</v>
      </c>
      <c r="F40" s="66">
        <v>550</v>
      </c>
      <c r="G40" s="66">
        <v>1250</v>
      </c>
      <c r="H40" s="66">
        <v>820</v>
      </c>
      <c r="I40" s="66">
        <v>520</v>
      </c>
      <c r="J40" s="66">
        <v>520</v>
      </c>
      <c r="K40" s="66">
        <v>445</v>
      </c>
      <c r="L40" s="66">
        <v>445</v>
      </c>
      <c r="M40" s="66">
        <v>765</v>
      </c>
      <c r="N40" s="66">
        <v>915</v>
      </c>
      <c r="O40" s="66">
        <v>625</v>
      </c>
      <c r="P40" s="66">
        <v>1002</v>
      </c>
      <c r="Q40" s="66">
        <v>640</v>
      </c>
      <c r="R40" s="66">
        <v>700</v>
      </c>
      <c r="S40" s="66">
        <v>700</v>
      </c>
      <c r="T40" s="66">
        <v>765</v>
      </c>
      <c r="U40" s="66">
        <v>765</v>
      </c>
      <c r="V40" s="66">
        <v>735</v>
      </c>
      <c r="W40" s="66">
        <v>735</v>
      </c>
      <c r="X40" s="66">
        <v>590</v>
      </c>
      <c r="Y40" s="66">
        <v>671</v>
      </c>
      <c r="Z40" s="66">
        <v>952</v>
      </c>
      <c r="AA40" s="66">
        <v>764</v>
      </c>
      <c r="AB40" s="66">
        <v>962</v>
      </c>
      <c r="AC40" s="66">
        <v>1082</v>
      </c>
      <c r="AD40" s="66">
        <v>1117</v>
      </c>
      <c r="AE40" s="66">
        <v>661</v>
      </c>
      <c r="AF40" s="66">
        <v>1129</v>
      </c>
      <c r="AG40" s="66">
        <v>886</v>
      </c>
      <c r="AH40" s="66">
        <v>1000</v>
      </c>
      <c r="AI40" s="79"/>
      <c r="AJ40" s="66">
        <v>427</v>
      </c>
      <c r="AK40" s="146">
        <v>2170</v>
      </c>
      <c r="AL40" s="146">
        <v>1968</v>
      </c>
      <c r="AM40" s="66">
        <v>780</v>
      </c>
      <c r="AN40" s="66">
        <v>867</v>
      </c>
      <c r="AO40" s="66">
        <v>900</v>
      </c>
      <c r="AP40" s="66">
        <v>650</v>
      </c>
      <c r="AQ40" s="66">
        <v>535</v>
      </c>
      <c r="AR40" s="66">
        <v>919</v>
      </c>
      <c r="AS40" s="66">
        <v>630</v>
      </c>
      <c r="AT40" s="66">
        <v>540</v>
      </c>
      <c r="AU40" s="113"/>
      <c r="AV40" s="114"/>
      <c r="AW40" s="79"/>
      <c r="AX40" s="66">
        <v>705</v>
      </c>
      <c r="AY40" s="66">
        <v>2600</v>
      </c>
      <c r="AZ40" s="66">
        <v>1017.06</v>
      </c>
      <c r="BA40" s="66">
        <v>1914</v>
      </c>
      <c r="BB40" s="66">
        <v>770</v>
      </c>
      <c r="BC40" s="66">
        <v>580</v>
      </c>
      <c r="BD40" s="66">
        <v>1446</v>
      </c>
      <c r="BE40" s="66">
        <v>515</v>
      </c>
      <c r="BF40" s="66">
        <v>1030</v>
      </c>
      <c r="BG40" s="66">
        <v>2860</v>
      </c>
      <c r="BH40" s="66">
        <v>1440</v>
      </c>
      <c r="BI40" s="66">
        <v>1318</v>
      </c>
      <c r="BJ40" s="66">
        <v>650</v>
      </c>
      <c r="BK40" s="66">
        <v>2692</v>
      </c>
      <c r="BL40" s="66">
        <v>2981</v>
      </c>
      <c r="BM40" s="66">
        <v>1750</v>
      </c>
      <c r="BN40" s="66">
        <v>2845</v>
      </c>
      <c r="BO40" s="66">
        <v>2981</v>
      </c>
      <c r="BP40" s="66">
        <v>2388</v>
      </c>
      <c r="BQ40" s="66">
        <v>920</v>
      </c>
      <c r="BR40" s="66"/>
      <c r="BS40" s="66">
        <v>2560</v>
      </c>
      <c r="BT40" s="66">
        <v>3314</v>
      </c>
      <c r="BU40" s="66">
        <v>4221</v>
      </c>
      <c r="BV40" s="66">
        <v>2575</v>
      </c>
      <c r="BW40" s="66">
        <v>2575</v>
      </c>
      <c r="BX40" s="66">
        <v>3938</v>
      </c>
      <c r="BY40" s="66">
        <v>4561</v>
      </c>
      <c r="BZ40" s="66">
        <v>4561</v>
      </c>
      <c r="CA40" s="66">
        <v>4561</v>
      </c>
      <c r="CB40" s="66">
        <v>4561</v>
      </c>
      <c r="CC40" s="66">
        <v>3462</v>
      </c>
      <c r="CD40" s="79"/>
      <c r="CE40" s="79"/>
      <c r="CF40" s="79"/>
      <c r="CG40" s="79"/>
      <c r="CH40" s="66">
        <v>3308</v>
      </c>
      <c r="CI40" s="79"/>
      <c r="CJ40" s="79"/>
      <c r="CK40" s="79"/>
      <c r="CL40" s="66">
        <v>1555</v>
      </c>
      <c r="CM40" s="66">
        <v>5250</v>
      </c>
      <c r="CN40" s="66">
        <v>6102</v>
      </c>
      <c r="CO40" s="66">
        <v>5000</v>
      </c>
      <c r="CP40" s="66">
        <v>6300</v>
      </c>
      <c r="CQ40" s="66">
        <v>5450</v>
      </c>
      <c r="CR40" s="66">
        <v>5250</v>
      </c>
      <c r="CS40" s="66"/>
      <c r="CT40" s="66">
        <v>5100</v>
      </c>
      <c r="CU40" s="66">
        <v>4900</v>
      </c>
      <c r="CV40" s="66">
        <v>56000</v>
      </c>
      <c r="CW40" s="73">
        <v>7400</v>
      </c>
      <c r="CX40" s="73">
        <v>7400</v>
      </c>
      <c r="CY40" s="73">
        <v>7400</v>
      </c>
      <c r="CZ40" s="66">
        <v>5577.4</v>
      </c>
      <c r="DA40" s="66">
        <v>5200</v>
      </c>
      <c r="DB40" s="66">
        <v>5650</v>
      </c>
      <c r="DC40" s="66">
        <v>5600</v>
      </c>
      <c r="DD40" s="66">
        <v>6300</v>
      </c>
      <c r="DE40" s="66">
        <v>6300</v>
      </c>
      <c r="DF40" s="66">
        <v>6530</v>
      </c>
      <c r="DG40" s="66">
        <v>6890</v>
      </c>
      <c r="DH40" s="66">
        <v>5741.47</v>
      </c>
      <c r="DI40" s="66">
        <v>5750</v>
      </c>
      <c r="DJ40" s="66">
        <v>9351</v>
      </c>
      <c r="DK40" s="66">
        <v>6069</v>
      </c>
      <c r="DL40" s="66">
        <v>6562</v>
      </c>
      <c r="DM40" s="66">
        <v>6000</v>
      </c>
      <c r="DN40" s="66">
        <v>6600</v>
      </c>
      <c r="DO40" s="73">
        <v>7750</v>
      </c>
      <c r="DP40" s="73">
        <v>7750</v>
      </c>
      <c r="DQ40" s="73">
        <v>7750</v>
      </c>
      <c r="DV40" s="149"/>
      <c r="DY40" s="149"/>
    </row>
    <row r="41" spans="1:129">
      <c r="A41" s="66" t="s">
        <v>2566</v>
      </c>
      <c r="B41" s="70">
        <f>36.166^2/B33</f>
        <v>7.5051104148205807</v>
      </c>
      <c r="C41" s="70">
        <f>36.166^2/C33</f>
        <v>7.5051104148205807</v>
      </c>
      <c r="D41" s="70">
        <f>36^2/D33</f>
        <v>7.4520000000000008</v>
      </c>
      <c r="E41" s="66">
        <v>7.5</v>
      </c>
      <c r="F41" s="70">
        <f>36.083^2/F33</f>
        <v>7.4930443815918357</v>
      </c>
      <c r="G41" s="70">
        <f>36.166^2/G33</f>
        <v>9.2633113031161471</v>
      </c>
      <c r="H41" s="147">
        <f>35.8^2/H33</f>
        <v>6.7739957716701902</v>
      </c>
      <c r="I41" s="70">
        <f>39.416^2/I33</f>
        <v>8.9164330337324902</v>
      </c>
      <c r="J41" s="70">
        <f>36.083^2/J33</f>
        <v>7.4722496238260856</v>
      </c>
      <c r="K41" s="70">
        <f>32.708^2/K33</f>
        <v>6.8202812171395557</v>
      </c>
      <c r="L41" s="70">
        <f>33.33^2/L33</f>
        <v>7.0821469072744856</v>
      </c>
      <c r="M41" s="70">
        <f>36^2/M33</f>
        <v>7.4349473684210539</v>
      </c>
      <c r="N41" s="70">
        <f>52.08^2/N33</f>
        <v>9.7023790079999994</v>
      </c>
      <c r="O41" s="70">
        <f>36.58^2/O33</f>
        <v>7.6230928059518854</v>
      </c>
      <c r="P41" s="70">
        <f>36.916^2/P33</f>
        <v>7.6263884095384604</v>
      </c>
      <c r="Q41" s="70">
        <f>36.916^2/Q33</f>
        <v>7.6142853001599979</v>
      </c>
      <c r="R41" s="70">
        <f>38.16^2/R33</f>
        <v>7.2023002678185728</v>
      </c>
      <c r="S41" s="70">
        <f>38.16^2/S33</f>
        <v>7.1769147428571403</v>
      </c>
      <c r="T41" s="66">
        <v>8.1300000000000008</v>
      </c>
      <c r="U41" s="70">
        <f>38.83^2/U33</f>
        <v>8.6031519588235259</v>
      </c>
      <c r="V41" s="70">
        <f>36^2/V33</f>
        <v>7.452</v>
      </c>
      <c r="W41" s="66">
        <v>7.4</v>
      </c>
      <c r="X41" s="66">
        <v>7.4</v>
      </c>
      <c r="Y41" s="70">
        <f>30.1837^2/Y33</f>
        <v>7.5913634511888377</v>
      </c>
      <c r="Z41" s="66">
        <v>8.65</v>
      </c>
      <c r="AA41" s="66">
        <v>5.42</v>
      </c>
      <c r="AB41" s="70">
        <f>38.3^2/AB33</f>
        <v>10.849778106508875</v>
      </c>
      <c r="AC41" s="70">
        <f>38.3 ^2/AC33</f>
        <v>10.123464458247065</v>
      </c>
      <c r="AD41" s="66">
        <v>9.9</v>
      </c>
      <c r="AE41" s="66">
        <v>10.199999999999999</v>
      </c>
      <c r="AF41" s="70">
        <f>44^2/AF33</f>
        <v>13.081081081081081</v>
      </c>
      <c r="AG41" s="66">
        <f>38.25 ^2/AG33</f>
        <v>8.4906258656509692</v>
      </c>
      <c r="AH41" s="79"/>
      <c r="AI41" s="70">
        <f>31^2/AI33</f>
        <v>7.1449814126394049</v>
      </c>
      <c r="AJ41" s="70">
        <f>25.5906^2/AJ33</f>
        <v>8.5690427374718325</v>
      </c>
      <c r="AK41" s="66">
        <v>10.3</v>
      </c>
      <c r="AL41" s="66">
        <v>10.6</v>
      </c>
      <c r="AM41" s="66">
        <v>7.4</v>
      </c>
      <c r="AN41" s="66">
        <v>8.4</v>
      </c>
      <c r="AO41" s="66">
        <v>7.9</v>
      </c>
      <c r="AP41" s="66">
        <v>7.2</v>
      </c>
      <c r="AQ41" s="70">
        <f>30^2/AQ33</f>
        <v>5.625</v>
      </c>
      <c r="AR41" s="66">
        <v>7.2</v>
      </c>
      <c r="AS41" s="70">
        <f>32.8^2/AS33</f>
        <v>6.1652722063037242</v>
      </c>
      <c r="AT41" s="70">
        <f>32.8^2/AT33</f>
        <v>6.1652722063037242</v>
      </c>
      <c r="AU41" s="113"/>
      <c r="AV41" s="114"/>
      <c r="AW41" s="70">
        <f>37.3125^2/AW33</f>
        <v>6.7257133152173916</v>
      </c>
      <c r="AX41" s="70">
        <f>38.88^2/AX33</f>
        <v>7.2431931001437482</v>
      </c>
      <c r="AY41" s="70">
        <f>43^2/AY33</f>
        <v>8.859607091518928</v>
      </c>
      <c r="AZ41" s="70">
        <f>47.67^2/AZ33</f>
        <v>12.417644262295084</v>
      </c>
      <c r="BA41" s="70">
        <f>38.9058^2/BA33</f>
        <v>5.1660794322184298</v>
      </c>
      <c r="BB41" s="70">
        <f>38.55^2/BB33</f>
        <v>8.0854325353645251</v>
      </c>
      <c r="BC41" s="70">
        <f>38.55^2/BC33</f>
        <v>8.0854325353645251</v>
      </c>
      <c r="BD41" s="66">
        <v>12.8</v>
      </c>
      <c r="BE41" s="66">
        <v>10.1</v>
      </c>
      <c r="BF41" s="66">
        <v>8.2159999999999993</v>
      </c>
      <c r="BG41" s="66">
        <v>11.96</v>
      </c>
      <c r="BH41" s="70">
        <f>37.83^2/BH33</f>
        <v>7.1915020100502511</v>
      </c>
      <c r="BI41" s="70">
        <f>39.25^2/BI33</f>
        <v>7.2360850164396426</v>
      </c>
      <c r="BJ41" s="70">
        <f>30^2/BJ33</f>
        <v>6.9337442218798149</v>
      </c>
      <c r="BK41" s="66">
        <v>10.8</v>
      </c>
      <c r="BL41" s="70">
        <f>57.916^2/BL33</f>
        <v>10.820203406451613</v>
      </c>
      <c r="BM41" s="66">
        <v>10.8</v>
      </c>
      <c r="BN41" s="66">
        <v>9.4</v>
      </c>
      <c r="BO41" s="66">
        <v>10.8</v>
      </c>
      <c r="BP41" s="70">
        <f>54.39583^2/BP33</f>
        <v>10.534414416793291</v>
      </c>
      <c r="BQ41" s="70">
        <f>33.5^2/BQ33</f>
        <v>6.2002762430939224</v>
      </c>
      <c r="BR41" s="66">
        <v>11</v>
      </c>
      <c r="BS41" s="66">
        <v>12.4</v>
      </c>
      <c r="BT41" s="66">
        <v>13.4</v>
      </c>
      <c r="BU41" s="66"/>
      <c r="BV41" s="66">
        <v>12.4</v>
      </c>
      <c r="BW41" s="66">
        <v>12.4</v>
      </c>
      <c r="BX41" s="66">
        <v>11</v>
      </c>
      <c r="BY41" s="66">
        <v>9.9</v>
      </c>
      <c r="BZ41" s="66">
        <v>9.9</v>
      </c>
      <c r="CA41" s="66">
        <v>9.9</v>
      </c>
      <c r="CB41" s="66">
        <v>9.9</v>
      </c>
      <c r="CC41" s="66">
        <v>11.1</v>
      </c>
      <c r="CD41" s="66">
        <f>80.583^2/CD33</f>
        <v>11.081262609215017</v>
      </c>
      <c r="CE41" s="66">
        <f t="shared" ref="CE41:CG41" si="121">80.583^2/CE33</f>
        <v>11.081262609215017</v>
      </c>
      <c r="CF41" s="66">
        <f t="shared" si="121"/>
        <v>11.081262609215017</v>
      </c>
      <c r="CG41" s="66">
        <f t="shared" si="121"/>
        <v>11.081262609215017</v>
      </c>
      <c r="CH41" s="66">
        <v>12</v>
      </c>
      <c r="CI41" s="66">
        <f>88.75^2/CI33</f>
        <v>11.988679604261796</v>
      </c>
      <c r="CJ41" s="66">
        <f>88.75^2/CJ33</f>
        <v>11.988679604261796</v>
      </c>
      <c r="CK41" s="66">
        <f>88.75^2/CK33</f>
        <v>11.988679604261796</v>
      </c>
      <c r="CL41" s="66">
        <v>8.6999999999999993</v>
      </c>
      <c r="CM41" s="66">
        <v>8.6999999999999993</v>
      </c>
      <c r="CN41" s="66">
        <v>8.6999999999999993</v>
      </c>
      <c r="CO41" s="66">
        <v>9.1999999999999993</v>
      </c>
      <c r="CP41" s="66">
        <v>9.1999999999999993</v>
      </c>
      <c r="CQ41" s="66">
        <v>10.1</v>
      </c>
      <c r="CR41" s="66">
        <v>10.1</v>
      </c>
      <c r="CS41" s="66">
        <v>10.1</v>
      </c>
      <c r="CT41" s="66">
        <v>10.1</v>
      </c>
      <c r="CU41" s="66">
        <v>10.1</v>
      </c>
      <c r="CV41" s="66">
        <v>10.1</v>
      </c>
      <c r="CW41" s="73">
        <v>7.7</v>
      </c>
      <c r="CX41" s="73">
        <v>7.7</v>
      </c>
      <c r="CY41" s="73">
        <v>7.7</v>
      </c>
      <c r="CZ41" s="66">
        <v>10.1</v>
      </c>
      <c r="DA41" s="66">
        <v>8</v>
      </c>
      <c r="DB41" s="66">
        <v>8</v>
      </c>
      <c r="DC41" s="66">
        <v>8</v>
      </c>
      <c r="DD41" s="66">
        <v>9.3000000000000007</v>
      </c>
      <c r="DE41" s="66">
        <v>9.3000000000000007</v>
      </c>
      <c r="DF41" s="66">
        <v>9.25</v>
      </c>
      <c r="DG41" s="66">
        <v>9.25</v>
      </c>
      <c r="DH41" s="80">
        <v>7.5</v>
      </c>
      <c r="DI41" s="80">
        <v>7.5</v>
      </c>
      <c r="DJ41" s="66">
        <v>7.5</v>
      </c>
      <c r="DK41" s="66">
        <v>7.5</v>
      </c>
      <c r="DL41" s="66">
        <v>7.5</v>
      </c>
      <c r="DM41" s="66">
        <v>7.5</v>
      </c>
      <c r="DN41" s="66">
        <v>7.5</v>
      </c>
      <c r="DO41" s="73">
        <v>7.7</v>
      </c>
      <c r="DP41" s="73">
        <v>7.7</v>
      </c>
      <c r="DQ41" s="73">
        <v>7.7</v>
      </c>
      <c r="DV41" s="149"/>
      <c r="DY41" s="149"/>
    </row>
    <row r="42" spans="1:129">
      <c r="A42" s="66" t="s">
        <v>2567</v>
      </c>
      <c r="B42" s="110">
        <f>1/(B20/B27)</f>
        <v>3.8594843285727986E-3</v>
      </c>
      <c r="C42" s="110">
        <f>C27/C20</f>
        <v>3.8594843285727981E-3</v>
      </c>
      <c r="D42" s="110">
        <f t="shared" ref="D42:BO42" si="122">D27/D20</f>
        <v>3.7660259853092176E-3</v>
      </c>
      <c r="E42" s="110">
        <f t="shared" si="122"/>
        <v>3.635703848353251E-3</v>
      </c>
      <c r="F42" s="110">
        <f t="shared" si="122"/>
        <v>3.7945622794514043E-3</v>
      </c>
      <c r="G42" s="110">
        <f t="shared" si="122"/>
        <v>3.8820131594812395E-3</v>
      </c>
      <c r="H42" s="110">
        <f t="shared" si="122"/>
        <v>4.1368710934957652E-3</v>
      </c>
      <c r="I42" s="110">
        <f t="shared" si="122"/>
        <v>4.0032570083841125E-3</v>
      </c>
      <c r="J42" s="110">
        <f t="shared" si="122"/>
        <v>4.0032573913043479E-3</v>
      </c>
      <c r="K42" s="110">
        <f t="shared" si="122"/>
        <v>4.6244487320837926E-3</v>
      </c>
      <c r="L42" s="110">
        <f t="shared" si="122"/>
        <v>4.2040443018943573E-3</v>
      </c>
      <c r="M42" s="110">
        <f t="shared" si="122"/>
        <v>4.3674965600954442E-3</v>
      </c>
      <c r="N42" s="110">
        <f t="shared" si="122"/>
        <v>2.9190226238053874E-3</v>
      </c>
      <c r="O42" s="110">
        <f t="shared" si="122"/>
        <v>4.2848707859174922E-3</v>
      </c>
      <c r="P42" s="110">
        <f t="shared" si="122"/>
        <v>4.0869873228933564E-3</v>
      </c>
      <c r="Q42" s="110">
        <f t="shared" si="122"/>
        <v>4.2056825295019428E-3</v>
      </c>
      <c r="R42" s="110">
        <f t="shared" si="122"/>
        <v>4.1815110421166311E-3</v>
      </c>
      <c r="S42" s="110">
        <f t="shared" si="122"/>
        <v>4.609618125000001E-3</v>
      </c>
      <c r="T42" s="110">
        <f t="shared" si="122"/>
        <v>3.6298900565171319E-3</v>
      </c>
      <c r="U42" s="110">
        <f t="shared" si="122"/>
        <v>4.0569359455191467E-3</v>
      </c>
      <c r="V42" s="110">
        <f t="shared" si="122"/>
        <v>5.3262215328757989E-3</v>
      </c>
      <c r="W42" s="110">
        <f t="shared" si="122"/>
        <v>5.0034202278530235E-3</v>
      </c>
      <c r="X42" s="110">
        <f t="shared" si="122"/>
        <v>3.9517127501981731E-3</v>
      </c>
      <c r="Y42" s="110">
        <f t="shared" si="122"/>
        <v>4.8693687176545415E-3</v>
      </c>
      <c r="Z42" s="110">
        <f t="shared" si="122"/>
        <v>3.4199635995955514E-3</v>
      </c>
      <c r="AA42" s="110">
        <f t="shared" si="122"/>
        <v>4.4595034419917046E-3</v>
      </c>
      <c r="AB42" s="110">
        <f t="shared" si="122"/>
        <v>3.0425359121127563E-3</v>
      </c>
      <c r="AC42" s="110">
        <f t="shared" si="122"/>
        <v>3.9913181097118366E-3</v>
      </c>
      <c r="AD42" s="110">
        <f t="shared" si="122"/>
        <v>3.3682797884483215E-3</v>
      </c>
      <c r="AE42" s="110">
        <f t="shared" si="122"/>
        <v>3.198626812722585E-3</v>
      </c>
      <c r="AF42" s="110">
        <f t="shared" si="122"/>
        <v>3.1799057022698003E-3</v>
      </c>
      <c r="AG42" s="110">
        <f t="shared" si="122"/>
        <v>2.7684537699434793E-3</v>
      </c>
      <c r="AH42" s="110">
        <f t="shared" si="122"/>
        <v>3.2459550577015853E-3</v>
      </c>
      <c r="AI42" s="110">
        <f t="shared" si="122"/>
        <v>8.57088122605364E-3</v>
      </c>
      <c r="AJ42" s="110">
        <f t="shared" si="122"/>
        <v>7.1986659999999985E-3</v>
      </c>
      <c r="AK42" s="110">
        <f t="shared" si="122"/>
        <v>2.7381673563856251E-3</v>
      </c>
      <c r="AL42" s="110">
        <f t="shared" si="122"/>
        <v>3.7014762847645622E-3</v>
      </c>
      <c r="AM42" s="110">
        <f t="shared" si="122"/>
        <v>4.3530042492355347E-3</v>
      </c>
      <c r="AN42" s="110">
        <f t="shared" si="122"/>
        <v>5.8363299795287267E-3</v>
      </c>
      <c r="AO42" s="110">
        <f t="shared" si="122"/>
        <v>7.8751237941127056E-3</v>
      </c>
      <c r="AP42" s="110">
        <f t="shared" si="122"/>
        <v>3.9918544294164273E-3</v>
      </c>
      <c r="AQ42" s="110">
        <f t="shared" si="122"/>
        <v>4.282554418604651E-3</v>
      </c>
      <c r="AR42" s="110">
        <f t="shared" si="122"/>
        <v>3.7596857879123287E-3</v>
      </c>
      <c r="AS42" s="110">
        <f t="shared" si="122"/>
        <v>4.6357048770984425E-3</v>
      </c>
      <c r="AT42" s="110">
        <f t="shared" si="122"/>
        <v>5.944491447930726E-3</v>
      </c>
      <c r="AU42" s="110">
        <f t="shared" si="122"/>
        <v>5.0236697653407133E-3</v>
      </c>
      <c r="AV42" s="110">
        <f t="shared" si="122"/>
        <v>4.6711315361939966E-3</v>
      </c>
      <c r="AW42" s="110">
        <f t="shared" si="122"/>
        <v>4.1506964513551448E-3</v>
      </c>
      <c r="AX42" s="110">
        <f t="shared" si="122"/>
        <v>4.322526907993585E-3</v>
      </c>
      <c r="AY42" s="110">
        <f t="shared" si="122"/>
        <v>4.3670615795702731E-3</v>
      </c>
      <c r="AZ42" s="110">
        <f t="shared" si="122"/>
        <v>3.8280613443342558E-3</v>
      </c>
      <c r="BA42" s="110">
        <f t="shared" si="122"/>
        <v>2.5529821257205426E-3</v>
      </c>
      <c r="BB42" s="110">
        <f t="shared" si="122"/>
        <v>4.3160923991119246E-3</v>
      </c>
      <c r="BC42" s="110">
        <f t="shared" si="122"/>
        <v>3.8013336400626882E-3</v>
      </c>
      <c r="BD42" s="110">
        <f t="shared" si="122"/>
        <v>2.8606138107416879E-3</v>
      </c>
      <c r="BE42" s="110">
        <f t="shared" si="122"/>
        <v>5.5274120044379038E-3</v>
      </c>
      <c r="BF42" s="110">
        <f t="shared" si="122"/>
        <v>8.1769002581670129E-3</v>
      </c>
      <c r="BG42" s="110">
        <f t="shared" si="122"/>
        <v>6.2038302888178833E-3</v>
      </c>
      <c r="BH42" s="110">
        <f t="shared" si="122"/>
        <v>3.759702552569535E-3</v>
      </c>
      <c r="BI42" s="110">
        <f t="shared" si="122"/>
        <v>4.1671641399627368E-3</v>
      </c>
      <c r="BJ42" s="110">
        <f t="shared" si="122"/>
        <v>3.9173389911765734E-3</v>
      </c>
      <c r="BK42" s="110">
        <f t="shared" si="122"/>
        <v>5.0230739450251652E-3</v>
      </c>
      <c r="BL42" s="110">
        <f t="shared" si="122"/>
        <v>4.6253377429161134E-3</v>
      </c>
      <c r="BM42" s="110">
        <f t="shared" si="122"/>
        <v>4.9433534795853638E-3</v>
      </c>
      <c r="BN42" s="110">
        <f t="shared" si="122"/>
        <v>5.26597233825304E-3</v>
      </c>
      <c r="BO42" s="110">
        <f t="shared" si="122"/>
        <v>7.6539871995877839E-3</v>
      </c>
      <c r="BP42" s="110">
        <f t="shared" ref="BP42:BR42" si="123">BP27/BP20</f>
        <v>5.4298409985990663E-3</v>
      </c>
      <c r="BQ42" s="110">
        <f t="shared" si="123"/>
        <v>3.3640497926202629E-3</v>
      </c>
      <c r="BR42" s="110">
        <f t="shared" si="123"/>
        <v>4.1070576380084402E-3</v>
      </c>
      <c r="BS42" s="110"/>
      <c r="BT42" s="66"/>
      <c r="BU42" s="66"/>
      <c r="BV42" s="66"/>
      <c r="BW42" s="66"/>
      <c r="BX42" s="110">
        <f>1/(BX20/BX27)</f>
        <v>3.0638253643314761E-3</v>
      </c>
      <c r="BY42" s="110">
        <f t="shared" ref="BY42:CK42" si="124">1/(BY20/BY27)</f>
        <v>4.7163175052040386E-3</v>
      </c>
      <c r="BZ42" s="110">
        <f t="shared" si="124"/>
        <v>4.523573920754499E-3</v>
      </c>
      <c r="CA42" s="110">
        <f t="shared" si="124"/>
        <v>4.7163175052040386E-3</v>
      </c>
      <c r="CB42" s="110">
        <f t="shared" si="124"/>
        <v>4.523573920754499E-3</v>
      </c>
      <c r="CC42" s="110">
        <f t="shared" si="124"/>
        <v>3.0062539102580139E-3</v>
      </c>
      <c r="CD42" s="110">
        <f t="shared" si="124"/>
        <v>2.8580032075320458E-3</v>
      </c>
      <c r="CE42" s="110">
        <f t="shared" si="124"/>
        <v>3.0241166577462775E-3</v>
      </c>
      <c r="CF42" s="110">
        <f t="shared" si="124"/>
        <v>3.0041081621404483E-3</v>
      </c>
      <c r="CG42" s="110">
        <f t="shared" si="124"/>
        <v>2.8953852774771193E-3</v>
      </c>
      <c r="CH42" s="110">
        <f t="shared" si="124"/>
        <v>2.7180152370944437E-3</v>
      </c>
      <c r="CI42" s="110">
        <f t="shared" si="124"/>
        <v>2.8423127508988575E-3</v>
      </c>
      <c r="CJ42" s="110">
        <f t="shared" si="124"/>
        <v>2.532677524006469E-3</v>
      </c>
      <c r="CK42" s="110">
        <f t="shared" si="124"/>
        <v>2.9534896237226002E-3</v>
      </c>
      <c r="CL42" s="66">
        <v>2.7777777777777779E-3</v>
      </c>
      <c r="CM42" s="66">
        <f>1/371.2</f>
        <v>2.6939655172413795E-3</v>
      </c>
      <c r="CN42" s="66">
        <f>1/355.9</f>
        <v>2.8097780275358249E-3</v>
      </c>
      <c r="CO42" s="110">
        <f t="shared" ref="CO42:CV42" si="125">1/(CO20/CO27)</f>
        <v>2.5354838709677422E-3</v>
      </c>
      <c r="CP42" s="110">
        <f t="shared" si="125"/>
        <v>2.4455434782608698E-3</v>
      </c>
      <c r="CQ42" s="110">
        <f t="shared" si="125"/>
        <v>2.1350769230769231E-3</v>
      </c>
      <c r="CR42" s="110">
        <f t="shared" si="125"/>
        <v>2.2241538461538458E-3</v>
      </c>
      <c r="CS42" s="110">
        <f t="shared" si="125"/>
        <v>2.3269230769230771E-3</v>
      </c>
      <c r="CT42" s="110">
        <f t="shared" si="125"/>
        <v>2.3865877712031559E-3</v>
      </c>
      <c r="CU42" s="110">
        <f t="shared" si="125"/>
        <v>2.2241538461538458E-3</v>
      </c>
      <c r="CV42" s="110">
        <f t="shared" si="125"/>
        <v>2.1350769230769231E-3</v>
      </c>
      <c r="CW42" s="73">
        <f>1/351.8</f>
        <v>2.8425241614553724E-3</v>
      </c>
      <c r="CX42" s="73">
        <f>1/358.9</f>
        <v>2.7862914460852605E-3</v>
      </c>
      <c r="CY42" s="73">
        <f>1/351.8</f>
        <v>2.8425241614553724E-3</v>
      </c>
      <c r="CZ42" s="110">
        <f t="shared" ref="CZ42" si="126">1/(CZ20/CZ27)</f>
        <v>2.7843478260869562E-3</v>
      </c>
      <c r="DA42" s="110">
        <f>1/(DA20/DA27)</f>
        <v>2.9239471396717014E-3</v>
      </c>
      <c r="DB42" s="66">
        <f>1/331.4</f>
        <v>3.0175015087507548E-3</v>
      </c>
      <c r="DC42" s="66">
        <f>1/338.5</f>
        <v>2.9542097488921715E-3</v>
      </c>
      <c r="DD42" s="66">
        <f>1/362</f>
        <v>2.7624309392265192E-3</v>
      </c>
      <c r="DE42" s="66">
        <f>1/361</f>
        <v>2.7700831024930748E-3</v>
      </c>
      <c r="DF42" s="66">
        <f>1/367</f>
        <v>2.7247956403269754E-3</v>
      </c>
      <c r="DG42" s="66">
        <f>1/342</f>
        <v>2.9239766081871343E-3</v>
      </c>
      <c r="DH42" s="110">
        <f>1/(DH20/DH27)</f>
        <v>2.9580638127770916E-3</v>
      </c>
      <c r="DI42" s="110">
        <f t="shared" ref="DI42:DQ42" si="127">1/(DI20/DI27)</f>
        <v>2.6513554764154373E-3</v>
      </c>
      <c r="DJ42" s="110">
        <f t="shared" si="127"/>
        <v>2.7027456463709167E-3</v>
      </c>
      <c r="DK42" s="110">
        <f t="shared" si="127"/>
        <v>2.7825886614973941E-3</v>
      </c>
      <c r="DL42" s="110">
        <f t="shared" si="127"/>
        <v>2.4548747934409559E-3</v>
      </c>
      <c r="DM42" s="110">
        <f t="shared" si="127"/>
        <v>2.8123808313207069E-3</v>
      </c>
      <c r="DN42" s="66">
        <f>1/463</f>
        <v>2.1598272138228943E-3</v>
      </c>
      <c r="DO42" s="110">
        <f t="shared" si="127"/>
        <v>2.6726748552462634E-3</v>
      </c>
      <c r="DP42" s="110">
        <f t="shared" si="127"/>
        <v>2.6125929694502995E-3</v>
      </c>
      <c r="DQ42" s="110">
        <f t="shared" si="127"/>
        <v>2.5873973399229595E-3</v>
      </c>
      <c r="DV42" s="149"/>
      <c r="DY42" s="149"/>
    </row>
    <row r="43" spans="1:129" s="167" customFormat="1" ht="16.5" customHeight="1">
      <c r="A43" s="76" t="s">
        <v>2568</v>
      </c>
      <c r="B43" s="107"/>
      <c r="C43" s="107"/>
      <c r="D43" s="107"/>
      <c r="E43" s="107"/>
      <c r="F43" s="107"/>
      <c r="G43" s="107"/>
      <c r="H43" s="107"/>
      <c r="I43" s="107"/>
      <c r="J43" s="107"/>
      <c r="K43" s="107"/>
      <c r="L43" s="107"/>
      <c r="M43" s="107"/>
      <c r="N43" s="107"/>
      <c r="O43" s="107"/>
      <c r="P43" s="107"/>
      <c r="Q43" s="107"/>
      <c r="R43" s="107"/>
      <c r="S43" s="107"/>
      <c r="T43" s="107"/>
      <c r="U43" s="107"/>
      <c r="V43" s="107"/>
      <c r="W43" s="107"/>
      <c r="X43" s="107"/>
      <c r="Y43" s="107"/>
      <c r="Z43" s="76">
        <v>0.63700000000000001</v>
      </c>
      <c r="AA43" s="107"/>
      <c r="AB43" s="107"/>
      <c r="AC43" s="107"/>
      <c r="AD43" s="107"/>
      <c r="AE43" s="107"/>
      <c r="AF43" s="107"/>
      <c r="AG43" s="107"/>
      <c r="AH43" s="107"/>
      <c r="AI43" s="107"/>
      <c r="AJ43" s="107"/>
      <c r="AK43" s="107"/>
      <c r="AL43" s="107"/>
      <c r="AM43" s="107"/>
      <c r="AN43" s="76">
        <v>0.59499999999999997</v>
      </c>
      <c r="AO43" s="107"/>
      <c r="AP43" s="107"/>
      <c r="AQ43" s="107"/>
      <c r="AR43" s="107"/>
      <c r="AS43" s="107"/>
      <c r="AT43" s="107"/>
      <c r="AU43" s="124"/>
      <c r="AV43" s="222"/>
      <c r="AW43" s="107"/>
      <c r="AX43" s="107"/>
      <c r="AY43" s="107"/>
      <c r="AZ43" s="107"/>
      <c r="BA43" s="76">
        <v>0.59099999999999997</v>
      </c>
      <c r="BB43" s="107"/>
      <c r="BC43" s="107"/>
      <c r="BD43" s="107"/>
      <c r="BE43" s="76">
        <v>0.59499999999999997</v>
      </c>
      <c r="BF43" s="76">
        <v>0.70299999999999996</v>
      </c>
      <c r="BG43" s="107"/>
      <c r="BH43" s="107"/>
      <c r="BI43" s="107"/>
      <c r="BJ43" s="107"/>
      <c r="BK43" s="76">
        <v>0.54800000000000004</v>
      </c>
      <c r="BL43" s="76">
        <v>0.54800000000000004</v>
      </c>
      <c r="BM43" s="76">
        <v>0.60099999999999998</v>
      </c>
      <c r="BN43" s="76">
        <v>0.60099999999999998</v>
      </c>
      <c r="BO43" s="76">
        <v>0.54800000000000004</v>
      </c>
      <c r="BP43" s="76">
        <v>0.54900000000000004</v>
      </c>
      <c r="BQ43" s="107"/>
      <c r="BR43" s="76">
        <v>0.49</v>
      </c>
      <c r="BS43" s="76">
        <v>0.48299999999999998</v>
      </c>
      <c r="BT43" s="76">
        <v>0.47</v>
      </c>
      <c r="BU43" s="107"/>
      <c r="BV43" s="76">
        <v>0.47599999999999998</v>
      </c>
      <c r="BW43" s="76">
        <v>0.48499999999999999</v>
      </c>
      <c r="BX43" s="107"/>
      <c r="BY43" s="76">
        <v>0.498</v>
      </c>
      <c r="BZ43" s="76">
        <v>0.498</v>
      </c>
      <c r="CA43" s="107"/>
      <c r="CB43" s="107"/>
      <c r="CC43" s="107"/>
      <c r="CD43" s="76">
        <v>0.48499999999999999</v>
      </c>
      <c r="CE43" s="76">
        <v>0.47599999999999998</v>
      </c>
      <c r="CF43" s="107"/>
      <c r="CG43" s="107"/>
      <c r="CH43" s="107"/>
      <c r="CI43" s="76">
        <v>0.45900000000000002</v>
      </c>
      <c r="CJ43" s="76">
        <v>0.46800000000000003</v>
      </c>
      <c r="CK43" s="107"/>
      <c r="CL43" s="76"/>
      <c r="CM43" s="163"/>
      <c r="CN43" s="76"/>
      <c r="CO43" s="76"/>
      <c r="CP43" s="76"/>
      <c r="CQ43" s="76">
        <v>0.32</v>
      </c>
      <c r="CR43" s="76"/>
      <c r="CS43" s="76"/>
      <c r="CT43" s="76"/>
      <c r="CU43" s="76"/>
      <c r="CV43" s="76"/>
      <c r="CW43" s="76">
        <v>0.316</v>
      </c>
      <c r="CX43" s="76">
        <v>0.35899999999999999</v>
      </c>
      <c r="CY43" s="164"/>
      <c r="CZ43" s="76">
        <v>0.34499999999999997</v>
      </c>
      <c r="DA43" s="76">
        <v>0.35099999999999998</v>
      </c>
      <c r="DB43" s="76">
        <v>0.378</v>
      </c>
      <c r="DC43" s="76">
        <v>0.32300000000000001</v>
      </c>
      <c r="DD43" s="76">
        <v>0.378</v>
      </c>
      <c r="DE43" s="165">
        <v>0.32400000000000001</v>
      </c>
      <c r="DF43" s="107"/>
      <c r="DG43" s="107"/>
      <c r="DH43" s="76">
        <v>0.34799999999999998</v>
      </c>
      <c r="DI43" s="76">
        <v>0.35</v>
      </c>
      <c r="DJ43" s="76">
        <v>0.371</v>
      </c>
      <c r="DK43" s="76">
        <v>0.371</v>
      </c>
      <c r="DL43" s="76">
        <v>0.624</v>
      </c>
      <c r="DM43" s="76">
        <v>0.63100000000000001</v>
      </c>
      <c r="DN43" s="76"/>
      <c r="DO43" s="76">
        <v>0.378</v>
      </c>
      <c r="DP43" s="164"/>
      <c r="DQ43" s="76">
        <v>0.32300000000000001</v>
      </c>
      <c r="DR43" s="166"/>
      <c r="DS43" s="166"/>
      <c r="DT43" s="166"/>
      <c r="DV43" s="168"/>
      <c r="DY43" s="168"/>
    </row>
    <row r="44" spans="1:129">
      <c r="A44" s="66" t="s">
        <v>2569</v>
      </c>
      <c r="B44" s="153">
        <v>1947</v>
      </c>
      <c r="C44" s="153">
        <v>1947</v>
      </c>
      <c r="D44" s="153"/>
      <c r="E44" s="153"/>
      <c r="F44" s="153"/>
      <c r="G44" s="153"/>
      <c r="H44" s="153"/>
      <c r="I44" s="153"/>
      <c r="J44" s="153"/>
      <c r="K44" s="153"/>
      <c r="L44" s="153"/>
      <c r="M44" s="153"/>
      <c r="N44" s="153"/>
      <c r="O44" s="153"/>
      <c r="P44" s="153"/>
      <c r="Q44" s="153"/>
      <c r="R44" s="153"/>
      <c r="S44" s="153"/>
      <c r="T44" s="153"/>
      <c r="U44" s="153"/>
      <c r="V44" s="153"/>
      <c r="W44" s="153"/>
      <c r="X44" s="153"/>
      <c r="Y44" s="153"/>
      <c r="Z44" s="153"/>
      <c r="AA44" s="153"/>
      <c r="AB44" s="153"/>
      <c r="AC44" s="153"/>
      <c r="AD44" s="153"/>
      <c r="AE44" s="153"/>
      <c r="AF44" s="153"/>
      <c r="AG44" s="153"/>
      <c r="AH44" s="153"/>
      <c r="AI44" s="153"/>
      <c r="AJ44" s="153"/>
      <c r="AK44" s="153"/>
      <c r="AL44" s="153"/>
      <c r="AM44" s="153"/>
      <c r="AN44" s="153"/>
      <c r="AO44" s="153"/>
      <c r="AP44" s="153"/>
      <c r="AQ44" s="153"/>
      <c r="AR44" s="153"/>
      <c r="AS44" s="153"/>
      <c r="AT44" s="153"/>
      <c r="AU44" s="153"/>
      <c r="AV44" s="153"/>
      <c r="AW44" s="153"/>
      <c r="AX44" s="153"/>
      <c r="AY44" s="153"/>
      <c r="AZ44" s="153">
        <v>2000</v>
      </c>
      <c r="BA44" s="153">
        <v>1985</v>
      </c>
      <c r="BB44" s="153"/>
      <c r="BC44" s="153"/>
      <c r="BD44" s="153"/>
      <c r="BE44" s="153"/>
      <c r="BF44" s="153">
        <v>1964</v>
      </c>
      <c r="BG44" s="153">
        <v>2007</v>
      </c>
      <c r="BH44" s="153">
        <v>1984</v>
      </c>
      <c r="BI44" s="153">
        <v>1969</v>
      </c>
      <c r="BJ44" s="153"/>
      <c r="BK44" s="153">
        <v>1984</v>
      </c>
      <c r="BL44" s="153">
        <v>1984</v>
      </c>
      <c r="BM44" s="153">
        <v>2007</v>
      </c>
      <c r="BN44" s="153">
        <v>2007</v>
      </c>
      <c r="BO44" s="153">
        <v>1984</v>
      </c>
      <c r="BP44" s="153">
        <v>2004</v>
      </c>
      <c r="BQ44" s="153">
        <v>1998</v>
      </c>
      <c r="BR44" s="153">
        <v>1992</v>
      </c>
      <c r="BS44" s="153">
        <v>1997</v>
      </c>
      <c r="BT44" s="153">
        <v>1990</v>
      </c>
      <c r="BU44" s="153">
        <v>1998</v>
      </c>
      <c r="BV44" s="153">
        <v>1988</v>
      </c>
      <c r="BW44" s="153">
        <v>1985</v>
      </c>
      <c r="BX44" s="153">
        <v>1985</v>
      </c>
      <c r="BY44" s="153">
        <v>1986</v>
      </c>
      <c r="BZ44" s="153">
        <v>1986</v>
      </c>
      <c r="CA44" s="153">
        <v>1988</v>
      </c>
      <c r="CB44" s="153">
        <v>1988</v>
      </c>
      <c r="CC44" s="153">
        <v>2007</v>
      </c>
      <c r="CD44" s="153">
        <v>1985</v>
      </c>
      <c r="CE44" s="153"/>
      <c r="CF44" s="153"/>
      <c r="CG44" s="153"/>
      <c r="CH44" s="153"/>
      <c r="CI44" s="153"/>
      <c r="CJ44" s="153"/>
      <c r="CK44" s="153"/>
      <c r="CL44" s="220"/>
      <c r="CM44" s="153">
        <v>1997</v>
      </c>
      <c r="CN44" s="153">
        <v>2003</v>
      </c>
      <c r="CO44" s="220"/>
      <c r="CP44" s="220"/>
      <c r="CQ44" s="153">
        <v>1991</v>
      </c>
      <c r="CR44" s="153">
        <v>1991</v>
      </c>
      <c r="CS44" s="153">
        <v>1994</v>
      </c>
      <c r="CT44" s="153">
        <v>1994</v>
      </c>
      <c r="CU44" s="153">
        <v>1991</v>
      </c>
      <c r="CV44" s="153">
        <v>1991</v>
      </c>
      <c r="CW44" s="221">
        <v>1993</v>
      </c>
      <c r="CX44" s="153">
        <v>1997</v>
      </c>
      <c r="CY44" s="220"/>
      <c r="CZ44" s="220"/>
      <c r="DA44" s="221">
        <v>2005</v>
      </c>
      <c r="DB44" s="153">
        <v>1998</v>
      </c>
      <c r="DC44" s="221">
        <v>1993</v>
      </c>
      <c r="DD44" s="153">
        <v>1998</v>
      </c>
      <c r="DE44" s="153">
        <v>2000</v>
      </c>
      <c r="DF44" s="153">
        <v>2013</v>
      </c>
      <c r="DG44" s="153">
        <v>2017</v>
      </c>
      <c r="DH44" s="220"/>
      <c r="DI44" s="220"/>
      <c r="DJ44" s="220"/>
      <c r="DK44" s="220"/>
      <c r="DL44" s="153">
        <v>1972</v>
      </c>
      <c r="DM44" s="153">
        <v>1974</v>
      </c>
      <c r="DN44" s="153">
        <v>2004</v>
      </c>
      <c r="DO44" s="153">
        <v>1998</v>
      </c>
      <c r="DP44" s="221">
        <v>1998</v>
      </c>
      <c r="DQ44" s="153">
        <v>2002</v>
      </c>
      <c r="DV44" s="149"/>
      <c r="DY44" s="149"/>
    </row>
    <row r="45" spans="1:129" ht="16.5" customHeight="1">
      <c r="A45" s="71" t="s">
        <v>2570</v>
      </c>
      <c r="B45" s="66">
        <v>14000</v>
      </c>
      <c r="C45" s="66">
        <v>14000</v>
      </c>
      <c r="D45" s="66">
        <v>14000</v>
      </c>
      <c r="E45" s="66">
        <v>14000</v>
      </c>
      <c r="F45" s="66">
        <v>13500</v>
      </c>
      <c r="G45" s="66">
        <v>14000</v>
      </c>
      <c r="H45" s="66">
        <v>14000</v>
      </c>
      <c r="I45" s="66">
        <v>13000</v>
      </c>
      <c r="J45" s="66">
        <v>14000</v>
      </c>
      <c r="K45" s="66">
        <v>14000</v>
      </c>
      <c r="L45" s="66">
        <v>14000</v>
      </c>
      <c r="M45" s="66">
        <v>26000</v>
      </c>
      <c r="N45" s="66">
        <v>22800</v>
      </c>
      <c r="O45" s="66">
        <v>161000</v>
      </c>
      <c r="P45" s="66">
        <v>19750</v>
      </c>
      <c r="Q45" s="66">
        <v>19750</v>
      </c>
      <c r="R45" s="66">
        <v>19500</v>
      </c>
      <c r="S45" s="66">
        <v>16300</v>
      </c>
      <c r="T45" s="66">
        <v>16000</v>
      </c>
      <c r="U45" s="66">
        <v>29000</v>
      </c>
      <c r="V45" s="66">
        <v>26000</v>
      </c>
      <c r="W45" s="66">
        <v>26000</v>
      </c>
      <c r="X45" s="66">
        <v>18100</v>
      </c>
      <c r="Y45" s="66">
        <v>14625</v>
      </c>
      <c r="Z45" s="66">
        <v>34700</v>
      </c>
      <c r="AA45" s="66">
        <v>15000</v>
      </c>
      <c r="AB45" s="66">
        <v>17500</v>
      </c>
      <c r="AC45" s="66">
        <v>17500</v>
      </c>
      <c r="AD45" s="66"/>
      <c r="AE45" s="66"/>
      <c r="AF45" s="66"/>
      <c r="AG45" s="66"/>
      <c r="AH45" s="66"/>
      <c r="AI45" s="66">
        <v>14700</v>
      </c>
      <c r="AJ45" s="223"/>
      <c r="AK45" s="66"/>
      <c r="AL45" s="66"/>
      <c r="AM45" s="66">
        <v>16200</v>
      </c>
      <c r="AN45" s="66"/>
      <c r="AO45" s="66">
        <v>18000</v>
      </c>
      <c r="AP45" s="66">
        <v>11000</v>
      </c>
      <c r="AQ45" s="66">
        <v>14300</v>
      </c>
      <c r="AR45" s="66">
        <v>13240</v>
      </c>
      <c r="AS45" s="66">
        <v>16000</v>
      </c>
      <c r="AT45" s="66">
        <v>16000</v>
      </c>
      <c r="AU45" s="224"/>
      <c r="AV45" s="224"/>
      <c r="AW45" s="66">
        <v>18950</v>
      </c>
      <c r="AX45" s="66">
        <v>25000</v>
      </c>
      <c r="AY45" s="66">
        <v>25000</v>
      </c>
      <c r="AZ45" s="66">
        <v>30000</v>
      </c>
      <c r="BA45" s="223"/>
      <c r="BB45" s="223"/>
      <c r="BC45" s="223"/>
      <c r="BD45" s="66">
        <v>20000</v>
      </c>
      <c r="BE45" s="66">
        <v>26700</v>
      </c>
      <c r="BF45" s="223"/>
      <c r="BG45" s="66">
        <v>41010</v>
      </c>
      <c r="BH45" s="66">
        <v>20680</v>
      </c>
      <c r="BI45" s="223"/>
      <c r="BJ45" s="66">
        <v>30000</v>
      </c>
      <c r="BK45" s="66"/>
      <c r="BL45" s="66"/>
      <c r="BM45" s="66"/>
      <c r="BN45" s="66">
        <v>35000</v>
      </c>
      <c r="BO45" s="66"/>
      <c r="BP45" s="66">
        <v>41000</v>
      </c>
      <c r="BQ45" s="66"/>
      <c r="BR45" s="66">
        <v>31402</v>
      </c>
      <c r="BS45" s="66"/>
      <c r="BT45" s="66"/>
      <c r="BU45" s="66"/>
      <c r="BV45" s="66">
        <v>25000</v>
      </c>
      <c r="BW45" s="66">
        <v>25000</v>
      </c>
      <c r="BX45" s="66">
        <v>25000</v>
      </c>
      <c r="BY45" s="66"/>
      <c r="BZ45" s="66"/>
      <c r="CA45" s="66"/>
      <c r="CB45" s="66">
        <v>32000</v>
      </c>
      <c r="CC45" s="66"/>
      <c r="CD45" s="66">
        <v>25000</v>
      </c>
      <c r="CE45" s="66">
        <v>25000</v>
      </c>
      <c r="CF45" s="66"/>
      <c r="CG45" s="66"/>
      <c r="CH45" s="66"/>
      <c r="CI45" s="66"/>
      <c r="CJ45" s="66"/>
      <c r="CK45" s="95"/>
      <c r="CL45" s="66"/>
      <c r="CM45" s="66"/>
      <c r="CN45" s="66"/>
      <c r="CO45" s="66"/>
      <c r="CP45" s="66"/>
      <c r="CQ45" s="66"/>
      <c r="CR45" s="66"/>
      <c r="CS45" s="66"/>
      <c r="CT45" s="66"/>
      <c r="CU45" s="66"/>
      <c r="CV45" s="66"/>
      <c r="CW45" s="73"/>
      <c r="CX45" s="73"/>
      <c r="CY45" s="73"/>
      <c r="CZ45" s="66"/>
      <c r="DA45" s="66"/>
      <c r="DB45" s="66"/>
      <c r="DC45" s="66"/>
      <c r="DD45" s="66"/>
      <c r="DE45" s="66"/>
      <c r="DF45" s="66"/>
      <c r="DG45" s="66"/>
      <c r="DH45" s="66"/>
      <c r="DI45" s="66"/>
      <c r="DJ45" s="66"/>
      <c r="DK45" s="66"/>
      <c r="DL45" s="66"/>
      <c r="DM45" s="66"/>
      <c r="DN45" s="66"/>
      <c r="DO45" s="73"/>
      <c r="DP45" s="73"/>
      <c r="DQ45" s="73"/>
      <c r="DV45" s="149"/>
      <c r="DY45" s="149"/>
    </row>
    <row r="46" spans="1:129" ht="16.5" customHeight="1">
      <c r="A46" s="71" t="s">
        <v>2571</v>
      </c>
      <c r="B46" s="66"/>
      <c r="C46" s="66"/>
      <c r="D46" s="66"/>
      <c r="E46" s="66"/>
      <c r="F46" s="66"/>
      <c r="G46" s="66"/>
      <c r="H46" s="66"/>
      <c r="I46" s="66"/>
      <c r="J46" s="66"/>
      <c r="K46" s="66"/>
      <c r="L46" s="66"/>
      <c r="M46" s="66"/>
      <c r="N46" s="66"/>
      <c r="O46" s="66"/>
      <c r="P46" s="66"/>
      <c r="Q46" s="66"/>
      <c r="R46" s="66"/>
      <c r="S46" s="66"/>
      <c r="T46" s="66"/>
      <c r="U46" s="66"/>
      <c r="V46" s="66"/>
      <c r="W46" s="66"/>
      <c r="X46" s="66"/>
      <c r="Y46" s="66"/>
      <c r="Z46" s="66">
        <v>30000</v>
      </c>
      <c r="AA46" s="66"/>
      <c r="AB46" s="66"/>
      <c r="AC46" s="66"/>
      <c r="AD46" s="66"/>
      <c r="AE46" s="66"/>
      <c r="AF46" s="66"/>
      <c r="AG46" s="66"/>
      <c r="AH46" s="66"/>
      <c r="AI46" s="95"/>
      <c r="AJ46" s="223"/>
      <c r="AK46" s="66"/>
      <c r="AL46" s="66"/>
      <c r="AM46" s="66"/>
      <c r="AN46" s="66"/>
      <c r="AO46" s="66"/>
      <c r="AP46" s="66"/>
      <c r="AQ46" s="66"/>
      <c r="AR46" s="66"/>
      <c r="AS46" s="66"/>
      <c r="AT46" s="66"/>
      <c r="AU46" s="223"/>
      <c r="AV46" s="223"/>
      <c r="AW46" s="66"/>
      <c r="AX46" s="66"/>
      <c r="AY46" s="66"/>
      <c r="AZ46" s="66"/>
      <c r="BA46" s="223"/>
      <c r="BB46" s="223"/>
      <c r="BC46" s="223"/>
      <c r="BD46" s="66"/>
      <c r="BE46" s="66"/>
      <c r="BF46" s="223"/>
      <c r="BG46" s="66"/>
      <c r="BH46" s="66"/>
      <c r="BI46" s="223"/>
      <c r="BJ46" s="66"/>
      <c r="BK46" s="66"/>
      <c r="BL46" s="66"/>
      <c r="BM46" s="66"/>
      <c r="BN46" s="66"/>
      <c r="BO46" s="66"/>
      <c r="BP46" s="66"/>
      <c r="BQ46" s="66"/>
      <c r="BR46" s="66"/>
      <c r="BS46" s="66"/>
      <c r="BT46" s="66"/>
      <c r="BU46" s="66"/>
      <c r="BV46" s="66"/>
      <c r="BW46" s="66"/>
      <c r="BX46" s="66"/>
      <c r="BY46" s="66"/>
      <c r="BZ46" s="66"/>
      <c r="CA46" s="66"/>
      <c r="CB46" s="66"/>
      <c r="CC46" s="66">
        <v>25000</v>
      </c>
      <c r="CD46" s="66">
        <v>25000</v>
      </c>
      <c r="CE46" s="66">
        <v>25000</v>
      </c>
      <c r="CF46" s="66">
        <v>19700</v>
      </c>
      <c r="CG46" s="66">
        <v>25000</v>
      </c>
      <c r="CH46" s="66">
        <v>25000</v>
      </c>
      <c r="CI46" s="66">
        <v>25000</v>
      </c>
      <c r="CJ46" s="66">
        <v>25000</v>
      </c>
      <c r="CK46" s="66">
        <v>25000</v>
      </c>
      <c r="CL46" s="66">
        <v>36600</v>
      </c>
      <c r="CM46" s="66">
        <v>36000</v>
      </c>
      <c r="CN46" s="66">
        <v>35000</v>
      </c>
      <c r="CO46" s="66"/>
      <c r="CP46" s="66"/>
      <c r="CQ46" s="66">
        <v>36000</v>
      </c>
      <c r="CR46" s="66">
        <v>36000</v>
      </c>
      <c r="CS46" s="66">
        <v>36000</v>
      </c>
      <c r="CT46" s="66">
        <v>36000</v>
      </c>
      <c r="CU46" s="66">
        <v>36000</v>
      </c>
      <c r="CV46" s="66">
        <v>36000</v>
      </c>
      <c r="CW46" s="66">
        <v>35000</v>
      </c>
      <c r="CX46" s="66">
        <v>35000</v>
      </c>
      <c r="CY46" s="76">
        <v>35000</v>
      </c>
      <c r="CZ46" s="66"/>
      <c r="DA46" s="66">
        <v>37100</v>
      </c>
      <c r="DB46" s="66">
        <v>35000</v>
      </c>
      <c r="DC46" s="66">
        <v>35000</v>
      </c>
      <c r="DD46" s="66">
        <v>33400</v>
      </c>
      <c r="DE46" s="66">
        <v>35000</v>
      </c>
      <c r="DF46" s="66">
        <v>40000</v>
      </c>
      <c r="DG46" s="66">
        <v>40000</v>
      </c>
      <c r="DH46" s="66">
        <v>30000</v>
      </c>
      <c r="DI46" s="66">
        <v>30000</v>
      </c>
      <c r="DJ46" s="76">
        <v>30000</v>
      </c>
      <c r="DK46" s="66">
        <v>35000</v>
      </c>
      <c r="DL46" s="66">
        <v>35000</v>
      </c>
      <c r="DM46" s="66">
        <v>35000</v>
      </c>
      <c r="DN46" s="66">
        <v>35000</v>
      </c>
      <c r="DO46" s="66">
        <v>35000</v>
      </c>
      <c r="DP46" s="66">
        <v>35000</v>
      </c>
      <c r="DQ46" s="66">
        <v>35000</v>
      </c>
      <c r="DV46" s="149"/>
      <c r="DY46" s="149"/>
    </row>
    <row r="47" spans="1:129" ht="16.5" customHeight="1">
      <c r="A47" s="71" t="s">
        <v>2574</v>
      </c>
      <c r="B47" s="66"/>
      <c r="C47" s="66"/>
      <c r="D47" s="66"/>
      <c r="E47" s="66"/>
      <c r="F47" s="66"/>
      <c r="G47" s="66"/>
      <c r="H47" s="66"/>
      <c r="I47" s="66"/>
      <c r="J47" s="66"/>
      <c r="K47" s="66"/>
      <c r="L47" s="66"/>
      <c r="M47" s="66"/>
      <c r="N47" s="66"/>
      <c r="O47" s="66"/>
      <c r="P47" s="66"/>
      <c r="Q47" s="66"/>
      <c r="R47" s="66"/>
      <c r="S47" s="66"/>
      <c r="T47" s="66"/>
      <c r="U47" s="66"/>
      <c r="V47" s="66"/>
      <c r="W47" s="66"/>
      <c r="X47" s="66"/>
      <c r="Y47" s="66"/>
      <c r="Z47" s="66"/>
      <c r="AA47" s="66"/>
      <c r="AB47" s="66"/>
      <c r="AC47" s="66"/>
      <c r="AD47" s="66">
        <v>25000</v>
      </c>
      <c r="AE47" s="66">
        <v>13100</v>
      </c>
      <c r="AF47" s="66">
        <v>20000</v>
      </c>
      <c r="AG47" s="66">
        <v>16400</v>
      </c>
      <c r="AH47" s="66">
        <v>16400</v>
      </c>
      <c r="AI47" s="66"/>
      <c r="AJ47" s="223"/>
      <c r="AK47" s="66">
        <v>30000</v>
      </c>
      <c r="AL47" s="66">
        <v>25000</v>
      </c>
      <c r="AM47" s="66"/>
      <c r="AN47" s="66">
        <v>25000</v>
      </c>
      <c r="AO47" s="66"/>
      <c r="AP47" s="66"/>
      <c r="AQ47" s="66"/>
      <c r="AR47" s="66"/>
      <c r="AS47" s="66"/>
      <c r="AT47" s="66"/>
      <c r="AU47" s="114"/>
      <c r="AV47" s="114"/>
      <c r="AW47" s="66"/>
      <c r="AX47" s="66"/>
      <c r="AY47" s="66"/>
      <c r="AZ47" s="66"/>
      <c r="BA47" s="223"/>
      <c r="BB47" s="223"/>
      <c r="BC47" s="223"/>
      <c r="BD47" s="66"/>
      <c r="BE47" s="66"/>
      <c r="BF47" s="223"/>
      <c r="BG47" s="66"/>
      <c r="BH47" s="66"/>
      <c r="BI47" s="223"/>
      <c r="BJ47" s="66"/>
      <c r="BK47" s="66">
        <v>35000</v>
      </c>
      <c r="BL47" s="66">
        <v>35000</v>
      </c>
      <c r="BM47" s="66">
        <v>35000</v>
      </c>
      <c r="BN47" s="66"/>
      <c r="BO47" s="66">
        <v>35000</v>
      </c>
      <c r="BP47" s="66"/>
      <c r="BQ47" s="66">
        <v>18500</v>
      </c>
      <c r="BR47" s="66"/>
      <c r="BS47" s="66">
        <v>25000</v>
      </c>
      <c r="BT47" s="66">
        <v>25000</v>
      </c>
      <c r="BU47" s="66">
        <v>27000</v>
      </c>
      <c r="BV47" s="66"/>
      <c r="BW47" s="66"/>
      <c r="BX47" s="66"/>
      <c r="BY47" s="66">
        <v>30000</v>
      </c>
      <c r="BZ47" s="66">
        <v>30000</v>
      </c>
      <c r="CA47" s="66">
        <v>30000</v>
      </c>
      <c r="CB47" s="66">
        <v>30000</v>
      </c>
      <c r="CC47" s="66"/>
      <c r="CD47" s="66"/>
      <c r="CE47" s="66"/>
      <c r="CF47" s="66"/>
      <c r="CG47" s="66"/>
      <c r="CH47" s="66"/>
      <c r="CI47" s="66"/>
      <c r="CJ47" s="66"/>
      <c r="CK47" s="66"/>
      <c r="CL47" s="66"/>
      <c r="CM47" s="66"/>
      <c r="CN47" s="66"/>
      <c r="CO47" s="66">
        <v>41100</v>
      </c>
      <c r="CP47" s="66">
        <v>41100</v>
      </c>
      <c r="CQ47" s="66"/>
      <c r="CR47" s="66"/>
      <c r="CS47" s="66"/>
      <c r="CT47" s="66"/>
      <c r="CU47" s="66"/>
      <c r="CV47" s="66"/>
      <c r="CW47" s="73">
        <v>41000</v>
      </c>
      <c r="CX47" s="73">
        <v>41000</v>
      </c>
      <c r="CY47" s="73"/>
      <c r="CZ47" s="66">
        <v>43100</v>
      </c>
      <c r="DA47" s="66"/>
      <c r="DB47" s="66"/>
      <c r="DC47" s="66"/>
      <c r="DD47" s="66"/>
      <c r="DE47" s="66"/>
      <c r="DF47" s="66"/>
      <c r="DG47" s="66"/>
      <c r="DH47" s="66"/>
      <c r="DI47" s="66"/>
      <c r="DJ47" s="66"/>
      <c r="DK47" s="66"/>
      <c r="DL47" s="66"/>
      <c r="DM47" s="66"/>
      <c r="DN47" s="66"/>
      <c r="DO47" s="73"/>
      <c r="DP47" s="73"/>
      <c r="DQ47" s="73"/>
      <c r="DV47" s="149"/>
      <c r="DY47" s="149"/>
    </row>
    <row r="48" spans="1:129" ht="16.5" customHeight="1">
      <c r="A48" s="71" t="s">
        <v>2575</v>
      </c>
      <c r="AU48" s="71"/>
      <c r="AV48" s="71"/>
      <c r="CL48" s="66">
        <v>36600</v>
      </c>
      <c r="CM48" s="66">
        <v>36000</v>
      </c>
      <c r="CN48" s="66">
        <v>35000</v>
      </c>
      <c r="CO48" s="66">
        <v>41100</v>
      </c>
      <c r="CP48" s="66">
        <v>41100</v>
      </c>
      <c r="CQ48" s="66">
        <v>36000</v>
      </c>
      <c r="CR48" s="66">
        <v>36000</v>
      </c>
      <c r="CS48" s="66">
        <v>36000</v>
      </c>
      <c r="CT48" s="66">
        <v>36000</v>
      </c>
      <c r="CU48" s="66">
        <v>36000</v>
      </c>
      <c r="CV48" s="66">
        <v>36000</v>
      </c>
      <c r="CW48" s="66">
        <v>35000</v>
      </c>
      <c r="CX48" s="66">
        <v>35000</v>
      </c>
      <c r="CY48" s="76">
        <v>35000</v>
      </c>
      <c r="CZ48" s="73">
        <v>41000</v>
      </c>
      <c r="DA48" s="66">
        <v>37100</v>
      </c>
      <c r="DB48" s="66">
        <v>35000</v>
      </c>
      <c r="DC48" s="66">
        <v>35000</v>
      </c>
      <c r="DD48" s="66">
        <v>33400</v>
      </c>
      <c r="DE48" s="66">
        <v>35000</v>
      </c>
      <c r="DF48" s="66">
        <v>40000</v>
      </c>
      <c r="DG48" s="66">
        <v>40000</v>
      </c>
      <c r="DH48" s="66">
        <v>30000</v>
      </c>
      <c r="DI48" s="66">
        <v>30000</v>
      </c>
      <c r="DJ48" s="76">
        <v>30000</v>
      </c>
      <c r="DK48" s="66">
        <v>35000</v>
      </c>
      <c r="DL48" s="66">
        <v>35000</v>
      </c>
      <c r="DM48" s="66">
        <v>35000</v>
      </c>
      <c r="DN48" s="66">
        <v>35000</v>
      </c>
      <c r="DO48" s="66">
        <v>35000</v>
      </c>
      <c r="DP48" s="66">
        <v>35000</v>
      </c>
      <c r="DQ48" s="66">
        <v>35000</v>
      </c>
      <c r="DV48" s="149"/>
      <c r="DY48" s="149"/>
    </row>
    <row r="49" spans="1:129">
      <c r="A49" s="71" t="s">
        <v>2576</v>
      </c>
      <c r="CL49" s="225">
        <f>IF(CL37&lt;4, (0.6888607+((-0.000008477)*CL48)+((-0.00000000018)*(CL48^2))+((0.000000000000001025)*(CL48^3))), (0.3627433+((-0.0000008825)*CL48)+((-0.000000000128)*(CL48^2))+((0.0000000000000005746)*(CL48^3))))</f>
        <v>0.1871515490416</v>
      </c>
      <c r="CM49" s="225">
        <f t="shared" ref="CM49:DP49" si="128">IF(CM37&lt;4, (0.6888607+((-0.000008477)*CM48)+((-0.00000000018)*(CM48^2))+((0.000000000000001025)*(CM48^3))), (0.3627433+((-0.0000008825)*CM48)+((-0.000000000128)*(CM48^2))+((0.0000000000000005746)*(CM48^3))))</f>
        <v>0.19189383759999995</v>
      </c>
      <c r="CN49" s="225">
        <f>(0.3627433+((-0.0000008825)*CN48)+((-0.000000000128)*(CN48^2))+((0.0000000000000005746)*(CN48^3)))</f>
        <v>0.19969177499999999</v>
      </c>
      <c r="CO49" s="225">
        <f t="shared" si="128"/>
        <v>0.15014615471259996</v>
      </c>
      <c r="CP49" s="225">
        <f t="shared" si="128"/>
        <v>0.15014615471259996</v>
      </c>
      <c r="CQ49" s="225">
        <f t="shared" si="128"/>
        <v>0.19189383759999995</v>
      </c>
      <c r="CR49" s="225">
        <f t="shared" si="128"/>
        <v>0.19189383759999995</v>
      </c>
      <c r="CS49" s="225">
        <f t="shared" si="128"/>
        <v>0.19189383759999995</v>
      </c>
      <c r="CT49" s="225">
        <f t="shared" si="128"/>
        <v>0.19189383759999995</v>
      </c>
      <c r="CU49" s="225">
        <f t="shared" si="128"/>
        <v>0.19189383759999995</v>
      </c>
      <c r="CV49" s="225">
        <f t="shared" si="128"/>
        <v>0.19189383759999995</v>
      </c>
      <c r="CW49" s="225">
        <f t="shared" si="128"/>
        <v>0.19969177499999999</v>
      </c>
      <c r="CX49" s="225">
        <f t="shared" si="128"/>
        <v>0.19969177499999999</v>
      </c>
      <c r="CY49" s="225">
        <f t="shared" si="128"/>
        <v>0.19969177499999999</v>
      </c>
      <c r="CZ49" s="225">
        <f>(0.3627433+((-0.0000008825)*CZ48)+((-0.000000000128)*(CZ48^2))+((0.0000000000000005746)*(CZ48^3)))</f>
        <v>0.15099480659999998</v>
      </c>
      <c r="DA49" s="225">
        <f t="shared" si="128"/>
        <v>0.18316391040060001</v>
      </c>
      <c r="DB49" s="225">
        <f t="shared" si="128"/>
        <v>0.19969177499999999</v>
      </c>
      <c r="DC49" s="225">
        <f>(0.3627433+((-0.0000008825)*DC48)+((-0.000000000128)*(DC48^2))+((0.0000000000000005746)*(DC48^3)))</f>
        <v>0.19969177499999999</v>
      </c>
      <c r="DD49" s="225">
        <f t="shared" si="128"/>
        <v>0.2118855459184</v>
      </c>
      <c r="DE49" s="225">
        <f>(0.3627433+((-0.0000008825)*DE48)+((-0.000000000128)*(DE48^2))+((0.0000000000000005746)*(DE48^3)))</f>
        <v>0.19969177499999999</v>
      </c>
      <c r="DF49" s="225">
        <f>(0.3627433+((-0.0000008825)*DF48)+((-0.000000000128)*(DF48^2))+((0.0000000000000005746)*(DF48^3)))</f>
        <v>0.1594177</v>
      </c>
      <c r="DG49" s="225">
        <f>(0.3627433+((-0.0000008825)*DG48)+((-0.000000000128)*(DG48^2))+((0.0000000000000005746)*(DG48^3)))</f>
        <v>0.1594177</v>
      </c>
      <c r="DH49" s="225">
        <f t="shared" si="128"/>
        <v>0.23658249999999997</v>
      </c>
      <c r="DI49" s="225">
        <f t="shared" si="128"/>
        <v>0.23658249999999997</v>
      </c>
      <c r="DJ49" s="225">
        <f t="shared" si="128"/>
        <v>0.23658249999999997</v>
      </c>
      <c r="DK49" s="225">
        <f t="shared" si="128"/>
        <v>0.19969177499999999</v>
      </c>
      <c r="DL49" s="225">
        <f t="shared" si="128"/>
        <v>0.19969177499999999</v>
      </c>
      <c r="DM49" s="225">
        <f t="shared" si="128"/>
        <v>0.19969177499999999</v>
      </c>
      <c r="DN49" s="225">
        <f>(0.3627433+((-0.0000008825)*DN48)+((-0.000000000128)*(DN48^2))+((0.0000000000000005746)*(DN48^3)))</f>
        <v>0.19969177499999999</v>
      </c>
      <c r="DO49" s="225">
        <f t="shared" si="128"/>
        <v>0.19969177499999999</v>
      </c>
      <c r="DP49" s="225">
        <f t="shared" si="128"/>
        <v>0.19969177499999999</v>
      </c>
      <c r="DQ49" s="225">
        <f>(0.3627433+((-0.0000008825)*DQ48)+((-0.000000000128)*(DQ48^2))+((0.0000000000000005746)*(DQ48^3)))</f>
        <v>0.19969177499999999</v>
      </c>
    </row>
    <row r="50" spans="1:129">
      <c r="A50" s="71" t="s">
        <v>2577</v>
      </c>
      <c r="CL50" s="71">
        <f>CL27*CL49</f>
        <v>133.13961198819425</v>
      </c>
      <c r="CM50" s="71">
        <f t="shared" ref="CM50:DQ50" si="129">CM27*CM49</f>
        <v>163.34003456511996</v>
      </c>
      <c r="CN50" s="71">
        <f t="shared" si="129"/>
        <v>175.64888528999998</v>
      </c>
      <c r="CO50" s="71">
        <f t="shared" si="129"/>
        <v>141.6178531249243</v>
      </c>
      <c r="CP50" s="71">
        <f t="shared" si="129"/>
        <v>135.12553339515145</v>
      </c>
      <c r="CQ50" s="71">
        <f t="shared" si="129"/>
        <v>106.52410712851197</v>
      </c>
      <c r="CR50" s="71">
        <f t="shared" si="129"/>
        <v>110.96836840732797</v>
      </c>
      <c r="CS50" s="71">
        <f t="shared" si="129"/>
        <v>116.09577174799998</v>
      </c>
      <c r="CT50" s="71">
        <f t="shared" si="129"/>
        <v>116.09577174799998</v>
      </c>
      <c r="CU50" s="71">
        <f t="shared" si="129"/>
        <v>110.96836840732797</v>
      </c>
      <c r="CV50" s="71">
        <f t="shared" si="129"/>
        <v>106.52410712851197</v>
      </c>
      <c r="CW50" s="71">
        <f t="shared" si="129"/>
        <v>203.12647353</v>
      </c>
      <c r="CX50" s="71">
        <f t="shared" si="129"/>
        <v>201.52893932999999</v>
      </c>
      <c r="CY50" s="71">
        <f t="shared" si="129"/>
        <v>206.0875031697</v>
      </c>
      <c r="CZ50" s="71">
        <f t="shared" si="129"/>
        <v>96.697074146639977</v>
      </c>
      <c r="DA50" s="71">
        <f t="shared" si="129"/>
        <v>85.024687207958522</v>
      </c>
      <c r="DB50" s="71">
        <f t="shared" si="129"/>
        <v>110.14998308999999</v>
      </c>
      <c r="DC50" s="71">
        <f t="shared" si="129"/>
        <v>106.64738935649999</v>
      </c>
      <c r="DD50" s="71">
        <f t="shared" si="129"/>
        <v>116.87606712858944</v>
      </c>
      <c r="DE50" s="71">
        <f t="shared" si="129"/>
        <v>111.90727070999999</v>
      </c>
      <c r="DF50" s="71">
        <f t="shared" si="129"/>
        <v>119.4038573</v>
      </c>
      <c r="DG50" s="71">
        <f t="shared" si="129"/>
        <v>137.57747509999999</v>
      </c>
      <c r="DH50" s="71">
        <f t="shared" si="129"/>
        <v>144.43361624999997</v>
      </c>
      <c r="DI50" s="71">
        <f t="shared" si="129"/>
        <v>129.457944</v>
      </c>
      <c r="DJ50" s="71">
        <f t="shared" si="129"/>
        <v>160.970733</v>
      </c>
      <c r="DK50" s="71">
        <f t="shared" si="129"/>
        <v>139.88408838749999</v>
      </c>
      <c r="DL50" s="71">
        <f t="shared" si="129"/>
        <v>123.40951695</v>
      </c>
      <c r="DM50" s="71">
        <f t="shared" si="129"/>
        <v>141.38177669999999</v>
      </c>
      <c r="DN50" s="71">
        <f t="shared" si="129"/>
        <v>248.73607493999998</v>
      </c>
      <c r="DO50" s="71">
        <f t="shared" si="129"/>
        <v>220.29996617999998</v>
      </c>
      <c r="DP50" s="71">
        <f t="shared" si="129"/>
        <v>215.34761016000002</v>
      </c>
      <c r="DQ50" s="71">
        <f t="shared" si="129"/>
        <v>213.27081569999999</v>
      </c>
      <c r="DV50" s="149"/>
      <c r="DY50" s="149"/>
    </row>
    <row r="51" spans="1:129">
      <c r="A51" s="71" t="s">
        <v>2578</v>
      </c>
      <c r="B51" s="71">
        <f t="shared" ref="B51:AG51" si="130">B30</f>
        <v>8.1000000000000003E-2</v>
      </c>
      <c r="C51" s="71">
        <f t="shared" si="130"/>
        <v>8.1000000000000003E-2</v>
      </c>
      <c r="D51" s="71">
        <f t="shared" si="130"/>
        <v>8.7000000000000008E-2</v>
      </c>
      <c r="E51" s="71">
        <f t="shared" si="130"/>
        <v>8.9249999999999996E-2</v>
      </c>
      <c r="F51" s="71">
        <f t="shared" si="130"/>
        <v>8.9485458612975396E-2</v>
      </c>
      <c r="G51" s="71">
        <f t="shared" si="130"/>
        <v>0.17325000000000002</v>
      </c>
      <c r="H51" s="71">
        <f t="shared" si="130"/>
        <v>0.27964205816554799</v>
      </c>
      <c r="I51" s="71">
        <f t="shared" si="130"/>
        <v>8.4000000000000005E-2</v>
      </c>
      <c r="J51" s="71">
        <f t="shared" si="130"/>
        <v>8.4000000000000005E-2</v>
      </c>
      <c r="K51" s="71">
        <f t="shared" si="130"/>
        <v>5.6249999999999994E-2</v>
      </c>
      <c r="L51" s="71">
        <f t="shared" si="130"/>
        <v>5.6249999999999994E-2</v>
      </c>
      <c r="M51" s="71">
        <f t="shared" si="130"/>
        <v>0.15975</v>
      </c>
      <c r="N51" s="71">
        <f t="shared" si="130"/>
        <v>0.33524999999999999</v>
      </c>
      <c r="O51" s="71">
        <f t="shared" si="130"/>
        <v>0.129</v>
      </c>
      <c r="P51" s="71">
        <f t="shared" si="130"/>
        <v>0.29082774049216953</v>
      </c>
      <c r="Q51" s="71">
        <f t="shared" si="130"/>
        <v>0.33600000000000002</v>
      </c>
      <c r="R51" s="71">
        <f t="shared" si="130"/>
        <v>0.23549999999999999</v>
      </c>
      <c r="S51" s="71">
        <f t="shared" si="130"/>
        <v>0.23549999999999999</v>
      </c>
      <c r="T51" s="71">
        <f t="shared" si="130"/>
        <v>0.16778523489932884</v>
      </c>
      <c r="U51" s="71">
        <f t="shared" si="130"/>
        <v>0.16778523489932884</v>
      </c>
      <c r="V51" s="71">
        <f t="shared" si="130"/>
        <v>0.16778523489932884</v>
      </c>
      <c r="W51" s="71">
        <f t="shared" si="130"/>
        <v>0.17337807606263983</v>
      </c>
      <c r="X51" s="71">
        <f t="shared" si="130"/>
        <v>0.12863534675615212</v>
      </c>
      <c r="Y51" s="71">
        <f t="shared" si="130"/>
        <v>5.6249999999999994E-2</v>
      </c>
      <c r="Z51" s="71">
        <f t="shared" si="130"/>
        <v>0.504</v>
      </c>
      <c r="AA51" s="71">
        <f t="shared" si="130"/>
        <v>8.9485458612975396E-2</v>
      </c>
      <c r="AB51" s="71">
        <f t="shared" si="130"/>
        <v>0.11185682326621925</v>
      </c>
      <c r="AC51" s="71">
        <f t="shared" si="130"/>
        <v>0.17337807606263983</v>
      </c>
      <c r="AD51" s="71">
        <f t="shared" si="130"/>
        <v>0.1761744966442953</v>
      </c>
      <c r="AE51" s="71">
        <f t="shared" si="130"/>
        <v>6.9910514541387025E-2</v>
      </c>
      <c r="AF51" s="71">
        <f t="shared" si="130"/>
        <v>0.16778523489932884</v>
      </c>
      <c r="AG51" s="71">
        <f t="shared" si="130"/>
        <v>9.375E-2</v>
      </c>
      <c r="AH51" s="71">
        <f t="shared" ref="AH51:BM51" si="131">AH30</f>
        <v>0.10067114093959731</v>
      </c>
      <c r="AI51" s="71">
        <f t="shared" si="131"/>
        <v>5.6249999999999994E-2</v>
      </c>
      <c r="AJ51" s="71">
        <f t="shared" si="131"/>
        <v>3.6000000000000004E-2</v>
      </c>
      <c r="AK51" s="71">
        <f t="shared" si="131"/>
        <v>0.67114093959731536</v>
      </c>
      <c r="AL51" s="71">
        <f t="shared" si="131"/>
        <v>0.19574944071588365</v>
      </c>
      <c r="AM51" s="71">
        <f t="shared" si="131"/>
        <v>0.11185682326621925</v>
      </c>
      <c r="AN51" s="71">
        <f t="shared" si="131"/>
        <v>0.44924999999999998</v>
      </c>
      <c r="AO51" s="71">
        <f t="shared" si="131"/>
        <v>0.17899999999999999</v>
      </c>
      <c r="AP51" s="71">
        <f t="shared" si="131"/>
        <v>8.9249999999999996E-2</v>
      </c>
      <c r="AQ51" s="71">
        <f t="shared" si="131"/>
        <v>8.4000000000000005E-2</v>
      </c>
      <c r="AR51" s="71">
        <f t="shared" si="131"/>
        <v>0.10067114093959731</v>
      </c>
      <c r="AS51" s="71">
        <f t="shared" si="131"/>
        <v>0.16778523489932884</v>
      </c>
      <c r="AT51" s="71">
        <f t="shared" si="131"/>
        <v>0.16778523489932884</v>
      </c>
      <c r="AU51" s="71">
        <f t="shared" si="131"/>
        <v>0</v>
      </c>
      <c r="AV51" s="71">
        <f t="shared" si="131"/>
        <v>0</v>
      </c>
      <c r="AW51" s="71">
        <f t="shared" si="131"/>
        <v>0.27900000000000003</v>
      </c>
      <c r="AX51" s="71">
        <f t="shared" si="131"/>
        <v>0.19370000000000001</v>
      </c>
      <c r="AY51" s="71">
        <f t="shared" si="131"/>
        <v>0.14400000000000002</v>
      </c>
      <c r="AZ51" s="71">
        <f t="shared" si="131"/>
        <v>0.27975</v>
      </c>
      <c r="BA51" s="71">
        <f t="shared" si="131"/>
        <v>0.47539149888143173</v>
      </c>
      <c r="BB51" s="71">
        <f t="shared" si="131"/>
        <v>0.14740000000000003</v>
      </c>
      <c r="BC51" s="71">
        <f t="shared" si="131"/>
        <v>0.14740000000000003</v>
      </c>
      <c r="BD51" s="71">
        <f t="shared" si="131"/>
        <v>0.19800000000000001</v>
      </c>
      <c r="BE51" s="71">
        <f t="shared" si="131"/>
        <v>0.83850000000000002</v>
      </c>
      <c r="BF51" s="71">
        <f t="shared" si="131"/>
        <v>0.88349999999999995</v>
      </c>
      <c r="BG51" s="71">
        <f t="shared" si="131"/>
        <v>1.3425</v>
      </c>
      <c r="BH51" s="71">
        <f t="shared" si="131"/>
        <v>0.33557046979865701</v>
      </c>
      <c r="BI51" s="71">
        <f t="shared" si="131"/>
        <v>0.44772557792692019</v>
      </c>
      <c r="BJ51" s="71">
        <f t="shared" si="131"/>
        <v>6.4317673378076062E-2</v>
      </c>
      <c r="BK51" s="71">
        <f t="shared" si="131"/>
        <v>1.1745000000000001</v>
      </c>
      <c r="BL51" s="71">
        <f t="shared" si="131"/>
        <v>1.1745000000000001</v>
      </c>
      <c r="BM51" s="71">
        <f t="shared" si="131"/>
        <v>0.95100000000000007</v>
      </c>
      <c r="BN51" s="71">
        <f t="shared" ref="BN51:CK51" si="132">BN30</f>
        <v>0.95100000000000007</v>
      </c>
      <c r="BO51" s="71">
        <f t="shared" si="132"/>
        <v>1.1745000000000001</v>
      </c>
      <c r="BP51" s="71">
        <f t="shared" si="132"/>
        <v>1.3422818791946309</v>
      </c>
      <c r="BQ51" s="71">
        <f t="shared" si="132"/>
        <v>0.16800000000000001</v>
      </c>
      <c r="BR51" s="71">
        <f t="shared" si="132"/>
        <v>1.9790998078087563</v>
      </c>
      <c r="BS51" s="71">
        <f t="shared" si="132"/>
        <v>0</v>
      </c>
      <c r="BT51" s="71">
        <f t="shared" si="132"/>
        <v>0</v>
      </c>
      <c r="BU51" s="71">
        <f t="shared" si="132"/>
        <v>0</v>
      </c>
      <c r="BV51" s="71">
        <f t="shared" si="132"/>
        <v>0</v>
      </c>
      <c r="BW51" s="71">
        <f t="shared" si="132"/>
        <v>0</v>
      </c>
      <c r="BX51" s="71">
        <f t="shared" si="132"/>
        <v>0</v>
      </c>
      <c r="BY51" s="71">
        <f t="shared" si="132"/>
        <v>0</v>
      </c>
      <c r="BZ51" s="71">
        <f t="shared" si="132"/>
        <v>0</v>
      </c>
      <c r="CA51" s="71">
        <f t="shared" si="132"/>
        <v>0</v>
      </c>
      <c r="CB51" s="71">
        <f t="shared" si="132"/>
        <v>0</v>
      </c>
      <c r="CC51" s="71">
        <f t="shared" si="132"/>
        <v>3.18</v>
      </c>
      <c r="CD51" s="71">
        <f t="shared" si="132"/>
        <v>2.42</v>
      </c>
      <c r="CE51" s="71">
        <f t="shared" si="132"/>
        <v>2.54</v>
      </c>
      <c r="CF51" s="71">
        <f t="shared" si="132"/>
        <v>3.18</v>
      </c>
      <c r="CG51" s="71">
        <f t="shared" si="132"/>
        <v>2.54</v>
      </c>
      <c r="CH51" s="71">
        <f t="shared" si="132"/>
        <v>3.18</v>
      </c>
      <c r="CI51" s="71">
        <f t="shared" si="132"/>
        <v>3.18</v>
      </c>
      <c r="CJ51" s="71">
        <f t="shared" si="132"/>
        <v>3.1160000000000001</v>
      </c>
      <c r="CK51" s="71">
        <f t="shared" si="132"/>
        <v>3.18</v>
      </c>
      <c r="CL51" s="71">
        <f>(1/(10^6))*(1000*CL50)*(CL14)</f>
        <v>33.284902997048562</v>
      </c>
      <c r="CM51" s="71">
        <f t="shared" ref="CM51:DQ51" si="133">(1/(10^6))*(1000*CM50)*(CM14)</f>
        <v>40.835008641279991</v>
      </c>
      <c r="CN51" s="71">
        <f t="shared" si="133"/>
        <v>43.912221322499995</v>
      </c>
      <c r="CO51" s="71">
        <f t="shared" si="133"/>
        <v>35.011080355884062</v>
      </c>
      <c r="CP51" s="71">
        <f t="shared" si="133"/>
        <v>31.829570088635677</v>
      </c>
      <c r="CQ51" s="71">
        <f t="shared" si="133"/>
        <v>26.852360204717233</v>
      </c>
      <c r="CR51" s="71">
        <f t="shared" si="133"/>
        <v>27.972659711744999</v>
      </c>
      <c r="CS51" s="71">
        <f t="shared" si="133"/>
        <v>29.265164151631947</v>
      </c>
      <c r="CT51" s="71">
        <f t="shared" si="133"/>
        <v>29.265164151631947</v>
      </c>
      <c r="CU51" s="71">
        <f t="shared" si="133"/>
        <v>27.972659711744999</v>
      </c>
      <c r="CV51" s="71">
        <f t="shared" si="133"/>
        <v>26.852360204717233</v>
      </c>
      <c r="CW51" s="71">
        <f t="shared" si="133"/>
        <v>51.345858586749998</v>
      </c>
      <c r="CX51" s="71">
        <f t="shared" si="133"/>
        <v>50.942037441749996</v>
      </c>
      <c r="CY51" s="71">
        <f t="shared" si="133"/>
        <v>52.094341079007499</v>
      </c>
      <c r="CZ51" s="71">
        <f t="shared" si="133"/>
        <v>23.502761077308325</v>
      </c>
      <c r="DA51" s="71">
        <f t="shared" si="133"/>
        <v>20.122509305883515</v>
      </c>
      <c r="DB51" s="71">
        <f t="shared" si="133"/>
        <v>26.068829331299995</v>
      </c>
      <c r="DC51" s="71">
        <f t="shared" si="133"/>
        <v>25.239882147704993</v>
      </c>
      <c r="DD51" s="71">
        <f t="shared" si="133"/>
        <v>27.658071974496643</v>
      </c>
      <c r="DE51" s="71">
        <f t="shared" si="133"/>
        <v>26.482233906462</v>
      </c>
      <c r="DF51" s="71">
        <f t="shared" si="133"/>
        <v>30.049970753833332</v>
      </c>
      <c r="DG51" s="71">
        <f t="shared" si="133"/>
        <v>34.623664566833327</v>
      </c>
      <c r="DH51" s="71">
        <f t="shared" si="133"/>
        <v>36.429367654166654</v>
      </c>
      <c r="DI51" s="71">
        <f t="shared" si="133"/>
        <v>32.652170319999996</v>
      </c>
      <c r="DJ51" s="71">
        <f t="shared" si="133"/>
        <v>40.555681897500001</v>
      </c>
      <c r="DK51" s="71">
        <f t="shared" si="133"/>
        <v>35.243018935406248</v>
      </c>
      <c r="DL51" s="71">
        <f t="shared" si="133"/>
        <v>31.058061765749994</v>
      </c>
      <c r="DM51" s="71">
        <f t="shared" si="133"/>
        <v>36.209443921499997</v>
      </c>
      <c r="DN51" s="71">
        <f t="shared" si="133"/>
        <v>60.456684881249991</v>
      </c>
      <c r="DO51" s="71">
        <f t="shared" si="133"/>
        <v>55.809324765599989</v>
      </c>
      <c r="DP51" s="71">
        <f t="shared" si="133"/>
        <v>54.554727907199997</v>
      </c>
      <c r="DQ51" s="71">
        <f t="shared" si="133"/>
        <v>54.028606643999993</v>
      </c>
      <c r="DV51" s="149"/>
      <c r="DY51" s="149"/>
    </row>
    <row r="52" spans="1:129">
      <c r="A52" s="71" t="s">
        <v>2579</v>
      </c>
      <c r="B52" s="71">
        <f t="shared" ref="B52:BL52" si="134">B14*(0.985*0.97*B20*9.81)/(B51*10^6)</f>
        <v>7.0691836841178999</v>
      </c>
      <c r="C52" s="71">
        <f t="shared" si="134"/>
        <v>7.0155276409746898</v>
      </c>
      <c r="D52" s="71">
        <f t="shared" si="134"/>
        <v>7.2390253098756734</v>
      </c>
      <c r="E52" s="71">
        <f t="shared" si="134"/>
        <v>7.7488012251824649</v>
      </c>
      <c r="F52" s="71">
        <f t="shared" si="134"/>
        <v>7.3043286703058339</v>
      </c>
      <c r="G52" s="71">
        <f t="shared" si="134"/>
        <v>8.1541779538510806</v>
      </c>
      <c r="H52" s="71">
        <f t="shared" si="134"/>
        <v>7.7726463505926917</v>
      </c>
      <c r="I52" s="71">
        <f t="shared" si="134"/>
        <v>6.8153015376018331</v>
      </c>
      <c r="J52" s="71">
        <f t="shared" si="134"/>
        <v>6.8666419568918053</v>
      </c>
      <c r="K52" s="71">
        <f t="shared" si="134"/>
        <v>6.4846495249130678</v>
      </c>
      <c r="L52" s="71">
        <f t="shared" si="134"/>
        <v>6.3225332867902404</v>
      </c>
      <c r="M52" s="71">
        <f t="shared" si="134"/>
        <v>7.6985920183847343</v>
      </c>
      <c r="N52" s="71">
        <f t="shared" si="134"/>
        <v>9.9881297435578755</v>
      </c>
      <c r="O52" s="71">
        <f t="shared" si="134"/>
        <v>7.9219821641024888</v>
      </c>
      <c r="P52" s="71">
        <f t="shared" si="134"/>
        <v>7.5412338903579723</v>
      </c>
      <c r="Q52" s="71">
        <f t="shared" si="134"/>
        <v>6.94435640387782</v>
      </c>
      <c r="R52" s="71">
        <f t="shared" si="134"/>
        <v>7.0968496104233765</v>
      </c>
      <c r="S52" s="71">
        <f t="shared" si="134"/>
        <v>6.5055127041552909</v>
      </c>
      <c r="T52" s="71">
        <f t="shared" si="134"/>
        <v>8.0892755124200093</v>
      </c>
      <c r="U52" s="71">
        <f t="shared" si="134"/>
        <v>7.3147704101670294</v>
      </c>
      <c r="V52" s="71">
        <f t="shared" si="134"/>
        <v>6.897202154256</v>
      </c>
      <c r="W52" s="71">
        <f t="shared" si="134"/>
        <v>7.4466172040683603</v>
      </c>
      <c r="X52" s="71">
        <f t="shared" si="134"/>
        <v>7.6414580704379178</v>
      </c>
      <c r="Y52" s="71">
        <f t="shared" si="134"/>
        <v>5.5949669014206682</v>
      </c>
      <c r="Z52" s="71">
        <f t="shared" si="134"/>
        <v>9.6643920362370874</v>
      </c>
      <c r="AA52" s="71">
        <f t="shared" si="134"/>
        <v>5.9179726232437488</v>
      </c>
      <c r="AB52" s="71">
        <f t="shared" si="134"/>
        <v>8.3310442670988927</v>
      </c>
      <c r="AC52" s="71">
        <f t="shared" si="134"/>
        <v>7.0760288068844908</v>
      </c>
      <c r="AD52" s="71">
        <f t="shared" si="134"/>
        <v>7.6428389728607478</v>
      </c>
      <c r="AE52" s="71">
        <f t="shared" si="134"/>
        <v>7.17309024042624</v>
      </c>
      <c r="AF52" s="71">
        <f t="shared" si="134"/>
        <v>10.391502161244249</v>
      </c>
      <c r="AG52" s="71">
        <f t="shared" si="134"/>
        <v>8.487959868537903</v>
      </c>
      <c r="AH52" s="71">
        <f t="shared" si="134"/>
        <v>8.6182443773654196</v>
      </c>
      <c r="AI52" s="71">
        <f t="shared" si="134"/>
        <v>3.5408977000000008</v>
      </c>
      <c r="AJ52" s="71">
        <f t="shared" si="134"/>
        <v>3.4714683333333323</v>
      </c>
      <c r="AK52" s="71">
        <f t="shared" si="134"/>
        <v>9.8744602790902505</v>
      </c>
      <c r="AL52" s="71">
        <f t="shared" si="134"/>
        <v>10.344672673332644</v>
      </c>
      <c r="AM52" s="71">
        <f t="shared" si="134"/>
        <v>7.3306228537803939</v>
      </c>
      <c r="AN52" s="71">
        <f t="shared" si="134"/>
        <v>4.4352499424040062</v>
      </c>
      <c r="AO52" s="71">
        <f t="shared" si="134"/>
        <v>3.3087989130847859</v>
      </c>
      <c r="AP52" s="71">
        <f t="shared" si="134"/>
        <v>7.1607202535784307</v>
      </c>
      <c r="AQ52" s="71">
        <f t="shared" si="134"/>
        <v>6.1350921367157962</v>
      </c>
      <c r="AR52" s="71">
        <f t="shared" si="134"/>
        <v>7.0884195283503404</v>
      </c>
      <c r="AS52" s="71">
        <f t="shared" si="134"/>
        <v>6.4702918940806597</v>
      </c>
      <c r="AT52" s="71">
        <f t="shared" si="134"/>
        <v>5.6173280187756482</v>
      </c>
      <c r="AU52" s="71" t="e">
        <f t="shared" si="134"/>
        <v>#DIV/0!</v>
      </c>
      <c r="AV52" s="71" t="e">
        <f t="shared" si="134"/>
        <v>#DIV/0!</v>
      </c>
      <c r="AW52" s="71">
        <f t="shared" si="134"/>
        <v>7.3783431575730312</v>
      </c>
      <c r="AX52" s="71">
        <f t="shared" si="134"/>
        <v>7.2265570015992013</v>
      </c>
      <c r="AY52" s="71">
        <f t="shared" si="134"/>
        <v>9.5779076956163163</v>
      </c>
      <c r="AZ52" s="71">
        <f t="shared" si="134"/>
        <v>9.5413819020375321</v>
      </c>
      <c r="BA52" s="71">
        <f t="shared" si="134"/>
        <v>9.9033581861288535</v>
      </c>
      <c r="BB52" s="71">
        <f t="shared" si="134"/>
        <v>9.8018457173009388</v>
      </c>
      <c r="BC52" s="71">
        <f t="shared" si="134"/>
        <v>9.243903126413386</v>
      </c>
      <c r="BD52" s="71">
        <f t="shared" si="134"/>
        <v>12.309248131944445</v>
      </c>
      <c r="BE52" s="71">
        <f t="shared" si="134"/>
        <v>5.9348974053622543</v>
      </c>
      <c r="BF52" s="71">
        <f t="shared" si="134"/>
        <v>4.7221635221392182</v>
      </c>
      <c r="BG52" s="71">
        <f t="shared" si="134"/>
        <v>7.4373746044580997</v>
      </c>
      <c r="BH52" s="71">
        <f t="shared" si="134"/>
        <v>6.7753124788562644</v>
      </c>
      <c r="BI52" s="71">
        <f t="shared" si="134"/>
        <v>7.9434529538596639</v>
      </c>
      <c r="BJ52" s="71">
        <f t="shared" si="134"/>
        <v>5.3803906377486692</v>
      </c>
      <c r="BK52" s="71">
        <f t="shared" si="134"/>
        <v>8.7179343372413776</v>
      </c>
      <c r="BL52" s="71">
        <f t="shared" si="134"/>
        <v>9.3097676027490692</v>
      </c>
      <c r="BM52" s="71">
        <f t="shared" ref="BM52:CK52" si="135">BM14*(0.985*0.97*BM20*9.81)/(BM51*10^6)</f>
        <v>8.9102298172712917</v>
      </c>
      <c r="BN52" s="71">
        <f t="shared" si="135"/>
        <v>8.9120925830867499</v>
      </c>
      <c r="BO52" s="71">
        <f t="shared" si="135"/>
        <v>7.3126227374728652</v>
      </c>
      <c r="BP52" s="71">
        <f t="shared" si="135"/>
        <v>7.2823350409874141</v>
      </c>
      <c r="BQ52" s="71">
        <f t="shared" si="135"/>
        <v>8.6131468685416657</v>
      </c>
      <c r="BR52" s="71">
        <f t="shared" si="135"/>
        <v>11.410802241072345</v>
      </c>
      <c r="BS52" s="71" t="e">
        <f t="shared" si="135"/>
        <v>#DIV/0!</v>
      </c>
      <c r="BT52" s="71" t="e">
        <f t="shared" si="135"/>
        <v>#DIV/0!</v>
      </c>
      <c r="BU52" s="71" t="e">
        <f t="shared" si="135"/>
        <v>#DIV/0!</v>
      </c>
      <c r="BV52" s="71" t="e">
        <f t="shared" si="135"/>
        <v>#DIV/0!</v>
      </c>
      <c r="BW52" s="71" t="e">
        <f t="shared" si="135"/>
        <v>#DIV/0!</v>
      </c>
      <c r="BX52" s="71" t="e">
        <f t="shared" si="135"/>
        <v>#DIV/0!</v>
      </c>
      <c r="BY52" s="71" t="e">
        <f t="shared" si="135"/>
        <v>#DIV/0!</v>
      </c>
      <c r="BZ52" s="71" t="e">
        <f t="shared" si="135"/>
        <v>#DIV/0!</v>
      </c>
      <c r="CA52" s="71" t="e">
        <f t="shared" si="135"/>
        <v>#DIV/0!</v>
      </c>
      <c r="CB52" s="71" t="e">
        <f t="shared" si="135"/>
        <v>#DIV/0!</v>
      </c>
      <c r="CC52" s="71">
        <f t="shared" si="135"/>
        <v>8.4610163187735843</v>
      </c>
      <c r="CD52" s="71">
        <f t="shared" si="135"/>
        <v>8.957120751128512</v>
      </c>
      <c r="CE52" s="71">
        <f t="shared" si="135"/>
        <v>8.6615868356299206</v>
      </c>
      <c r="CF52" s="71">
        <f t="shared" si="135"/>
        <v>8.4671077632075473</v>
      </c>
      <c r="CG52" s="71">
        <f t="shared" si="135"/>
        <v>8.8805353501968476</v>
      </c>
      <c r="CH52" s="71">
        <f t="shared" si="135"/>
        <v>9.5906681391116351</v>
      </c>
      <c r="CI52" s="71">
        <f t="shared" si="135"/>
        <v>9.1862912028301871</v>
      </c>
      <c r="CJ52" s="71">
        <f t="shared" si="135"/>
        <v>9.2517249167602689</v>
      </c>
      <c r="CK52" s="71">
        <f t="shared" si="135"/>
        <v>9.1007326082940256</v>
      </c>
      <c r="CL52" s="71">
        <f>CL14*(0.985*0.97*CL20*9.81)/(CL51*10^6)</f>
        <v>17.08103503288454</v>
      </c>
      <c r="CM52" s="71">
        <f t="shared" ref="CM52:DQ52" si="136">CM14*(0.985*0.97*CM20*9.81)/(CM51*10^6)</f>
        <v>17.074641004104844</v>
      </c>
      <c r="CN52" s="71">
        <f t="shared" si="136"/>
        <v>18.560081620700732</v>
      </c>
      <c r="CO52" s="71">
        <f t="shared" si="136"/>
        <v>24.620785565251193</v>
      </c>
      <c r="CP52" s="71">
        <f t="shared" si="136"/>
        <v>25.526270641339536</v>
      </c>
      <c r="CQ52" s="71">
        <f t="shared" si="136"/>
        <v>22.877176215708701</v>
      </c>
      <c r="CR52" s="71">
        <f t="shared" si="136"/>
        <v>21.960949818192251</v>
      </c>
      <c r="CS52" s="71">
        <f t="shared" si="136"/>
        <v>20.991038117130934</v>
      </c>
      <c r="CT52" s="71">
        <f t="shared" si="136"/>
        <v>20.466262164202664</v>
      </c>
      <c r="CU52" s="71">
        <f t="shared" si="136"/>
        <v>21.960949818192251</v>
      </c>
      <c r="CV52" s="71">
        <f t="shared" si="136"/>
        <v>22.877176215708701</v>
      </c>
      <c r="CW52" s="71">
        <f t="shared" si="136"/>
        <v>18.314074515321991</v>
      </c>
      <c r="CX52" s="71">
        <f t="shared" si="136"/>
        <v>18.459251483338814</v>
      </c>
      <c r="CY52" s="71">
        <f t="shared" si="136"/>
        <v>18.05094105681777</v>
      </c>
      <c r="CZ52" s="71">
        <f t="shared" si="136"/>
        <v>22.294178536682324</v>
      </c>
      <c r="DA52" s="71">
        <f t="shared" si="136"/>
        <v>17.501188736531059</v>
      </c>
      <c r="DB52" s="71">
        <f t="shared" si="136"/>
        <v>15.438972501675217</v>
      </c>
      <c r="DC52" s="71">
        <f t="shared" si="136"/>
        <v>16.406824615377761</v>
      </c>
      <c r="DD52" s="71">
        <f t="shared" si="136"/>
        <v>16.369236823969178</v>
      </c>
      <c r="DE52" s="71">
        <f t="shared" si="136"/>
        <v>17.09604755565752</v>
      </c>
      <c r="DF52" s="71">
        <f t="shared" si="136"/>
        <v>21.037465143933836</v>
      </c>
      <c r="DG52" s="71">
        <f t="shared" si="136"/>
        <v>21.52864616716607</v>
      </c>
      <c r="DH52" s="71">
        <f t="shared" si="136"/>
        <v>13.393275946121724</v>
      </c>
      <c r="DI52" s="71">
        <f t="shared" si="136"/>
        <v>14.942607757871546</v>
      </c>
      <c r="DJ52" s="71">
        <f t="shared" si="136"/>
        <v>14.658488105958988</v>
      </c>
      <c r="DK52" s="71">
        <f t="shared" si="136"/>
        <v>16.868162793123311</v>
      </c>
      <c r="DL52" s="71">
        <f t="shared" si="136"/>
        <v>19.11998064171987</v>
      </c>
      <c r="DM52" s="71">
        <f t="shared" si="136"/>
        <v>16.689474627941919</v>
      </c>
      <c r="DN52" s="71">
        <f t="shared" si="136"/>
        <v>21.102126506041106</v>
      </c>
      <c r="DO52" s="71">
        <f t="shared" si="136"/>
        <v>17.561866321413163</v>
      </c>
      <c r="DP52" s="71">
        <f t="shared" si="136"/>
        <v>17.965737134442691</v>
      </c>
      <c r="DQ52" s="71">
        <f t="shared" si="136"/>
        <v>18.140684387437265</v>
      </c>
      <c r="DV52" s="149"/>
      <c r="DY52" s="149"/>
    </row>
    <row r="53" spans="1:129">
      <c r="DV53" s="149"/>
      <c r="DY53" s="149"/>
    </row>
    <row r="54" spans="1:129">
      <c r="DV54" s="149"/>
      <c r="DY54" s="149"/>
    </row>
    <row r="55" spans="1:129">
      <c r="DV55" s="149"/>
      <c r="DY55" s="149"/>
    </row>
    <row r="56" spans="1:129">
      <c r="DV56" s="149"/>
      <c r="DY56" s="149"/>
    </row>
    <row r="57" spans="1:129">
      <c r="DV57" s="149"/>
      <c r="DY57" s="149"/>
    </row>
    <row r="58" spans="1:129">
      <c r="DV58" s="149"/>
      <c r="DY58" s="149"/>
    </row>
    <row r="59" spans="1:129">
      <c r="DV59" s="149"/>
      <c r="DY59" s="149"/>
    </row>
    <row r="60" spans="1:129">
      <c r="DV60" s="149"/>
      <c r="DY60" s="149"/>
    </row>
    <row r="61" spans="1:129">
      <c r="DV61" s="149"/>
      <c r="DY61" s="149"/>
    </row>
    <row r="62" spans="1:129">
      <c r="DV62" s="149"/>
      <c r="DY62" s="149"/>
    </row>
    <row r="63" spans="1:129">
      <c r="DV63" s="149"/>
      <c r="DY63" s="149"/>
    </row>
    <row r="64" spans="1:129">
      <c r="DV64" s="149"/>
      <c r="DY64" s="149"/>
    </row>
    <row r="65" spans="67:129">
      <c r="DV65" s="149"/>
      <c r="DY65" s="149"/>
    </row>
    <row r="66" spans="67:129">
      <c r="DV66" s="149"/>
      <c r="DY66" s="149"/>
    </row>
    <row r="67" spans="67:129">
      <c r="DV67" s="149"/>
      <c r="DY67" s="149"/>
    </row>
    <row r="68" spans="67:129">
      <c r="DV68" s="149"/>
      <c r="DY68" s="149"/>
    </row>
    <row r="69" spans="67:129">
      <c r="DV69" s="149"/>
      <c r="DY69" s="149"/>
    </row>
    <row r="70" spans="67:129">
      <c r="DV70" s="149"/>
      <c r="DY70" s="149"/>
    </row>
    <row r="71" spans="67:129">
      <c r="DV71" s="149"/>
      <c r="DY71" s="149"/>
    </row>
    <row r="72" spans="67:129">
      <c r="DV72" s="149"/>
      <c r="DY72" s="149"/>
    </row>
    <row r="73" spans="67:129">
      <c r="DV73" s="149"/>
      <c r="DY73" s="149"/>
    </row>
    <row r="74" spans="67:129">
      <c r="DV74" s="149"/>
      <c r="DY74" s="149"/>
    </row>
    <row r="75" spans="67:129">
      <c r="DV75" s="149"/>
      <c r="DY75" s="149"/>
    </row>
    <row r="76" spans="67:129">
      <c r="BO76" s="4"/>
      <c r="BP76" s="65"/>
      <c r="DV76" s="149"/>
      <c r="DY76" s="149"/>
    </row>
    <row r="77" spans="67:129">
      <c r="BO77" s="2"/>
      <c r="BP77" s="72"/>
      <c r="DV77" s="149"/>
      <c r="DY77" s="149"/>
    </row>
    <row r="78" spans="67:129">
      <c r="BO78" s="2"/>
      <c r="BP78" s="72"/>
      <c r="DV78" s="149"/>
      <c r="DY78" s="149"/>
    </row>
    <row r="79" spans="67:129">
      <c r="BO79" s="2"/>
      <c r="BP79" s="72"/>
      <c r="DV79" s="149"/>
      <c r="DY79" s="149"/>
    </row>
    <row r="80" spans="67:129">
      <c r="BO80" s="2"/>
      <c r="BP80" s="72"/>
      <c r="DV80" s="149"/>
      <c r="DY80" s="149"/>
    </row>
    <row r="81" spans="67:129">
      <c r="BO81" s="2"/>
      <c r="BP81" s="72"/>
      <c r="DV81" s="149"/>
      <c r="DY81" s="149"/>
    </row>
    <row r="82" spans="67:129">
      <c r="BO82" s="2"/>
      <c r="BP82" s="72"/>
      <c r="DV82" s="149"/>
      <c r="DY82" s="149"/>
    </row>
    <row r="83" spans="67:129">
      <c r="BO83" s="2"/>
      <c r="BP83" s="72"/>
      <c r="DV83" s="149"/>
      <c r="DY83" s="149"/>
    </row>
    <row r="84" spans="67:129">
      <c r="BO84" s="2"/>
      <c r="BP84" s="72"/>
      <c r="DV84" s="149"/>
      <c r="DY84" s="149"/>
    </row>
    <row r="85" spans="67:129">
      <c r="BO85" s="2"/>
      <c r="BP85" s="72"/>
      <c r="DV85" s="149"/>
      <c r="DY85" s="149"/>
    </row>
    <row r="86" spans="67:129">
      <c r="BO86" s="2"/>
      <c r="BP86" s="72"/>
      <c r="DV86" s="149"/>
      <c r="DY86" s="149"/>
    </row>
    <row r="87" spans="67:129">
      <c r="BO87" s="2"/>
      <c r="BP87" s="72"/>
      <c r="DV87" s="149"/>
      <c r="DY87" s="149"/>
    </row>
    <row r="88" spans="67:129">
      <c r="BO88" s="2"/>
      <c r="BP88" s="72"/>
      <c r="DV88" s="149"/>
      <c r="DY88" s="149"/>
    </row>
    <row r="89" spans="67:129">
      <c r="BO89" s="2"/>
      <c r="BP89" s="72"/>
      <c r="DV89" s="149"/>
      <c r="DY89" s="149"/>
    </row>
    <row r="90" spans="67:129">
      <c r="BO90" s="2"/>
      <c r="BP90" s="72"/>
      <c r="DV90" s="149"/>
      <c r="DY90" s="149"/>
    </row>
    <row r="91" spans="67:129">
      <c r="BO91" s="2"/>
      <c r="BP91" s="72"/>
      <c r="DV91" s="149"/>
      <c r="DY91" s="149"/>
    </row>
    <row r="92" spans="67:129">
      <c r="BP92" s="72"/>
      <c r="DV92" s="149"/>
      <c r="DY92" s="149"/>
    </row>
    <row r="93" spans="67:129">
      <c r="BP93" s="90"/>
      <c r="DV93" s="149"/>
      <c r="DY93" s="149"/>
    </row>
    <row r="94" spans="67:129">
      <c r="BP94" s="91"/>
      <c r="DV94" s="149"/>
      <c r="DY94" s="149"/>
    </row>
    <row r="95" spans="67:129">
      <c r="BO95" s="2"/>
      <c r="BP95" s="72"/>
      <c r="DV95" s="149"/>
      <c r="DY95" s="149"/>
    </row>
    <row r="96" spans="67:129">
      <c r="BO96" s="2"/>
      <c r="BP96" s="93"/>
      <c r="DV96" s="149"/>
      <c r="DY96" s="149"/>
    </row>
    <row r="97" spans="67:129">
      <c r="BO97" s="2"/>
      <c r="BP97" s="72"/>
      <c r="DV97" s="149"/>
      <c r="DY97" s="149"/>
    </row>
    <row r="98" spans="67:129">
      <c r="BO98" s="2"/>
      <c r="BP98" s="72"/>
      <c r="DV98" s="149"/>
      <c r="DY98" s="149"/>
    </row>
    <row r="99" spans="67:129">
      <c r="BO99" s="15"/>
      <c r="BP99" s="95"/>
      <c r="DV99" s="149"/>
      <c r="DY99" s="149"/>
    </row>
    <row r="100" spans="67:129">
      <c r="BO100" s="2"/>
      <c r="BP100" s="72"/>
      <c r="DV100" s="149"/>
      <c r="DY100" s="149"/>
    </row>
    <row r="101" spans="67:129">
      <c r="BO101" s="2"/>
      <c r="BP101" s="72"/>
      <c r="DV101" s="149"/>
      <c r="DY101" s="149"/>
    </row>
    <row r="102" spans="67:129">
      <c r="BO102" s="2"/>
      <c r="BP102" s="72"/>
      <c r="DV102" s="149"/>
      <c r="DY102" s="149"/>
    </row>
    <row r="103" spans="67:129">
      <c r="BO103" s="2"/>
      <c r="BP103" s="72"/>
      <c r="DV103" s="149"/>
      <c r="DY103" s="149"/>
    </row>
    <row r="104" spans="67:129">
      <c r="BO104" s="2"/>
      <c r="BP104" s="72"/>
      <c r="DV104" s="149"/>
      <c r="DY104" s="149"/>
    </row>
    <row r="105" spans="67:129">
      <c r="BO105" s="2"/>
      <c r="BP105" s="72"/>
      <c r="DV105" s="149"/>
      <c r="DY105" s="149"/>
    </row>
    <row r="106" spans="67:129">
      <c r="BO106" s="2"/>
      <c r="BP106" s="72"/>
      <c r="DV106" s="149"/>
      <c r="DY106" s="149"/>
    </row>
    <row r="107" spans="67:129">
      <c r="BO107" s="2"/>
      <c r="BP107" s="72"/>
      <c r="DV107" s="149"/>
      <c r="DY107" s="149"/>
    </row>
    <row r="108" spans="67:129">
      <c r="BO108" s="2"/>
      <c r="BP108" s="72"/>
      <c r="DV108" s="149"/>
      <c r="DY108" s="149"/>
    </row>
    <row r="109" spans="67:129">
      <c r="BO109" s="2"/>
      <c r="BP109" s="72"/>
      <c r="DV109" s="149"/>
      <c r="DY109" s="149"/>
    </row>
    <row r="110" spans="67:129">
      <c r="BP110" s="101"/>
      <c r="DV110" s="149"/>
      <c r="DY110" s="149"/>
    </row>
    <row r="111" spans="67:129">
      <c r="BP111" s="101"/>
      <c r="DV111" s="149"/>
      <c r="DY111" s="149"/>
    </row>
    <row r="112" spans="67:129">
      <c r="DV112" s="149"/>
      <c r="DY112" s="149"/>
    </row>
    <row r="113" spans="68:129">
      <c r="DV113" s="149"/>
      <c r="DY113" s="149"/>
    </row>
    <row r="114" spans="68:129">
      <c r="DV114" s="149"/>
      <c r="DY114" s="149"/>
    </row>
    <row r="115" spans="68:129">
      <c r="DV115" s="149"/>
      <c r="DY115" s="149"/>
    </row>
    <row r="116" spans="68:129">
      <c r="DV116" s="149"/>
    </row>
    <row r="117" spans="68:129">
      <c r="DV117" s="149"/>
    </row>
    <row r="118" spans="68:129">
      <c r="DV118" s="149"/>
    </row>
    <row r="119" spans="68:129">
      <c r="DV119" s="149"/>
    </row>
  </sheetData>
  <conditionalFormatting sqref="A1:DQ44">
    <cfRule type="containsBlanks" dxfId="2" priority="1">
      <formula>LEN(TRIM(A1))=0</formula>
    </cfRule>
  </conditionalFormatting>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8D01F-86E6-4D56-B3B8-4F48697DA6E8}">
  <dimension ref="A1:FI47"/>
  <sheetViews>
    <sheetView workbookViewId="0">
      <pane xSplit="2" ySplit="1" topLeftCell="D20" activePane="bottomRight" state="frozen"/>
      <selection pane="topRight"/>
      <selection pane="bottomLeft"/>
      <selection pane="bottomRight" activeCell="G27" sqref="G27"/>
    </sheetView>
  </sheetViews>
  <sheetFormatPr defaultColWidth="9.140625" defaultRowHeight="12.75"/>
  <cols>
    <col min="1" max="1" width="23.42578125" style="23" customWidth="1"/>
    <col min="2" max="2" width="33.42578125" style="23" customWidth="1"/>
    <col min="3" max="43" width="9.7109375" style="23" customWidth="1"/>
    <col min="44" max="61" width="11.42578125" style="23" bestFit="1" customWidth="1"/>
    <col min="62" max="62" width="11.7109375" style="23" customWidth="1"/>
    <col min="63" max="134" width="11.42578125" style="23" bestFit="1" customWidth="1"/>
    <col min="135" max="16384" width="9.140625" style="23"/>
  </cols>
  <sheetData>
    <row r="1" spans="1:165" ht="51.75">
      <c r="A1" s="22" t="s">
        <v>2023</v>
      </c>
      <c r="B1" s="46" t="s">
        <v>2580</v>
      </c>
      <c r="C1" s="23" t="s">
        <v>2581</v>
      </c>
      <c r="D1" s="23" t="s">
        <v>2582</v>
      </c>
      <c r="E1" s="23" t="s">
        <v>2583</v>
      </c>
      <c r="F1" s="23" t="s">
        <v>2584</v>
      </c>
      <c r="G1" s="23" t="s">
        <v>2585</v>
      </c>
      <c r="H1" s="23" t="s">
        <v>2586</v>
      </c>
      <c r="I1" s="23" t="s">
        <v>2587</v>
      </c>
      <c r="J1" s="23" t="s">
        <v>2588</v>
      </c>
      <c r="K1" s="23" t="s">
        <v>2589</v>
      </c>
      <c r="L1" s="23" t="s">
        <v>2590</v>
      </c>
      <c r="M1" s="23" t="s">
        <v>2591</v>
      </c>
      <c r="N1" s="23" t="s">
        <v>2592</v>
      </c>
      <c r="O1" s="23" t="s">
        <v>2593</v>
      </c>
      <c r="P1" s="23" t="s">
        <v>2135</v>
      </c>
      <c r="Q1" s="23" t="s">
        <v>2136</v>
      </c>
      <c r="R1" s="23" t="s">
        <v>2137</v>
      </c>
      <c r="S1" s="23" t="s">
        <v>2138</v>
      </c>
      <c r="T1" s="23" t="s">
        <v>2139</v>
      </c>
      <c r="U1" s="23" t="s">
        <v>2140</v>
      </c>
      <c r="V1" s="23" t="s">
        <v>2141</v>
      </c>
      <c r="W1" s="23" t="s">
        <v>2142</v>
      </c>
      <c r="X1" s="23" t="s">
        <v>2143</v>
      </c>
      <c r="Y1" s="23" t="s">
        <v>2144</v>
      </c>
      <c r="Z1" s="23" t="s">
        <v>2145</v>
      </c>
      <c r="AA1" s="23" t="s">
        <v>2146</v>
      </c>
      <c r="AB1" s="23" t="s">
        <v>2147</v>
      </c>
      <c r="AC1" s="23" t="s">
        <v>2148</v>
      </c>
      <c r="AD1" s="23" t="s">
        <v>2149</v>
      </c>
      <c r="AE1" s="23" t="s">
        <v>2150</v>
      </c>
      <c r="AF1" s="23" t="s">
        <v>2151</v>
      </c>
      <c r="AG1" s="23" t="s">
        <v>2152</v>
      </c>
      <c r="AH1" s="23" t="s">
        <v>2153</v>
      </c>
      <c r="AI1" s="23" t="s">
        <v>2154</v>
      </c>
      <c r="AJ1" s="23" t="s">
        <v>2155</v>
      </c>
      <c r="AK1" s="23" t="s">
        <v>2156</v>
      </c>
      <c r="AL1" s="23" t="s">
        <v>2157</v>
      </c>
      <c r="AM1" s="23" t="s">
        <v>2158</v>
      </c>
      <c r="AN1" s="23" t="s">
        <v>2159</v>
      </c>
      <c r="AO1" s="23" t="s">
        <v>2160</v>
      </c>
      <c r="AP1" s="23" t="s">
        <v>2161</v>
      </c>
      <c r="AQ1" s="23" t="s">
        <v>2162</v>
      </c>
      <c r="AR1" s="23" t="s">
        <v>2163</v>
      </c>
      <c r="AS1" s="24" t="s">
        <v>2594</v>
      </c>
      <c r="AT1" s="24" t="s">
        <v>2594</v>
      </c>
      <c r="AU1" s="24" t="s">
        <v>2595</v>
      </c>
      <c r="AV1" s="24" t="s">
        <v>2595</v>
      </c>
      <c r="AW1" s="24" t="s">
        <v>2596</v>
      </c>
      <c r="AX1" s="24" t="s">
        <v>2596</v>
      </c>
      <c r="AY1" s="25" t="s">
        <v>2597</v>
      </c>
      <c r="AZ1" s="24" t="s">
        <v>2597</v>
      </c>
      <c r="BA1" s="23" t="s">
        <v>2172</v>
      </c>
      <c r="BB1" s="23" t="s">
        <v>2173</v>
      </c>
      <c r="BC1" s="23" t="s">
        <v>2174</v>
      </c>
      <c r="BD1" s="23" t="s">
        <v>2175</v>
      </c>
      <c r="BE1" s="23" t="s">
        <v>2176</v>
      </c>
      <c r="BF1" s="23" t="s">
        <v>2177</v>
      </c>
      <c r="BG1" s="23" t="s">
        <v>2178</v>
      </c>
      <c r="BH1" s="23" t="s">
        <v>2179</v>
      </c>
      <c r="BI1" s="23" t="s">
        <v>2180</v>
      </c>
      <c r="BJ1" s="26" t="s">
        <v>2181</v>
      </c>
      <c r="BK1" s="23" t="s">
        <v>2182</v>
      </c>
      <c r="BL1" s="23" t="s">
        <v>2183</v>
      </c>
      <c r="BM1" s="23" t="s">
        <v>2184</v>
      </c>
      <c r="BN1" s="23" t="s">
        <v>2185</v>
      </c>
      <c r="BO1" s="23" t="s">
        <v>2186</v>
      </c>
      <c r="BP1" s="23" t="s">
        <v>2187</v>
      </c>
      <c r="BQ1" s="23" t="s">
        <v>2188</v>
      </c>
      <c r="BR1" s="23" t="s">
        <v>2189</v>
      </c>
      <c r="BS1" s="23" t="s">
        <v>2190</v>
      </c>
      <c r="BT1" s="23" t="s">
        <v>2191</v>
      </c>
      <c r="BU1" s="23" t="s">
        <v>2192</v>
      </c>
      <c r="BV1" s="23" t="s">
        <v>2193</v>
      </c>
      <c r="BW1" s="23" t="s">
        <v>2194</v>
      </c>
      <c r="BX1" s="23" t="s">
        <v>2195</v>
      </c>
      <c r="BY1" s="23" t="s">
        <v>2196</v>
      </c>
      <c r="BZ1" s="23" t="s">
        <v>2197</v>
      </c>
      <c r="CA1" s="23" t="s">
        <v>2198</v>
      </c>
      <c r="CB1" s="23" t="s">
        <v>2199</v>
      </c>
      <c r="CC1" s="23" t="s">
        <v>2200</v>
      </c>
      <c r="CD1" s="23" t="s">
        <v>2201</v>
      </c>
      <c r="CE1" s="23" t="s">
        <v>2202</v>
      </c>
      <c r="CF1" s="23" t="s">
        <v>2203</v>
      </c>
      <c r="CG1" s="23" t="s">
        <v>2204</v>
      </c>
      <c r="CH1" s="23" t="s">
        <v>2205</v>
      </c>
      <c r="CI1" s="23" t="s">
        <v>2206</v>
      </c>
      <c r="CJ1" s="23" t="s">
        <v>2207</v>
      </c>
      <c r="CK1" s="23" t="s">
        <v>2208</v>
      </c>
      <c r="CL1" s="23" t="s">
        <v>2209</v>
      </c>
      <c r="CM1" s="51" t="s">
        <v>2210</v>
      </c>
      <c r="CN1" s="23" t="s">
        <v>2211</v>
      </c>
      <c r="CO1" s="23" t="s">
        <v>2212</v>
      </c>
      <c r="CP1" s="23" t="s">
        <v>2213</v>
      </c>
      <c r="CQ1" s="23" t="s">
        <v>2214</v>
      </c>
      <c r="CR1" s="23" t="s">
        <v>2215</v>
      </c>
      <c r="CS1" s="51" t="s">
        <v>2216</v>
      </c>
      <c r="CT1" s="53" t="s">
        <v>2217</v>
      </c>
      <c r="CU1" s="23" t="s">
        <v>2218</v>
      </c>
      <c r="CV1" s="23" t="s">
        <v>2219</v>
      </c>
      <c r="CW1" s="23" t="s">
        <v>2220</v>
      </c>
      <c r="CX1" s="51" t="s">
        <v>2221</v>
      </c>
      <c r="CY1" s="23" t="s">
        <v>2222</v>
      </c>
      <c r="CZ1" s="23" t="s">
        <v>2223</v>
      </c>
      <c r="DA1" s="23" t="s">
        <v>2224</v>
      </c>
      <c r="DB1" s="23" t="s">
        <v>2225</v>
      </c>
      <c r="DC1" s="23" t="s">
        <v>2226</v>
      </c>
      <c r="DD1" s="23" t="s">
        <v>2227</v>
      </c>
      <c r="DE1" s="23" t="s">
        <v>2228</v>
      </c>
      <c r="DF1" s="23" t="s">
        <v>2229</v>
      </c>
      <c r="DG1" s="23" t="s">
        <v>2230</v>
      </c>
      <c r="DH1" s="23" t="s">
        <v>2231</v>
      </c>
      <c r="DI1" s="23" t="s">
        <v>2232</v>
      </c>
      <c r="DJ1" s="53" t="s">
        <v>2233</v>
      </c>
      <c r="DK1" s="53" t="s">
        <v>2234</v>
      </c>
      <c r="DL1" s="23" t="s">
        <v>2235</v>
      </c>
      <c r="DM1" s="23" t="s">
        <v>2236</v>
      </c>
      <c r="DN1" s="23" t="s">
        <v>2237</v>
      </c>
      <c r="DO1" s="23" t="s">
        <v>2238</v>
      </c>
      <c r="DP1" s="23" t="s">
        <v>2239</v>
      </c>
      <c r="DQ1" s="23" t="s">
        <v>2240</v>
      </c>
      <c r="DR1" s="23" t="s">
        <v>2241</v>
      </c>
      <c r="DS1" s="23" t="s">
        <v>2242</v>
      </c>
      <c r="DT1" s="23" t="s">
        <v>2243</v>
      </c>
      <c r="DU1" s="23" t="s">
        <v>2244</v>
      </c>
      <c r="DV1" s="23" t="s">
        <v>2245</v>
      </c>
      <c r="DW1" s="23" t="s">
        <v>2246</v>
      </c>
      <c r="DX1" s="23" t="s">
        <v>2247</v>
      </c>
      <c r="DY1" s="23" t="s">
        <v>2248</v>
      </c>
      <c r="DZ1" s="23" t="s">
        <v>2249</v>
      </c>
      <c r="EA1" s="23" t="s">
        <v>2250</v>
      </c>
      <c r="EB1" s="23" t="s">
        <v>2251</v>
      </c>
      <c r="EC1" s="23" t="s">
        <v>2252</v>
      </c>
      <c r="ED1" s="23" t="s">
        <v>2253</v>
      </c>
      <c r="EE1" s="23" t="s">
        <v>2254</v>
      </c>
      <c r="EF1" s="23" t="s">
        <v>2255</v>
      </c>
      <c r="EG1" s="23" t="s">
        <v>2256</v>
      </c>
      <c r="EH1" s="23" t="s">
        <v>2257</v>
      </c>
      <c r="EI1" s="23" t="s">
        <v>2258</v>
      </c>
      <c r="EJ1" s="23" t="s">
        <v>2259</v>
      </c>
      <c r="EK1" s="23" t="s">
        <v>2260</v>
      </c>
      <c r="EL1" s="23" t="s">
        <v>2261</v>
      </c>
      <c r="EM1" s="23" t="s">
        <v>2262</v>
      </c>
      <c r="EN1" s="23" t="s">
        <v>2263</v>
      </c>
      <c r="EO1" s="23" t="s">
        <v>2264</v>
      </c>
      <c r="EP1" s="23" t="s">
        <v>2265</v>
      </c>
      <c r="EQ1" s="23" t="s">
        <v>2266</v>
      </c>
      <c r="ER1" s="45" t="s">
        <v>2267</v>
      </c>
      <c r="ES1" s="23" t="s">
        <v>2268</v>
      </c>
      <c r="ET1" s="23" t="s">
        <v>2269</v>
      </c>
      <c r="EU1" s="23" t="s">
        <v>2270</v>
      </c>
      <c r="EV1" s="23" t="s">
        <v>2271</v>
      </c>
      <c r="EW1" s="23" t="s">
        <v>2272</v>
      </c>
      <c r="EX1" s="23" t="s">
        <v>2598</v>
      </c>
      <c r="EY1" s="23" t="s">
        <v>2598</v>
      </c>
      <c r="EZ1" s="23" t="s">
        <v>2275</v>
      </c>
      <c r="FA1" s="23" t="s">
        <v>248</v>
      </c>
      <c r="FB1" s="23" t="s">
        <v>2276</v>
      </c>
      <c r="FC1" s="23" t="s">
        <v>2277</v>
      </c>
      <c r="FD1" s="23" t="s">
        <v>2278</v>
      </c>
      <c r="FE1" s="23" t="s">
        <v>2279</v>
      </c>
      <c r="FF1" s="23" t="s">
        <v>2280</v>
      </c>
      <c r="FG1" s="23" t="s">
        <v>2281</v>
      </c>
      <c r="FH1" s="23" t="s">
        <v>2282</v>
      </c>
      <c r="FI1" s="23" t="s">
        <v>2283</v>
      </c>
    </row>
    <row r="2" spans="1:165">
      <c r="A2" s="1" t="s">
        <v>1332</v>
      </c>
      <c r="B2" s="3"/>
      <c r="C2" s="23" t="s">
        <v>2286</v>
      </c>
      <c r="D2" s="23" t="s">
        <v>2286</v>
      </c>
      <c r="E2" s="23" t="s">
        <v>2286</v>
      </c>
      <c r="F2" s="23" t="s">
        <v>2286</v>
      </c>
      <c r="G2" s="23" t="s">
        <v>2286</v>
      </c>
      <c r="H2" s="23" t="s">
        <v>2286</v>
      </c>
      <c r="I2" s="23" t="s">
        <v>2286</v>
      </c>
      <c r="J2" s="23" t="s">
        <v>2286</v>
      </c>
      <c r="K2" s="29" t="s">
        <v>2286</v>
      </c>
      <c r="L2" s="29" t="s">
        <v>2286</v>
      </c>
      <c r="M2" s="29" t="s">
        <v>2286</v>
      </c>
      <c r="N2" s="29" t="s">
        <v>2286</v>
      </c>
      <c r="O2" s="29" t="s">
        <v>2286</v>
      </c>
      <c r="P2" s="29" t="s">
        <v>2286</v>
      </c>
      <c r="Q2" s="29" t="s">
        <v>2286</v>
      </c>
      <c r="R2" s="29" t="s">
        <v>2286</v>
      </c>
      <c r="S2" s="29" t="s">
        <v>2286</v>
      </c>
      <c r="T2" s="29" t="s">
        <v>2286</v>
      </c>
      <c r="U2" s="29" t="s">
        <v>2286</v>
      </c>
      <c r="V2" s="29" t="s">
        <v>2286</v>
      </c>
      <c r="W2" s="29" t="s">
        <v>2286</v>
      </c>
      <c r="X2" s="29" t="s">
        <v>2286</v>
      </c>
      <c r="Y2" s="29" t="s">
        <v>2286</v>
      </c>
      <c r="Z2" s="29" t="s">
        <v>2286</v>
      </c>
      <c r="AA2" s="27" t="s">
        <v>2286</v>
      </c>
      <c r="AB2" s="27" t="s">
        <v>2286</v>
      </c>
      <c r="AC2" s="27" t="s">
        <v>2286</v>
      </c>
      <c r="AD2" s="27" t="s">
        <v>2286</v>
      </c>
      <c r="AE2" s="27" t="s">
        <v>2286</v>
      </c>
      <c r="AF2" s="27" t="s">
        <v>2286</v>
      </c>
      <c r="AG2" s="27" t="s">
        <v>2286</v>
      </c>
      <c r="AH2" s="27" t="s">
        <v>2286</v>
      </c>
      <c r="AI2" s="27" t="s">
        <v>2286</v>
      </c>
      <c r="AJ2" s="27" t="s">
        <v>2286</v>
      </c>
      <c r="AK2" s="27" t="s">
        <v>2286</v>
      </c>
      <c r="AL2" s="27" t="s">
        <v>2286</v>
      </c>
      <c r="AM2" s="27" t="s">
        <v>2286</v>
      </c>
      <c r="AN2" s="27" t="s">
        <v>2286</v>
      </c>
      <c r="AO2" s="27" t="s">
        <v>2286</v>
      </c>
      <c r="AP2" s="27" t="s">
        <v>2286</v>
      </c>
      <c r="AQ2" s="27" t="s">
        <v>2286</v>
      </c>
      <c r="AR2" s="27" t="s">
        <v>2286</v>
      </c>
      <c r="AS2" s="27" t="s">
        <v>2286</v>
      </c>
      <c r="AT2" s="27" t="s">
        <v>2286</v>
      </c>
      <c r="AU2" s="27" t="s">
        <v>2286</v>
      </c>
      <c r="AV2" s="27" t="s">
        <v>2286</v>
      </c>
      <c r="AW2" s="27" t="s">
        <v>2286</v>
      </c>
      <c r="AX2" s="27" t="s">
        <v>2286</v>
      </c>
      <c r="AY2" s="27" t="s">
        <v>2286</v>
      </c>
      <c r="AZ2" s="27" t="s">
        <v>2286</v>
      </c>
      <c r="BA2" s="27" t="s">
        <v>2286</v>
      </c>
      <c r="BB2" s="27" t="s">
        <v>2286</v>
      </c>
      <c r="BC2" s="27" t="s">
        <v>2286</v>
      </c>
      <c r="BD2" s="27" t="s">
        <v>2286</v>
      </c>
      <c r="BE2" s="27" t="s">
        <v>2286</v>
      </c>
      <c r="BF2" s="27" t="s">
        <v>2286</v>
      </c>
      <c r="BG2" s="27" t="s">
        <v>2286</v>
      </c>
      <c r="BH2" s="27" t="s">
        <v>2286</v>
      </c>
      <c r="BI2" s="27" t="s">
        <v>2286</v>
      </c>
      <c r="BJ2" s="27" t="s">
        <v>2286</v>
      </c>
      <c r="BK2" s="27" t="s">
        <v>2286</v>
      </c>
      <c r="BL2" s="27" t="s">
        <v>2286</v>
      </c>
      <c r="BM2" s="27" t="s">
        <v>2286</v>
      </c>
      <c r="BN2" s="27" t="s">
        <v>2286</v>
      </c>
      <c r="BO2" s="27" t="s">
        <v>2286</v>
      </c>
      <c r="BP2" s="27" t="s">
        <v>2286</v>
      </c>
      <c r="BQ2" s="27" t="s">
        <v>2286</v>
      </c>
      <c r="BR2" s="27" t="s">
        <v>2286</v>
      </c>
      <c r="BS2" s="27" t="s">
        <v>2286</v>
      </c>
      <c r="BT2" s="27" t="s">
        <v>2286</v>
      </c>
      <c r="BU2" s="27" t="s">
        <v>2286</v>
      </c>
      <c r="BV2" s="27" t="s">
        <v>2286</v>
      </c>
      <c r="BW2" s="27" t="s">
        <v>2286</v>
      </c>
      <c r="BX2" s="27" t="s">
        <v>2286</v>
      </c>
      <c r="BY2" s="27" t="s">
        <v>2286</v>
      </c>
      <c r="BZ2" s="27" t="s">
        <v>2286</v>
      </c>
      <c r="CA2" s="27" t="s">
        <v>2286</v>
      </c>
      <c r="CB2" s="27" t="s">
        <v>2286</v>
      </c>
      <c r="CC2" s="27" t="s">
        <v>2286</v>
      </c>
      <c r="CD2" s="27" t="s">
        <v>2286</v>
      </c>
      <c r="CE2" s="27" t="s">
        <v>2286</v>
      </c>
      <c r="CF2" s="27" t="s">
        <v>2286</v>
      </c>
      <c r="CG2" s="27" t="s">
        <v>2286</v>
      </c>
      <c r="CH2" s="27" t="s">
        <v>2286</v>
      </c>
      <c r="CI2" s="27" t="s">
        <v>2286</v>
      </c>
      <c r="CJ2" s="27" t="s">
        <v>2286</v>
      </c>
      <c r="CK2" s="27" t="s">
        <v>2286</v>
      </c>
      <c r="CL2" s="27" t="s">
        <v>2286</v>
      </c>
      <c r="CM2" s="27" t="s">
        <v>2286</v>
      </c>
      <c r="CN2" s="50" t="s">
        <v>2286</v>
      </c>
      <c r="CO2" s="50" t="s">
        <v>2286</v>
      </c>
      <c r="CP2" s="50" t="s">
        <v>2286</v>
      </c>
      <c r="CQ2" s="50" t="s">
        <v>2286</v>
      </c>
      <c r="CR2" s="50" t="s">
        <v>2286</v>
      </c>
      <c r="CS2" s="50" t="s">
        <v>2286</v>
      </c>
      <c r="CT2" s="50" t="s">
        <v>2286</v>
      </c>
      <c r="CU2" s="50" t="s">
        <v>2286</v>
      </c>
      <c r="CV2" s="50" t="s">
        <v>2286</v>
      </c>
      <c r="CW2" s="50" t="s">
        <v>2286</v>
      </c>
      <c r="CX2" s="50" t="s">
        <v>2286</v>
      </c>
      <c r="CY2" s="50" t="s">
        <v>2286</v>
      </c>
      <c r="CZ2" s="50" t="s">
        <v>2286</v>
      </c>
      <c r="DA2" s="50" t="s">
        <v>2286</v>
      </c>
      <c r="DB2" s="50" t="s">
        <v>2286</v>
      </c>
      <c r="DC2" s="50" t="s">
        <v>2286</v>
      </c>
      <c r="DD2" s="50" t="s">
        <v>2286</v>
      </c>
      <c r="DE2" s="50" t="s">
        <v>2286</v>
      </c>
      <c r="DF2" s="50" t="s">
        <v>2286</v>
      </c>
      <c r="DG2" s="50" t="s">
        <v>2286</v>
      </c>
      <c r="DH2" s="50" t="s">
        <v>2286</v>
      </c>
      <c r="DI2" s="50" t="s">
        <v>2286</v>
      </c>
      <c r="DJ2" s="50" t="s">
        <v>2286</v>
      </c>
      <c r="DK2" s="50" t="s">
        <v>2286</v>
      </c>
      <c r="DL2" s="50" t="s">
        <v>2286</v>
      </c>
      <c r="DM2" s="50" t="s">
        <v>2286</v>
      </c>
      <c r="DN2" s="50" t="s">
        <v>2286</v>
      </c>
      <c r="DO2" s="50" t="s">
        <v>2286</v>
      </c>
      <c r="DP2" s="50" t="s">
        <v>2286</v>
      </c>
      <c r="DQ2" s="50" t="s">
        <v>2286</v>
      </c>
      <c r="DR2" s="50" t="s">
        <v>2286</v>
      </c>
      <c r="DS2" s="50" t="s">
        <v>2286</v>
      </c>
      <c r="DT2" s="50" t="s">
        <v>2286</v>
      </c>
      <c r="DU2" s="50" t="s">
        <v>2286</v>
      </c>
      <c r="DV2" s="50" t="s">
        <v>2286</v>
      </c>
      <c r="DW2" s="50" t="s">
        <v>2286</v>
      </c>
      <c r="DX2" s="50" t="s">
        <v>2286</v>
      </c>
      <c r="DY2" s="50" t="s">
        <v>2286</v>
      </c>
      <c r="DZ2" s="50" t="s">
        <v>2286</v>
      </c>
      <c r="EA2" s="50" t="s">
        <v>2286</v>
      </c>
      <c r="EB2" s="50" t="s">
        <v>2286</v>
      </c>
      <c r="EC2" s="50" t="s">
        <v>2286</v>
      </c>
      <c r="ED2" s="50" t="s">
        <v>2286</v>
      </c>
      <c r="EE2" s="23" t="s">
        <v>2286</v>
      </c>
      <c r="EF2" s="23" t="s">
        <v>2286</v>
      </c>
      <c r="EG2" s="23" t="s">
        <v>2286</v>
      </c>
      <c r="EH2" s="23" t="s">
        <v>2286</v>
      </c>
      <c r="EI2" s="23" t="s">
        <v>2286</v>
      </c>
      <c r="EJ2" s="23" t="s">
        <v>2286</v>
      </c>
      <c r="EK2" s="23" t="s">
        <v>2286</v>
      </c>
      <c r="EL2" s="23" t="s">
        <v>2286</v>
      </c>
      <c r="EM2" s="23" t="s">
        <v>2286</v>
      </c>
      <c r="EN2" s="23" t="s">
        <v>2286</v>
      </c>
      <c r="EO2" s="23" t="s">
        <v>2286</v>
      </c>
      <c r="EP2" s="23" t="s">
        <v>2286</v>
      </c>
      <c r="EQ2" s="23" t="s">
        <v>2286</v>
      </c>
      <c r="ER2" s="23" t="s">
        <v>2286</v>
      </c>
      <c r="ES2" s="23" t="s">
        <v>2286</v>
      </c>
      <c r="ET2" s="23" t="s">
        <v>2286</v>
      </c>
      <c r="EU2" s="23" t="s">
        <v>2286</v>
      </c>
      <c r="EV2" s="23" t="s">
        <v>2286</v>
      </c>
      <c r="EW2" s="23" t="s">
        <v>2286</v>
      </c>
      <c r="EX2" s="23" t="s">
        <v>2286</v>
      </c>
      <c r="EY2" s="23" t="s">
        <v>2286</v>
      </c>
      <c r="EZ2" s="23" t="s">
        <v>2286</v>
      </c>
      <c r="FA2" s="23" t="s">
        <v>2286</v>
      </c>
      <c r="FB2" s="23" t="s">
        <v>2286</v>
      </c>
      <c r="FC2" s="23" t="s">
        <v>2286</v>
      </c>
      <c r="FD2" s="23" t="s">
        <v>2286</v>
      </c>
      <c r="FE2" s="23" t="s">
        <v>2286</v>
      </c>
      <c r="FF2" s="23" t="s">
        <v>2286</v>
      </c>
      <c r="FG2" s="23" t="s">
        <v>2286</v>
      </c>
      <c r="FH2" s="23" t="s">
        <v>2286</v>
      </c>
      <c r="FI2" s="23" t="s">
        <v>2286</v>
      </c>
    </row>
    <row r="3" spans="1:165">
      <c r="A3" s="1" t="s">
        <v>2599</v>
      </c>
      <c r="B3" s="3"/>
      <c r="C3" s="3">
        <v>2002</v>
      </c>
      <c r="D3" s="3">
        <v>2002</v>
      </c>
      <c r="E3" s="3">
        <v>1989</v>
      </c>
      <c r="F3" s="3">
        <v>1989</v>
      </c>
      <c r="G3" s="3">
        <v>1989</v>
      </c>
      <c r="H3" s="3">
        <v>1989</v>
      </c>
      <c r="I3" s="3">
        <v>1989</v>
      </c>
      <c r="J3" s="3">
        <v>1989</v>
      </c>
      <c r="K3" s="3">
        <v>1984</v>
      </c>
      <c r="L3" s="3">
        <v>1984</v>
      </c>
      <c r="M3" s="3">
        <v>1984</v>
      </c>
      <c r="N3" s="3">
        <v>1984</v>
      </c>
      <c r="O3" s="3">
        <v>1984</v>
      </c>
      <c r="P3" s="3">
        <v>1989</v>
      </c>
      <c r="Q3" s="3">
        <v>1989</v>
      </c>
      <c r="R3" s="3">
        <v>1989</v>
      </c>
      <c r="S3" s="3">
        <v>1989</v>
      </c>
      <c r="T3" s="3">
        <v>1989</v>
      </c>
      <c r="U3" s="3">
        <v>1989</v>
      </c>
      <c r="V3" s="3">
        <v>1989</v>
      </c>
      <c r="W3" s="3">
        <v>1989</v>
      </c>
      <c r="X3" s="3">
        <v>1989</v>
      </c>
      <c r="Y3" s="3">
        <v>1989</v>
      </c>
      <c r="Z3" s="3">
        <v>1989</v>
      </c>
      <c r="AA3" s="3">
        <v>2011</v>
      </c>
      <c r="AB3" s="3">
        <v>2011</v>
      </c>
      <c r="AC3" s="3">
        <v>2011</v>
      </c>
      <c r="AD3" s="3">
        <v>2011</v>
      </c>
      <c r="AE3" s="3">
        <v>2011</v>
      </c>
      <c r="AF3" s="3">
        <v>2011</v>
      </c>
      <c r="AG3" s="3">
        <v>2011</v>
      </c>
      <c r="AH3" s="3">
        <v>2014</v>
      </c>
      <c r="AI3" s="3">
        <v>2014</v>
      </c>
      <c r="AJ3" s="3">
        <v>1985</v>
      </c>
      <c r="AK3" s="3">
        <v>1985</v>
      </c>
      <c r="AL3" s="3">
        <v>1985</v>
      </c>
      <c r="AM3" s="3">
        <v>1985</v>
      </c>
      <c r="AN3" s="3">
        <v>1985</v>
      </c>
      <c r="AO3" s="3">
        <v>1985</v>
      </c>
      <c r="AP3" s="3">
        <v>1985</v>
      </c>
      <c r="AQ3" s="3">
        <v>1985</v>
      </c>
      <c r="AR3" s="23">
        <v>2021</v>
      </c>
      <c r="AS3" s="23">
        <v>2021</v>
      </c>
      <c r="AT3" s="23">
        <v>2021</v>
      </c>
      <c r="AU3" s="23">
        <v>2021</v>
      </c>
      <c r="AV3" s="23">
        <v>2021</v>
      </c>
      <c r="AW3" s="23">
        <v>2021</v>
      </c>
      <c r="AX3" s="23">
        <v>2021</v>
      </c>
      <c r="AY3" s="23">
        <v>2021</v>
      </c>
      <c r="AZ3" s="23">
        <v>2021</v>
      </c>
      <c r="BA3" s="23">
        <v>2021</v>
      </c>
      <c r="BB3" s="23">
        <v>2021</v>
      </c>
      <c r="BC3" s="23">
        <v>2021</v>
      </c>
      <c r="BD3" s="23">
        <v>2021</v>
      </c>
      <c r="BE3" s="23">
        <v>2021</v>
      </c>
      <c r="BF3" s="23">
        <v>2021</v>
      </c>
      <c r="BG3" s="23">
        <v>2021</v>
      </c>
      <c r="BH3" s="23">
        <v>2021</v>
      </c>
      <c r="BI3" s="23">
        <v>2021</v>
      </c>
      <c r="BJ3" s="23">
        <v>2021</v>
      </c>
      <c r="BK3" s="23">
        <v>2021</v>
      </c>
      <c r="BL3" s="23">
        <v>2021</v>
      </c>
      <c r="BM3" s="62">
        <v>2022</v>
      </c>
      <c r="BN3" s="62">
        <v>2022</v>
      </c>
      <c r="BO3" s="62">
        <v>2022</v>
      </c>
      <c r="BP3" s="62">
        <v>2022</v>
      </c>
      <c r="BQ3" s="62">
        <v>2022</v>
      </c>
      <c r="BR3" s="62">
        <v>2022</v>
      </c>
      <c r="BS3" s="62">
        <v>2022</v>
      </c>
      <c r="BT3" s="23" t="s">
        <v>2368</v>
      </c>
      <c r="BU3" s="23" t="s">
        <v>2368</v>
      </c>
      <c r="BV3" s="23" t="s">
        <v>2368</v>
      </c>
      <c r="BW3" s="23" t="s">
        <v>2368</v>
      </c>
      <c r="BX3" s="23" t="s">
        <v>2368</v>
      </c>
      <c r="BY3" s="23" t="s">
        <v>2368</v>
      </c>
      <c r="BZ3" s="23" t="s">
        <v>2368</v>
      </c>
      <c r="CA3" s="23" t="s">
        <v>2368</v>
      </c>
      <c r="CB3" s="23" t="s">
        <v>2368</v>
      </c>
      <c r="CC3" s="23" t="s">
        <v>2368</v>
      </c>
      <c r="CD3" s="23">
        <v>2021</v>
      </c>
      <c r="CE3" s="23">
        <v>2021</v>
      </c>
      <c r="CF3" s="23">
        <v>2021</v>
      </c>
      <c r="CG3" s="23">
        <v>2021</v>
      </c>
      <c r="CH3" s="23">
        <v>2021</v>
      </c>
      <c r="CI3" s="23">
        <v>2021</v>
      </c>
      <c r="CJ3" s="23">
        <v>2021</v>
      </c>
      <c r="CK3" s="23">
        <v>2021</v>
      </c>
      <c r="CL3" s="23">
        <v>2021</v>
      </c>
      <c r="CM3" s="23">
        <v>2021</v>
      </c>
      <c r="CN3" s="3">
        <v>2009</v>
      </c>
      <c r="CO3" s="3">
        <v>2009</v>
      </c>
      <c r="CP3" s="3">
        <v>2009</v>
      </c>
      <c r="CQ3" s="3">
        <v>2009</v>
      </c>
      <c r="CR3" s="3">
        <v>2009</v>
      </c>
      <c r="CS3" s="3">
        <v>2009</v>
      </c>
      <c r="CT3" s="3">
        <v>2009</v>
      </c>
      <c r="CU3" s="3">
        <v>2009</v>
      </c>
      <c r="CV3" s="3">
        <v>2009</v>
      </c>
      <c r="CW3" s="3">
        <v>2022</v>
      </c>
      <c r="CX3" s="3">
        <v>2022</v>
      </c>
      <c r="CY3" s="3">
        <v>2022</v>
      </c>
      <c r="CZ3" s="3">
        <v>2022</v>
      </c>
      <c r="DA3" s="3">
        <v>2022</v>
      </c>
      <c r="DB3" s="3">
        <v>2022</v>
      </c>
      <c r="DC3" s="3">
        <v>2022</v>
      </c>
      <c r="DD3" s="3">
        <v>2022</v>
      </c>
      <c r="DE3" s="3">
        <v>2022</v>
      </c>
      <c r="DF3" s="3">
        <v>2022</v>
      </c>
      <c r="DG3" s="3">
        <v>2022</v>
      </c>
      <c r="DH3" s="3">
        <v>2022</v>
      </c>
      <c r="DI3" s="3">
        <v>2022</v>
      </c>
      <c r="DJ3" s="3">
        <v>2022</v>
      </c>
      <c r="DK3" s="3">
        <v>2022</v>
      </c>
      <c r="DL3" s="3">
        <v>2022</v>
      </c>
      <c r="DM3" s="3">
        <v>2022</v>
      </c>
      <c r="DN3" s="3">
        <v>2022</v>
      </c>
      <c r="DO3" s="3">
        <v>2022</v>
      </c>
      <c r="DP3" s="3">
        <v>2022</v>
      </c>
      <c r="DQ3" s="3">
        <v>2022</v>
      </c>
      <c r="DR3" s="3">
        <v>2022</v>
      </c>
      <c r="DS3" s="3">
        <v>2022</v>
      </c>
      <c r="DT3" s="23">
        <v>2022</v>
      </c>
      <c r="DU3" s="23">
        <v>2022</v>
      </c>
      <c r="DV3" s="23">
        <v>2022</v>
      </c>
      <c r="DW3" s="23">
        <v>2022</v>
      </c>
      <c r="DX3" s="23">
        <v>2022</v>
      </c>
      <c r="DY3" s="23">
        <v>2022</v>
      </c>
      <c r="DZ3" s="23">
        <v>2022</v>
      </c>
      <c r="EA3" s="23">
        <v>2022</v>
      </c>
      <c r="EB3" s="23">
        <v>2022</v>
      </c>
      <c r="EC3" s="23">
        <v>2022</v>
      </c>
      <c r="ED3" s="23">
        <v>2022</v>
      </c>
      <c r="EE3" s="23">
        <v>2015</v>
      </c>
      <c r="EF3" s="23">
        <v>2015</v>
      </c>
      <c r="EG3" s="23">
        <v>2015</v>
      </c>
      <c r="EH3" s="23">
        <v>2015</v>
      </c>
      <c r="EI3" s="23">
        <v>2015</v>
      </c>
      <c r="EJ3" s="23">
        <v>2015</v>
      </c>
      <c r="EK3" s="23">
        <v>2015</v>
      </c>
      <c r="EL3" s="23">
        <v>2015</v>
      </c>
      <c r="EM3" s="23">
        <v>2015</v>
      </c>
      <c r="EN3" s="23">
        <v>2015</v>
      </c>
      <c r="EO3" s="23">
        <v>2015</v>
      </c>
      <c r="EP3" s="23">
        <v>2015</v>
      </c>
      <c r="EQ3" s="23">
        <v>2005</v>
      </c>
      <c r="ER3" s="23">
        <v>2005</v>
      </c>
      <c r="ES3" s="23">
        <v>2005</v>
      </c>
      <c r="ET3" s="23">
        <v>2005</v>
      </c>
      <c r="EU3" s="23">
        <v>2005</v>
      </c>
      <c r="EV3" s="23">
        <v>2005</v>
      </c>
      <c r="EW3" s="23">
        <v>2022</v>
      </c>
      <c r="EX3" s="23">
        <v>2022</v>
      </c>
      <c r="EY3" s="23">
        <v>2022</v>
      </c>
      <c r="EZ3" s="23">
        <v>2022</v>
      </c>
      <c r="FA3" s="23">
        <v>2016</v>
      </c>
      <c r="FB3" s="23">
        <v>2016</v>
      </c>
      <c r="FC3" s="23">
        <v>2016</v>
      </c>
      <c r="FD3" s="23">
        <v>2016</v>
      </c>
      <c r="FE3" s="23">
        <v>2016</v>
      </c>
      <c r="FF3" s="23">
        <v>2015</v>
      </c>
      <c r="FG3" s="23">
        <v>2015</v>
      </c>
      <c r="FH3" s="23">
        <v>2015</v>
      </c>
      <c r="FI3" s="23">
        <v>2010</v>
      </c>
    </row>
    <row r="4" spans="1:165">
      <c r="A4" s="1" t="s">
        <v>2600</v>
      </c>
      <c r="B4" s="3"/>
      <c r="C4" s="3">
        <v>1994</v>
      </c>
      <c r="D4" s="3">
        <v>1997</v>
      </c>
      <c r="E4" s="3">
        <v>1980</v>
      </c>
      <c r="F4" s="3">
        <v>1981</v>
      </c>
      <c r="G4" s="3">
        <v>1988</v>
      </c>
      <c r="H4" s="3">
        <v>1985</v>
      </c>
      <c r="I4" s="3">
        <v>1987</v>
      </c>
      <c r="J4" s="3">
        <v>1987</v>
      </c>
      <c r="K4" s="3">
        <v>1965</v>
      </c>
      <c r="L4" s="3">
        <v>1969</v>
      </c>
      <c r="M4" s="3">
        <v>1967</v>
      </c>
      <c r="N4" s="3">
        <v>1968</v>
      </c>
      <c r="O4" s="3">
        <v>1975</v>
      </c>
      <c r="P4" s="3">
        <v>1959</v>
      </c>
      <c r="Q4" s="3">
        <v>1960</v>
      </c>
      <c r="R4" s="3">
        <v>1960</v>
      </c>
      <c r="S4" s="3">
        <v>1960</v>
      </c>
      <c r="T4" s="3">
        <v>1961</v>
      </c>
      <c r="U4" s="3">
        <v>1967</v>
      </c>
      <c r="V4" s="3">
        <v>1967</v>
      </c>
      <c r="W4" s="3">
        <v>1967</v>
      </c>
      <c r="X4" s="3">
        <v>1982</v>
      </c>
      <c r="Y4" s="3">
        <v>1982</v>
      </c>
      <c r="Z4" s="3">
        <v>1982</v>
      </c>
      <c r="AA4" s="3">
        <v>1960</v>
      </c>
      <c r="AB4" s="3">
        <v>1961</v>
      </c>
      <c r="AC4" s="3">
        <v>1961</v>
      </c>
      <c r="AD4" s="3">
        <v>1959</v>
      </c>
      <c r="AE4" s="3">
        <v>1960</v>
      </c>
      <c r="AF4" s="3">
        <v>1962</v>
      </c>
      <c r="AG4" s="3">
        <v>1963</v>
      </c>
      <c r="AH4" s="3">
        <v>1999</v>
      </c>
      <c r="AI4" s="3">
        <v>1999</v>
      </c>
      <c r="AJ4" s="3">
        <v>1963</v>
      </c>
      <c r="AK4" s="3">
        <v>1963</v>
      </c>
      <c r="AL4" s="3">
        <v>1966</v>
      </c>
      <c r="AM4" s="3">
        <v>1966</v>
      </c>
      <c r="AN4" s="3">
        <v>1967</v>
      </c>
      <c r="AO4" s="3">
        <v>1972</v>
      </c>
      <c r="AP4" s="3">
        <v>1972</v>
      </c>
      <c r="AQ4" s="3">
        <v>1972</v>
      </c>
      <c r="AR4" s="23">
        <v>1967</v>
      </c>
      <c r="AS4" s="23">
        <v>1967</v>
      </c>
      <c r="AT4" s="23">
        <v>1967</v>
      </c>
      <c r="AU4" s="23">
        <v>1967</v>
      </c>
      <c r="AV4" s="23">
        <v>1967</v>
      </c>
      <c r="AW4" s="23">
        <v>1967</v>
      </c>
      <c r="AX4" s="23">
        <v>1967</v>
      </c>
      <c r="AY4" s="23">
        <v>1968</v>
      </c>
      <c r="AZ4" s="23">
        <v>1968</v>
      </c>
      <c r="BA4" s="23">
        <v>1984</v>
      </c>
      <c r="BB4" s="23">
        <v>1984</v>
      </c>
      <c r="BC4" s="23">
        <v>1988</v>
      </c>
      <c r="BD4" s="23">
        <v>1988</v>
      </c>
      <c r="BE4" s="23">
        <v>1990</v>
      </c>
      <c r="BF4" s="23">
        <v>1998</v>
      </c>
      <c r="BG4" s="23">
        <v>1997</v>
      </c>
      <c r="BH4" s="23">
        <v>1998</v>
      </c>
      <c r="BI4" s="23">
        <v>2001</v>
      </c>
      <c r="BJ4" s="23">
        <v>2007</v>
      </c>
      <c r="BK4" s="23">
        <v>1997</v>
      </c>
      <c r="BL4" s="23">
        <v>1998</v>
      </c>
      <c r="BM4" s="62">
        <v>2022</v>
      </c>
      <c r="BN4" s="62">
        <v>2017</v>
      </c>
      <c r="BO4" s="62">
        <v>2017</v>
      </c>
      <c r="BP4" s="62">
        <v>2018</v>
      </c>
      <c r="BQ4" s="62">
        <v>2023</v>
      </c>
      <c r="BR4" s="62">
        <v>2017</v>
      </c>
      <c r="BS4" s="62">
        <v>2018</v>
      </c>
      <c r="BT4" s="23">
        <v>1982</v>
      </c>
      <c r="BU4" s="23">
        <v>1982</v>
      </c>
      <c r="BV4" s="23">
        <v>1982</v>
      </c>
      <c r="BW4" s="23">
        <v>1982</v>
      </c>
      <c r="BX4" s="23">
        <v>1987</v>
      </c>
      <c r="BY4" s="23">
        <v>1987</v>
      </c>
      <c r="BZ4" s="23">
        <v>1999</v>
      </c>
      <c r="CA4" s="23">
        <v>1999</v>
      </c>
      <c r="CB4" s="23">
        <v>1999</v>
      </c>
      <c r="CC4" s="23">
        <v>1999</v>
      </c>
      <c r="CD4" s="23">
        <v>1982</v>
      </c>
      <c r="CE4" s="23">
        <v>1982</v>
      </c>
      <c r="CF4" s="23">
        <v>1982</v>
      </c>
      <c r="CG4" s="23">
        <v>1982</v>
      </c>
      <c r="CH4" s="23">
        <v>1982</v>
      </c>
      <c r="CI4" s="23">
        <v>1982</v>
      </c>
      <c r="CJ4" s="23">
        <v>1982</v>
      </c>
      <c r="CK4" s="23">
        <v>1982</v>
      </c>
      <c r="CL4" s="23">
        <v>1982</v>
      </c>
      <c r="CM4" s="23">
        <v>1982</v>
      </c>
      <c r="CN4" s="3">
        <v>1985</v>
      </c>
      <c r="CO4" s="3">
        <v>1985</v>
      </c>
      <c r="CP4" s="3">
        <v>1985</v>
      </c>
      <c r="CQ4" s="3">
        <v>1985</v>
      </c>
      <c r="CR4" s="3">
        <v>1985</v>
      </c>
      <c r="CS4" s="3">
        <v>1988</v>
      </c>
      <c r="CT4" s="3">
        <v>1987</v>
      </c>
      <c r="CU4" s="3">
        <v>1996</v>
      </c>
      <c r="CV4" s="3">
        <v>1988</v>
      </c>
      <c r="CW4" s="3">
        <v>2003</v>
      </c>
      <c r="CX4" s="3">
        <v>2007</v>
      </c>
      <c r="CY4" s="3">
        <v>2003</v>
      </c>
      <c r="CZ4" s="3">
        <v>2007</v>
      </c>
      <c r="DA4" s="3">
        <v>1997</v>
      </c>
      <c r="DB4" s="3">
        <v>1997</v>
      </c>
      <c r="DC4" s="3">
        <v>2002</v>
      </c>
      <c r="DD4" s="3">
        <v>1997</v>
      </c>
      <c r="DE4" s="3">
        <v>2002</v>
      </c>
      <c r="DF4" s="3">
        <v>2018</v>
      </c>
      <c r="DG4" s="3">
        <v>2020</v>
      </c>
      <c r="DH4" s="3">
        <v>2019</v>
      </c>
      <c r="DI4" s="3">
        <v>1988</v>
      </c>
      <c r="DJ4" s="3">
        <v>1990</v>
      </c>
      <c r="DK4" s="3">
        <v>1996</v>
      </c>
      <c r="DL4" s="3">
        <v>1989</v>
      </c>
      <c r="DM4" s="3">
        <v>1993</v>
      </c>
      <c r="DN4" s="3">
        <v>2018</v>
      </c>
      <c r="DO4" s="3">
        <v>2016</v>
      </c>
      <c r="DP4" s="3">
        <v>2015</v>
      </c>
      <c r="DQ4" s="3">
        <v>2019</v>
      </c>
      <c r="DR4" s="3">
        <v>2019</v>
      </c>
      <c r="DS4" s="3">
        <v>2019</v>
      </c>
      <c r="DT4" s="23">
        <v>1995</v>
      </c>
      <c r="DU4" s="23">
        <v>1995</v>
      </c>
      <c r="DV4" s="23">
        <v>2005</v>
      </c>
      <c r="DW4" s="23">
        <v>1997</v>
      </c>
      <c r="DX4" s="23">
        <v>1997</v>
      </c>
      <c r="DY4" s="23">
        <v>2018</v>
      </c>
      <c r="DZ4" s="23">
        <v>2018</v>
      </c>
      <c r="EA4" s="23">
        <v>2016</v>
      </c>
      <c r="EB4" s="23">
        <v>2017</v>
      </c>
      <c r="EC4" s="23">
        <v>2023</v>
      </c>
      <c r="ED4" s="23">
        <v>2023</v>
      </c>
      <c r="EE4" s="23">
        <v>2004</v>
      </c>
      <c r="EF4" s="23">
        <v>2004</v>
      </c>
      <c r="EG4" s="23">
        <v>2004</v>
      </c>
      <c r="EH4" s="23">
        <v>2006</v>
      </c>
      <c r="EI4" s="23">
        <v>2006</v>
      </c>
      <c r="EJ4" s="23">
        <v>2006</v>
      </c>
      <c r="EK4" s="23">
        <v>2005</v>
      </c>
      <c r="EL4" s="23">
        <v>2005</v>
      </c>
      <c r="EM4" s="23">
        <v>2005</v>
      </c>
      <c r="EN4" s="23">
        <v>2005</v>
      </c>
      <c r="EO4" s="23">
        <v>2005</v>
      </c>
      <c r="EP4" s="23">
        <v>2005</v>
      </c>
      <c r="EQ4" s="23">
        <v>1999</v>
      </c>
      <c r="ER4" s="23">
        <v>1999</v>
      </c>
      <c r="ES4" s="23">
        <v>2001</v>
      </c>
      <c r="ET4" s="23">
        <v>1996</v>
      </c>
      <c r="EU4" s="23">
        <v>1998</v>
      </c>
      <c r="EV4" s="23">
        <v>2002</v>
      </c>
      <c r="EW4" s="23">
        <v>2024</v>
      </c>
      <c r="EX4" s="23">
        <v>2018</v>
      </c>
      <c r="EY4" s="23">
        <v>2018</v>
      </c>
      <c r="EZ4" s="23">
        <v>2019</v>
      </c>
      <c r="FA4" s="23">
        <v>1992</v>
      </c>
      <c r="FB4" s="23">
        <v>1992</v>
      </c>
      <c r="FC4" s="23">
        <v>1994</v>
      </c>
      <c r="FD4" s="23">
        <v>1994</v>
      </c>
      <c r="FE4" s="23">
        <v>1994</v>
      </c>
      <c r="FF4" s="23">
        <v>2001</v>
      </c>
      <c r="FG4" s="23">
        <v>2003</v>
      </c>
      <c r="FH4" s="23">
        <v>2005</v>
      </c>
      <c r="FI4" s="23">
        <v>2010</v>
      </c>
    </row>
    <row r="5" spans="1:165">
      <c r="A5" s="1" t="s">
        <v>2370</v>
      </c>
      <c r="B5" s="3"/>
      <c r="C5" s="28" t="s">
        <v>2375</v>
      </c>
      <c r="D5" s="28" t="s">
        <v>2375</v>
      </c>
      <c r="E5" s="28" t="s">
        <v>2375</v>
      </c>
      <c r="F5" s="28" t="s">
        <v>2375</v>
      </c>
      <c r="G5" s="28" t="s">
        <v>2375</v>
      </c>
      <c r="H5" s="28" t="s">
        <v>2375</v>
      </c>
      <c r="I5" s="28" t="s">
        <v>2375</v>
      </c>
      <c r="J5" s="28" t="s">
        <v>2375</v>
      </c>
      <c r="K5" s="29" t="s">
        <v>2601</v>
      </c>
      <c r="L5" s="29" t="s">
        <v>2601</v>
      </c>
      <c r="M5" s="28" t="s">
        <v>2375</v>
      </c>
      <c r="N5" s="28" t="s">
        <v>2375</v>
      </c>
      <c r="O5" s="28" t="s">
        <v>2375</v>
      </c>
      <c r="P5" s="28" t="s">
        <v>2375</v>
      </c>
      <c r="Q5" s="28" t="s">
        <v>2375</v>
      </c>
      <c r="R5" s="28" t="s">
        <v>2375</v>
      </c>
      <c r="S5" s="28" t="s">
        <v>2375</v>
      </c>
      <c r="T5" s="28" t="s">
        <v>2375</v>
      </c>
      <c r="U5" s="28" t="s">
        <v>2375</v>
      </c>
      <c r="V5" s="28" t="s">
        <v>2375</v>
      </c>
      <c r="W5" s="28" t="s">
        <v>2375</v>
      </c>
      <c r="X5" s="28" t="s">
        <v>2375</v>
      </c>
      <c r="Y5" s="28" t="s">
        <v>2375</v>
      </c>
      <c r="Z5" s="28" t="s">
        <v>2375</v>
      </c>
      <c r="AA5" s="28" t="s">
        <v>2375</v>
      </c>
      <c r="AB5" s="28" t="s">
        <v>2375</v>
      </c>
      <c r="AC5" s="28" t="s">
        <v>2375</v>
      </c>
      <c r="AD5" s="28" t="s">
        <v>2375</v>
      </c>
      <c r="AE5" s="28" t="s">
        <v>2375</v>
      </c>
      <c r="AF5" s="28" t="s">
        <v>2375</v>
      </c>
      <c r="AG5" s="28" t="s">
        <v>2375</v>
      </c>
      <c r="AH5" s="28" t="s">
        <v>2375</v>
      </c>
      <c r="AI5" s="28" t="s">
        <v>2375</v>
      </c>
      <c r="AJ5" s="28" t="s">
        <v>2375</v>
      </c>
      <c r="AK5" s="28" t="s">
        <v>2375</v>
      </c>
      <c r="AL5" s="28" t="s">
        <v>2375</v>
      </c>
      <c r="AM5" s="28" t="s">
        <v>2375</v>
      </c>
      <c r="AN5" s="28" t="s">
        <v>2375</v>
      </c>
      <c r="AO5" s="28" t="s">
        <v>2375</v>
      </c>
      <c r="AP5" s="28" t="s">
        <v>2375</v>
      </c>
      <c r="AQ5" s="28" t="s">
        <v>2375</v>
      </c>
      <c r="AR5" s="29" t="s">
        <v>2601</v>
      </c>
      <c r="AS5" s="29" t="s">
        <v>2601</v>
      </c>
      <c r="AT5" s="28" t="s">
        <v>2375</v>
      </c>
      <c r="AU5" s="30" t="s">
        <v>2601</v>
      </c>
      <c r="AV5" s="28" t="s">
        <v>2375</v>
      </c>
      <c r="AW5" s="30" t="s">
        <v>2601</v>
      </c>
      <c r="AX5" s="28" t="s">
        <v>2375</v>
      </c>
      <c r="AY5" s="30" t="s">
        <v>2601</v>
      </c>
      <c r="AZ5" s="28" t="s">
        <v>2375</v>
      </c>
      <c r="BA5" s="28" t="s">
        <v>2375</v>
      </c>
      <c r="BB5" s="28" t="s">
        <v>2375</v>
      </c>
      <c r="BC5" s="28" t="s">
        <v>2375</v>
      </c>
      <c r="BD5" s="28" t="s">
        <v>2375</v>
      </c>
      <c r="BE5" s="28" t="s">
        <v>2375</v>
      </c>
      <c r="BF5" s="28" t="s">
        <v>2375</v>
      </c>
      <c r="BG5" s="28" t="s">
        <v>2375</v>
      </c>
      <c r="BH5" s="28" t="s">
        <v>2375</v>
      </c>
      <c r="BI5" s="28" t="s">
        <v>2375</v>
      </c>
      <c r="BJ5" s="28" t="s">
        <v>2375</v>
      </c>
      <c r="BK5" s="31" t="s">
        <v>2375</v>
      </c>
      <c r="BL5" s="31" t="s">
        <v>2375</v>
      </c>
      <c r="BM5" s="28" t="s">
        <v>2375</v>
      </c>
      <c r="BN5" s="28" t="s">
        <v>2375</v>
      </c>
      <c r="BO5" s="28" t="s">
        <v>2375</v>
      </c>
      <c r="BP5" s="28" t="s">
        <v>2375</v>
      </c>
      <c r="BQ5" s="28" t="s">
        <v>2375</v>
      </c>
      <c r="BR5" s="31" t="s">
        <v>2375</v>
      </c>
      <c r="BS5" s="31" t="s">
        <v>2375</v>
      </c>
      <c r="BT5" s="28" t="s">
        <v>2375</v>
      </c>
      <c r="BU5" s="28" t="s">
        <v>2375</v>
      </c>
      <c r="BV5" s="28" t="s">
        <v>2375</v>
      </c>
      <c r="BW5" s="28" t="s">
        <v>2375</v>
      </c>
      <c r="BX5" s="28" t="s">
        <v>2375</v>
      </c>
      <c r="BY5" s="28" t="s">
        <v>2375</v>
      </c>
      <c r="BZ5" s="28" t="s">
        <v>2375</v>
      </c>
      <c r="CA5" s="28" t="s">
        <v>2375</v>
      </c>
      <c r="CB5" s="28" t="s">
        <v>2375</v>
      </c>
      <c r="CC5" s="28" t="s">
        <v>2375</v>
      </c>
      <c r="CD5" s="28" t="s">
        <v>2375</v>
      </c>
      <c r="CE5" s="28" t="s">
        <v>2375</v>
      </c>
      <c r="CF5" s="28" t="s">
        <v>2375</v>
      </c>
      <c r="CG5" s="28" t="s">
        <v>2375</v>
      </c>
      <c r="CH5" s="28" t="s">
        <v>2375</v>
      </c>
      <c r="CI5" s="28" t="s">
        <v>2375</v>
      </c>
      <c r="CJ5" s="28" t="s">
        <v>2375</v>
      </c>
      <c r="CK5" s="28" t="s">
        <v>2375</v>
      </c>
      <c r="CL5" s="28" t="s">
        <v>2375</v>
      </c>
      <c r="CM5" s="28" t="s">
        <v>2375</v>
      </c>
      <c r="CN5" s="28" t="s">
        <v>2375</v>
      </c>
      <c r="CO5" s="28" t="s">
        <v>2375</v>
      </c>
      <c r="CP5" s="28" t="s">
        <v>2375</v>
      </c>
      <c r="CQ5" s="28" t="s">
        <v>2375</v>
      </c>
      <c r="CR5" s="28" t="s">
        <v>2375</v>
      </c>
      <c r="CS5" s="28" t="s">
        <v>2375</v>
      </c>
      <c r="CT5" s="28" t="s">
        <v>2375</v>
      </c>
      <c r="CU5" s="28" t="s">
        <v>2375</v>
      </c>
      <c r="CV5" s="28" t="s">
        <v>2375</v>
      </c>
      <c r="CW5" s="28" t="s">
        <v>2375</v>
      </c>
      <c r="CX5" s="28" t="s">
        <v>2375</v>
      </c>
      <c r="CY5" s="28" t="s">
        <v>2375</v>
      </c>
      <c r="CZ5" s="28" t="s">
        <v>2375</v>
      </c>
      <c r="DA5" s="28" t="s">
        <v>2375</v>
      </c>
      <c r="DB5" s="28" t="s">
        <v>2375</v>
      </c>
      <c r="DC5" s="28" t="s">
        <v>2375</v>
      </c>
      <c r="DD5" s="28" t="s">
        <v>2375</v>
      </c>
      <c r="DE5" s="28" t="s">
        <v>2375</v>
      </c>
      <c r="DF5" s="28" t="s">
        <v>2375</v>
      </c>
      <c r="DG5" s="28" t="s">
        <v>2375</v>
      </c>
      <c r="DH5" s="28" t="s">
        <v>2375</v>
      </c>
      <c r="DI5" s="28" t="s">
        <v>2375</v>
      </c>
      <c r="DJ5" s="28" t="s">
        <v>2375</v>
      </c>
      <c r="DK5" s="28" t="s">
        <v>2375</v>
      </c>
      <c r="DL5" s="28" t="s">
        <v>2375</v>
      </c>
      <c r="DM5" s="28" t="s">
        <v>2375</v>
      </c>
      <c r="DN5" s="28" t="s">
        <v>2375</v>
      </c>
      <c r="DO5" s="28" t="s">
        <v>2375</v>
      </c>
      <c r="DP5" s="28" t="s">
        <v>2375</v>
      </c>
      <c r="DQ5" s="28" t="s">
        <v>2375</v>
      </c>
      <c r="DR5" s="28" t="s">
        <v>2375</v>
      </c>
      <c r="DS5" s="28" t="s">
        <v>2375</v>
      </c>
      <c r="DT5" s="28" t="s">
        <v>2375</v>
      </c>
      <c r="DU5" s="28" t="s">
        <v>2375</v>
      </c>
      <c r="DV5" s="28" t="s">
        <v>2375</v>
      </c>
      <c r="DW5" s="28" t="s">
        <v>2375</v>
      </c>
      <c r="DX5" s="28" t="s">
        <v>2375</v>
      </c>
      <c r="DY5" s="28" t="s">
        <v>2375</v>
      </c>
      <c r="DZ5" s="28" t="s">
        <v>2375</v>
      </c>
      <c r="EA5" s="28" t="s">
        <v>2375</v>
      </c>
      <c r="EB5" s="28" t="s">
        <v>2375</v>
      </c>
      <c r="EC5" s="28" t="s">
        <v>2375</v>
      </c>
      <c r="ED5" s="28" t="s">
        <v>2375</v>
      </c>
      <c r="EE5" s="29" t="s">
        <v>2601</v>
      </c>
      <c r="EF5" s="29" t="s">
        <v>2601</v>
      </c>
      <c r="EG5" s="29" t="s">
        <v>2601</v>
      </c>
      <c r="EH5" s="29" t="s">
        <v>2601</v>
      </c>
      <c r="EI5" s="29" t="s">
        <v>2601</v>
      </c>
      <c r="EJ5" s="29" t="s">
        <v>2601</v>
      </c>
      <c r="EK5" s="29" t="s">
        <v>2601</v>
      </c>
      <c r="EL5" s="29" t="s">
        <v>2601</v>
      </c>
      <c r="EM5" s="29" t="s">
        <v>2601</v>
      </c>
      <c r="EN5" s="28" t="s">
        <v>2375</v>
      </c>
      <c r="EO5" s="28" t="s">
        <v>2375</v>
      </c>
      <c r="EP5" s="28" t="s">
        <v>2375</v>
      </c>
      <c r="EQ5" s="29" t="s">
        <v>2601</v>
      </c>
      <c r="ER5" s="29" t="s">
        <v>2601</v>
      </c>
      <c r="ES5" s="29" t="s">
        <v>2601</v>
      </c>
      <c r="ET5" s="29" t="s">
        <v>2601</v>
      </c>
      <c r="EU5" s="29" t="s">
        <v>2601</v>
      </c>
      <c r="EV5" s="29" t="s">
        <v>2601</v>
      </c>
      <c r="EW5" s="29" t="s">
        <v>2601</v>
      </c>
      <c r="EX5" s="29" t="s">
        <v>2601</v>
      </c>
      <c r="EY5" s="28" t="s">
        <v>2375</v>
      </c>
      <c r="EZ5" s="28" t="s">
        <v>2375</v>
      </c>
      <c r="FA5" s="29" t="s">
        <v>2601</v>
      </c>
      <c r="FB5" s="29" t="s">
        <v>2601</v>
      </c>
      <c r="FC5" s="29" t="s">
        <v>2601</v>
      </c>
      <c r="FD5" s="29" t="s">
        <v>2601</v>
      </c>
      <c r="FE5" s="29" t="s">
        <v>2601</v>
      </c>
      <c r="FF5" s="29" t="s">
        <v>2601</v>
      </c>
      <c r="FG5" s="29" t="s">
        <v>2601</v>
      </c>
      <c r="FH5" s="29" t="s">
        <v>2601</v>
      </c>
      <c r="FI5" s="28" t="s">
        <v>2375</v>
      </c>
    </row>
    <row r="6" spans="1:165">
      <c r="A6" s="1" t="s">
        <v>2602</v>
      </c>
      <c r="B6" s="3"/>
      <c r="C6" s="23" t="s">
        <v>1852</v>
      </c>
      <c r="D6" s="23" t="s">
        <v>1852</v>
      </c>
      <c r="E6" s="23" t="s">
        <v>1852</v>
      </c>
      <c r="F6" s="23" t="s">
        <v>1852</v>
      </c>
      <c r="G6" s="23" t="s">
        <v>1852</v>
      </c>
      <c r="H6" s="23" t="s">
        <v>1852</v>
      </c>
      <c r="I6" s="23" t="s">
        <v>1852</v>
      </c>
      <c r="J6" s="23" t="s">
        <v>1852</v>
      </c>
      <c r="K6" s="23" t="s">
        <v>1852</v>
      </c>
      <c r="L6" s="23" t="s">
        <v>1852</v>
      </c>
      <c r="M6" s="23" t="s">
        <v>1852</v>
      </c>
      <c r="N6" s="23" t="s">
        <v>1852</v>
      </c>
      <c r="O6" s="23" t="s">
        <v>1852</v>
      </c>
      <c r="P6" s="23" t="s">
        <v>1852</v>
      </c>
      <c r="Q6" s="23" t="s">
        <v>1852</v>
      </c>
      <c r="R6" s="23" t="s">
        <v>1852</v>
      </c>
      <c r="S6" s="23" t="s">
        <v>1852</v>
      </c>
      <c r="T6" s="23" t="s">
        <v>1852</v>
      </c>
      <c r="U6" s="23" t="s">
        <v>1852</v>
      </c>
      <c r="V6" s="23" t="s">
        <v>1852</v>
      </c>
      <c r="W6" s="23" t="s">
        <v>1852</v>
      </c>
      <c r="X6" s="23" t="s">
        <v>1852</v>
      </c>
      <c r="Y6" s="23" t="s">
        <v>1852</v>
      </c>
      <c r="Z6" s="23" t="s">
        <v>1852</v>
      </c>
      <c r="AA6" s="23" t="s">
        <v>1852</v>
      </c>
      <c r="AB6" s="23" t="s">
        <v>1852</v>
      </c>
      <c r="AC6" s="23" t="s">
        <v>1852</v>
      </c>
      <c r="AD6" s="23" t="s">
        <v>1852</v>
      </c>
      <c r="AE6" s="23" t="s">
        <v>1852</v>
      </c>
      <c r="AF6" s="23" t="s">
        <v>1852</v>
      </c>
      <c r="AG6" s="23" t="s">
        <v>1852</v>
      </c>
      <c r="AH6" s="23" t="s">
        <v>1852</v>
      </c>
      <c r="AI6" s="23" t="s">
        <v>1852</v>
      </c>
      <c r="AJ6" s="23" t="s">
        <v>1852</v>
      </c>
      <c r="AK6" s="23" t="s">
        <v>1852</v>
      </c>
      <c r="AL6" s="23" t="s">
        <v>1852</v>
      </c>
      <c r="AM6" s="23" t="s">
        <v>1852</v>
      </c>
      <c r="AN6" s="23" t="s">
        <v>1852</v>
      </c>
      <c r="AO6" s="23" t="s">
        <v>1852</v>
      </c>
      <c r="AP6" s="23" t="s">
        <v>1852</v>
      </c>
      <c r="AQ6" s="23" t="s">
        <v>1852</v>
      </c>
      <c r="AR6" s="23" t="s">
        <v>1852</v>
      </c>
      <c r="AS6" s="23" t="s">
        <v>1852</v>
      </c>
      <c r="AT6" s="23" t="s">
        <v>1852</v>
      </c>
      <c r="AU6" s="23" t="s">
        <v>1852</v>
      </c>
      <c r="AV6" s="23" t="s">
        <v>1852</v>
      </c>
      <c r="AW6" s="23" t="s">
        <v>1852</v>
      </c>
      <c r="AX6" s="23" t="s">
        <v>1852</v>
      </c>
      <c r="AY6" s="23" t="s">
        <v>1852</v>
      </c>
      <c r="AZ6" s="23" t="s">
        <v>1852</v>
      </c>
      <c r="BA6" s="23" t="s">
        <v>1852</v>
      </c>
      <c r="BB6" s="23" t="s">
        <v>1852</v>
      </c>
      <c r="BC6" s="23" t="s">
        <v>1852</v>
      </c>
      <c r="BD6" s="23" t="s">
        <v>1852</v>
      </c>
      <c r="BE6" s="23" t="s">
        <v>1852</v>
      </c>
      <c r="BF6" s="23" t="s">
        <v>1852</v>
      </c>
      <c r="BG6" s="23" t="s">
        <v>1852</v>
      </c>
      <c r="BH6" s="23" t="s">
        <v>1852</v>
      </c>
      <c r="BI6" s="23" t="s">
        <v>1852</v>
      </c>
      <c r="BJ6" s="23" t="s">
        <v>1852</v>
      </c>
      <c r="BM6" s="23" t="s">
        <v>1852</v>
      </c>
      <c r="BN6" s="23" t="s">
        <v>1852</v>
      </c>
      <c r="BO6" s="23" t="s">
        <v>1852</v>
      </c>
      <c r="BP6" s="23" t="s">
        <v>1852</v>
      </c>
      <c r="BQ6" s="23" t="s">
        <v>1852</v>
      </c>
      <c r="BR6" s="23" t="s">
        <v>1852</v>
      </c>
      <c r="BS6" s="23" t="s">
        <v>1852</v>
      </c>
      <c r="BT6" s="23" t="s">
        <v>1852</v>
      </c>
      <c r="BU6" s="23" t="s">
        <v>1852</v>
      </c>
      <c r="BV6" s="23" t="s">
        <v>1852</v>
      </c>
      <c r="BW6" s="23" t="s">
        <v>1852</v>
      </c>
      <c r="BZ6" s="23" t="s">
        <v>1852</v>
      </c>
      <c r="CA6" s="23" t="s">
        <v>1852</v>
      </c>
      <c r="CB6" s="23" t="s">
        <v>1852</v>
      </c>
      <c r="CC6" s="23" t="s">
        <v>1852</v>
      </c>
      <c r="CD6" s="23">
        <v>174</v>
      </c>
      <c r="CE6" s="23">
        <v>174</v>
      </c>
      <c r="CF6" s="23">
        <v>174</v>
      </c>
      <c r="CG6" s="23">
        <v>174</v>
      </c>
      <c r="CH6" s="23">
        <v>174</v>
      </c>
      <c r="CI6" s="23">
        <v>174</v>
      </c>
      <c r="CJ6" s="23">
        <v>174</v>
      </c>
      <c r="CK6" s="23">
        <v>174</v>
      </c>
      <c r="CL6" s="23">
        <v>174</v>
      </c>
      <c r="CM6" s="23">
        <v>174</v>
      </c>
      <c r="CN6" s="23" t="s">
        <v>1852</v>
      </c>
      <c r="CO6" s="23" t="s">
        <v>1852</v>
      </c>
      <c r="CP6" s="23" t="s">
        <v>1852</v>
      </c>
      <c r="CQ6" s="23" t="s">
        <v>1852</v>
      </c>
      <c r="CR6" s="23" t="s">
        <v>1852</v>
      </c>
      <c r="CS6" s="23" t="s">
        <v>1852</v>
      </c>
      <c r="CT6" s="23" t="s">
        <v>1852</v>
      </c>
      <c r="CU6" s="23" t="s">
        <v>1852</v>
      </c>
      <c r="CV6" s="23" t="s">
        <v>1852</v>
      </c>
      <c r="CW6" s="23" t="s">
        <v>1852</v>
      </c>
      <c r="CX6" s="23" t="s">
        <v>1852</v>
      </c>
      <c r="CY6" s="23" t="s">
        <v>1852</v>
      </c>
      <c r="CZ6" s="23" t="s">
        <v>1852</v>
      </c>
      <c r="DA6" s="23" t="s">
        <v>1852</v>
      </c>
      <c r="DB6" s="23" t="s">
        <v>1852</v>
      </c>
      <c r="DC6" s="23" t="s">
        <v>1852</v>
      </c>
      <c r="DD6" s="23" t="s">
        <v>1852</v>
      </c>
      <c r="DE6" s="23" t="s">
        <v>1852</v>
      </c>
      <c r="DF6" s="23" t="s">
        <v>1852</v>
      </c>
      <c r="DG6" s="23" t="s">
        <v>1852</v>
      </c>
      <c r="DH6" s="23" t="s">
        <v>1852</v>
      </c>
      <c r="DI6" s="23" t="s">
        <v>1852</v>
      </c>
      <c r="DJ6" s="23" t="s">
        <v>1852</v>
      </c>
      <c r="DK6" s="23" t="s">
        <v>1852</v>
      </c>
      <c r="DL6" s="23" t="s">
        <v>1852</v>
      </c>
      <c r="DM6" s="23" t="s">
        <v>1852</v>
      </c>
      <c r="DN6" s="23" t="s">
        <v>1852</v>
      </c>
      <c r="DO6" s="23" t="s">
        <v>1852</v>
      </c>
      <c r="DP6" s="23" t="s">
        <v>1852</v>
      </c>
      <c r="DQ6" s="23" t="s">
        <v>1852</v>
      </c>
      <c r="DR6" s="23" t="s">
        <v>1852</v>
      </c>
      <c r="DS6" s="23" t="s">
        <v>1852</v>
      </c>
      <c r="DT6" s="23" t="s">
        <v>1852</v>
      </c>
      <c r="DU6" s="23" t="s">
        <v>1852</v>
      </c>
      <c r="DV6" s="23" t="s">
        <v>1852</v>
      </c>
      <c r="DW6" s="23" t="s">
        <v>1852</v>
      </c>
      <c r="DX6" s="23" t="s">
        <v>1852</v>
      </c>
      <c r="DY6" s="23" t="s">
        <v>1852</v>
      </c>
      <c r="DZ6" s="23" t="s">
        <v>1852</v>
      </c>
      <c r="EA6" s="23" t="s">
        <v>1852</v>
      </c>
      <c r="EB6" s="23" t="s">
        <v>1852</v>
      </c>
      <c r="EC6" s="23" t="s">
        <v>1852</v>
      </c>
      <c r="ED6" s="23" t="s">
        <v>1852</v>
      </c>
      <c r="EE6" s="23" t="s">
        <v>1852</v>
      </c>
      <c r="EF6" s="23" t="s">
        <v>1852</v>
      </c>
      <c r="EG6" s="23" t="s">
        <v>1852</v>
      </c>
      <c r="EH6" s="23" t="s">
        <v>1852</v>
      </c>
      <c r="EI6" s="23" t="s">
        <v>1852</v>
      </c>
      <c r="EJ6" s="23" t="s">
        <v>1852</v>
      </c>
      <c r="EK6" s="23" t="s">
        <v>1852</v>
      </c>
      <c r="EL6" s="23" t="s">
        <v>1852</v>
      </c>
      <c r="EM6" s="23" t="s">
        <v>1852</v>
      </c>
      <c r="EN6" s="23" t="s">
        <v>1852</v>
      </c>
      <c r="EO6" s="23" t="s">
        <v>1852</v>
      </c>
      <c r="EP6" s="23" t="s">
        <v>1852</v>
      </c>
      <c r="EQ6" s="23" t="s">
        <v>1852</v>
      </c>
      <c r="ER6" s="23" t="s">
        <v>1852</v>
      </c>
      <c r="ES6" s="23" t="s">
        <v>1852</v>
      </c>
      <c r="ET6" s="23" t="s">
        <v>1852</v>
      </c>
      <c r="EU6" s="23" t="s">
        <v>1852</v>
      </c>
      <c r="EV6" s="23" t="s">
        <v>1852</v>
      </c>
      <c r="EW6" s="23" t="s">
        <v>1852</v>
      </c>
      <c r="EX6" s="23" t="s">
        <v>1852</v>
      </c>
      <c r="EY6" s="23" t="s">
        <v>1852</v>
      </c>
      <c r="EZ6" s="23" t="s">
        <v>1852</v>
      </c>
      <c r="FA6" s="23" t="s">
        <v>1852</v>
      </c>
      <c r="FB6" s="23" t="s">
        <v>1852</v>
      </c>
      <c r="FC6" s="23" t="s">
        <v>1852</v>
      </c>
      <c r="FD6" s="23" t="s">
        <v>1852</v>
      </c>
      <c r="FE6" s="23" t="s">
        <v>1852</v>
      </c>
      <c r="FF6" s="23" t="s">
        <v>1852</v>
      </c>
      <c r="FG6" s="23" t="s">
        <v>1852</v>
      </c>
      <c r="FH6" s="23" t="s">
        <v>1852</v>
      </c>
      <c r="FI6" s="23" t="s">
        <v>1852</v>
      </c>
    </row>
    <row r="7" spans="1:165">
      <c r="A7" s="1" t="s">
        <v>2603</v>
      </c>
      <c r="B7" s="3"/>
      <c r="C7" s="3">
        <v>158</v>
      </c>
      <c r="D7" s="3">
        <v>158</v>
      </c>
      <c r="E7" s="3">
        <v>137</v>
      </c>
      <c r="F7" s="3">
        <v>155</v>
      </c>
      <c r="G7" s="3">
        <v>155</v>
      </c>
      <c r="H7" s="3">
        <v>155</v>
      </c>
      <c r="I7" s="3">
        <v>130</v>
      </c>
      <c r="J7" s="3">
        <v>130</v>
      </c>
      <c r="K7" s="3"/>
      <c r="L7" s="3"/>
      <c r="M7" s="3"/>
      <c r="N7" s="3"/>
      <c r="O7" s="3"/>
      <c r="P7" s="3"/>
      <c r="Q7" s="3"/>
      <c r="R7" s="3"/>
      <c r="AA7" s="3">
        <v>131</v>
      </c>
      <c r="AB7" s="3">
        <v>131</v>
      </c>
      <c r="AC7" s="3">
        <v>137</v>
      </c>
      <c r="AD7" s="3">
        <v>141</v>
      </c>
      <c r="AE7" s="3">
        <v>141</v>
      </c>
      <c r="AF7" s="3">
        <v>141</v>
      </c>
      <c r="AG7" s="3"/>
      <c r="AH7" s="3">
        <v>106</v>
      </c>
      <c r="AI7" s="3">
        <v>106</v>
      </c>
      <c r="AJ7" s="3">
        <v>106</v>
      </c>
      <c r="AK7" s="3">
        <v>106</v>
      </c>
      <c r="AL7" s="3">
        <v>106</v>
      </c>
      <c r="AM7" s="3">
        <v>106</v>
      </c>
      <c r="AN7" s="3">
        <v>134</v>
      </c>
      <c r="AO7" s="3">
        <v>134</v>
      </c>
      <c r="AP7" s="3">
        <v>134</v>
      </c>
      <c r="AQ7" s="3">
        <v>134</v>
      </c>
      <c r="AR7" s="23">
        <v>85</v>
      </c>
      <c r="AT7" s="23">
        <v>97</v>
      </c>
      <c r="AV7" s="23">
        <v>102</v>
      </c>
      <c r="AX7" s="23">
        <v>102</v>
      </c>
      <c r="AZ7" s="23">
        <v>102</v>
      </c>
      <c r="BA7" s="23">
        <v>128</v>
      </c>
      <c r="BB7" s="23">
        <v>128</v>
      </c>
      <c r="BC7" s="23">
        <v>146</v>
      </c>
      <c r="BD7" s="23">
        <v>146</v>
      </c>
      <c r="BE7" s="23">
        <v>108</v>
      </c>
      <c r="BF7" s="23">
        <v>108</v>
      </c>
      <c r="BG7" s="23">
        <v>128</v>
      </c>
      <c r="BH7" s="23">
        <v>160</v>
      </c>
      <c r="BI7" s="23">
        <v>177</v>
      </c>
      <c r="BJ7" s="23">
        <v>177</v>
      </c>
      <c r="BK7" s="32"/>
      <c r="BL7" s="32"/>
      <c r="BM7" s="23">
        <v>153</v>
      </c>
      <c r="BN7" s="23">
        <v>178</v>
      </c>
      <c r="BO7" s="23" t="s">
        <v>1852</v>
      </c>
      <c r="BP7" s="23">
        <v>193</v>
      </c>
      <c r="BQ7" s="23">
        <v>204</v>
      </c>
      <c r="BR7" s="32"/>
      <c r="BS7" s="32"/>
      <c r="BT7" s="23">
        <v>186</v>
      </c>
      <c r="BU7" s="23">
        <v>186</v>
      </c>
      <c r="BV7" s="23">
        <v>186</v>
      </c>
      <c r="BW7" s="23">
        <v>186</v>
      </c>
      <c r="BX7" s="32"/>
      <c r="BY7" s="32"/>
      <c r="BZ7" s="23">
        <v>243</v>
      </c>
      <c r="CA7" s="23">
        <v>243</v>
      </c>
      <c r="CB7" s="23">
        <v>243</v>
      </c>
      <c r="CC7" s="23">
        <v>243</v>
      </c>
      <c r="CD7" s="23">
        <v>216</v>
      </c>
      <c r="CE7" s="23">
        <v>216</v>
      </c>
      <c r="CF7" s="23">
        <v>216</v>
      </c>
      <c r="CG7" s="23">
        <v>216</v>
      </c>
      <c r="CH7" s="23">
        <v>216</v>
      </c>
      <c r="CI7" s="23">
        <v>216</v>
      </c>
      <c r="CJ7" s="23">
        <v>216</v>
      </c>
      <c r="CK7" s="23">
        <v>216</v>
      </c>
      <c r="CL7" s="23">
        <v>216</v>
      </c>
      <c r="CM7" s="23">
        <v>216</v>
      </c>
      <c r="CN7" s="3"/>
      <c r="CO7" s="3"/>
      <c r="CP7" s="3"/>
      <c r="CQ7" s="3"/>
      <c r="CR7" s="3"/>
      <c r="CS7" s="3"/>
      <c r="CT7" s="3"/>
      <c r="CU7" s="3"/>
      <c r="CV7" s="3"/>
      <c r="CW7" s="3">
        <v>107</v>
      </c>
      <c r="CX7" s="3">
        <v>107</v>
      </c>
      <c r="CY7" s="3">
        <v>107</v>
      </c>
      <c r="CZ7" s="3">
        <v>107</v>
      </c>
      <c r="DA7" s="3">
        <v>124</v>
      </c>
      <c r="DB7" s="3">
        <v>124</v>
      </c>
      <c r="DC7" s="3">
        <v>124</v>
      </c>
      <c r="DD7" s="3">
        <v>124</v>
      </c>
      <c r="DE7" s="3">
        <v>124</v>
      </c>
      <c r="DF7" s="3">
        <v>140</v>
      </c>
      <c r="DG7" s="3">
        <v>140</v>
      </c>
      <c r="DH7" s="3">
        <v>140</v>
      </c>
      <c r="DI7" s="3">
        <v>150</v>
      </c>
      <c r="DJ7" s="3">
        <v>150</v>
      </c>
      <c r="DK7" s="3">
        <v>150</v>
      </c>
      <c r="DL7" s="3">
        <v>150</v>
      </c>
      <c r="DM7" s="3">
        <v>150</v>
      </c>
      <c r="DN7" s="3">
        <v>165</v>
      </c>
      <c r="DO7" s="3">
        <v>165</v>
      </c>
      <c r="DP7" s="3">
        <v>165</v>
      </c>
      <c r="DQ7" s="3">
        <v>165</v>
      </c>
      <c r="DR7" s="3">
        <v>165</v>
      </c>
      <c r="DS7" s="3">
        <v>165</v>
      </c>
      <c r="DT7" s="3">
        <v>185</v>
      </c>
      <c r="DU7" s="3">
        <v>185</v>
      </c>
      <c r="DV7" s="3">
        <v>185</v>
      </c>
      <c r="DW7" s="3">
        <v>185</v>
      </c>
      <c r="DX7" s="3">
        <v>185</v>
      </c>
      <c r="DY7" s="3">
        <v>190</v>
      </c>
      <c r="DZ7" s="3">
        <v>190</v>
      </c>
      <c r="EA7" s="3">
        <v>190</v>
      </c>
      <c r="EB7" s="3">
        <v>190</v>
      </c>
      <c r="EC7" s="3">
        <v>206</v>
      </c>
      <c r="ED7" s="3">
        <v>206</v>
      </c>
      <c r="EE7" s="23">
        <v>66</v>
      </c>
      <c r="EF7" s="23">
        <v>66</v>
      </c>
      <c r="EG7" s="23">
        <v>66</v>
      </c>
      <c r="EH7" s="23">
        <v>76</v>
      </c>
      <c r="EI7" s="23">
        <v>76</v>
      </c>
      <c r="EJ7" s="23">
        <v>76</v>
      </c>
      <c r="EK7" s="23">
        <v>96</v>
      </c>
      <c r="EL7" s="23">
        <v>96</v>
      </c>
      <c r="EM7" s="23">
        <v>96</v>
      </c>
      <c r="EN7" s="23">
        <v>100</v>
      </c>
      <c r="EO7" s="23">
        <v>100</v>
      </c>
      <c r="EP7" s="23">
        <v>100</v>
      </c>
      <c r="EQ7" s="23" t="s">
        <v>1852</v>
      </c>
      <c r="ER7" s="23" t="s">
        <v>1852</v>
      </c>
      <c r="ES7" s="23" t="s">
        <v>1852</v>
      </c>
      <c r="ET7" s="23" t="s">
        <v>1852</v>
      </c>
      <c r="EU7" s="23" t="s">
        <v>1852</v>
      </c>
      <c r="EV7" s="23" t="s">
        <v>1852</v>
      </c>
      <c r="EW7" s="23">
        <v>80</v>
      </c>
      <c r="EX7" s="23">
        <v>97</v>
      </c>
      <c r="EY7" s="23">
        <v>97</v>
      </c>
      <c r="EZ7" s="23">
        <v>120</v>
      </c>
      <c r="FA7" s="23" t="s">
        <v>1852</v>
      </c>
      <c r="FB7" s="23" t="s">
        <v>1852</v>
      </c>
      <c r="FC7" s="23" t="s">
        <v>1852</v>
      </c>
      <c r="FD7" s="23" t="s">
        <v>1852</v>
      </c>
      <c r="FE7" s="23" t="s">
        <v>1852</v>
      </c>
      <c r="FF7" s="23" t="s">
        <v>1852</v>
      </c>
      <c r="FG7" s="23" t="s">
        <v>1852</v>
      </c>
      <c r="FH7" s="23" t="s">
        <v>1852</v>
      </c>
      <c r="FI7" s="23" t="s">
        <v>1852</v>
      </c>
    </row>
    <row r="8" spans="1:165">
      <c r="A8" s="1" t="s">
        <v>2604</v>
      </c>
      <c r="B8" s="3"/>
      <c r="C8" s="3">
        <v>163</v>
      </c>
      <c r="D8" s="3">
        <v>163</v>
      </c>
      <c r="E8" s="3">
        <v>155</v>
      </c>
      <c r="F8" s="3">
        <v>172</v>
      </c>
      <c r="G8" s="3">
        <v>172</v>
      </c>
      <c r="H8" s="3">
        <v>172</v>
      </c>
      <c r="I8" s="3">
        <v>139</v>
      </c>
      <c r="J8" s="3">
        <v>139</v>
      </c>
      <c r="K8" s="3">
        <v>90</v>
      </c>
      <c r="L8" s="3">
        <v>90</v>
      </c>
      <c r="M8" s="3">
        <v>115</v>
      </c>
      <c r="N8" s="3">
        <v>125</v>
      </c>
      <c r="O8" s="3">
        <v>135</v>
      </c>
      <c r="P8" s="3">
        <v>177</v>
      </c>
      <c r="Q8" s="3">
        <v>177</v>
      </c>
      <c r="R8" s="3">
        <v>177</v>
      </c>
      <c r="S8" s="3">
        <v>177</v>
      </c>
      <c r="T8" s="3">
        <v>189</v>
      </c>
      <c r="U8" s="21">
        <v>259</v>
      </c>
      <c r="V8" s="3">
        <v>189</v>
      </c>
      <c r="W8" s="21">
        <v>259</v>
      </c>
      <c r="X8" s="21">
        <v>259</v>
      </c>
      <c r="Y8" s="3">
        <v>189</v>
      </c>
      <c r="Z8" s="21">
        <v>259</v>
      </c>
      <c r="AA8" s="3">
        <v>149</v>
      </c>
      <c r="AB8" s="3">
        <v>156</v>
      </c>
      <c r="AC8" s="3">
        <v>174</v>
      </c>
      <c r="AD8" s="3">
        <v>189</v>
      </c>
      <c r="AE8" s="3">
        <v>189</v>
      </c>
      <c r="AF8" s="3">
        <v>189</v>
      </c>
      <c r="AG8" s="3">
        <v>194</v>
      </c>
      <c r="AH8" s="3">
        <v>117</v>
      </c>
      <c r="AI8" s="3">
        <v>117</v>
      </c>
      <c r="AJ8" s="3">
        <v>125</v>
      </c>
      <c r="AK8" s="3">
        <v>125</v>
      </c>
      <c r="AL8" s="3">
        <v>125</v>
      </c>
      <c r="AM8" s="3">
        <v>125</v>
      </c>
      <c r="AN8" s="3">
        <v>155</v>
      </c>
      <c r="AO8" s="3">
        <v>155</v>
      </c>
      <c r="AP8" s="3">
        <v>155</v>
      </c>
      <c r="AQ8" s="3">
        <v>155</v>
      </c>
      <c r="AR8" s="23">
        <v>96</v>
      </c>
      <c r="AS8" s="23">
        <v>90</v>
      </c>
      <c r="AT8" s="23">
        <v>124</v>
      </c>
      <c r="AU8" s="23">
        <v>90</v>
      </c>
      <c r="AV8" s="23">
        <v>130</v>
      </c>
      <c r="AW8" s="23">
        <v>93</v>
      </c>
      <c r="AX8" s="23">
        <v>130</v>
      </c>
      <c r="AY8" s="23">
        <v>93</v>
      </c>
      <c r="AZ8" s="23">
        <v>130</v>
      </c>
      <c r="BA8" s="23">
        <v>134</v>
      </c>
      <c r="BB8" s="23">
        <v>134</v>
      </c>
      <c r="BC8" s="23">
        <v>159</v>
      </c>
      <c r="BD8" s="23">
        <v>159</v>
      </c>
      <c r="BE8" s="23">
        <v>122</v>
      </c>
      <c r="BF8" s="23">
        <v>130</v>
      </c>
      <c r="BG8" s="23">
        <v>148</v>
      </c>
      <c r="BH8" s="23">
        <v>184</v>
      </c>
      <c r="BI8" s="23">
        <v>189</v>
      </c>
      <c r="BJ8" s="23">
        <v>186</v>
      </c>
      <c r="BK8" s="32"/>
      <c r="BL8" s="32"/>
      <c r="BM8" s="23">
        <v>172</v>
      </c>
      <c r="BN8" s="23">
        <v>189</v>
      </c>
      <c r="BO8" s="23">
        <v>202</v>
      </c>
      <c r="BP8" s="23">
        <v>220</v>
      </c>
      <c r="BQ8" s="23">
        <v>230</v>
      </c>
      <c r="BR8" s="32"/>
      <c r="BS8" s="32"/>
      <c r="BT8" s="23">
        <v>224</v>
      </c>
      <c r="BU8" s="23">
        <v>239</v>
      </c>
      <c r="BV8" s="23">
        <v>224</v>
      </c>
      <c r="BW8" s="23">
        <v>239</v>
      </c>
      <c r="BX8" s="32"/>
      <c r="BY8" s="32"/>
      <c r="BZ8" s="24">
        <v>279</v>
      </c>
      <c r="CA8" s="24">
        <v>279</v>
      </c>
      <c r="CB8" s="24">
        <v>279</v>
      </c>
      <c r="CC8" s="24">
        <v>279</v>
      </c>
      <c r="CD8" s="23">
        <v>242</v>
      </c>
      <c r="CE8" s="23">
        <v>242</v>
      </c>
      <c r="CF8" s="23">
        <v>242</v>
      </c>
      <c r="CG8" s="23">
        <v>242</v>
      </c>
      <c r="CH8" s="23">
        <v>242</v>
      </c>
      <c r="CI8" s="23">
        <v>242</v>
      </c>
      <c r="CJ8" s="23">
        <v>245</v>
      </c>
      <c r="CK8" s="23">
        <v>245</v>
      </c>
      <c r="CL8" s="23">
        <v>245</v>
      </c>
      <c r="CM8" s="23">
        <v>245</v>
      </c>
      <c r="CN8" s="3">
        <v>237</v>
      </c>
      <c r="CO8" s="3">
        <v>237</v>
      </c>
      <c r="CP8" s="3">
        <v>237</v>
      </c>
      <c r="CQ8" s="3">
        <v>237</v>
      </c>
      <c r="CR8" s="3">
        <v>237</v>
      </c>
      <c r="CS8" s="3">
        <v>243</v>
      </c>
      <c r="CT8" s="3">
        <v>243</v>
      </c>
      <c r="CU8" s="3">
        <v>240</v>
      </c>
      <c r="CV8" s="3">
        <v>240</v>
      </c>
      <c r="CW8" s="3">
        <v>132</v>
      </c>
      <c r="CX8" s="3">
        <v>132</v>
      </c>
      <c r="CY8" s="3">
        <v>132</v>
      </c>
      <c r="CZ8" s="3">
        <v>132</v>
      </c>
      <c r="DA8" s="3">
        <v>156</v>
      </c>
      <c r="DB8" s="3">
        <v>156</v>
      </c>
      <c r="DC8" s="3">
        <v>156</v>
      </c>
      <c r="DD8" s="3">
        <v>156</v>
      </c>
      <c r="DE8" s="3">
        <v>156</v>
      </c>
      <c r="DF8" s="3">
        <v>156</v>
      </c>
      <c r="DG8" s="3">
        <v>156</v>
      </c>
      <c r="DH8" s="3">
        <v>156</v>
      </c>
      <c r="DI8" s="3">
        <v>180</v>
      </c>
      <c r="DJ8" s="3">
        <v>180</v>
      </c>
      <c r="DK8" s="3">
        <v>180</v>
      </c>
      <c r="DL8" s="3">
        <v>180</v>
      </c>
      <c r="DM8" s="3">
        <v>180</v>
      </c>
      <c r="DN8" s="3">
        <v>180</v>
      </c>
      <c r="DO8" s="3">
        <v>180</v>
      </c>
      <c r="DP8" s="3">
        <v>180</v>
      </c>
      <c r="DQ8" s="3">
        <v>180</v>
      </c>
      <c r="DR8" s="3">
        <v>180</v>
      </c>
      <c r="DS8" s="3">
        <v>180</v>
      </c>
      <c r="DT8" s="3">
        <v>244</v>
      </c>
      <c r="DU8" s="3">
        <v>244</v>
      </c>
      <c r="DV8" s="3">
        <v>244</v>
      </c>
      <c r="DW8" s="3">
        <v>244</v>
      </c>
      <c r="DX8" s="3">
        <v>244</v>
      </c>
      <c r="DY8" s="3">
        <v>244</v>
      </c>
      <c r="DZ8" s="3">
        <v>244</v>
      </c>
      <c r="EA8" s="3">
        <v>244</v>
      </c>
      <c r="EB8" s="3">
        <v>244</v>
      </c>
      <c r="EC8" s="3">
        <v>244</v>
      </c>
      <c r="ED8" s="3">
        <v>244</v>
      </c>
      <c r="EE8" s="23">
        <v>78</v>
      </c>
      <c r="EF8" s="23">
        <v>78</v>
      </c>
      <c r="EG8" s="23">
        <v>78</v>
      </c>
      <c r="EH8" s="23">
        <v>78</v>
      </c>
      <c r="EI8" s="23">
        <v>78</v>
      </c>
      <c r="EJ8" s="23">
        <v>78</v>
      </c>
      <c r="EK8" s="23">
        <v>100</v>
      </c>
      <c r="EL8" s="23">
        <v>100</v>
      </c>
      <c r="EM8" s="23">
        <v>100</v>
      </c>
      <c r="EN8" s="23">
        <v>124</v>
      </c>
      <c r="EO8" s="23">
        <v>124</v>
      </c>
      <c r="EP8" s="23">
        <v>124</v>
      </c>
      <c r="EQ8" s="23">
        <v>30</v>
      </c>
      <c r="ER8" s="23">
        <v>37</v>
      </c>
      <c r="ES8" s="23">
        <v>44</v>
      </c>
      <c r="ET8" s="23">
        <v>50</v>
      </c>
      <c r="EU8" s="23">
        <v>50</v>
      </c>
      <c r="EV8" s="23">
        <v>50</v>
      </c>
      <c r="EW8" s="23">
        <v>88</v>
      </c>
      <c r="EX8" s="23">
        <v>106</v>
      </c>
      <c r="EY8" s="23">
        <v>106</v>
      </c>
      <c r="EZ8" s="23">
        <v>132</v>
      </c>
      <c r="FA8" s="23">
        <v>50</v>
      </c>
      <c r="FB8" s="23">
        <v>50</v>
      </c>
      <c r="FC8" s="23">
        <v>50</v>
      </c>
      <c r="FD8" s="23">
        <v>50</v>
      </c>
      <c r="FE8" s="23">
        <v>50</v>
      </c>
      <c r="FF8" s="23">
        <v>70</v>
      </c>
      <c r="FG8" s="23">
        <v>86</v>
      </c>
      <c r="FH8" s="23">
        <v>75</v>
      </c>
      <c r="FI8" s="23">
        <v>104</v>
      </c>
    </row>
    <row r="9" spans="1:165">
      <c r="A9" s="1" t="s">
        <v>2605</v>
      </c>
      <c r="B9" s="19"/>
      <c r="C9" s="19">
        <v>3704</v>
      </c>
      <c r="D9" s="19">
        <v>4074.4</v>
      </c>
      <c r="E9" s="19">
        <v>3333.6</v>
      </c>
      <c r="F9" s="19">
        <v>3704</v>
      </c>
      <c r="G9" s="19">
        <v>3704</v>
      </c>
      <c r="H9" s="19">
        <v>4630</v>
      </c>
      <c r="I9" s="19">
        <v>4444.8</v>
      </c>
      <c r="J9" s="19">
        <v>5370.8</v>
      </c>
      <c r="K9" s="19">
        <v>2407.6</v>
      </c>
      <c r="L9" s="19">
        <v>2685.4</v>
      </c>
      <c r="M9" s="19">
        <v>2407.6</v>
      </c>
      <c r="N9" s="19">
        <v>2037.2</v>
      </c>
      <c r="O9" s="19">
        <v>1944.6</v>
      </c>
      <c r="P9" s="19">
        <v>6960</v>
      </c>
      <c r="Q9" s="19">
        <v>7500</v>
      </c>
      <c r="R9" s="19">
        <v>7417</v>
      </c>
      <c r="S9" s="19">
        <v>7408</v>
      </c>
      <c r="T9" s="19">
        <v>8334</v>
      </c>
      <c r="U9" s="19">
        <v>5833.8</v>
      </c>
      <c r="V9" s="19">
        <v>9352.6</v>
      </c>
      <c r="W9" s="19">
        <v>7408</v>
      </c>
      <c r="X9" s="19">
        <v>6482</v>
      </c>
      <c r="Y9" s="19">
        <v>9445.2000000000007</v>
      </c>
      <c r="Z9" s="19">
        <v>8334</v>
      </c>
      <c r="AA9" s="19">
        <v>5185.6000000000004</v>
      </c>
      <c r="AB9" s="19">
        <v>5926.4</v>
      </c>
      <c r="AC9" s="19">
        <v>6667.2</v>
      </c>
      <c r="AD9" s="19">
        <v>7037.6</v>
      </c>
      <c r="AE9" s="19">
        <v>7037.6</v>
      </c>
      <c r="AF9" s="19">
        <v>8889.6</v>
      </c>
      <c r="AG9" s="19">
        <v>8334</v>
      </c>
      <c r="AH9" s="19">
        <v>3148.4</v>
      </c>
      <c r="AI9" s="19">
        <v>3796.6</v>
      </c>
      <c r="AJ9" s="19">
        <v>3889.2</v>
      </c>
      <c r="AK9" s="19">
        <v>4074.4</v>
      </c>
      <c r="AL9" s="19">
        <v>3518.8</v>
      </c>
      <c r="AM9" s="19">
        <v>4074.4</v>
      </c>
      <c r="AN9" s="19">
        <v>2778</v>
      </c>
      <c r="AO9" s="19">
        <v>3518.8</v>
      </c>
      <c r="AP9" s="19">
        <v>4815.2</v>
      </c>
      <c r="AQ9" s="19">
        <v>3889.2</v>
      </c>
      <c r="AR9" s="19">
        <v>2592.8000000000002</v>
      </c>
      <c r="AS9" s="19">
        <v>3704</v>
      </c>
      <c r="AT9" s="19">
        <v>3426.2</v>
      </c>
      <c r="AU9" s="19">
        <v>4167</v>
      </c>
      <c r="AV9" s="19">
        <v>3148.4</v>
      </c>
      <c r="AW9" s="19">
        <v>4074.4</v>
      </c>
      <c r="AX9" s="19">
        <v>4352.2</v>
      </c>
      <c r="AY9" s="19">
        <v>4055.88</v>
      </c>
      <c r="AZ9" s="19">
        <v>3852.16</v>
      </c>
      <c r="BA9" s="19">
        <v>3333.6</v>
      </c>
      <c r="BB9" s="19">
        <v>4537.3999999999996</v>
      </c>
      <c r="BC9" s="19">
        <v>3611.4</v>
      </c>
      <c r="BD9" s="19">
        <v>4167</v>
      </c>
      <c r="BE9" s="19">
        <v>3000.24</v>
      </c>
      <c r="BF9" s="19">
        <v>2481</v>
      </c>
      <c r="BG9" s="19">
        <v>2852</v>
      </c>
      <c r="BH9" s="19">
        <v>3685</v>
      </c>
      <c r="BI9" s="19">
        <v>3815</v>
      </c>
      <c r="BJ9" s="19">
        <v>5407.84</v>
      </c>
      <c r="BK9" s="19">
        <v>6667.2</v>
      </c>
      <c r="BL9" s="19">
        <v>8482.16</v>
      </c>
      <c r="BM9" s="19">
        <v>7222.8</v>
      </c>
      <c r="BN9" s="19">
        <v>6482</v>
      </c>
      <c r="BO9" s="19">
        <v>5296.72</v>
      </c>
      <c r="BP9" s="19">
        <v>6019</v>
      </c>
      <c r="BQ9" s="19">
        <v>5954.18</v>
      </c>
      <c r="BR9" s="19">
        <v>9723</v>
      </c>
      <c r="BS9" s="19">
        <v>8889.6</v>
      </c>
      <c r="BT9" s="19">
        <v>7408</v>
      </c>
      <c r="BU9" s="19">
        <v>7222</v>
      </c>
      <c r="BV9" s="19">
        <v>4185</v>
      </c>
      <c r="BW9" s="19">
        <v>6769</v>
      </c>
      <c r="BX9" s="19">
        <v>6769</v>
      </c>
      <c r="BY9" s="19">
        <v>6769</v>
      </c>
      <c r="BZ9" s="19">
        <v>3926</v>
      </c>
      <c r="CA9" s="19">
        <v>6287</v>
      </c>
      <c r="CB9" s="19">
        <v>3620</v>
      </c>
      <c r="CC9" s="19">
        <v>5889</v>
      </c>
      <c r="CD9" s="19">
        <v>4167</v>
      </c>
      <c r="CE9" s="19">
        <v>5926.4</v>
      </c>
      <c r="CF9" s="19">
        <v>6759.8</v>
      </c>
      <c r="CG9" s="19">
        <v>7315.4</v>
      </c>
      <c r="CH9" s="19">
        <v>6759.8</v>
      </c>
      <c r="CI9" s="19">
        <v>7315.4</v>
      </c>
      <c r="CJ9" s="33">
        <v>8334</v>
      </c>
      <c r="CK9" s="33">
        <v>9445.2000000000007</v>
      </c>
      <c r="CL9" s="33">
        <v>11297.2</v>
      </c>
      <c r="CM9" s="33">
        <v>12223.2</v>
      </c>
      <c r="CN9" s="19">
        <v>4815.2</v>
      </c>
      <c r="CO9" s="19">
        <v>4907.8</v>
      </c>
      <c r="CP9" s="19">
        <v>6111.6</v>
      </c>
      <c r="CQ9" s="19">
        <v>6204.2</v>
      </c>
      <c r="CR9" s="19">
        <v>6482</v>
      </c>
      <c r="CS9" s="19">
        <v>7871</v>
      </c>
      <c r="CT9" s="19">
        <v>7222.8</v>
      </c>
      <c r="CU9" s="19">
        <v>8704.4</v>
      </c>
      <c r="CV9" s="19">
        <v>9537.7999999999993</v>
      </c>
      <c r="CW9" s="19">
        <v>2592.8000000000002</v>
      </c>
      <c r="CX9" s="19">
        <v>2592.8000000000002</v>
      </c>
      <c r="CY9" s="19">
        <v>5741.2</v>
      </c>
      <c r="CZ9" s="19">
        <v>5741.2</v>
      </c>
      <c r="DA9" s="19">
        <v>3241</v>
      </c>
      <c r="DB9" s="19">
        <v>5833.8</v>
      </c>
      <c r="DC9" s="19">
        <v>6019</v>
      </c>
      <c r="DD9" s="19">
        <v>6019</v>
      </c>
      <c r="DE9" s="19">
        <v>6019</v>
      </c>
      <c r="DF9" s="19">
        <v>2500.1999999999998</v>
      </c>
      <c r="DG9" s="19">
        <v>6945</v>
      </c>
      <c r="DH9" s="19">
        <v>2500.1999999999998</v>
      </c>
      <c r="DI9" s="19">
        <v>4537.3999999999996</v>
      </c>
      <c r="DJ9" s="19">
        <v>4537.3999999999996</v>
      </c>
      <c r="DK9" s="19">
        <v>5000.3999999999996</v>
      </c>
      <c r="DL9" s="19">
        <v>4815.2</v>
      </c>
      <c r="DM9" s="19">
        <v>5556</v>
      </c>
      <c r="DN9" s="19">
        <v>4167</v>
      </c>
      <c r="DO9" s="19">
        <v>6019</v>
      </c>
      <c r="DP9" s="19">
        <v>6019</v>
      </c>
      <c r="DQ9" s="19">
        <v>4167</v>
      </c>
      <c r="DR9" s="19">
        <v>6019</v>
      </c>
      <c r="DS9" s="19">
        <v>6019</v>
      </c>
      <c r="DT9" s="19">
        <v>3959</v>
      </c>
      <c r="DU9" s="19">
        <v>4172</v>
      </c>
      <c r="DV9" s="19">
        <v>4167</v>
      </c>
      <c r="DW9" s="19">
        <v>5000</v>
      </c>
      <c r="DX9" s="19">
        <v>5026</v>
      </c>
      <c r="DY9" s="19">
        <v>5093</v>
      </c>
      <c r="DZ9" s="19">
        <v>5093</v>
      </c>
      <c r="EA9" s="19">
        <v>6019</v>
      </c>
      <c r="EB9" s="19">
        <v>6704.24</v>
      </c>
      <c r="EC9" s="19">
        <v>8334</v>
      </c>
      <c r="ED9" s="19">
        <v>8334</v>
      </c>
      <c r="EE9" s="3">
        <v>3333</v>
      </c>
      <c r="EF9" s="3">
        <v>3889</v>
      </c>
      <c r="EG9" s="3">
        <v>3982</v>
      </c>
      <c r="EH9" s="3">
        <v>3148</v>
      </c>
      <c r="EI9" s="3">
        <v>3518</v>
      </c>
      <c r="EJ9" s="3">
        <v>4260</v>
      </c>
      <c r="EK9" s="3">
        <v>3333</v>
      </c>
      <c r="EL9" s="3">
        <v>4259</v>
      </c>
      <c r="EM9" s="3">
        <v>4444</v>
      </c>
      <c r="EN9" s="3">
        <v>2778</v>
      </c>
      <c r="EO9" s="3">
        <v>3704</v>
      </c>
      <c r="EP9" s="3">
        <v>4074</v>
      </c>
      <c r="EQ9" s="23">
        <v>2409</v>
      </c>
      <c r="ER9" s="23">
        <v>3243</v>
      </c>
      <c r="ES9" s="40">
        <v>3058</v>
      </c>
      <c r="ET9" s="23">
        <v>2224</v>
      </c>
      <c r="EU9" s="23">
        <v>2873</v>
      </c>
      <c r="EV9" s="23">
        <v>3706</v>
      </c>
      <c r="EW9" s="23">
        <v>3704</v>
      </c>
      <c r="EX9" s="23">
        <v>5278</v>
      </c>
      <c r="EY9" s="23">
        <v>5278</v>
      </c>
      <c r="EZ9" s="23">
        <v>4815</v>
      </c>
      <c r="FA9" s="23">
        <v>1852</v>
      </c>
      <c r="FB9" s="23">
        <v>3074</v>
      </c>
      <c r="FC9" s="23">
        <v>3074</v>
      </c>
      <c r="FD9" s="23">
        <v>3333.6</v>
      </c>
      <c r="FE9" s="23">
        <v>3111.36</v>
      </c>
      <c r="FF9" s="23">
        <v>3981.8</v>
      </c>
      <c r="FG9" s="23">
        <v>3678.0720000000001</v>
      </c>
      <c r="FH9" s="23">
        <v>4000.32</v>
      </c>
      <c r="FI9" s="23">
        <v>3457</v>
      </c>
    </row>
    <row r="10" spans="1:165">
      <c r="A10" s="1" t="s">
        <v>2606</v>
      </c>
      <c r="B10" s="3"/>
      <c r="C10" s="3">
        <v>161.10900000000001</v>
      </c>
      <c r="D10" s="3">
        <v>161.10900000000001</v>
      </c>
      <c r="E10" s="3">
        <v>149.601</v>
      </c>
      <c r="F10" s="3">
        <v>161.10900000000001</v>
      </c>
      <c r="G10" s="3">
        <v>161.10900000000001</v>
      </c>
      <c r="H10" s="3">
        <v>161.10900000000001</v>
      </c>
      <c r="I10" s="3">
        <v>161.10900000000001</v>
      </c>
      <c r="J10" s="3">
        <v>161.10900000000001</v>
      </c>
      <c r="K10" s="3">
        <v>132.34</v>
      </c>
      <c r="L10" s="3">
        <v>161.10900000000001</v>
      </c>
      <c r="M10" s="3">
        <v>161.10900000000001</v>
      </c>
      <c r="N10" s="3">
        <v>138.09399999999999</v>
      </c>
      <c r="O10" s="3">
        <v>161.10900000000001</v>
      </c>
      <c r="P10" s="47">
        <v>157.65700000000001</v>
      </c>
      <c r="Q10" s="47">
        <v>158.80799999999999</v>
      </c>
      <c r="R10" s="47">
        <v>172.61699999999999</v>
      </c>
      <c r="S10" s="47">
        <v>172.61699999999999</v>
      </c>
      <c r="T10" s="47">
        <v>176.06899999999999</v>
      </c>
      <c r="U10" s="47">
        <v>176.06899999999999</v>
      </c>
      <c r="V10" s="47">
        <v>184.125</v>
      </c>
      <c r="W10" s="47">
        <v>184.125</v>
      </c>
      <c r="X10" s="47">
        <v>176.06899999999999</v>
      </c>
      <c r="Y10" s="47">
        <v>184.125</v>
      </c>
      <c r="Z10" s="47">
        <v>184.125</v>
      </c>
      <c r="AA10" s="47">
        <v>140.39500000000001</v>
      </c>
      <c r="AB10" s="47">
        <v>142.697</v>
      </c>
      <c r="AC10" s="47">
        <v>153.054</v>
      </c>
      <c r="AD10" s="47">
        <v>172.61699999999999</v>
      </c>
      <c r="AE10" s="47">
        <v>172.61699999999999</v>
      </c>
      <c r="AF10" s="47">
        <v>176.06899999999999</v>
      </c>
      <c r="AG10" s="47">
        <v>178.37100000000001</v>
      </c>
      <c r="AH10" s="3">
        <v>149.601</v>
      </c>
      <c r="AI10" s="3">
        <v>149.601</v>
      </c>
      <c r="AJ10" s="3">
        <v>161.10900000000001</v>
      </c>
      <c r="AK10" s="3">
        <v>161.10900000000001</v>
      </c>
      <c r="AL10" s="3">
        <v>161.10900000000001</v>
      </c>
      <c r="AM10" s="3">
        <v>161.10900000000001</v>
      </c>
      <c r="AN10" s="3">
        <v>166.863</v>
      </c>
      <c r="AO10" s="3">
        <v>166.863</v>
      </c>
      <c r="AP10" s="3">
        <v>166.863</v>
      </c>
      <c r="AQ10" s="3">
        <v>166.863</v>
      </c>
      <c r="AR10" s="23">
        <v>166.863</v>
      </c>
      <c r="AS10" s="23">
        <v>166.863</v>
      </c>
      <c r="AT10" s="23">
        <v>166.863</v>
      </c>
      <c r="AU10" s="23">
        <v>169.16499999999999</v>
      </c>
      <c r="AV10" s="23">
        <v>169.16499999999999</v>
      </c>
      <c r="AW10" s="23">
        <v>169.16499999999999</v>
      </c>
      <c r="AX10" s="23">
        <v>169.16499999999999</v>
      </c>
      <c r="AY10" s="34">
        <v>169.16499999999999</v>
      </c>
      <c r="AZ10" s="34">
        <v>169.16499999999999</v>
      </c>
      <c r="BA10" s="23">
        <v>178.3708</v>
      </c>
      <c r="BB10" s="23">
        <v>178.3708</v>
      </c>
      <c r="BC10" s="23">
        <v>192.18020000000001</v>
      </c>
      <c r="BD10" s="23">
        <v>192.18020000000001</v>
      </c>
      <c r="BE10" s="23">
        <v>166.863</v>
      </c>
      <c r="BF10" s="23">
        <v>166.863</v>
      </c>
      <c r="BG10" s="23">
        <v>172.61699999999999</v>
      </c>
      <c r="BH10" s="23">
        <v>166.863</v>
      </c>
      <c r="BI10" s="23">
        <v>171.46600000000001</v>
      </c>
      <c r="BJ10" s="23">
        <v>171.46600000000001</v>
      </c>
      <c r="BK10" s="23">
        <v>172.61699999999999</v>
      </c>
      <c r="BL10" s="23">
        <v>166.863</v>
      </c>
      <c r="BM10" s="48">
        <v>207.14</v>
      </c>
      <c r="BN10" s="49">
        <v>207.14</v>
      </c>
      <c r="BO10" s="49">
        <v>207.14</v>
      </c>
      <c r="BP10" s="49">
        <v>207.14</v>
      </c>
      <c r="BQ10" s="49">
        <v>207.14</v>
      </c>
      <c r="BR10" s="49">
        <v>207.14</v>
      </c>
      <c r="BS10" s="49">
        <v>207.14</v>
      </c>
      <c r="BT10" s="23">
        <v>166.863</v>
      </c>
      <c r="BU10" s="23">
        <v>166.863</v>
      </c>
      <c r="BV10" s="23">
        <v>166.863</v>
      </c>
      <c r="BW10" s="23">
        <v>166.863</v>
      </c>
      <c r="BX10" s="23">
        <v>166.863</v>
      </c>
      <c r="BY10" s="23">
        <v>166.863</v>
      </c>
      <c r="BZ10" s="23">
        <v>166.863</v>
      </c>
      <c r="CA10" s="23">
        <v>166.863</v>
      </c>
      <c r="CB10" s="23">
        <v>166.863</v>
      </c>
      <c r="CC10" s="23">
        <v>166.863</v>
      </c>
      <c r="CD10" s="23">
        <v>184.125</v>
      </c>
      <c r="CE10" s="23">
        <v>184.125</v>
      </c>
      <c r="CF10" s="23">
        <v>184.125</v>
      </c>
      <c r="CG10" s="23">
        <v>184.125</v>
      </c>
      <c r="CH10" s="23">
        <v>184.125</v>
      </c>
      <c r="CI10" s="23">
        <v>184.125</v>
      </c>
      <c r="CJ10" s="23">
        <v>184.125</v>
      </c>
      <c r="CK10" s="23">
        <v>184.125</v>
      </c>
      <c r="CL10" s="23">
        <v>184.125</v>
      </c>
      <c r="CM10" s="23">
        <v>184.125</v>
      </c>
      <c r="CN10" s="19">
        <v>131.70670799999999</v>
      </c>
      <c r="CO10" s="19">
        <v>128.08175</v>
      </c>
      <c r="CP10" s="19">
        <v>131.70670799999999</v>
      </c>
      <c r="CQ10" s="19">
        <v>138.95661799999999</v>
      </c>
      <c r="CR10" s="19">
        <v>138.95661799999999</v>
      </c>
      <c r="CS10" s="19">
        <v>138.95661799999999</v>
      </c>
      <c r="CT10" s="19">
        <v>138.95661799999999</v>
      </c>
      <c r="CU10" s="19">
        <v>146.20652899999999</v>
      </c>
      <c r="CV10" s="19">
        <v>146.20652899999999</v>
      </c>
      <c r="CW10" s="19">
        <v>132.91503</v>
      </c>
      <c r="CX10" s="19">
        <v>132.91503</v>
      </c>
      <c r="CY10" s="19">
        <v>132.91503</v>
      </c>
      <c r="CZ10" s="19">
        <v>132.91503</v>
      </c>
      <c r="DA10" s="19">
        <v>132.91503</v>
      </c>
      <c r="DB10" s="19">
        <v>132.91503</v>
      </c>
      <c r="DC10" s="19">
        <v>132.91503</v>
      </c>
      <c r="DD10" s="19">
        <v>132.91503</v>
      </c>
      <c r="DE10" s="19">
        <v>132.91503</v>
      </c>
      <c r="DF10" s="19">
        <v>132.91503</v>
      </c>
      <c r="DG10" s="19">
        <v>132.91503</v>
      </c>
      <c r="DH10" s="19">
        <v>132.91503</v>
      </c>
      <c r="DI10" s="19">
        <v>132.91503</v>
      </c>
      <c r="DJ10" s="19">
        <v>132.91503</v>
      </c>
      <c r="DK10" s="19">
        <v>132.91503</v>
      </c>
      <c r="DL10" s="19">
        <v>132.91503</v>
      </c>
      <c r="DM10" s="19">
        <v>132.91503</v>
      </c>
      <c r="DN10" s="19">
        <v>132.91503</v>
      </c>
      <c r="DO10" s="19">
        <v>132.91503</v>
      </c>
      <c r="DP10" s="19">
        <v>132.91503</v>
      </c>
      <c r="DQ10" s="19">
        <v>132.91503</v>
      </c>
      <c r="DR10" s="19">
        <v>132.91503</v>
      </c>
      <c r="DS10" s="19">
        <v>132.91503</v>
      </c>
      <c r="DT10" s="19">
        <v>132.91503</v>
      </c>
      <c r="DU10" s="19">
        <v>132.91503</v>
      </c>
      <c r="DV10" s="19">
        <v>132.91503</v>
      </c>
      <c r="DW10" s="19">
        <v>132.91503</v>
      </c>
      <c r="DX10" s="19">
        <v>132.91503</v>
      </c>
      <c r="DY10" s="19">
        <v>132.91503</v>
      </c>
      <c r="DZ10" s="19">
        <v>132.91503</v>
      </c>
      <c r="EA10" s="19">
        <v>132.91503</v>
      </c>
      <c r="EB10" s="19">
        <v>132.91503</v>
      </c>
      <c r="EC10" s="19">
        <v>132.91503</v>
      </c>
      <c r="ED10" s="19">
        <v>132.91503</v>
      </c>
      <c r="EE10" s="3">
        <v>158.80799999999999</v>
      </c>
      <c r="EF10" s="3">
        <v>158.80799999999999</v>
      </c>
      <c r="EG10" s="3">
        <v>158.80799999999999</v>
      </c>
      <c r="EH10" s="3">
        <v>158.80799999999999</v>
      </c>
      <c r="EI10" s="3">
        <v>158.80799999999999</v>
      </c>
      <c r="EJ10" s="3">
        <v>158.80799999999999</v>
      </c>
      <c r="EK10" s="3">
        <v>155.35499999999999</v>
      </c>
      <c r="EL10" s="3">
        <v>155.35499999999999</v>
      </c>
      <c r="EM10" s="3">
        <v>155.35499999999999</v>
      </c>
      <c r="EN10" s="3">
        <v>155.35499999999999</v>
      </c>
      <c r="EO10" s="3">
        <v>155.35499999999999</v>
      </c>
      <c r="EP10" s="3">
        <v>155.35499999999999</v>
      </c>
      <c r="EQ10" s="3">
        <v>141.54599999999999</v>
      </c>
      <c r="ER10" s="3">
        <v>141.54599999999999</v>
      </c>
      <c r="ES10" s="3">
        <v>153.054</v>
      </c>
      <c r="ET10" s="3">
        <v>153.054</v>
      </c>
      <c r="EU10" s="3">
        <v>155.35499999999999</v>
      </c>
      <c r="EV10" s="3">
        <v>155.35499999999999</v>
      </c>
      <c r="EW10" s="140">
        <v>155.35499999999999</v>
      </c>
      <c r="EX10" s="140">
        <v>155.35499999999999</v>
      </c>
      <c r="EY10" s="140">
        <v>155.35499999999999</v>
      </c>
      <c r="EZ10" s="140">
        <v>155.35499999999999</v>
      </c>
      <c r="FA10" s="3">
        <v>151.90299999999999</v>
      </c>
      <c r="FB10" s="3">
        <v>155.35499999999999</v>
      </c>
      <c r="FC10" s="3">
        <v>155.35499999999999</v>
      </c>
      <c r="FD10" s="3">
        <v>155.35499999999999</v>
      </c>
      <c r="FE10" s="3">
        <v>155.35499999999999</v>
      </c>
      <c r="FF10" s="3">
        <v>166.863</v>
      </c>
      <c r="FG10" s="3">
        <v>168.01400000000001</v>
      </c>
      <c r="FH10" s="3">
        <v>168.01400000000001</v>
      </c>
      <c r="FI10" s="142">
        <v>168.01400000000001</v>
      </c>
    </row>
    <row r="11" spans="1:165">
      <c r="A11" s="1" t="s">
        <v>2607</v>
      </c>
      <c r="B11" s="3"/>
      <c r="C11" s="23">
        <f t="shared" ref="C11:J11" si="0">C10*1.60934</f>
        <v>259.27915805999999</v>
      </c>
      <c r="D11" s="23">
        <f t="shared" si="0"/>
        <v>259.27915805999999</v>
      </c>
      <c r="E11" s="23">
        <f t="shared" si="0"/>
        <v>240.75887334000001</v>
      </c>
      <c r="F11" s="23">
        <f t="shared" si="0"/>
        <v>259.27915805999999</v>
      </c>
      <c r="G11" s="23">
        <f t="shared" si="0"/>
        <v>259.27915805999999</v>
      </c>
      <c r="H11" s="23">
        <f t="shared" si="0"/>
        <v>259.27915805999999</v>
      </c>
      <c r="I11" s="23">
        <f t="shared" si="0"/>
        <v>259.27915805999999</v>
      </c>
      <c r="J11" s="23">
        <f t="shared" si="0"/>
        <v>259.27915805999999</v>
      </c>
      <c r="K11" s="23">
        <f t="shared" ref="K11:O11" si="1">K10*1.60934</f>
        <v>212.98005560000001</v>
      </c>
      <c r="L11" s="23">
        <f t="shared" si="1"/>
        <v>259.27915805999999</v>
      </c>
      <c r="M11" s="23">
        <f t="shared" si="1"/>
        <v>259.27915805999999</v>
      </c>
      <c r="N11" s="23">
        <f t="shared" si="1"/>
        <v>222.24019795999999</v>
      </c>
      <c r="O11" s="23">
        <f t="shared" si="1"/>
        <v>259.27915805999999</v>
      </c>
      <c r="P11" s="23">
        <f t="shared" ref="P11:R11" si="2">P10*1.60934</f>
        <v>253.72371638000001</v>
      </c>
      <c r="Q11" s="23">
        <f t="shared" si="2"/>
        <v>255.57606672</v>
      </c>
      <c r="R11" s="23">
        <f t="shared" si="2"/>
        <v>277.79944277999999</v>
      </c>
      <c r="S11" s="23">
        <f t="shared" ref="S11:AQ11" si="3">S10*1.60934</f>
        <v>277.79944277999999</v>
      </c>
      <c r="T11" s="23">
        <f t="shared" si="3"/>
        <v>283.35488445999999</v>
      </c>
      <c r="U11" s="23">
        <f t="shared" si="3"/>
        <v>283.35488445999999</v>
      </c>
      <c r="V11" s="23">
        <f t="shared" si="3"/>
        <v>296.3197275</v>
      </c>
      <c r="W11" s="23">
        <f t="shared" si="3"/>
        <v>296.3197275</v>
      </c>
      <c r="X11" s="23">
        <f t="shared" si="3"/>
        <v>283.35488445999999</v>
      </c>
      <c r="Y11" s="23">
        <f t="shared" si="3"/>
        <v>296.3197275</v>
      </c>
      <c r="Z11" s="23">
        <f t="shared" si="3"/>
        <v>296.3197275</v>
      </c>
      <c r="AA11" s="23">
        <f t="shared" si="3"/>
        <v>225.9432893</v>
      </c>
      <c r="AB11" s="23">
        <f t="shared" si="3"/>
        <v>229.64798998000001</v>
      </c>
      <c r="AC11" s="23">
        <f t="shared" si="3"/>
        <v>246.31592436</v>
      </c>
      <c r="AD11" s="23">
        <f t="shared" si="3"/>
        <v>277.79944277999999</v>
      </c>
      <c r="AE11" s="23">
        <f t="shared" si="3"/>
        <v>277.79944277999999</v>
      </c>
      <c r="AF11" s="23">
        <f t="shared" si="3"/>
        <v>283.35488445999999</v>
      </c>
      <c r="AG11" s="23">
        <f t="shared" si="3"/>
        <v>287.05958514000002</v>
      </c>
      <c r="AH11" s="23">
        <f t="shared" si="3"/>
        <v>240.75887334000001</v>
      </c>
      <c r="AI11" s="23">
        <f t="shared" si="3"/>
        <v>240.75887334000001</v>
      </c>
      <c r="AJ11" s="23">
        <f t="shared" si="3"/>
        <v>259.27915805999999</v>
      </c>
      <c r="AK11" s="23">
        <f t="shared" si="3"/>
        <v>259.27915805999999</v>
      </c>
      <c r="AL11" s="23">
        <f t="shared" si="3"/>
        <v>259.27915805999999</v>
      </c>
      <c r="AM11" s="23">
        <f t="shared" si="3"/>
        <v>259.27915805999999</v>
      </c>
      <c r="AN11" s="23">
        <f t="shared" si="3"/>
        <v>268.53930042000002</v>
      </c>
      <c r="AO11" s="23">
        <f t="shared" si="3"/>
        <v>268.53930042000002</v>
      </c>
      <c r="AP11" s="23">
        <f t="shared" si="3"/>
        <v>268.53930042000002</v>
      </c>
      <c r="AQ11" s="23">
        <f t="shared" si="3"/>
        <v>268.53930042000002</v>
      </c>
      <c r="AR11" s="23">
        <v>268.54000000000002</v>
      </c>
      <c r="AS11" s="23">
        <v>268.54000000000002</v>
      </c>
      <c r="AT11" s="23">
        <v>268.54000000000002</v>
      </c>
      <c r="AU11" s="23">
        <f t="shared" ref="AU11:AZ11" si="4">AU10*1.60934</f>
        <v>272.24400109999999</v>
      </c>
      <c r="AV11" s="23">
        <f t="shared" si="4"/>
        <v>272.24400109999999</v>
      </c>
      <c r="AW11" s="23">
        <f t="shared" si="4"/>
        <v>272.24400109999999</v>
      </c>
      <c r="AX11" s="23">
        <f t="shared" si="4"/>
        <v>272.24400109999999</v>
      </c>
      <c r="AY11" s="34">
        <f t="shared" si="4"/>
        <v>272.24400109999999</v>
      </c>
      <c r="AZ11" s="34">
        <f t="shared" si="4"/>
        <v>272.24400109999999</v>
      </c>
      <c r="BA11" s="23">
        <f t="shared" ref="BA11:BI11" si="5">BA10*1.60934</f>
        <v>287.05926327200001</v>
      </c>
      <c r="BB11" s="23">
        <f t="shared" si="5"/>
        <v>287.05926327200001</v>
      </c>
      <c r="BC11" s="23">
        <f t="shared" si="5"/>
        <v>309.283283068</v>
      </c>
      <c r="BD11" s="23">
        <f t="shared" si="5"/>
        <v>309.283283068</v>
      </c>
      <c r="BE11" s="23">
        <f t="shared" si="5"/>
        <v>268.53930042000002</v>
      </c>
      <c r="BF11" s="23">
        <f t="shared" si="5"/>
        <v>268.53930042000002</v>
      </c>
      <c r="BG11" s="23">
        <f t="shared" si="5"/>
        <v>277.79944277999999</v>
      </c>
      <c r="BH11" s="23">
        <f t="shared" si="5"/>
        <v>268.53930042000002</v>
      </c>
      <c r="BI11" s="23">
        <f t="shared" si="5"/>
        <v>275.94709244000001</v>
      </c>
      <c r="BJ11" s="23">
        <v>275.94709239999997</v>
      </c>
      <c r="BK11" s="23">
        <f t="shared" ref="BK11:CM11" si="6">BK10*1.60934</f>
        <v>277.79944277999999</v>
      </c>
      <c r="BL11" s="23">
        <f t="shared" si="6"/>
        <v>268.53930042000002</v>
      </c>
      <c r="BM11" s="23">
        <f t="shared" si="6"/>
        <v>333.3586876</v>
      </c>
      <c r="BN11" s="32">
        <f t="shared" si="6"/>
        <v>333.3586876</v>
      </c>
      <c r="BO11" s="32">
        <f t="shared" si="6"/>
        <v>333.3586876</v>
      </c>
      <c r="BP11" s="32">
        <f t="shared" si="6"/>
        <v>333.3586876</v>
      </c>
      <c r="BQ11" s="32">
        <f t="shared" si="6"/>
        <v>333.3586876</v>
      </c>
      <c r="BR11" s="32">
        <f t="shared" si="6"/>
        <v>333.3586876</v>
      </c>
      <c r="BS11" s="32">
        <f t="shared" si="6"/>
        <v>333.3586876</v>
      </c>
      <c r="BT11" s="23">
        <f t="shared" si="6"/>
        <v>268.53930042000002</v>
      </c>
      <c r="BU11" s="23">
        <f t="shared" si="6"/>
        <v>268.53930042000002</v>
      </c>
      <c r="BV11" s="23">
        <f t="shared" si="6"/>
        <v>268.53930042000002</v>
      </c>
      <c r="BW11" s="23">
        <f t="shared" si="6"/>
        <v>268.53930042000002</v>
      </c>
      <c r="BX11" s="23">
        <f t="shared" si="6"/>
        <v>268.53930042000002</v>
      </c>
      <c r="BY11" s="23">
        <f t="shared" si="6"/>
        <v>268.53930042000002</v>
      </c>
      <c r="BZ11" s="23">
        <f t="shared" si="6"/>
        <v>268.53930042000002</v>
      </c>
      <c r="CA11" s="23">
        <f t="shared" si="6"/>
        <v>268.53930042000002</v>
      </c>
      <c r="CB11" s="23">
        <f t="shared" si="6"/>
        <v>268.53930042000002</v>
      </c>
      <c r="CC11" s="23">
        <f t="shared" si="6"/>
        <v>268.53930042000002</v>
      </c>
      <c r="CD11" s="23">
        <f t="shared" si="6"/>
        <v>296.3197275</v>
      </c>
      <c r="CE11" s="23">
        <f t="shared" si="6"/>
        <v>296.3197275</v>
      </c>
      <c r="CF11" s="23">
        <f t="shared" si="6"/>
        <v>296.3197275</v>
      </c>
      <c r="CG11" s="23">
        <f t="shared" si="6"/>
        <v>296.3197275</v>
      </c>
      <c r="CH11" s="23">
        <f t="shared" si="6"/>
        <v>296.3197275</v>
      </c>
      <c r="CI11" s="23">
        <f t="shared" si="6"/>
        <v>296.3197275</v>
      </c>
      <c r="CJ11" s="23">
        <f t="shared" si="6"/>
        <v>296.3197275</v>
      </c>
      <c r="CK11" s="23">
        <f t="shared" si="6"/>
        <v>296.3197275</v>
      </c>
      <c r="CL11" s="23">
        <f t="shared" si="6"/>
        <v>296.3197275</v>
      </c>
      <c r="CM11" s="23">
        <f t="shared" si="6"/>
        <v>296.3197275</v>
      </c>
      <c r="CN11" s="23">
        <f t="shared" ref="CN11" si="7">CN10*1.60934</f>
        <v>211.96087345271999</v>
      </c>
      <c r="CO11" s="23">
        <f t="shared" ref="CO11:CP11" si="8">CO10*1.60934</f>
        <v>206.127083545</v>
      </c>
      <c r="CP11" s="23">
        <f t="shared" si="8"/>
        <v>211.96087345271999</v>
      </c>
      <c r="CQ11" s="23">
        <f t="shared" ref="CQ11:CV11" si="9">CQ10*1.60934</f>
        <v>223.62844361211998</v>
      </c>
      <c r="CR11" s="23">
        <f t="shared" si="9"/>
        <v>223.62844361211998</v>
      </c>
      <c r="CS11" s="23">
        <f t="shared" si="9"/>
        <v>223.62844361211998</v>
      </c>
      <c r="CT11" s="23">
        <f t="shared" si="9"/>
        <v>223.62844361211998</v>
      </c>
      <c r="CU11" s="23">
        <f t="shared" si="9"/>
        <v>235.29601538085998</v>
      </c>
      <c r="CV11" s="23">
        <f t="shared" si="9"/>
        <v>235.29601538085998</v>
      </c>
      <c r="CW11" s="23">
        <f t="shared" ref="CW11:CZ11" si="10">CW10*1.60934</f>
        <v>213.90547438019999</v>
      </c>
      <c r="CX11" s="23">
        <f t="shared" si="10"/>
        <v>213.90547438019999</v>
      </c>
      <c r="CY11" s="23">
        <f t="shared" si="10"/>
        <v>213.90547438019999</v>
      </c>
      <c r="CZ11" s="23">
        <f t="shared" si="10"/>
        <v>213.90547438019999</v>
      </c>
      <c r="DA11" s="23">
        <f t="shared" ref="DA11" si="11">DA10*1.60934</f>
        <v>213.90547438019999</v>
      </c>
      <c r="DB11" s="23">
        <f t="shared" ref="DB11:DH11" si="12">DB10*1.60934</f>
        <v>213.90547438019999</v>
      </c>
      <c r="DC11" s="23">
        <f t="shared" si="12"/>
        <v>213.90547438019999</v>
      </c>
      <c r="DD11" s="23">
        <f t="shared" si="12"/>
        <v>213.90547438019999</v>
      </c>
      <c r="DE11" s="23">
        <f t="shared" si="12"/>
        <v>213.90547438019999</v>
      </c>
      <c r="DF11" s="23">
        <f t="shared" si="12"/>
        <v>213.90547438019999</v>
      </c>
      <c r="DG11" s="23">
        <f t="shared" si="12"/>
        <v>213.90547438019999</v>
      </c>
      <c r="DH11" s="23">
        <f t="shared" si="12"/>
        <v>213.90547438019999</v>
      </c>
      <c r="DI11" s="23">
        <f t="shared" ref="DI11:DS11" si="13">DI10*1.60934</f>
        <v>213.90547438019999</v>
      </c>
      <c r="DJ11" s="23">
        <f t="shared" si="13"/>
        <v>213.90547438019999</v>
      </c>
      <c r="DK11" s="23">
        <f t="shared" si="13"/>
        <v>213.90547438019999</v>
      </c>
      <c r="DL11" s="23">
        <f t="shared" si="13"/>
        <v>213.90547438019999</v>
      </c>
      <c r="DM11" s="23">
        <f t="shared" si="13"/>
        <v>213.90547438019999</v>
      </c>
      <c r="DN11" s="23">
        <f t="shared" si="13"/>
        <v>213.90547438019999</v>
      </c>
      <c r="DO11" s="23">
        <f t="shared" si="13"/>
        <v>213.90547438019999</v>
      </c>
      <c r="DP11" s="23">
        <f t="shared" si="13"/>
        <v>213.90547438019999</v>
      </c>
      <c r="DQ11" s="23">
        <f t="shared" si="13"/>
        <v>213.90547438019999</v>
      </c>
      <c r="DR11" s="23">
        <f t="shared" si="13"/>
        <v>213.90547438019999</v>
      </c>
      <c r="DS11" s="23">
        <f t="shared" si="13"/>
        <v>213.90547438019999</v>
      </c>
      <c r="DT11" s="23">
        <f t="shared" ref="DT11:ED11" si="14">DT10*1.60934</f>
        <v>213.90547438019999</v>
      </c>
      <c r="DU11" s="23">
        <f t="shared" si="14"/>
        <v>213.90547438019999</v>
      </c>
      <c r="DV11" s="23">
        <f t="shared" si="14"/>
        <v>213.90547438019999</v>
      </c>
      <c r="DW11" s="23">
        <f t="shared" si="14"/>
        <v>213.90547438019999</v>
      </c>
      <c r="DX11" s="23">
        <f t="shared" si="14"/>
        <v>213.90547438019999</v>
      </c>
      <c r="DY11" s="23">
        <f t="shared" si="14"/>
        <v>213.90547438019999</v>
      </c>
      <c r="DZ11" s="23">
        <f t="shared" si="14"/>
        <v>213.90547438019999</v>
      </c>
      <c r="EA11" s="23">
        <f t="shared" si="14"/>
        <v>213.90547438019999</v>
      </c>
      <c r="EB11" s="23">
        <f t="shared" si="14"/>
        <v>213.90547438019999</v>
      </c>
      <c r="EC11" s="23">
        <f t="shared" si="14"/>
        <v>213.90547438019999</v>
      </c>
      <c r="ED11" s="23">
        <f t="shared" si="14"/>
        <v>213.90547438019999</v>
      </c>
      <c r="EE11" s="23">
        <f>EE10*1.60934</f>
        <v>255.57606672</v>
      </c>
      <c r="EF11" s="23">
        <f t="shared" ref="EF11:EG11" si="15">EF10*1.60934</f>
        <v>255.57606672</v>
      </c>
      <c r="EG11" s="23">
        <f t="shared" si="15"/>
        <v>255.57606672</v>
      </c>
      <c r="EH11" s="23">
        <f t="shared" ref="EH11" si="16">EH10*1.60934</f>
        <v>255.57606672</v>
      </c>
      <c r="EI11" s="23">
        <f t="shared" ref="EI11" si="17">EI10*1.60934</f>
        <v>255.57606672</v>
      </c>
      <c r="EJ11" s="23">
        <f t="shared" ref="EJ11:EK11" si="18">EJ10*1.60934</f>
        <v>255.57606672</v>
      </c>
      <c r="EK11" s="23">
        <f t="shared" si="18"/>
        <v>250.01901569999998</v>
      </c>
      <c r="EL11" s="23">
        <f t="shared" ref="EL11" si="19">EL10*1.60934</f>
        <v>250.01901569999998</v>
      </c>
      <c r="EM11" s="23">
        <f t="shared" ref="EM11" si="20">EM10*1.60934</f>
        <v>250.01901569999998</v>
      </c>
      <c r="EN11" s="23">
        <f t="shared" ref="EN11" si="21">EN10*1.60934</f>
        <v>250.01901569999998</v>
      </c>
      <c r="EO11" s="23">
        <f t="shared" ref="EO11" si="22">EO10*1.60934</f>
        <v>250.01901569999998</v>
      </c>
      <c r="EP11" s="23">
        <f t="shared" ref="EP11:EV11" si="23">EP10*1.60934</f>
        <v>250.01901569999998</v>
      </c>
      <c r="EQ11" s="23">
        <f t="shared" si="23"/>
        <v>227.79563963999999</v>
      </c>
      <c r="ER11" s="23">
        <f t="shared" si="23"/>
        <v>227.79563963999999</v>
      </c>
      <c r="ES11" s="23">
        <f t="shared" si="23"/>
        <v>246.31592436</v>
      </c>
      <c r="ET11" s="23">
        <f t="shared" si="23"/>
        <v>246.31592436</v>
      </c>
      <c r="EU11" s="23">
        <f t="shared" si="23"/>
        <v>250.01901569999998</v>
      </c>
      <c r="EV11" s="23">
        <f t="shared" si="23"/>
        <v>250.01901569999998</v>
      </c>
      <c r="EW11" s="60">
        <f t="shared" ref="EW11:FA11" si="24">EW10*1.60934</f>
        <v>250.01901569999998</v>
      </c>
      <c r="EX11" s="60">
        <f t="shared" si="24"/>
        <v>250.01901569999998</v>
      </c>
      <c r="EY11" s="60">
        <f t="shared" si="24"/>
        <v>250.01901569999998</v>
      </c>
      <c r="EZ11" s="60">
        <f t="shared" si="24"/>
        <v>250.01901569999998</v>
      </c>
      <c r="FA11" s="23">
        <f t="shared" si="24"/>
        <v>244.46357401999998</v>
      </c>
      <c r="FB11" s="23">
        <f t="shared" ref="FB11:FE11" si="25">FB10*1.60934</f>
        <v>250.01901569999998</v>
      </c>
      <c r="FC11" s="23">
        <f t="shared" si="25"/>
        <v>250.01901569999998</v>
      </c>
      <c r="FD11" s="23">
        <f t="shared" si="25"/>
        <v>250.01901569999998</v>
      </c>
      <c r="FE11" s="23">
        <f t="shared" si="25"/>
        <v>250.01901569999998</v>
      </c>
      <c r="FF11" s="23">
        <f t="shared" ref="FF11:FI11" si="26">FF10*1.60934</f>
        <v>268.53930042000002</v>
      </c>
      <c r="FG11" s="23">
        <f t="shared" si="26"/>
        <v>270.39165076</v>
      </c>
      <c r="FH11" s="23">
        <f t="shared" si="26"/>
        <v>270.39165076</v>
      </c>
      <c r="FI11" s="23">
        <f t="shared" si="26"/>
        <v>270.39165076</v>
      </c>
    </row>
    <row r="12" spans="1:165">
      <c r="A12" s="1" t="s">
        <v>2608</v>
      </c>
      <c r="B12" s="3"/>
      <c r="C12" s="23">
        <f t="shared" ref="C12:D12" si="27">C10*0.44704</f>
        <v>72.022167359999997</v>
      </c>
      <c r="D12" s="23">
        <f t="shared" si="27"/>
        <v>72.022167359999997</v>
      </c>
      <c r="E12" s="23">
        <f t="shared" ref="E12:J12" si="28">E10*0.44704</f>
        <v>66.877631039999997</v>
      </c>
      <c r="F12" s="23">
        <f t="shared" si="28"/>
        <v>72.022167359999997</v>
      </c>
      <c r="G12" s="23">
        <f t="shared" si="28"/>
        <v>72.022167359999997</v>
      </c>
      <c r="H12" s="23">
        <f t="shared" si="28"/>
        <v>72.022167359999997</v>
      </c>
      <c r="I12" s="23">
        <f t="shared" si="28"/>
        <v>72.022167359999997</v>
      </c>
      <c r="J12" s="23">
        <f t="shared" si="28"/>
        <v>72.022167359999997</v>
      </c>
      <c r="K12" s="23">
        <f t="shared" ref="K12:O12" si="29">K10*0.44704</f>
        <v>59.161273600000001</v>
      </c>
      <c r="L12" s="23">
        <f t="shared" si="29"/>
        <v>72.022167359999997</v>
      </c>
      <c r="M12" s="23">
        <f t="shared" si="29"/>
        <v>72.022167359999997</v>
      </c>
      <c r="N12" s="23">
        <f t="shared" si="29"/>
        <v>61.733541759999994</v>
      </c>
      <c r="O12" s="23">
        <f t="shared" si="29"/>
        <v>72.022167359999997</v>
      </c>
      <c r="P12" s="23">
        <f t="shared" ref="P12:R12" si="30">P10*0.44704</f>
        <v>70.478985280000003</v>
      </c>
      <c r="Q12" s="23">
        <f t="shared" si="30"/>
        <v>70.993528319999996</v>
      </c>
      <c r="R12" s="23">
        <f t="shared" si="30"/>
        <v>77.166703679999998</v>
      </c>
      <c r="S12" s="23">
        <f t="shared" ref="S12:AQ12" si="31">S10*0.44704</f>
        <v>77.166703679999998</v>
      </c>
      <c r="T12" s="23">
        <f t="shared" si="31"/>
        <v>78.709885759999992</v>
      </c>
      <c r="U12" s="23">
        <f t="shared" si="31"/>
        <v>78.709885759999992</v>
      </c>
      <c r="V12" s="23">
        <f t="shared" si="31"/>
        <v>82.311239999999998</v>
      </c>
      <c r="W12" s="23">
        <f t="shared" si="31"/>
        <v>82.311239999999998</v>
      </c>
      <c r="X12" s="23">
        <f t="shared" si="31"/>
        <v>78.709885759999992</v>
      </c>
      <c r="Y12" s="23">
        <f t="shared" si="31"/>
        <v>82.311239999999998</v>
      </c>
      <c r="Z12" s="23">
        <f t="shared" si="31"/>
        <v>82.311239999999998</v>
      </c>
      <c r="AA12" s="23">
        <f t="shared" si="31"/>
        <v>62.762180800000003</v>
      </c>
      <c r="AB12" s="23">
        <f t="shared" si="31"/>
        <v>63.791266880000002</v>
      </c>
      <c r="AC12" s="23">
        <f t="shared" si="31"/>
        <v>68.421260160000003</v>
      </c>
      <c r="AD12" s="23">
        <f t="shared" si="31"/>
        <v>77.166703679999998</v>
      </c>
      <c r="AE12" s="23">
        <f t="shared" si="31"/>
        <v>77.166703679999998</v>
      </c>
      <c r="AF12" s="23">
        <f t="shared" si="31"/>
        <v>78.709885759999992</v>
      </c>
      <c r="AG12" s="23">
        <f t="shared" si="31"/>
        <v>79.738971840000005</v>
      </c>
      <c r="AH12" s="23">
        <f t="shared" si="31"/>
        <v>66.877631039999997</v>
      </c>
      <c r="AI12" s="23">
        <f t="shared" si="31"/>
        <v>66.877631039999997</v>
      </c>
      <c r="AJ12" s="23">
        <f t="shared" si="31"/>
        <v>72.022167359999997</v>
      </c>
      <c r="AK12" s="23">
        <f t="shared" si="31"/>
        <v>72.022167359999997</v>
      </c>
      <c r="AL12" s="23">
        <f t="shared" si="31"/>
        <v>72.022167359999997</v>
      </c>
      <c r="AM12" s="23">
        <f t="shared" si="31"/>
        <v>72.022167359999997</v>
      </c>
      <c r="AN12" s="23">
        <f t="shared" si="31"/>
        <v>74.594435520000005</v>
      </c>
      <c r="AO12" s="23">
        <f t="shared" si="31"/>
        <v>74.594435520000005</v>
      </c>
      <c r="AP12" s="23">
        <f t="shared" si="31"/>
        <v>74.594435520000005</v>
      </c>
      <c r="AQ12" s="23">
        <f t="shared" si="31"/>
        <v>74.594435520000005</v>
      </c>
      <c r="AR12" s="23">
        <v>74.594399999999993</v>
      </c>
      <c r="AS12" s="23">
        <v>74.594399999999993</v>
      </c>
      <c r="AT12" s="23">
        <v>74.594399999999993</v>
      </c>
      <c r="AU12" s="23">
        <f t="shared" ref="AU12:AZ12" si="32">AU10*0.44704</f>
        <v>75.623521599999989</v>
      </c>
      <c r="AV12" s="23">
        <f t="shared" si="32"/>
        <v>75.623521599999989</v>
      </c>
      <c r="AW12" s="23">
        <f t="shared" si="32"/>
        <v>75.623521599999989</v>
      </c>
      <c r="AX12" s="23">
        <f t="shared" si="32"/>
        <v>75.623521599999989</v>
      </c>
      <c r="AY12" s="34">
        <f t="shared" si="32"/>
        <v>75.623521599999989</v>
      </c>
      <c r="AZ12" s="34">
        <f t="shared" si="32"/>
        <v>75.623521599999989</v>
      </c>
      <c r="BA12" s="23">
        <f t="shared" ref="BA12:BI12" si="33">BA10*0.44704</f>
        <v>79.738882431999997</v>
      </c>
      <c r="BB12" s="23">
        <f t="shared" si="33"/>
        <v>79.738882431999997</v>
      </c>
      <c r="BC12" s="23">
        <f t="shared" si="33"/>
        <v>85.912236608000001</v>
      </c>
      <c r="BD12" s="23">
        <f t="shared" si="33"/>
        <v>85.912236608000001</v>
      </c>
      <c r="BE12" s="23">
        <f t="shared" si="33"/>
        <v>74.594435520000005</v>
      </c>
      <c r="BF12" s="23">
        <f t="shared" si="33"/>
        <v>74.594435520000005</v>
      </c>
      <c r="BG12" s="23">
        <f t="shared" si="33"/>
        <v>77.166703679999998</v>
      </c>
      <c r="BH12" s="23">
        <f t="shared" si="33"/>
        <v>74.594435520000005</v>
      </c>
      <c r="BI12" s="23">
        <f t="shared" si="33"/>
        <v>76.652160640000005</v>
      </c>
      <c r="BJ12" s="23">
        <v>76.652160640000005</v>
      </c>
      <c r="BK12" s="23">
        <f t="shared" ref="BK12:CM12" si="34">BK10*0.44704</f>
        <v>77.166703679999998</v>
      </c>
      <c r="BL12" s="23">
        <f t="shared" si="34"/>
        <v>74.594435520000005</v>
      </c>
      <c r="BM12" s="23">
        <f t="shared" si="34"/>
        <v>92.599865599999987</v>
      </c>
      <c r="BN12" s="32">
        <f t="shared" si="34"/>
        <v>92.599865599999987</v>
      </c>
      <c r="BO12" s="32">
        <f t="shared" si="34"/>
        <v>92.599865599999987</v>
      </c>
      <c r="BP12" s="32">
        <f t="shared" si="34"/>
        <v>92.599865599999987</v>
      </c>
      <c r="BQ12" s="32">
        <f t="shared" si="34"/>
        <v>92.599865599999987</v>
      </c>
      <c r="BR12" s="32">
        <f t="shared" si="34"/>
        <v>92.599865599999987</v>
      </c>
      <c r="BS12" s="32">
        <f t="shared" si="34"/>
        <v>92.599865599999987</v>
      </c>
      <c r="BT12" s="23">
        <f t="shared" si="34"/>
        <v>74.594435520000005</v>
      </c>
      <c r="BU12" s="23">
        <f t="shared" si="34"/>
        <v>74.594435520000005</v>
      </c>
      <c r="BV12" s="23">
        <f t="shared" si="34"/>
        <v>74.594435520000005</v>
      </c>
      <c r="BW12" s="23">
        <f t="shared" si="34"/>
        <v>74.594435520000005</v>
      </c>
      <c r="BX12" s="23">
        <f t="shared" si="34"/>
        <v>74.594435520000005</v>
      </c>
      <c r="BY12" s="23">
        <f t="shared" si="34"/>
        <v>74.594435520000005</v>
      </c>
      <c r="BZ12" s="23">
        <f t="shared" si="34"/>
        <v>74.594435520000005</v>
      </c>
      <c r="CA12" s="23">
        <f t="shared" si="34"/>
        <v>74.594435520000005</v>
      </c>
      <c r="CB12" s="23">
        <f t="shared" si="34"/>
        <v>74.594435520000005</v>
      </c>
      <c r="CC12" s="23">
        <f t="shared" si="34"/>
        <v>74.594435520000005</v>
      </c>
      <c r="CD12" s="23">
        <f t="shared" si="34"/>
        <v>82.311239999999998</v>
      </c>
      <c r="CE12" s="23">
        <f t="shared" si="34"/>
        <v>82.311239999999998</v>
      </c>
      <c r="CF12" s="23">
        <f t="shared" si="34"/>
        <v>82.311239999999998</v>
      </c>
      <c r="CG12" s="23">
        <f t="shared" si="34"/>
        <v>82.311239999999998</v>
      </c>
      <c r="CH12" s="23">
        <f t="shared" si="34"/>
        <v>82.311239999999998</v>
      </c>
      <c r="CI12" s="23">
        <f t="shared" si="34"/>
        <v>82.311239999999998</v>
      </c>
      <c r="CJ12" s="23">
        <f t="shared" si="34"/>
        <v>82.311239999999998</v>
      </c>
      <c r="CK12" s="23">
        <f t="shared" si="34"/>
        <v>82.311239999999998</v>
      </c>
      <c r="CL12" s="23">
        <f t="shared" si="34"/>
        <v>82.311239999999998</v>
      </c>
      <c r="CM12" s="23">
        <f t="shared" si="34"/>
        <v>82.311239999999998</v>
      </c>
      <c r="CN12" s="23">
        <f t="shared" ref="CN12" si="35">CN10*0.44704</f>
        <v>58.878166744319998</v>
      </c>
      <c r="CO12" s="23">
        <f t="shared" ref="CO12:CP12" si="36">CO10*0.44704</f>
        <v>57.257665519999996</v>
      </c>
      <c r="CP12" s="23">
        <f t="shared" si="36"/>
        <v>58.878166744319998</v>
      </c>
      <c r="CQ12" s="23">
        <f t="shared" ref="CQ12:CV12" si="37">CQ10*0.44704</f>
        <v>62.119166510719992</v>
      </c>
      <c r="CR12" s="23">
        <f t="shared" si="37"/>
        <v>62.119166510719992</v>
      </c>
      <c r="CS12" s="23">
        <f t="shared" si="37"/>
        <v>62.119166510719992</v>
      </c>
      <c r="CT12" s="23">
        <f t="shared" si="37"/>
        <v>62.119166510719992</v>
      </c>
      <c r="CU12" s="23">
        <f t="shared" si="37"/>
        <v>65.360166724159996</v>
      </c>
      <c r="CV12" s="23">
        <f t="shared" si="37"/>
        <v>65.360166724159996</v>
      </c>
      <c r="CW12" s="23">
        <f t="shared" ref="CW12:CZ12" si="38">CW10*0.44704</f>
        <v>59.4183350112</v>
      </c>
      <c r="CX12" s="23">
        <f t="shared" si="38"/>
        <v>59.4183350112</v>
      </c>
      <c r="CY12" s="23">
        <f t="shared" si="38"/>
        <v>59.4183350112</v>
      </c>
      <c r="CZ12" s="23">
        <f t="shared" si="38"/>
        <v>59.4183350112</v>
      </c>
      <c r="DA12" s="23">
        <f t="shared" ref="DA12" si="39">DA10*0.44704</f>
        <v>59.4183350112</v>
      </c>
      <c r="DB12" s="23">
        <f t="shared" ref="DB12:DH12" si="40">DB10*0.44704</f>
        <v>59.4183350112</v>
      </c>
      <c r="DC12" s="23">
        <f t="shared" si="40"/>
        <v>59.4183350112</v>
      </c>
      <c r="DD12" s="23">
        <f t="shared" si="40"/>
        <v>59.4183350112</v>
      </c>
      <c r="DE12" s="23">
        <f t="shared" si="40"/>
        <v>59.4183350112</v>
      </c>
      <c r="DF12" s="23">
        <f t="shared" si="40"/>
        <v>59.4183350112</v>
      </c>
      <c r="DG12" s="23">
        <f t="shared" si="40"/>
        <v>59.4183350112</v>
      </c>
      <c r="DH12" s="23">
        <f t="shared" si="40"/>
        <v>59.4183350112</v>
      </c>
      <c r="DI12" s="23">
        <f t="shared" ref="DI12:DS12" si="41">DI10*0.44704</f>
        <v>59.4183350112</v>
      </c>
      <c r="DJ12" s="23">
        <f t="shared" si="41"/>
        <v>59.4183350112</v>
      </c>
      <c r="DK12" s="23">
        <f t="shared" si="41"/>
        <v>59.4183350112</v>
      </c>
      <c r="DL12" s="23">
        <f t="shared" si="41"/>
        <v>59.4183350112</v>
      </c>
      <c r="DM12" s="23">
        <f t="shared" si="41"/>
        <v>59.4183350112</v>
      </c>
      <c r="DN12" s="23">
        <f t="shared" si="41"/>
        <v>59.4183350112</v>
      </c>
      <c r="DO12" s="23">
        <f t="shared" si="41"/>
        <v>59.4183350112</v>
      </c>
      <c r="DP12" s="23">
        <f t="shared" si="41"/>
        <v>59.4183350112</v>
      </c>
      <c r="DQ12" s="23">
        <f t="shared" si="41"/>
        <v>59.4183350112</v>
      </c>
      <c r="DR12" s="23">
        <f t="shared" si="41"/>
        <v>59.4183350112</v>
      </c>
      <c r="DS12" s="23">
        <f t="shared" si="41"/>
        <v>59.4183350112</v>
      </c>
      <c r="DT12" s="23">
        <f t="shared" ref="DT12:ED12" si="42">DT10*0.44704</f>
        <v>59.4183350112</v>
      </c>
      <c r="DU12" s="23">
        <f t="shared" si="42"/>
        <v>59.4183350112</v>
      </c>
      <c r="DV12" s="23">
        <f t="shared" si="42"/>
        <v>59.4183350112</v>
      </c>
      <c r="DW12" s="23">
        <f t="shared" si="42"/>
        <v>59.4183350112</v>
      </c>
      <c r="DX12" s="23">
        <f t="shared" si="42"/>
        <v>59.4183350112</v>
      </c>
      <c r="DY12" s="23">
        <f t="shared" si="42"/>
        <v>59.4183350112</v>
      </c>
      <c r="DZ12" s="23">
        <f t="shared" si="42"/>
        <v>59.4183350112</v>
      </c>
      <c r="EA12" s="23">
        <f t="shared" si="42"/>
        <v>59.4183350112</v>
      </c>
      <c r="EB12" s="23">
        <f t="shared" si="42"/>
        <v>59.4183350112</v>
      </c>
      <c r="EC12" s="23">
        <f t="shared" si="42"/>
        <v>59.4183350112</v>
      </c>
      <c r="ED12" s="23">
        <f t="shared" si="42"/>
        <v>59.4183350112</v>
      </c>
      <c r="EE12" s="23">
        <f>EE10*0.44704</f>
        <v>70.993528319999996</v>
      </c>
      <c r="EF12" s="23">
        <f t="shared" ref="EF12:EG12" si="43">EF10*0.44704</f>
        <v>70.993528319999996</v>
      </c>
      <c r="EG12" s="23">
        <f t="shared" si="43"/>
        <v>70.993528319999996</v>
      </c>
      <c r="EH12" s="23">
        <f t="shared" ref="EH12:EJ12" si="44">EH10*0.44704</f>
        <v>70.993528319999996</v>
      </c>
      <c r="EI12" s="23">
        <f t="shared" si="44"/>
        <v>70.993528319999996</v>
      </c>
      <c r="EJ12" s="23">
        <f t="shared" si="44"/>
        <v>70.993528319999996</v>
      </c>
      <c r="EK12" s="23">
        <f t="shared" ref="EK12:EP12" si="45">EK10*0.44704</f>
        <v>69.44989919999999</v>
      </c>
      <c r="EL12" s="23">
        <f t="shared" si="45"/>
        <v>69.44989919999999</v>
      </c>
      <c r="EM12" s="23">
        <f t="shared" si="45"/>
        <v>69.44989919999999</v>
      </c>
      <c r="EN12" s="23">
        <f t="shared" si="45"/>
        <v>69.44989919999999</v>
      </c>
      <c r="EO12" s="23">
        <f t="shared" si="45"/>
        <v>69.44989919999999</v>
      </c>
      <c r="EP12" s="23">
        <f t="shared" si="45"/>
        <v>69.44989919999999</v>
      </c>
      <c r="EQ12" s="23">
        <f t="shared" ref="EQ12:EZ12" si="46">EQ10*0.44704</f>
        <v>63.276723839999995</v>
      </c>
      <c r="ER12" s="23">
        <f t="shared" si="46"/>
        <v>63.276723839999995</v>
      </c>
      <c r="ES12" s="23">
        <f t="shared" si="46"/>
        <v>68.421260160000003</v>
      </c>
      <c r="ET12" s="23">
        <f t="shared" si="46"/>
        <v>68.421260160000003</v>
      </c>
      <c r="EU12" s="23">
        <f t="shared" si="46"/>
        <v>69.44989919999999</v>
      </c>
      <c r="EV12" s="23">
        <f t="shared" si="46"/>
        <v>69.44989919999999</v>
      </c>
      <c r="EW12" s="60">
        <f t="shared" si="46"/>
        <v>69.44989919999999</v>
      </c>
      <c r="EX12" s="60">
        <f t="shared" si="46"/>
        <v>69.44989919999999</v>
      </c>
      <c r="EY12" s="60">
        <f t="shared" si="46"/>
        <v>69.44989919999999</v>
      </c>
      <c r="EZ12" s="60">
        <f t="shared" si="46"/>
        <v>69.44989919999999</v>
      </c>
      <c r="FA12" s="23">
        <f t="shared" ref="FA12:FB12" si="47">FA10*0.44704</f>
        <v>67.906717119999996</v>
      </c>
      <c r="FB12" s="23">
        <f t="shared" si="47"/>
        <v>69.44989919999999</v>
      </c>
      <c r="FC12" s="23">
        <f t="shared" ref="FC12:FE12" si="48">FC10*0.44704</f>
        <v>69.44989919999999</v>
      </c>
      <c r="FD12" s="23">
        <f t="shared" si="48"/>
        <v>69.44989919999999</v>
      </c>
      <c r="FE12" s="23">
        <f t="shared" si="48"/>
        <v>69.44989919999999</v>
      </c>
      <c r="FF12" s="23">
        <f t="shared" ref="FF12:FI12" si="49">FF10*0.44704</f>
        <v>74.594435520000005</v>
      </c>
      <c r="FG12" s="23">
        <f t="shared" si="49"/>
        <v>75.108978559999997</v>
      </c>
      <c r="FH12" s="23">
        <f t="shared" si="49"/>
        <v>75.108978559999997</v>
      </c>
      <c r="FI12" s="23">
        <f t="shared" si="49"/>
        <v>75.108978559999997</v>
      </c>
    </row>
    <row r="13" spans="1:165">
      <c r="A13" s="1" t="s">
        <v>2609</v>
      </c>
      <c r="B13" s="3"/>
      <c r="C13" s="3">
        <v>0.76</v>
      </c>
      <c r="D13" s="3">
        <v>0.76</v>
      </c>
      <c r="E13" s="3">
        <v>0.76</v>
      </c>
      <c r="F13" s="3">
        <v>0.76</v>
      </c>
      <c r="G13" s="3">
        <v>0.76</v>
      </c>
      <c r="H13" s="3">
        <v>0.76</v>
      </c>
      <c r="I13" s="3">
        <v>0.76</v>
      </c>
      <c r="J13" s="3">
        <v>0.76</v>
      </c>
      <c r="K13" s="3">
        <v>0.74</v>
      </c>
      <c r="L13" s="3">
        <v>0.76</v>
      </c>
      <c r="M13" s="3">
        <v>0.76</v>
      </c>
      <c r="N13" s="3">
        <v>0.74</v>
      </c>
      <c r="O13" s="3">
        <v>0.76</v>
      </c>
      <c r="P13" s="3">
        <v>0.82</v>
      </c>
      <c r="Q13" s="3">
        <v>0.82</v>
      </c>
      <c r="R13" s="3">
        <v>0.82</v>
      </c>
      <c r="S13" s="3">
        <v>0.82</v>
      </c>
      <c r="T13" s="3">
        <v>0.82</v>
      </c>
      <c r="U13" s="3">
        <v>0.82</v>
      </c>
      <c r="V13" s="3">
        <v>0.82</v>
      </c>
      <c r="W13" s="3">
        <v>0.82</v>
      </c>
      <c r="X13" s="3">
        <v>0.8</v>
      </c>
      <c r="Y13" s="3">
        <v>0.8</v>
      </c>
      <c r="Z13" s="3">
        <v>0.8</v>
      </c>
      <c r="AA13" s="3">
        <v>0.8</v>
      </c>
      <c r="AB13" s="3">
        <v>0.8</v>
      </c>
      <c r="AC13" s="3">
        <v>0.8</v>
      </c>
      <c r="AD13" s="3">
        <v>0.8</v>
      </c>
      <c r="AE13" s="3">
        <v>0.8</v>
      </c>
      <c r="AF13" s="3">
        <v>0.8</v>
      </c>
      <c r="AG13" s="3">
        <v>0.8</v>
      </c>
      <c r="AH13" s="3">
        <v>0.77</v>
      </c>
      <c r="AI13" s="3">
        <v>0.77</v>
      </c>
      <c r="AJ13" s="3">
        <v>0.9</v>
      </c>
      <c r="AK13" s="3">
        <v>0.9</v>
      </c>
      <c r="AL13" s="3">
        <v>0.9</v>
      </c>
      <c r="AM13" s="3">
        <v>0.9</v>
      </c>
      <c r="AN13" s="3">
        <v>0.9</v>
      </c>
      <c r="AO13" s="3">
        <v>0.9</v>
      </c>
      <c r="AP13" s="3">
        <v>0.9</v>
      </c>
      <c r="AQ13" s="3">
        <v>0.9</v>
      </c>
      <c r="AR13" s="23">
        <v>0.73</v>
      </c>
      <c r="AS13" s="23">
        <v>0.73</v>
      </c>
      <c r="AT13" s="23">
        <v>0.73</v>
      </c>
      <c r="AU13" s="23">
        <v>0.73</v>
      </c>
      <c r="AV13" s="23">
        <v>0.73</v>
      </c>
      <c r="AW13" s="23">
        <v>0.73</v>
      </c>
      <c r="AX13" s="23">
        <v>0.73</v>
      </c>
      <c r="AY13" s="34">
        <v>0.73</v>
      </c>
      <c r="AZ13" s="34">
        <v>0.73</v>
      </c>
      <c r="BA13" s="23">
        <v>0.745</v>
      </c>
      <c r="BB13" s="23">
        <v>0.745</v>
      </c>
      <c r="BC13" s="23">
        <v>0.745</v>
      </c>
      <c r="BD13" s="23">
        <v>0.745</v>
      </c>
      <c r="BE13" s="23">
        <v>0.745</v>
      </c>
      <c r="BF13" s="23">
        <v>0.78500000000000003</v>
      </c>
      <c r="BG13" s="23">
        <v>0.78500000000000003</v>
      </c>
      <c r="BH13" s="23">
        <v>0.78500000000000003</v>
      </c>
      <c r="BI13" s="23">
        <v>0.78500000000000003</v>
      </c>
      <c r="BJ13" s="23">
        <v>0.78500000000000003</v>
      </c>
      <c r="BK13" s="23">
        <v>0.78500000000000003</v>
      </c>
      <c r="BL13" s="23">
        <v>0.78500000000000003</v>
      </c>
      <c r="BM13" s="23">
        <v>0.78500000000000003</v>
      </c>
      <c r="BN13" s="23">
        <v>0.78500000000000003</v>
      </c>
      <c r="BO13" s="23">
        <v>0.78500000000000003</v>
      </c>
      <c r="BP13" s="23">
        <v>0.78500000000000003</v>
      </c>
      <c r="BQ13" s="23">
        <v>0.78500000000000003</v>
      </c>
      <c r="BR13" s="23">
        <v>0.78500000000000003</v>
      </c>
      <c r="BS13" s="23">
        <v>0.78500000000000003</v>
      </c>
      <c r="BT13" s="23">
        <v>0.8</v>
      </c>
      <c r="BU13" s="23">
        <v>0.8</v>
      </c>
      <c r="BV13" s="23">
        <v>0.8</v>
      </c>
      <c r="BW13" s="23">
        <v>0.8</v>
      </c>
      <c r="BX13" s="23">
        <v>0.8</v>
      </c>
      <c r="BY13" s="23">
        <v>0.8</v>
      </c>
      <c r="BZ13" s="23">
        <v>0.8</v>
      </c>
      <c r="CA13" s="23">
        <v>0.8</v>
      </c>
      <c r="CB13" s="23">
        <v>0.8</v>
      </c>
      <c r="CC13" s="23">
        <v>0.8</v>
      </c>
      <c r="CD13" s="23">
        <v>0.8</v>
      </c>
      <c r="CE13" s="23">
        <v>0.8</v>
      </c>
      <c r="CF13" s="23">
        <v>0.8</v>
      </c>
      <c r="CG13" s="23">
        <v>0.8</v>
      </c>
      <c r="CH13" s="23">
        <v>0.8</v>
      </c>
      <c r="CI13" s="23">
        <v>0.8</v>
      </c>
      <c r="CJ13" s="23">
        <v>0.8</v>
      </c>
      <c r="CK13" s="23">
        <v>0.8</v>
      </c>
      <c r="CL13" s="23">
        <v>0.8</v>
      </c>
      <c r="CM13" s="23">
        <v>0.8</v>
      </c>
      <c r="CN13" s="3">
        <v>0.8</v>
      </c>
      <c r="CO13" s="3">
        <v>0.8</v>
      </c>
      <c r="CP13" s="3">
        <v>0.8</v>
      </c>
      <c r="CQ13" s="3">
        <v>0.8</v>
      </c>
      <c r="CR13" s="3">
        <v>0.8</v>
      </c>
      <c r="CS13" s="3">
        <v>0.8</v>
      </c>
      <c r="CT13" s="3">
        <v>0.8</v>
      </c>
      <c r="CU13" s="3">
        <v>0.8</v>
      </c>
      <c r="CV13" s="3">
        <v>0.8</v>
      </c>
      <c r="CW13" s="3">
        <v>0.78</v>
      </c>
      <c r="CX13" s="3">
        <v>0.78</v>
      </c>
      <c r="CY13" s="3">
        <v>0.78</v>
      </c>
      <c r="CZ13" s="3">
        <v>0.78</v>
      </c>
      <c r="DA13" s="3">
        <v>0.79</v>
      </c>
      <c r="DB13" s="3">
        <v>0.79</v>
      </c>
      <c r="DC13" s="3">
        <v>0.79</v>
      </c>
      <c r="DD13" s="3">
        <v>0.79</v>
      </c>
      <c r="DE13" s="3">
        <v>0.79</v>
      </c>
      <c r="DF13" s="3">
        <v>0.79</v>
      </c>
      <c r="DG13" s="3">
        <v>0.79</v>
      </c>
      <c r="DH13" s="3">
        <v>0.79</v>
      </c>
      <c r="DI13" s="3">
        <v>0.79</v>
      </c>
      <c r="DJ13" s="3">
        <v>0.79</v>
      </c>
      <c r="DK13" s="3">
        <v>0.79</v>
      </c>
      <c r="DL13" s="3">
        <v>0.79</v>
      </c>
      <c r="DM13" s="3">
        <v>0.79</v>
      </c>
      <c r="DN13" s="3">
        <v>0.79</v>
      </c>
      <c r="DO13" s="3">
        <v>0.79</v>
      </c>
      <c r="DP13" s="3">
        <v>0.79</v>
      </c>
      <c r="DQ13" s="3">
        <v>0.79</v>
      </c>
      <c r="DR13" s="3">
        <v>0.79</v>
      </c>
      <c r="DS13" s="3">
        <v>0.79</v>
      </c>
      <c r="DT13" s="3">
        <v>0.79</v>
      </c>
      <c r="DU13" s="3">
        <v>0.79</v>
      </c>
      <c r="DV13" s="3">
        <v>0.79</v>
      </c>
      <c r="DW13" s="3">
        <v>0.79</v>
      </c>
      <c r="DX13" s="3">
        <v>0.79</v>
      </c>
      <c r="DY13" s="3">
        <v>0.79</v>
      </c>
      <c r="DZ13" s="3">
        <v>0.79</v>
      </c>
      <c r="EA13" s="3">
        <v>0.79</v>
      </c>
      <c r="EB13" s="3">
        <v>0.79</v>
      </c>
      <c r="EC13" s="3">
        <v>0.79</v>
      </c>
      <c r="ED13" s="3">
        <v>0.79</v>
      </c>
      <c r="EE13" s="23">
        <v>0.78</v>
      </c>
      <c r="EF13" s="23">
        <v>0.78</v>
      </c>
      <c r="EG13" s="23">
        <v>0.78</v>
      </c>
      <c r="EH13" s="23">
        <v>0.78</v>
      </c>
      <c r="EI13" s="23">
        <v>0.78</v>
      </c>
      <c r="EJ13" s="23">
        <v>0.78</v>
      </c>
      <c r="EK13" s="23">
        <v>0.78</v>
      </c>
      <c r="EL13" s="23">
        <v>0.78</v>
      </c>
      <c r="EM13" s="23">
        <v>0.78</v>
      </c>
      <c r="EN13" s="23">
        <v>0.78</v>
      </c>
      <c r="EO13" s="23">
        <v>0.78</v>
      </c>
      <c r="EP13" s="23">
        <v>0.78</v>
      </c>
      <c r="EQ13" s="23">
        <v>0.78</v>
      </c>
      <c r="ER13" s="23">
        <v>0.78</v>
      </c>
      <c r="ES13" s="23">
        <v>0.78</v>
      </c>
      <c r="ET13" s="23">
        <v>0.78</v>
      </c>
      <c r="EU13" s="23">
        <v>0.78</v>
      </c>
      <c r="EV13" s="23">
        <v>0.78</v>
      </c>
      <c r="EW13" s="23">
        <v>0.82</v>
      </c>
      <c r="EX13" s="23">
        <v>0.82</v>
      </c>
      <c r="EY13" s="23">
        <v>0.82</v>
      </c>
      <c r="EZ13" s="23">
        <v>0.82</v>
      </c>
      <c r="FA13" s="23">
        <v>0.74</v>
      </c>
      <c r="FB13" s="23">
        <v>0.74</v>
      </c>
      <c r="FC13" s="23">
        <v>0.74</v>
      </c>
      <c r="FD13" s="23">
        <v>0.74</v>
      </c>
      <c r="FE13" s="23">
        <v>0.74</v>
      </c>
      <c r="FF13" s="23">
        <v>0.77</v>
      </c>
      <c r="FG13" s="23">
        <v>0.8</v>
      </c>
      <c r="FH13" s="23">
        <v>0.8</v>
      </c>
      <c r="FI13" s="23">
        <v>0.82</v>
      </c>
    </row>
    <row r="14" spans="1:165">
      <c r="A14" s="1" t="s">
        <v>2610</v>
      </c>
      <c r="B14" s="3"/>
      <c r="C14" s="35">
        <f t="shared" ref="C14:J14" si="50">C15*3.6</f>
        <v>814.88160000000005</v>
      </c>
      <c r="D14" s="35">
        <f t="shared" si="50"/>
        <v>814.88160000000005</v>
      </c>
      <c r="E14" s="35">
        <f t="shared" si="50"/>
        <v>888.9588</v>
      </c>
      <c r="F14" s="35">
        <f t="shared" si="50"/>
        <v>814.88160000000005</v>
      </c>
      <c r="G14" s="35">
        <f t="shared" si="50"/>
        <v>833.4</v>
      </c>
      <c r="H14" s="35">
        <f t="shared" si="50"/>
        <v>814.88160000000005</v>
      </c>
      <c r="I14" s="35">
        <f t="shared" si="50"/>
        <v>814.88160000000005</v>
      </c>
      <c r="J14" s="35">
        <f t="shared" si="50"/>
        <v>814.88160000000005</v>
      </c>
      <c r="K14" s="35">
        <f t="shared" ref="K14:O14" si="51">K15*3.6</f>
        <v>703.7604</v>
      </c>
      <c r="L14" s="35">
        <f t="shared" si="51"/>
        <v>814.88160000000005</v>
      </c>
      <c r="M14" s="35">
        <f t="shared" si="51"/>
        <v>814.88160000000005</v>
      </c>
      <c r="N14" s="35">
        <f t="shared" si="51"/>
        <v>703.7604</v>
      </c>
      <c r="O14" s="35">
        <f t="shared" si="51"/>
        <v>814.88160000000005</v>
      </c>
      <c r="P14" s="35">
        <f t="shared" ref="P14:AZ14" si="52">P15*3.6</f>
        <v>944.52120000000014</v>
      </c>
      <c r="Q14" s="35">
        <f t="shared" si="52"/>
        <v>944.52120000000014</v>
      </c>
      <c r="R14" s="35">
        <f t="shared" si="52"/>
        <v>944.52120000000014</v>
      </c>
      <c r="S14" s="35">
        <f t="shared" si="52"/>
        <v>944.52120000000014</v>
      </c>
      <c r="T14" s="35">
        <f t="shared" si="52"/>
        <v>944.52120000000014</v>
      </c>
      <c r="U14" s="35">
        <f t="shared" si="52"/>
        <v>944.52120000000014</v>
      </c>
      <c r="V14" s="35">
        <f t="shared" si="52"/>
        <v>944.52120000000014</v>
      </c>
      <c r="W14" s="35">
        <f t="shared" si="52"/>
        <v>944.52120000000014</v>
      </c>
      <c r="X14" s="35">
        <f t="shared" si="52"/>
        <v>851.91840000000002</v>
      </c>
      <c r="Y14" s="35">
        <f t="shared" si="52"/>
        <v>851.91840000000002</v>
      </c>
      <c r="Z14" s="35">
        <f t="shared" si="52"/>
        <v>851.91840000000002</v>
      </c>
      <c r="AA14" s="35">
        <f t="shared" si="52"/>
        <v>870.44039999999995</v>
      </c>
      <c r="AB14" s="35">
        <f t="shared" si="52"/>
        <v>870.44039999999995</v>
      </c>
      <c r="AC14" s="35">
        <f t="shared" si="52"/>
        <v>870.44039999999995</v>
      </c>
      <c r="AD14" s="35">
        <f t="shared" si="52"/>
        <v>870.44039999999995</v>
      </c>
      <c r="AE14" s="35">
        <f t="shared" si="52"/>
        <v>870.44039999999995</v>
      </c>
      <c r="AF14" s="35">
        <f t="shared" si="52"/>
        <v>870.44039999999995</v>
      </c>
      <c r="AG14" s="35">
        <f t="shared" si="52"/>
        <v>870.44039999999995</v>
      </c>
      <c r="AH14" s="35">
        <f t="shared" si="52"/>
        <v>805.61879999999996</v>
      </c>
      <c r="AI14" s="35">
        <f t="shared" si="52"/>
        <v>805.61879999999996</v>
      </c>
      <c r="AJ14" s="35">
        <f t="shared" si="52"/>
        <v>870.44039999999995</v>
      </c>
      <c r="AK14" s="35">
        <f t="shared" si="52"/>
        <v>870.44039999999995</v>
      </c>
      <c r="AL14" s="35">
        <f t="shared" si="52"/>
        <v>870.44039999999995</v>
      </c>
      <c r="AM14" s="35">
        <f t="shared" si="52"/>
        <v>870.44039999999995</v>
      </c>
      <c r="AN14" s="35">
        <f t="shared" si="52"/>
        <v>870.44039999999995</v>
      </c>
      <c r="AO14" s="35">
        <f t="shared" si="52"/>
        <v>870.44039999999995</v>
      </c>
      <c r="AP14" s="35">
        <f t="shared" si="52"/>
        <v>870.44039999999995</v>
      </c>
      <c r="AQ14" s="35">
        <f t="shared" si="52"/>
        <v>870.44039999999995</v>
      </c>
      <c r="AR14" s="35">
        <f t="shared" si="52"/>
        <v>777.84120000000007</v>
      </c>
      <c r="AS14" s="35">
        <f t="shared" si="52"/>
        <v>777.84120000000007</v>
      </c>
      <c r="AT14" s="35">
        <f t="shared" si="52"/>
        <v>777.84120000000007</v>
      </c>
      <c r="AU14" s="35">
        <f t="shared" si="52"/>
        <v>777.84120000000007</v>
      </c>
      <c r="AV14" s="35">
        <f t="shared" si="52"/>
        <v>777.84120000000007</v>
      </c>
      <c r="AW14" s="35">
        <f t="shared" si="52"/>
        <v>777.84120000000007</v>
      </c>
      <c r="AX14" s="35">
        <f t="shared" si="52"/>
        <v>777.84120000000007</v>
      </c>
      <c r="AY14" s="36">
        <f t="shared" si="52"/>
        <v>777.84120000000007</v>
      </c>
      <c r="AZ14" s="36">
        <f t="shared" si="52"/>
        <v>777.84120000000007</v>
      </c>
      <c r="BA14" s="35">
        <f t="shared" ref="BA14:BI14" si="53">BA15*3.6</f>
        <v>810</v>
      </c>
      <c r="BB14" s="35">
        <f t="shared" si="53"/>
        <v>810</v>
      </c>
      <c r="BC14" s="35">
        <f t="shared" si="53"/>
        <v>810</v>
      </c>
      <c r="BD14" s="35">
        <f t="shared" si="53"/>
        <v>810</v>
      </c>
      <c r="BE14" s="35">
        <f t="shared" si="53"/>
        <v>810</v>
      </c>
      <c r="BF14" s="35">
        <f t="shared" si="53"/>
        <v>828</v>
      </c>
      <c r="BG14" s="35">
        <f t="shared" si="53"/>
        <v>828</v>
      </c>
      <c r="BH14" s="35">
        <f t="shared" si="53"/>
        <v>828</v>
      </c>
      <c r="BI14" s="35">
        <f t="shared" si="53"/>
        <v>828</v>
      </c>
      <c r="BJ14" s="35">
        <v>828</v>
      </c>
      <c r="BK14" s="35">
        <f t="shared" ref="BK14:CM14" si="54">BK15*3.6</f>
        <v>828</v>
      </c>
      <c r="BL14" s="35">
        <f t="shared" si="54"/>
        <v>828</v>
      </c>
      <c r="BM14" s="35">
        <f t="shared" si="54"/>
        <v>828</v>
      </c>
      <c r="BN14" s="35">
        <f t="shared" si="54"/>
        <v>828</v>
      </c>
      <c r="BO14" s="35">
        <f t="shared" si="54"/>
        <v>828</v>
      </c>
      <c r="BP14" s="35">
        <f t="shared" si="54"/>
        <v>828</v>
      </c>
      <c r="BQ14" s="35">
        <f t="shared" si="54"/>
        <v>828</v>
      </c>
      <c r="BR14" s="35">
        <f t="shared" si="54"/>
        <v>828</v>
      </c>
      <c r="BS14" s="35">
        <f t="shared" si="54"/>
        <v>828</v>
      </c>
      <c r="BT14" s="35">
        <f t="shared" si="54"/>
        <v>870.44039999999995</v>
      </c>
      <c r="BU14" s="35">
        <f t="shared" si="54"/>
        <v>870.44039999999995</v>
      </c>
      <c r="BV14" s="35">
        <f t="shared" si="54"/>
        <v>870.44039999999995</v>
      </c>
      <c r="BW14" s="35">
        <f t="shared" si="54"/>
        <v>870.44039999999995</v>
      </c>
      <c r="BX14" s="35">
        <f t="shared" si="54"/>
        <v>870.44039999999995</v>
      </c>
      <c r="BY14" s="35">
        <f t="shared" si="54"/>
        <v>870.44039999999995</v>
      </c>
      <c r="BZ14" s="35">
        <f t="shared" si="54"/>
        <v>870.44039999999995</v>
      </c>
      <c r="CA14" s="35">
        <f t="shared" si="54"/>
        <v>870.44039999999995</v>
      </c>
      <c r="CB14" s="35">
        <f t="shared" si="54"/>
        <v>870.44039999999995</v>
      </c>
      <c r="CC14" s="35">
        <f t="shared" si="54"/>
        <v>870.44039999999995</v>
      </c>
      <c r="CD14" s="35">
        <f t="shared" si="54"/>
        <v>851.91840000000002</v>
      </c>
      <c r="CE14" s="35">
        <f t="shared" si="54"/>
        <v>851.91840000000002</v>
      </c>
      <c r="CF14" s="35">
        <f t="shared" si="54"/>
        <v>851.91840000000002</v>
      </c>
      <c r="CG14" s="35">
        <f t="shared" si="54"/>
        <v>851.91840000000002</v>
      </c>
      <c r="CH14" s="35">
        <f t="shared" si="54"/>
        <v>851.91840000000002</v>
      </c>
      <c r="CI14" s="35">
        <f t="shared" si="54"/>
        <v>851.91840000000002</v>
      </c>
      <c r="CJ14" s="35">
        <f t="shared" si="54"/>
        <v>851.91840000000002</v>
      </c>
      <c r="CK14" s="35">
        <f t="shared" si="54"/>
        <v>851.91840000000002</v>
      </c>
      <c r="CL14" s="35">
        <f t="shared" si="54"/>
        <v>851.91840000000002</v>
      </c>
      <c r="CM14" s="35">
        <f t="shared" si="54"/>
        <v>851.91840000000002</v>
      </c>
      <c r="CN14" s="35">
        <f t="shared" ref="CN14:CV14" si="55">CN15*3.6</f>
        <v>888.9588</v>
      </c>
      <c r="CO14" s="35">
        <f t="shared" si="55"/>
        <v>888.9588</v>
      </c>
      <c r="CP14" s="35">
        <f t="shared" si="55"/>
        <v>888.9588</v>
      </c>
      <c r="CQ14" s="35">
        <f t="shared" si="55"/>
        <v>888.9588</v>
      </c>
      <c r="CR14" s="35">
        <f t="shared" si="55"/>
        <v>888.9588</v>
      </c>
      <c r="CS14" s="35">
        <f t="shared" si="55"/>
        <v>888.9588</v>
      </c>
      <c r="CT14" s="35">
        <f t="shared" si="55"/>
        <v>888.9588</v>
      </c>
      <c r="CU14" s="35">
        <f t="shared" si="55"/>
        <v>888.9588</v>
      </c>
      <c r="CV14" s="35">
        <f t="shared" si="55"/>
        <v>888.9588</v>
      </c>
      <c r="CW14" s="35">
        <f t="shared" ref="CW14:CZ14" si="56">CW15*3.6</f>
        <v>851.91840000000002</v>
      </c>
      <c r="CX14" s="35">
        <f t="shared" si="56"/>
        <v>851.91840000000002</v>
      </c>
      <c r="CY14" s="35">
        <f t="shared" si="56"/>
        <v>851.91840000000002</v>
      </c>
      <c r="CZ14" s="35">
        <f t="shared" si="56"/>
        <v>851.91840000000002</v>
      </c>
      <c r="DA14" s="35">
        <f t="shared" ref="DA14:DS14" si="57">DA15*3.6</f>
        <v>833.4</v>
      </c>
      <c r="DB14" s="35">
        <f t="shared" si="57"/>
        <v>833.4</v>
      </c>
      <c r="DC14" s="35">
        <f t="shared" si="57"/>
        <v>833.4</v>
      </c>
      <c r="DD14" s="35">
        <f t="shared" si="57"/>
        <v>833.4</v>
      </c>
      <c r="DE14" s="35">
        <f t="shared" si="57"/>
        <v>833.4</v>
      </c>
      <c r="DF14" s="35">
        <f t="shared" si="57"/>
        <v>833.4</v>
      </c>
      <c r="DG14" s="35">
        <f t="shared" si="57"/>
        <v>833.4</v>
      </c>
      <c r="DH14" s="35">
        <f t="shared" si="57"/>
        <v>833.4</v>
      </c>
      <c r="DI14" s="35">
        <f t="shared" si="57"/>
        <v>833.4</v>
      </c>
      <c r="DJ14" s="35">
        <f t="shared" si="57"/>
        <v>833.4</v>
      </c>
      <c r="DK14" s="35">
        <f t="shared" si="57"/>
        <v>833.4</v>
      </c>
      <c r="DL14" s="35">
        <f t="shared" si="57"/>
        <v>833.4</v>
      </c>
      <c r="DM14" s="35">
        <f t="shared" si="57"/>
        <v>833.4</v>
      </c>
      <c r="DN14" s="35">
        <f t="shared" si="57"/>
        <v>833.4</v>
      </c>
      <c r="DO14" s="35">
        <f t="shared" si="57"/>
        <v>833.4</v>
      </c>
      <c r="DP14" s="35">
        <f t="shared" si="57"/>
        <v>833.4</v>
      </c>
      <c r="DQ14" s="35">
        <f t="shared" si="57"/>
        <v>833.4</v>
      </c>
      <c r="DR14" s="35">
        <f t="shared" si="57"/>
        <v>833.4</v>
      </c>
      <c r="DS14" s="35">
        <f t="shared" si="57"/>
        <v>833.4</v>
      </c>
      <c r="DT14" s="35">
        <f t="shared" ref="DT14:ED14" si="58">DT15*3.6</f>
        <v>833.4</v>
      </c>
      <c r="DU14" s="35">
        <f t="shared" si="58"/>
        <v>833.4</v>
      </c>
      <c r="DV14" s="35">
        <f t="shared" si="58"/>
        <v>833.4</v>
      </c>
      <c r="DW14" s="35">
        <f t="shared" si="58"/>
        <v>833.4</v>
      </c>
      <c r="DX14" s="35">
        <f t="shared" si="58"/>
        <v>833.4</v>
      </c>
      <c r="DY14" s="35">
        <f t="shared" si="58"/>
        <v>833.4</v>
      </c>
      <c r="DZ14" s="35">
        <f t="shared" si="58"/>
        <v>833.4</v>
      </c>
      <c r="EA14" s="35">
        <f t="shared" si="58"/>
        <v>833.4</v>
      </c>
      <c r="EB14" s="35">
        <f t="shared" si="58"/>
        <v>833.4</v>
      </c>
      <c r="EC14" s="35">
        <f t="shared" si="58"/>
        <v>833.4</v>
      </c>
      <c r="ED14" s="35">
        <f t="shared" si="58"/>
        <v>833.4</v>
      </c>
      <c r="EE14" s="35">
        <f>EE15*3.6</f>
        <v>851.91840000000002</v>
      </c>
      <c r="EF14" s="35">
        <f t="shared" ref="EF14:EG14" si="59">EF15*3.6</f>
        <v>851.91840000000002</v>
      </c>
      <c r="EG14" s="35">
        <f t="shared" si="59"/>
        <v>851.91840000000002</v>
      </c>
      <c r="EH14" s="35">
        <f t="shared" ref="EH14" si="60">EH15*3.6</f>
        <v>851.91840000000002</v>
      </c>
      <c r="EI14" s="35">
        <f t="shared" ref="EI14" si="61">EI15*3.6</f>
        <v>851.91840000000002</v>
      </c>
      <c r="EJ14" s="35">
        <f t="shared" ref="EJ14" si="62">EJ15*3.6</f>
        <v>851.91840000000002</v>
      </c>
      <c r="EK14" s="35">
        <f t="shared" ref="EK14" si="63">EK15*3.6</f>
        <v>851.91840000000002</v>
      </c>
      <c r="EL14" s="35">
        <f t="shared" ref="EL14" si="64">EL15*3.6</f>
        <v>851.91840000000002</v>
      </c>
      <c r="EM14" s="35">
        <f t="shared" ref="EM14" si="65">EM15*3.6</f>
        <v>851.91840000000002</v>
      </c>
      <c r="EN14" s="35">
        <f t="shared" ref="EN14" si="66">EN15*3.6</f>
        <v>851.91840000000002</v>
      </c>
      <c r="EO14" s="35">
        <f t="shared" ref="EO14" si="67">EO15*3.6</f>
        <v>851.91840000000002</v>
      </c>
      <c r="EP14" s="35">
        <f t="shared" ref="EP14:EQ14" si="68">EP15*3.6</f>
        <v>851.91840000000002</v>
      </c>
      <c r="EQ14" s="35">
        <f t="shared" si="68"/>
        <v>833.4</v>
      </c>
      <c r="ER14" s="35">
        <f t="shared" ref="ER14" si="69">ER15*3.6</f>
        <v>833.4</v>
      </c>
      <c r="ES14" s="35">
        <f t="shared" ref="ES14" si="70">ES15*3.6</f>
        <v>833.4</v>
      </c>
      <c r="ET14" s="35">
        <f t="shared" ref="ET14" si="71">ET15*3.6</f>
        <v>833.4</v>
      </c>
      <c r="EU14" s="35">
        <f t="shared" ref="EU14" si="72">EU15*3.6</f>
        <v>833.4</v>
      </c>
      <c r="EV14" s="35">
        <f t="shared" ref="EV14" si="73">EV15*3.6</f>
        <v>833.4</v>
      </c>
      <c r="EW14" s="23">
        <v>876</v>
      </c>
      <c r="EX14" s="23">
        <v>876</v>
      </c>
      <c r="EY14" s="23">
        <v>876</v>
      </c>
      <c r="EZ14" s="23">
        <v>876</v>
      </c>
      <c r="FA14" s="35">
        <f t="shared" ref="FA14:FH14" si="74">FA15*3.6</f>
        <v>785.24639999999999</v>
      </c>
      <c r="FB14" s="35">
        <f t="shared" si="74"/>
        <v>785.24639999999999</v>
      </c>
      <c r="FC14" s="35">
        <f t="shared" si="74"/>
        <v>785.24639999999999</v>
      </c>
      <c r="FD14" s="35">
        <f t="shared" si="74"/>
        <v>777.84120000000007</v>
      </c>
      <c r="FE14" s="35">
        <f t="shared" si="74"/>
        <v>777.84120000000007</v>
      </c>
      <c r="FF14" s="35">
        <f t="shared" si="74"/>
        <v>818.58240000000001</v>
      </c>
      <c r="FG14" s="35">
        <f t="shared" si="74"/>
        <v>848.21760000000006</v>
      </c>
      <c r="FH14" s="35">
        <f t="shared" si="74"/>
        <v>848.21760000000006</v>
      </c>
      <c r="FI14" s="35">
        <f t="shared" ref="FI14" si="75">FI15*3.6</f>
        <v>870.44039999999995</v>
      </c>
    </row>
    <row r="15" spans="1:165">
      <c r="A15" s="1" t="s">
        <v>2611</v>
      </c>
      <c r="B15" s="3"/>
      <c r="C15" s="3">
        <v>226.35599999999999</v>
      </c>
      <c r="D15" s="3">
        <v>226.35599999999999</v>
      </c>
      <c r="E15" s="3">
        <v>246.93299999999999</v>
      </c>
      <c r="F15" s="3">
        <v>226.35599999999999</v>
      </c>
      <c r="G15" s="3">
        <v>231.5</v>
      </c>
      <c r="H15" s="3">
        <v>226.35599999999999</v>
      </c>
      <c r="I15" s="3">
        <v>226.35599999999999</v>
      </c>
      <c r="J15" s="3">
        <v>226.35599999999999</v>
      </c>
      <c r="K15" s="3">
        <v>195.489</v>
      </c>
      <c r="L15" s="3">
        <v>226.35599999999999</v>
      </c>
      <c r="M15" s="3">
        <v>226.35599999999999</v>
      </c>
      <c r="N15" s="3">
        <v>195.489</v>
      </c>
      <c r="O15" s="3">
        <v>226.35599999999999</v>
      </c>
      <c r="P15" s="3">
        <v>262.36700000000002</v>
      </c>
      <c r="Q15" s="3">
        <v>262.36700000000002</v>
      </c>
      <c r="R15" s="3">
        <v>262.36700000000002</v>
      </c>
      <c r="S15" s="3">
        <v>262.36700000000002</v>
      </c>
      <c r="T15" s="3">
        <v>262.36700000000002</v>
      </c>
      <c r="U15" s="3">
        <v>262.36700000000002</v>
      </c>
      <c r="V15" s="3">
        <v>262.36700000000002</v>
      </c>
      <c r="W15" s="3">
        <v>262.36700000000002</v>
      </c>
      <c r="X15" s="3">
        <v>236.64400000000001</v>
      </c>
      <c r="Y15" s="3">
        <v>236.64400000000001</v>
      </c>
      <c r="Z15" s="3">
        <v>236.64400000000001</v>
      </c>
      <c r="AA15" s="3">
        <v>241.78899999999999</v>
      </c>
      <c r="AB15" s="3">
        <v>241.78899999999999</v>
      </c>
      <c r="AC15" s="3">
        <v>241.78899999999999</v>
      </c>
      <c r="AD15" s="3">
        <v>241.78899999999999</v>
      </c>
      <c r="AE15" s="3">
        <v>241.78899999999999</v>
      </c>
      <c r="AF15" s="3">
        <v>241.78899999999999</v>
      </c>
      <c r="AG15" s="3">
        <v>241.78899999999999</v>
      </c>
      <c r="AH15" s="3">
        <v>223.78299999999999</v>
      </c>
      <c r="AI15" s="3">
        <v>223.78299999999999</v>
      </c>
      <c r="AJ15" s="3">
        <v>241.78899999999999</v>
      </c>
      <c r="AK15" s="3">
        <v>241.78899999999999</v>
      </c>
      <c r="AL15" s="3">
        <v>241.78899999999999</v>
      </c>
      <c r="AM15" s="3">
        <v>241.78899999999999</v>
      </c>
      <c r="AN15" s="3">
        <v>241.78899999999999</v>
      </c>
      <c r="AO15" s="3">
        <v>241.78899999999999</v>
      </c>
      <c r="AP15" s="3">
        <v>241.78899999999999</v>
      </c>
      <c r="AQ15" s="3">
        <v>241.78899999999999</v>
      </c>
      <c r="AR15" s="37">
        <v>216.06700000000001</v>
      </c>
      <c r="AS15" s="37">
        <v>216.06700000000001</v>
      </c>
      <c r="AT15" s="37">
        <v>216.06700000000001</v>
      </c>
      <c r="AU15" s="37">
        <v>216.06700000000001</v>
      </c>
      <c r="AV15" s="37">
        <v>216.06700000000001</v>
      </c>
      <c r="AW15" s="37">
        <v>216.06700000000001</v>
      </c>
      <c r="AX15" s="37">
        <v>216.06700000000001</v>
      </c>
      <c r="AY15" s="38">
        <v>216.06700000000001</v>
      </c>
      <c r="AZ15" s="38">
        <v>216.06700000000001</v>
      </c>
      <c r="BA15" s="37">
        <v>225</v>
      </c>
      <c r="BB15" s="37">
        <v>225</v>
      </c>
      <c r="BC15" s="37">
        <v>225</v>
      </c>
      <c r="BD15" s="37">
        <v>225</v>
      </c>
      <c r="BE15" s="37">
        <v>225</v>
      </c>
      <c r="BF15" s="23">
        <v>230</v>
      </c>
      <c r="BG15" s="23">
        <v>230</v>
      </c>
      <c r="BH15" s="23">
        <v>230</v>
      </c>
      <c r="BI15" s="23">
        <v>230</v>
      </c>
      <c r="BJ15" s="23">
        <v>230</v>
      </c>
      <c r="BK15" s="23">
        <v>230</v>
      </c>
      <c r="BL15" s="23">
        <v>230</v>
      </c>
      <c r="BM15" s="23">
        <v>230</v>
      </c>
      <c r="BN15" s="23">
        <v>230</v>
      </c>
      <c r="BO15" s="23">
        <v>230</v>
      </c>
      <c r="BP15" s="23">
        <v>230</v>
      </c>
      <c r="BQ15" s="23">
        <v>230</v>
      </c>
      <c r="BR15" s="23">
        <v>230</v>
      </c>
      <c r="BS15" s="23">
        <v>230</v>
      </c>
      <c r="BT15" s="23">
        <v>241.78899999999999</v>
      </c>
      <c r="BU15" s="23">
        <v>241.78899999999999</v>
      </c>
      <c r="BV15" s="23">
        <v>241.78899999999999</v>
      </c>
      <c r="BW15" s="23">
        <v>241.78899999999999</v>
      </c>
      <c r="BX15" s="23">
        <v>241.78899999999999</v>
      </c>
      <c r="BY15" s="23">
        <v>241.78899999999999</v>
      </c>
      <c r="BZ15" s="23">
        <v>241.78899999999999</v>
      </c>
      <c r="CA15" s="23">
        <v>241.78899999999999</v>
      </c>
      <c r="CB15" s="23">
        <v>241.78899999999999</v>
      </c>
      <c r="CC15" s="23">
        <v>241.78899999999999</v>
      </c>
      <c r="CD15" s="23">
        <v>236.64400000000001</v>
      </c>
      <c r="CE15" s="23">
        <v>236.64400000000001</v>
      </c>
      <c r="CF15" s="23">
        <v>236.64400000000001</v>
      </c>
      <c r="CG15" s="23">
        <v>236.64400000000001</v>
      </c>
      <c r="CH15" s="23">
        <v>236.64400000000001</v>
      </c>
      <c r="CI15" s="23">
        <v>236.64400000000001</v>
      </c>
      <c r="CJ15" s="23">
        <v>236.64400000000001</v>
      </c>
      <c r="CK15" s="23">
        <v>236.64400000000001</v>
      </c>
      <c r="CL15" s="23">
        <v>236.64400000000001</v>
      </c>
      <c r="CM15" s="23">
        <v>236.64400000000001</v>
      </c>
      <c r="CN15" s="3">
        <v>246.93299999999999</v>
      </c>
      <c r="CO15" s="3">
        <v>246.93299999999999</v>
      </c>
      <c r="CP15" s="3">
        <v>246.93299999999999</v>
      </c>
      <c r="CQ15" s="3">
        <v>246.93299999999999</v>
      </c>
      <c r="CR15" s="3">
        <v>246.93299999999999</v>
      </c>
      <c r="CS15" s="3">
        <v>246.93299999999999</v>
      </c>
      <c r="CT15" s="3">
        <v>246.93299999999999</v>
      </c>
      <c r="CU15" s="3">
        <v>246.93299999999999</v>
      </c>
      <c r="CV15" s="3">
        <v>246.93299999999999</v>
      </c>
      <c r="CW15" s="3">
        <v>236.64400000000001</v>
      </c>
      <c r="CX15" s="3">
        <v>236.64400000000001</v>
      </c>
      <c r="CY15" s="3">
        <v>236.64400000000001</v>
      </c>
      <c r="CZ15" s="3">
        <v>236.64400000000001</v>
      </c>
      <c r="DA15" s="3">
        <v>231.5</v>
      </c>
      <c r="DB15" s="3">
        <v>231.5</v>
      </c>
      <c r="DC15" s="3">
        <v>231.5</v>
      </c>
      <c r="DD15" s="3">
        <v>231.5</v>
      </c>
      <c r="DE15" s="3">
        <v>231.5</v>
      </c>
      <c r="DF15" s="3">
        <v>231.5</v>
      </c>
      <c r="DG15" s="3">
        <v>231.5</v>
      </c>
      <c r="DH15" s="3">
        <v>231.5</v>
      </c>
      <c r="DI15" s="3">
        <v>231.5</v>
      </c>
      <c r="DJ15" s="3">
        <v>231.5</v>
      </c>
      <c r="DK15" s="3">
        <v>231.5</v>
      </c>
      <c r="DL15" s="3">
        <v>231.5</v>
      </c>
      <c r="DM15" s="3">
        <v>231.5</v>
      </c>
      <c r="DN15" s="3">
        <v>231.5</v>
      </c>
      <c r="DO15" s="3">
        <v>231.5</v>
      </c>
      <c r="DP15" s="3">
        <v>231.5</v>
      </c>
      <c r="DQ15" s="3">
        <v>231.5</v>
      </c>
      <c r="DR15" s="3">
        <v>231.5</v>
      </c>
      <c r="DS15" s="3">
        <v>231.5</v>
      </c>
      <c r="DT15" s="3">
        <v>231.5</v>
      </c>
      <c r="DU15" s="3">
        <v>231.5</v>
      </c>
      <c r="DV15" s="3">
        <v>231.5</v>
      </c>
      <c r="DW15" s="3">
        <v>231.5</v>
      </c>
      <c r="DX15" s="3">
        <v>231.5</v>
      </c>
      <c r="DY15" s="3">
        <v>231.5</v>
      </c>
      <c r="DZ15" s="3">
        <v>231.5</v>
      </c>
      <c r="EA15" s="3">
        <v>231.5</v>
      </c>
      <c r="EB15" s="3">
        <v>231.5</v>
      </c>
      <c r="EC15" s="3">
        <v>231.5</v>
      </c>
      <c r="ED15" s="3">
        <v>231.5</v>
      </c>
      <c r="EE15" s="3">
        <v>236.64400000000001</v>
      </c>
      <c r="EF15" s="3">
        <v>236.64400000000001</v>
      </c>
      <c r="EG15" s="3">
        <v>236.64400000000001</v>
      </c>
      <c r="EH15" s="3">
        <v>236.64400000000001</v>
      </c>
      <c r="EI15" s="3">
        <v>236.64400000000001</v>
      </c>
      <c r="EJ15" s="3">
        <v>236.64400000000001</v>
      </c>
      <c r="EK15" s="3">
        <v>236.64400000000001</v>
      </c>
      <c r="EL15" s="3">
        <v>236.64400000000001</v>
      </c>
      <c r="EM15" s="3">
        <v>236.64400000000001</v>
      </c>
      <c r="EN15" s="3">
        <v>236.64400000000001</v>
      </c>
      <c r="EO15" s="3">
        <v>236.64400000000001</v>
      </c>
      <c r="EP15" s="3">
        <v>236.64400000000001</v>
      </c>
      <c r="EQ15" s="3">
        <v>231.5</v>
      </c>
      <c r="ER15" s="3">
        <v>231.5</v>
      </c>
      <c r="ES15" s="3">
        <v>231.5</v>
      </c>
      <c r="ET15" s="3">
        <v>231.5</v>
      </c>
      <c r="EU15" s="3">
        <v>231.5</v>
      </c>
      <c r="EV15" s="3">
        <v>231.5</v>
      </c>
      <c r="EW15" s="23">
        <f t="shared" ref="EW15:EY15" si="76">EW14/3.6</f>
        <v>243.33333333333331</v>
      </c>
      <c r="EX15" s="23">
        <f t="shared" si="76"/>
        <v>243.33333333333331</v>
      </c>
      <c r="EY15" s="23">
        <f t="shared" si="76"/>
        <v>243.33333333333331</v>
      </c>
      <c r="EZ15" s="23">
        <f>EZ14/3.6</f>
        <v>243.33333333333331</v>
      </c>
      <c r="FA15" s="23">
        <v>218.124</v>
      </c>
      <c r="FB15" s="23">
        <v>218.124</v>
      </c>
      <c r="FC15" s="23">
        <v>218.124</v>
      </c>
      <c r="FD15" s="23">
        <v>216.06700000000001</v>
      </c>
      <c r="FE15" s="23">
        <v>216.06700000000001</v>
      </c>
      <c r="FF15" s="23">
        <v>227.38399999999999</v>
      </c>
      <c r="FG15" s="23">
        <v>235.61600000000001</v>
      </c>
      <c r="FH15" s="23">
        <v>235.61600000000001</v>
      </c>
      <c r="FI15" s="23">
        <v>241.78899999999999</v>
      </c>
    </row>
    <row r="16" spans="1:165">
      <c r="A16" s="1" t="s">
        <v>2612</v>
      </c>
      <c r="B16" s="3"/>
      <c r="C16" s="23">
        <f t="shared" ref="C16:D16" si="77">C12/C15</f>
        <v>0.3181809510682288</v>
      </c>
      <c r="D16" s="23">
        <f t="shared" si="77"/>
        <v>0.3181809510682288</v>
      </c>
      <c r="E16" s="23">
        <f t="shared" ref="E16:J16" si="78">E12/E15</f>
        <v>0.27083310468831628</v>
      </c>
      <c r="F16" s="23">
        <f t="shared" si="78"/>
        <v>0.3181809510682288</v>
      </c>
      <c r="G16" s="23">
        <f t="shared" si="78"/>
        <v>0.31111087412526994</v>
      </c>
      <c r="H16" s="23">
        <f t="shared" si="78"/>
        <v>0.3181809510682288</v>
      </c>
      <c r="I16" s="23">
        <f t="shared" si="78"/>
        <v>0.3181809510682288</v>
      </c>
      <c r="J16" s="23">
        <f t="shared" si="78"/>
        <v>0.3181809510682288</v>
      </c>
      <c r="K16" s="23">
        <f t="shared" ref="K16:O16" si="79">K12/K15</f>
        <v>0.30263223813104573</v>
      </c>
      <c r="L16" s="23">
        <f t="shared" si="79"/>
        <v>0.3181809510682288</v>
      </c>
      <c r="M16" s="23">
        <f t="shared" si="79"/>
        <v>0.3181809510682288</v>
      </c>
      <c r="N16" s="23">
        <f t="shared" si="79"/>
        <v>0.31579036037833325</v>
      </c>
      <c r="O16" s="23">
        <f t="shared" si="79"/>
        <v>0.3181809510682288</v>
      </c>
      <c r="P16" s="23">
        <f t="shared" ref="P16:R16" si="80">P12/P15</f>
        <v>0.26862747708362711</v>
      </c>
      <c r="Q16" s="23">
        <f t="shared" si="80"/>
        <v>0.27058863469872352</v>
      </c>
      <c r="R16" s="23">
        <f t="shared" si="80"/>
        <v>0.29411741446142231</v>
      </c>
      <c r="S16" s="23">
        <f t="shared" ref="S16:AZ16" si="81">S12/S15</f>
        <v>0.29411741446142231</v>
      </c>
      <c r="T16" s="23">
        <f t="shared" si="81"/>
        <v>0.29999918343389215</v>
      </c>
      <c r="U16" s="23">
        <f t="shared" si="81"/>
        <v>0.29999918343389215</v>
      </c>
      <c r="V16" s="23">
        <f t="shared" si="81"/>
        <v>0.31372558286674768</v>
      </c>
      <c r="W16" s="23">
        <f t="shared" si="81"/>
        <v>0.31372558286674768</v>
      </c>
      <c r="X16" s="23">
        <f t="shared" si="81"/>
        <v>0.33260883757881032</v>
      </c>
      <c r="Y16" s="23">
        <f t="shared" si="81"/>
        <v>0.3478272848667196</v>
      </c>
      <c r="Z16" s="23">
        <f t="shared" si="81"/>
        <v>0.3478272848667196</v>
      </c>
      <c r="AA16" s="23">
        <f t="shared" si="81"/>
        <v>0.25957417748532813</v>
      </c>
      <c r="AB16" s="23">
        <f t="shared" si="81"/>
        <v>0.26383031022916675</v>
      </c>
      <c r="AC16" s="23">
        <f t="shared" si="81"/>
        <v>0.28297920980689778</v>
      </c>
      <c r="AD16" s="23">
        <f t="shared" si="81"/>
        <v>0.31914894259044041</v>
      </c>
      <c r="AE16" s="23">
        <f t="shared" si="81"/>
        <v>0.31914894259044041</v>
      </c>
      <c r="AF16" s="23">
        <f t="shared" si="81"/>
        <v>0.32553129282142695</v>
      </c>
      <c r="AG16" s="23">
        <f t="shared" si="81"/>
        <v>0.32978742556526564</v>
      </c>
      <c r="AH16" s="23">
        <f t="shared" si="81"/>
        <v>0.29885036414741067</v>
      </c>
      <c r="AI16" s="23">
        <f t="shared" si="81"/>
        <v>0.29885036414741067</v>
      </c>
      <c r="AJ16" s="23">
        <f t="shared" si="81"/>
        <v>0.29787197664079013</v>
      </c>
      <c r="AK16" s="23">
        <f t="shared" si="81"/>
        <v>0.29787197664079013</v>
      </c>
      <c r="AL16" s="23">
        <f t="shared" si="81"/>
        <v>0.29787197664079013</v>
      </c>
      <c r="AM16" s="23">
        <f t="shared" si="81"/>
        <v>0.29787197664079013</v>
      </c>
      <c r="AN16" s="23">
        <f t="shared" si="81"/>
        <v>0.3085104596156153</v>
      </c>
      <c r="AO16" s="23">
        <f t="shared" si="81"/>
        <v>0.3085104596156153</v>
      </c>
      <c r="AP16" s="23">
        <f t="shared" si="81"/>
        <v>0.3085104596156153</v>
      </c>
      <c r="AQ16" s="23">
        <f t="shared" si="81"/>
        <v>0.3085104596156153</v>
      </c>
      <c r="AR16" s="23">
        <f t="shared" si="81"/>
        <v>0.34523735693095192</v>
      </c>
      <c r="AS16" s="23">
        <f t="shared" si="81"/>
        <v>0.34523735693095192</v>
      </c>
      <c r="AT16" s="23">
        <f t="shared" si="81"/>
        <v>0.34523735693095192</v>
      </c>
      <c r="AU16" s="23">
        <f t="shared" si="81"/>
        <v>0.35000033137869269</v>
      </c>
      <c r="AV16" s="23">
        <f t="shared" si="81"/>
        <v>0.35000033137869269</v>
      </c>
      <c r="AW16" s="23">
        <f t="shared" si="81"/>
        <v>0.35000033137869269</v>
      </c>
      <c r="AX16" s="23">
        <f t="shared" si="81"/>
        <v>0.35000033137869269</v>
      </c>
      <c r="AY16" s="23">
        <f t="shared" si="81"/>
        <v>0.35000033137869269</v>
      </c>
      <c r="AZ16" s="23">
        <f t="shared" si="81"/>
        <v>0.35000033137869269</v>
      </c>
      <c r="BA16" s="23">
        <f t="shared" ref="BA16:BI16" si="82">BA12/BA15</f>
        <v>0.35439503303111108</v>
      </c>
      <c r="BB16" s="23">
        <f t="shared" si="82"/>
        <v>0.35439503303111108</v>
      </c>
      <c r="BC16" s="23">
        <f t="shared" si="82"/>
        <v>0.3818321627022222</v>
      </c>
      <c r="BD16" s="23">
        <f t="shared" si="82"/>
        <v>0.3818321627022222</v>
      </c>
      <c r="BE16" s="23">
        <f t="shared" si="82"/>
        <v>0.33153082453333338</v>
      </c>
      <c r="BF16" s="23">
        <f t="shared" si="82"/>
        <v>0.32432363269565218</v>
      </c>
      <c r="BG16" s="23">
        <f t="shared" si="82"/>
        <v>0.3355074073043478</v>
      </c>
      <c r="BH16" s="23">
        <f t="shared" si="82"/>
        <v>0.32432363269565218</v>
      </c>
      <c r="BI16" s="23">
        <f t="shared" si="82"/>
        <v>0.33327026365217394</v>
      </c>
      <c r="BJ16" s="23">
        <v>0.33327026399999998</v>
      </c>
      <c r="BK16" s="23">
        <f t="shared" ref="BK16:CM16" si="83">BK12/BK15</f>
        <v>0.3355074073043478</v>
      </c>
      <c r="BL16" s="23">
        <f t="shared" si="83"/>
        <v>0.32432363269565218</v>
      </c>
      <c r="BM16" s="23">
        <f t="shared" si="83"/>
        <v>0.40260811130434776</v>
      </c>
      <c r="BN16" s="23">
        <f t="shared" si="83"/>
        <v>0.40260811130434776</v>
      </c>
      <c r="BO16" s="23">
        <f t="shared" si="83"/>
        <v>0.40260811130434776</v>
      </c>
      <c r="BP16" s="23">
        <f t="shared" si="83"/>
        <v>0.40260811130434776</v>
      </c>
      <c r="BQ16" s="23">
        <f t="shared" si="83"/>
        <v>0.40260811130434776</v>
      </c>
      <c r="BR16" s="23">
        <f t="shared" si="83"/>
        <v>0.40260811130434776</v>
      </c>
      <c r="BS16" s="23">
        <f t="shared" si="83"/>
        <v>0.40260811130434776</v>
      </c>
      <c r="BT16" s="23">
        <f t="shared" si="83"/>
        <v>0.3085104596156153</v>
      </c>
      <c r="BU16" s="23">
        <f t="shared" si="83"/>
        <v>0.3085104596156153</v>
      </c>
      <c r="BV16" s="23">
        <f t="shared" si="83"/>
        <v>0.3085104596156153</v>
      </c>
      <c r="BW16" s="23">
        <f t="shared" si="83"/>
        <v>0.3085104596156153</v>
      </c>
      <c r="BX16" s="23">
        <f t="shared" si="83"/>
        <v>0.3085104596156153</v>
      </c>
      <c r="BY16" s="23">
        <f t="shared" si="83"/>
        <v>0.3085104596156153</v>
      </c>
      <c r="BZ16" s="23">
        <f t="shared" si="83"/>
        <v>0.3085104596156153</v>
      </c>
      <c r="CA16" s="23">
        <f t="shared" si="83"/>
        <v>0.3085104596156153</v>
      </c>
      <c r="CB16" s="23">
        <f t="shared" si="83"/>
        <v>0.3085104596156153</v>
      </c>
      <c r="CC16" s="23">
        <f t="shared" si="83"/>
        <v>0.3085104596156153</v>
      </c>
      <c r="CD16" s="23">
        <f t="shared" si="83"/>
        <v>0.3478272848667196</v>
      </c>
      <c r="CE16" s="23">
        <f t="shared" si="83"/>
        <v>0.3478272848667196</v>
      </c>
      <c r="CF16" s="23">
        <f t="shared" si="83"/>
        <v>0.3478272848667196</v>
      </c>
      <c r="CG16" s="23">
        <f t="shared" si="83"/>
        <v>0.3478272848667196</v>
      </c>
      <c r="CH16" s="23">
        <f t="shared" si="83"/>
        <v>0.3478272848667196</v>
      </c>
      <c r="CI16" s="23">
        <f t="shared" si="83"/>
        <v>0.3478272848667196</v>
      </c>
      <c r="CJ16" s="23">
        <f t="shared" si="83"/>
        <v>0.3478272848667196</v>
      </c>
      <c r="CK16" s="23">
        <f t="shared" si="83"/>
        <v>0.3478272848667196</v>
      </c>
      <c r="CL16" s="23">
        <f t="shared" si="83"/>
        <v>0.3478272848667196</v>
      </c>
      <c r="CM16" s="23">
        <f t="shared" si="83"/>
        <v>0.3478272848667196</v>
      </c>
      <c r="CN16" s="23">
        <f t="shared" ref="CN16:CV16" si="84">CN12/CN15</f>
        <v>0.23843782217978157</v>
      </c>
      <c r="CO16" s="23">
        <f t="shared" si="84"/>
        <v>0.23187530836299725</v>
      </c>
      <c r="CP16" s="23">
        <f t="shared" si="84"/>
        <v>0.23843782217978157</v>
      </c>
      <c r="CQ16" s="23">
        <f t="shared" si="84"/>
        <v>0.25156283895113246</v>
      </c>
      <c r="CR16" s="23">
        <f t="shared" si="84"/>
        <v>0.25156283895113246</v>
      </c>
      <c r="CS16" s="23">
        <f t="shared" si="84"/>
        <v>0.25156283895113246</v>
      </c>
      <c r="CT16" s="23">
        <f t="shared" si="84"/>
        <v>0.25156283895113246</v>
      </c>
      <c r="CU16" s="23">
        <f t="shared" si="84"/>
        <v>0.26468785753285301</v>
      </c>
      <c r="CV16" s="23">
        <f t="shared" si="84"/>
        <v>0.26468785753285301</v>
      </c>
      <c r="CW16" s="23">
        <f t="shared" ref="CW16:CZ16" si="85">CW12/CW15</f>
        <v>0.25108743518196108</v>
      </c>
      <c r="CX16" s="23">
        <f t="shared" si="85"/>
        <v>0.25108743518196108</v>
      </c>
      <c r="CY16" s="23">
        <f t="shared" si="85"/>
        <v>0.25108743518196108</v>
      </c>
      <c r="CZ16" s="23">
        <f t="shared" si="85"/>
        <v>0.25108743518196108</v>
      </c>
      <c r="DA16" s="23">
        <f t="shared" ref="DA16:DH16" si="86">DA12/DA15</f>
        <v>0.25666667391447084</v>
      </c>
      <c r="DB16" s="23">
        <f t="shared" si="86"/>
        <v>0.25666667391447084</v>
      </c>
      <c r="DC16" s="23">
        <f t="shared" si="86"/>
        <v>0.25666667391447084</v>
      </c>
      <c r="DD16" s="23">
        <f t="shared" si="86"/>
        <v>0.25666667391447084</v>
      </c>
      <c r="DE16" s="23">
        <f t="shared" si="86"/>
        <v>0.25666667391447084</v>
      </c>
      <c r="DF16" s="23">
        <f t="shared" si="86"/>
        <v>0.25666667391447084</v>
      </c>
      <c r="DG16" s="23">
        <f t="shared" si="86"/>
        <v>0.25666667391447084</v>
      </c>
      <c r="DH16" s="23">
        <f t="shared" si="86"/>
        <v>0.25666667391447084</v>
      </c>
      <c r="DI16" s="23">
        <f t="shared" ref="DI16:DS16" si="87">DI12/DI15</f>
        <v>0.25666667391447084</v>
      </c>
      <c r="DJ16" s="23">
        <f t="shared" si="87"/>
        <v>0.25666667391447084</v>
      </c>
      <c r="DK16" s="23">
        <f t="shared" si="87"/>
        <v>0.25666667391447084</v>
      </c>
      <c r="DL16" s="23">
        <f t="shared" si="87"/>
        <v>0.25666667391447084</v>
      </c>
      <c r="DM16" s="23">
        <f t="shared" si="87"/>
        <v>0.25666667391447084</v>
      </c>
      <c r="DN16" s="23">
        <f t="shared" si="87"/>
        <v>0.25666667391447084</v>
      </c>
      <c r="DO16" s="23">
        <f t="shared" si="87"/>
        <v>0.25666667391447084</v>
      </c>
      <c r="DP16" s="23">
        <f t="shared" si="87"/>
        <v>0.25666667391447084</v>
      </c>
      <c r="DQ16" s="23">
        <f t="shared" si="87"/>
        <v>0.25666667391447084</v>
      </c>
      <c r="DR16" s="23">
        <f t="shared" si="87"/>
        <v>0.25666667391447084</v>
      </c>
      <c r="DS16" s="23">
        <f t="shared" si="87"/>
        <v>0.25666667391447084</v>
      </c>
      <c r="DT16" s="23">
        <f t="shared" ref="DT16:ED16" si="88">DT12/DT15</f>
        <v>0.25666667391447084</v>
      </c>
      <c r="DU16" s="23">
        <f t="shared" si="88"/>
        <v>0.25666667391447084</v>
      </c>
      <c r="DV16" s="23">
        <f t="shared" si="88"/>
        <v>0.25666667391447084</v>
      </c>
      <c r="DW16" s="23">
        <f t="shared" si="88"/>
        <v>0.25666667391447084</v>
      </c>
      <c r="DX16" s="23">
        <f t="shared" si="88"/>
        <v>0.25666667391447084</v>
      </c>
      <c r="DY16" s="23">
        <f t="shared" si="88"/>
        <v>0.25666667391447084</v>
      </c>
      <c r="DZ16" s="23">
        <f t="shared" si="88"/>
        <v>0.25666667391447084</v>
      </c>
      <c r="EA16" s="23">
        <f t="shared" si="88"/>
        <v>0.25666667391447084</v>
      </c>
      <c r="EB16" s="23">
        <f t="shared" si="88"/>
        <v>0.25666667391447084</v>
      </c>
      <c r="EC16" s="23">
        <f t="shared" si="88"/>
        <v>0.25666667391447084</v>
      </c>
      <c r="ED16" s="23">
        <f t="shared" si="88"/>
        <v>0.25666667391447084</v>
      </c>
      <c r="EE16" s="23">
        <f>EE12/EE15</f>
        <v>0.30000138740048338</v>
      </c>
      <c r="EF16" s="23">
        <f t="shared" ref="EF16:EG16" si="89">EF12/EF15</f>
        <v>0.30000138740048338</v>
      </c>
      <c r="EG16" s="23">
        <f t="shared" si="89"/>
        <v>0.30000138740048338</v>
      </c>
      <c r="EH16" s="23">
        <f t="shared" ref="EH16" si="90">EH12/EH15</f>
        <v>0.30000138740048338</v>
      </c>
      <c r="EI16" s="23">
        <f t="shared" ref="EI16" si="91">EI12/EI15</f>
        <v>0.30000138740048338</v>
      </c>
      <c r="EJ16" s="23">
        <f t="shared" ref="EJ16" si="92">EJ12/EJ15</f>
        <v>0.30000138740048338</v>
      </c>
      <c r="EK16" s="23">
        <f t="shared" ref="EK16" si="93">EK12/EK15</f>
        <v>0.29347838609895027</v>
      </c>
      <c r="EL16" s="23">
        <f t="shared" ref="EL16" si="94">EL12/EL15</f>
        <v>0.29347838609895027</v>
      </c>
      <c r="EM16" s="23">
        <f t="shared" ref="EM16" si="95">EM12/EM15</f>
        <v>0.29347838609895027</v>
      </c>
      <c r="EN16" s="23">
        <f t="shared" ref="EN16" si="96">EN12/EN15</f>
        <v>0.29347838609895027</v>
      </c>
      <c r="EO16" s="23">
        <f t="shared" ref="EO16" si="97">EO12/EO15</f>
        <v>0.29347838609895027</v>
      </c>
      <c r="EP16" s="23">
        <f t="shared" ref="EP16:FI16" si="98">EP12/EP15</f>
        <v>0.29347838609895027</v>
      </c>
      <c r="EQ16" s="23">
        <f t="shared" si="98"/>
        <v>0.27333358030237581</v>
      </c>
      <c r="ER16" s="23">
        <f t="shared" si="98"/>
        <v>0.27333358030237581</v>
      </c>
      <c r="ES16" s="23">
        <f t="shared" si="98"/>
        <v>0.29555619939524841</v>
      </c>
      <c r="ET16" s="23">
        <f t="shared" si="98"/>
        <v>0.29555619939524841</v>
      </c>
      <c r="EU16" s="23">
        <f t="shared" si="98"/>
        <v>0.29999956457883364</v>
      </c>
      <c r="EV16" s="23">
        <f t="shared" si="98"/>
        <v>0.29999956457883364</v>
      </c>
      <c r="EW16" s="23">
        <f t="shared" si="98"/>
        <v>0.28541054465753424</v>
      </c>
      <c r="EX16" s="23">
        <f t="shared" si="98"/>
        <v>0.28541054465753424</v>
      </c>
      <c r="EY16" s="23">
        <f t="shared" si="98"/>
        <v>0.28541054465753424</v>
      </c>
      <c r="EZ16" s="23">
        <f t="shared" si="98"/>
        <v>0.28541054465753424</v>
      </c>
      <c r="FA16" s="23">
        <f t="shared" si="98"/>
        <v>0.31132162036272942</v>
      </c>
      <c r="FB16" s="23">
        <f t="shared" si="98"/>
        <v>0.31839641304945809</v>
      </c>
      <c r="FC16" s="23">
        <f t="shared" si="98"/>
        <v>0.31839641304945809</v>
      </c>
      <c r="FD16" s="23">
        <f t="shared" si="98"/>
        <v>0.32142760902868084</v>
      </c>
      <c r="FE16" s="23">
        <f t="shared" si="98"/>
        <v>0.32142760902868084</v>
      </c>
      <c r="FF16" s="23">
        <f t="shared" si="98"/>
        <v>0.32805490060866205</v>
      </c>
      <c r="FG16" s="23">
        <f t="shared" si="98"/>
        <v>0.31877707184571502</v>
      </c>
      <c r="FH16" s="23">
        <f t="shared" si="98"/>
        <v>0.31877707184571502</v>
      </c>
      <c r="FI16" s="23">
        <f t="shared" si="98"/>
        <v>0.31063852598753461</v>
      </c>
    </row>
    <row r="17" spans="1:165">
      <c r="A17" s="1" t="s">
        <v>2613</v>
      </c>
      <c r="B17" s="3"/>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c r="BL17" s="32"/>
      <c r="BM17" s="32"/>
      <c r="BN17" s="32"/>
      <c r="BO17" s="32"/>
      <c r="BP17" s="32"/>
      <c r="BQ17" s="32"/>
      <c r="BR17" s="32"/>
      <c r="BS17" s="32"/>
      <c r="BT17" s="32"/>
      <c r="BU17" s="32"/>
      <c r="BV17" s="32"/>
      <c r="BW17" s="32"/>
      <c r="BX17" s="32"/>
      <c r="BY17" s="32"/>
      <c r="BZ17" s="32"/>
      <c r="CA17" s="32"/>
      <c r="CB17" s="32"/>
      <c r="CC17" s="32"/>
      <c r="CD17" s="32"/>
      <c r="CE17" s="32"/>
      <c r="CF17" s="32"/>
      <c r="CG17" s="32"/>
      <c r="CH17" s="32"/>
      <c r="CI17" s="32"/>
      <c r="CJ17" s="32"/>
      <c r="CK17" s="32"/>
      <c r="CL17" s="32"/>
      <c r="CM17" s="32"/>
      <c r="CN17" s="32"/>
      <c r="CO17" s="32"/>
      <c r="CP17" s="32"/>
      <c r="CQ17" s="32"/>
      <c r="CR17" s="32"/>
      <c r="CS17" s="32"/>
      <c r="CT17" s="32"/>
      <c r="CU17" s="32"/>
      <c r="CV17" s="32"/>
      <c r="CW17" s="32"/>
      <c r="CX17" s="32"/>
      <c r="CY17" s="32"/>
      <c r="CZ17" s="32"/>
      <c r="DA17" s="32"/>
      <c r="DB17" s="32"/>
      <c r="DC17" s="32"/>
      <c r="DD17" s="32"/>
      <c r="DE17" s="32"/>
      <c r="DF17" s="32"/>
      <c r="DG17" s="32"/>
      <c r="DH17" s="32"/>
      <c r="DI17" s="32"/>
      <c r="DJ17" s="32"/>
      <c r="DK17" s="32"/>
      <c r="DL17" s="32"/>
      <c r="DM17" s="32"/>
      <c r="DN17" s="32"/>
      <c r="DO17" s="32"/>
      <c r="DP17" s="32"/>
      <c r="DQ17" s="32"/>
      <c r="DR17" s="32"/>
      <c r="DS17" s="32"/>
      <c r="DT17" s="32"/>
      <c r="DU17" s="32"/>
      <c r="DV17" s="32"/>
      <c r="DW17" s="32"/>
      <c r="DX17" s="32"/>
      <c r="DY17" s="32"/>
      <c r="DZ17" s="32"/>
      <c r="EA17" s="32"/>
      <c r="EB17" s="32"/>
      <c r="EC17" s="32"/>
      <c r="ED17" s="32"/>
      <c r="EE17" s="32"/>
      <c r="EF17" s="32"/>
      <c r="EG17" s="32"/>
      <c r="EH17" s="32"/>
      <c r="EI17" s="32"/>
      <c r="EJ17" s="32"/>
      <c r="EK17" s="32"/>
      <c r="EL17" s="32"/>
      <c r="EM17" s="32"/>
      <c r="EN17" s="32"/>
      <c r="EO17" s="32"/>
      <c r="EP17" s="32"/>
      <c r="EQ17" s="32"/>
      <c r="ER17" s="32"/>
      <c r="ES17" s="32"/>
      <c r="ET17" s="32"/>
      <c r="EU17" s="32"/>
      <c r="EV17" s="32"/>
      <c r="EW17" s="32"/>
      <c r="EX17" s="32"/>
      <c r="EY17" s="32"/>
      <c r="EZ17" s="32"/>
      <c r="FA17" s="32"/>
      <c r="FB17" s="32"/>
      <c r="FC17" s="32"/>
      <c r="FD17" s="32"/>
      <c r="FE17" s="32"/>
      <c r="FF17" s="32"/>
      <c r="FG17" s="32"/>
      <c r="FH17" s="32"/>
      <c r="FI17" s="32"/>
    </row>
    <row r="18" spans="1:165">
      <c r="A18" s="1" t="s">
        <v>2614</v>
      </c>
      <c r="B18" s="3"/>
      <c r="C18" s="23">
        <v>64410</v>
      </c>
      <c r="D18" s="23">
        <v>64410</v>
      </c>
      <c r="E18" s="23">
        <v>58061</v>
      </c>
      <c r="F18" s="23">
        <v>58967</v>
      </c>
      <c r="G18" s="23">
        <v>58967</v>
      </c>
      <c r="H18" s="23">
        <v>63276</v>
      </c>
      <c r="I18" s="23">
        <v>58060</v>
      </c>
      <c r="J18" s="23">
        <v>58967</v>
      </c>
      <c r="K18" s="23">
        <v>37059</v>
      </c>
      <c r="L18" s="23">
        <v>43227</v>
      </c>
      <c r="M18" s="23">
        <v>44906</v>
      </c>
      <c r="N18" s="23">
        <v>46266</v>
      </c>
      <c r="O18" s="23">
        <v>49895</v>
      </c>
      <c r="P18" s="23">
        <v>87545</v>
      </c>
      <c r="Q18" s="23">
        <v>90490</v>
      </c>
      <c r="R18" s="40">
        <v>93895</v>
      </c>
      <c r="S18" s="40">
        <v>93895</v>
      </c>
      <c r="T18" s="40">
        <v>98431</v>
      </c>
      <c r="U18" s="40">
        <v>108864</v>
      </c>
      <c r="V18" s="40">
        <v>108864</v>
      </c>
      <c r="W18" s="40">
        <v>117029</v>
      </c>
      <c r="X18" s="23">
        <v>108864</v>
      </c>
      <c r="Y18" s="23">
        <v>108864</v>
      </c>
      <c r="Z18" s="23">
        <v>117029</v>
      </c>
      <c r="AA18" s="23">
        <v>79500</v>
      </c>
      <c r="AB18" s="23">
        <v>79500</v>
      </c>
      <c r="AC18" s="23">
        <v>86300</v>
      </c>
      <c r="AD18" s="23">
        <v>94000</v>
      </c>
      <c r="AE18" s="23">
        <v>94000</v>
      </c>
      <c r="AF18" s="23">
        <v>94000</v>
      </c>
      <c r="AG18" s="23">
        <v>112100</v>
      </c>
      <c r="AH18" s="23">
        <v>46269</v>
      </c>
      <c r="AI18" s="23">
        <v>49898</v>
      </c>
      <c r="AJ18" s="23">
        <v>62400</v>
      </c>
      <c r="AK18" s="23">
        <v>64700</v>
      </c>
      <c r="AL18" s="23">
        <v>62400</v>
      </c>
      <c r="AM18" s="23">
        <v>64700</v>
      </c>
      <c r="AN18" s="23">
        <v>68100</v>
      </c>
      <c r="AO18" s="23">
        <v>70100</v>
      </c>
      <c r="AP18" s="23">
        <v>70100</v>
      </c>
      <c r="AQ18" s="23">
        <v>73100</v>
      </c>
      <c r="AR18" s="23">
        <v>44452</v>
      </c>
      <c r="AS18" s="23">
        <v>44906</v>
      </c>
      <c r="AT18" s="23">
        <v>46720</v>
      </c>
      <c r="AU18" s="23">
        <v>46720</v>
      </c>
      <c r="AV18" s="23">
        <v>47627</v>
      </c>
      <c r="AW18" s="23">
        <v>48534</v>
      </c>
      <c r="AX18" s="23">
        <v>48534</v>
      </c>
      <c r="AY18" s="23">
        <v>46720</v>
      </c>
      <c r="AZ18" s="23">
        <v>48534</v>
      </c>
      <c r="BA18" s="23">
        <v>51710</v>
      </c>
      <c r="BB18" s="40">
        <v>51710</v>
      </c>
      <c r="BC18" s="23">
        <v>54885</v>
      </c>
      <c r="BD18" s="23">
        <v>56246</v>
      </c>
      <c r="BE18" s="23">
        <v>49895</v>
      </c>
      <c r="BF18" s="23">
        <v>54658</v>
      </c>
      <c r="BG18" s="23">
        <v>58604</v>
      </c>
      <c r="BH18" s="23">
        <v>65317</v>
      </c>
      <c r="BI18" s="23">
        <v>66814</v>
      </c>
      <c r="BJ18" s="23">
        <v>71350</v>
      </c>
      <c r="BK18" s="23">
        <v>60781</v>
      </c>
      <c r="BL18" s="23">
        <v>66360</v>
      </c>
      <c r="BM18" s="23">
        <v>66043</v>
      </c>
      <c r="BN18" s="23">
        <v>69308</v>
      </c>
      <c r="BO18" s="23">
        <v>69308</v>
      </c>
      <c r="BP18" s="23">
        <v>74343</v>
      </c>
      <c r="BQ18" s="23">
        <v>75931</v>
      </c>
      <c r="BR18" s="23">
        <v>69308</v>
      </c>
      <c r="BS18" s="23">
        <v>74343</v>
      </c>
      <c r="BT18" s="23">
        <v>89800</v>
      </c>
      <c r="BU18" s="23">
        <v>95250</v>
      </c>
      <c r="BV18" s="23">
        <v>89800</v>
      </c>
      <c r="BW18" s="23">
        <v>95250</v>
      </c>
      <c r="BX18" s="23">
        <v>92250</v>
      </c>
      <c r="BY18" s="23">
        <v>92250</v>
      </c>
      <c r="BZ18" s="23">
        <v>101610</v>
      </c>
      <c r="CA18" s="23">
        <v>101610</v>
      </c>
      <c r="CB18" s="23">
        <v>101610</v>
      </c>
      <c r="CC18" s="23">
        <v>101610</v>
      </c>
      <c r="CD18" s="23">
        <v>116573</v>
      </c>
      <c r="CE18" s="23">
        <v>122470</v>
      </c>
      <c r="CF18" s="23">
        <v>122470</v>
      </c>
      <c r="CG18" s="23">
        <v>123377</v>
      </c>
      <c r="CH18" s="23">
        <v>122470</v>
      </c>
      <c r="CI18" s="23">
        <v>123377</v>
      </c>
      <c r="CJ18" s="23">
        <v>126099</v>
      </c>
      <c r="CK18" s="23">
        <v>126099</v>
      </c>
      <c r="CL18" s="23">
        <v>129274</v>
      </c>
      <c r="CM18" s="23">
        <v>129274</v>
      </c>
      <c r="CN18" s="23">
        <v>118500</v>
      </c>
      <c r="CO18" s="23">
        <v>119500</v>
      </c>
      <c r="CP18" s="23">
        <v>122000</v>
      </c>
      <c r="CQ18" s="23">
        <v>122000</v>
      </c>
      <c r="CR18" s="23">
        <v>122000</v>
      </c>
      <c r="CS18" s="23">
        <v>123000</v>
      </c>
      <c r="CT18" s="23">
        <v>124000</v>
      </c>
      <c r="CU18" s="23">
        <v>124000</v>
      </c>
      <c r="CV18" s="23">
        <v>124000</v>
      </c>
      <c r="CW18" s="23">
        <v>56000</v>
      </c>
      <c r="CX18" s="23">
        <v>56000</v>
      </c>
      <c r="CY18" s="23">
        <v>57500</v>
      </c>
      <c r="CZ18" s="23">
        <v>57500</v>
      </c>
      <c r="DA18" s="23">
        <v>61000</v>
      </c>
      <c r="DB18" s="23">
        <v>62500</v>
      </c>
      <c r="DC18" s="23">
        <v>62500</v>
      </c>
      <c r="DD18" s="23">
        <v>61000</v>
      </c>
      <c r="DE18" s="23">
        <v>61000</v>
      </c>
      <c r="DF18" s="23">
        <v>62800</v>
      </c>
      <c r="DG18" s="23">
        <v>62800</v>
      </c>
      <c r="DH18" s="23">
        <v>63900</v>
      </c>
      <c r="DI18" s="23">
        <v>64500</v>
      </c>
      <c r="DJ18" s="23">
        <v>64500</v>
      </c>
      <c r="DK18" s="23">
        <v>64500</v>
      </c>
      <c r="DL18" s="23">
        <v>64500</v>
      </c>
      <c r="DM18" s="23">
        <v>64500</v>
      </c>
      <c r="DN18" s="23">
        <v>66300</v>
      </c>
      <c r="DO18" s="23">
        <v>67400</v>
      </c>
      <c r="DP18" s="23">
        <v>66300</v>
      </c>
      <c r="DQ18" s="23">
        <v>67400</v>
      </c>
      <c r="DR18" s="23">
        <v>67400</v>
      </c>
      <c r="DS18" s="23">
        <v>67400</v>
      </c>
      <c r="DT18" s="23">
        <v>73500</v>
      </c>
      <c r="DU18" s="23">
        <v>73500</v>
      </c>
      <c r="DV18" s="23">
        <v>75500</v>
      </c>
      <c r="DW18" s="23">
        <v>77800</v>
      </c>
      <c r="DX18" s="23">
        <v>77800</v>
      </c>
      <c r="DY18" s="23">
        <v>77300</v>
      </c>
      <c r="DZ18" s="23">
        <v>77300</v>
      </c>
      <c r="EA18" s="23">
        <v>79200</v>
      </c>
      <c r="EB18" s="23">
        <v>77300</v>
      </c>
      <c r="EC18" s="23">
        <v>77300</v>
      </c>
      <c r="ED18" s="23">
        <v>79200</v>
      </c>
      <c r="EE18" s="23">
        <v>32800</v>
      </c>
      <c r="EF18" s="23">
        <v>32800</v>
      </c>
      <c r="EG18" s="23">
        <v>33300</v>
      </c>
      <c r="EH18" s="23">
        <v>34000</v>
      </c>
      <c r="EI18" s="23">
        <v>34000</v>
      </c>
      <c r="EJ18" s="23">
        <v>34000</v>
      </c>
      <c r="EK18" s="23">
        <v>43000</v>
      </c>
      <c r="EL18" s="23">
        <v>43000</v>
      </c>
      <c r="EM18" s="23">
        <v>44000</v>
      </c>
      <c r="EN18" s="23">
        <v>45000</v>
      </c>
      <c r="EO18" s="23">
        <v>45000</v>
      </c>
      <c r="EP18" s="23">
        <v>45800</v>
      </c>
      <c r="EQ18" s="23">
        <v>18500</v>
      </c>
      <c r="ER18" s="23">
        <v>18500</v>
      </c>
      <c r="ES18" s="40">
        <v>18700</v>
      </c>
      <c r="ET18" s="40">
        <v>18700</v>
      </c>
      <c r="EU18" s="40">
        <v>19300</v>
      </c>
      <c r="EV18" s="23">
        <v>20000</v>
      </c>
      <c r="EW18" s="40">
        <v>40000</v>
      </c>
      <c r="EX18" s="40">
        <v>49050</v>
      </c>
      <c r="EY18" s="40">
        <v>49050</v>
      </c>
      <c r="EZ18" s="40">
        <v>54000</v>
      </c>
      <c r="FA18" s="23">
        <v>20276</v>
      </c>
      <c r="FB18" s="23">
        <v>21319</v>
      </c>
      <c r="FC18" s="23">
        <v>21319</v>
      </c>
      <c r="FD18" s="23">
        <v>21319</v>
      </c>
      <c r="FE18" s="23">
        <v>21319</v>
      </c>
      <c r="FF18" s="23">
        <v>30390</v>
      </c>
      <c r="FG18" s="23">
        <v>33340</v>
      </c>
      <c r="FH18" s="23">
        <v>33340</v>
      </c>
      <c r="FI18" s="23">
        <v>36968</v>
      </c>
    </row>
    <row r="19" spans="1:165">
      <c r="A19" s="1" t="s">
        <v>2615</v>
      </c>
      <c r="B19" s="3"/>
      <c r="C19" s="3">
        <v>70760</v>
      </c>
      <c r="D19" s="3">
        <v>76204</v>
      </c>
      <c r="E19" s="3">
        <v>63504</v>
      </c>
      <c r="F19" s="3">
        <v>67812</v>
      </c>
      <c r="G19" s="3">
        <v>67812</v>
      </c>
      <c r="H19" s="3">
        <v>72575</v>
      </c>
      <c r="I19" s="3">
        <v>63503</v>
      </c>
      <c r="J19" s="3">
        <v>67812</v>
      </c>
      <c r="K19" s="3">
        <v>41141</v>
      </c>
      <c r="L19" s="3">
        <v>45359</v>
      </c>
      <c r="M19" s="3">
        <v>48988</v>
      </c>
      <c r="N19" s="3">
        <v>51710</v>
      </c>
      <c r="O19" s="3">
        <v>54885</v>
      </c>
      <c r="P19" s="3">
        <v>123800</v>
      </c>
      <c r="Q19" s="3">
        <v>125200</v>
      </c>
      <c r="R19" s="3">
        <v>142884</v>
      </c>
      <c r="S19" s="3">
        <v>142884</v>
      </c>
      <c r="T19" s="3">
        <v>147420</v>
      </c>
      <c r="U19" s="3">
        <v>147420</v>
      </c>
      <c r="V19" s="3">
        <v>158760</v>
      </c>
      <c r="W19" s="3">
        <v>161028</v>
      </c>
      <c r="X19" s="3">
        <v>147420</v>
      </c>
      <c r="Y19" s="3">
        <v>151956</v>
      </c>
      <c r="Z19" s="3">
        <v>161028</v>
      </c>
      <c r="AA19" s="3">
        <v>104000</v>
      </c>
      <c r="AB19" s="3">
        <v>106200</v>
      </c>
      <c r="AC19" s="23">
        <v>117000</v>
      </c>
      <c r="AD19" s="3">
        <v>141700</v>
      </c>
      <c r="AE19" s="3">
        <v>141700</v>
      </c>
      <c r="AF19" s="3">
        <v>148500</v>
      </c>
      <c r="AG19" s="3">
        <v>151500</v>
      </c>
      <c r="AH19" s="3">
        <v>53524</v>
      </c>
      <c r="AI19" s="3">
        <v>54884</v>
      </c>
      <c r="AJ19" s="3">
        <v>72600</v>
      </c>
      <c r="AK19" s="3">
        <v>76700</v>
      </c>
      <c r="AL19" s="3">
        <v>72600</v>
      </c>
      <c r="AM19" s="3">
        <v>76700</v>
      </c>
      <c r="AN19" s="3">
        <v>78500</v>
      </c>
      <c r="AO19" s="3">
        <v>83900</v>
      </c>
      <c r="AP19" s="3">
        <v>86500</v>
      </c>
      <c r="AQ19" s="3">
        <v>95100</v>
      </c>
      <c r="AR19" s="39">
        <v>46720</v>
      </c>
      <c r="AS19" s="39">
        <v>49895</v>
      </c>
      <c r="AT19" s="39">
        <v>52390</v>
      </c>
      <c r="AU19" s="39">
        <v>52390</v>
      </c>
      <c r="AV19" s="39">
        <v>53070</v>
      </c>
      <c r="AW19" s="40">
        <v>56472</v>
      </c>
      <c r="AX19" s="40">
        <v>58105</v>
      </c>
      <c r="AY19" s="40">
        <v>52390</v>
      </c>
      <c r="AZ19" s="40">
        <v>58105</v>
      </c>
      <c r="BA19" s="40">
        <v>56472</v>
      </c>
      <c r="BB19" s="40">
        <v>62142</v>
      </c>
      <c r="BC19" s="40">
        <v>62823</v>
      </c>
      <c r="BD19" s="40">
        <v>64637</v>
      </c>
      <c r="BE19" s="40">
        <v>52390</v>
      </c>
      <c r="BF19" s="40">
        <v>56245</v>
      </c>
      <c r="BG19" s="40">
        <v>70080</v>
      </c>
      <c r="BH19" s="40">
        <v>70534</v>
      </c>
      <c r="BI19" s="40">
        <v>79016</v>
      </c>
      <c r="BJ19" s="40">
        <v>85139</v>
      </c>
      <c r="BK19" s="40">
        <v>77564</v>
      </c>
      <c r="BL19" s="40">
        <v>79015</v>
      </c>
      <c r="BM19" s="40">
        <v>80285</v>
      </c>
      <c r="BN19" s="40">
        <v>82644</v>
      </c>
      <c r="BO19" s="40">
        <v>82644</v>
      </c>
      <c r="BP19" s="40">
        <v>88314</v>
      </c>
      <c r="BQ19" s="40">
        <v>89765</v>
      </c>
      <c r="BR19" s="40">
        <v>82644</v>
      </c>
      <c r="BS19" s="40">
        <v>88314</v>
      </c>
      <c r="BT19" s="40">
        <v>113400</v>
      </c>
      <c r="BU19" s="23">
        <v>115650</v>
      </c>
      <c r="BV19" s="23">
        <v>108850</v>
      </c>
      <c r="BW19" s="23">
        <v>115650</v>
      </c>
      <c r="BX19" s="23">
        <v>113400</v>
      </c>
      <c r="BY19" s="23">
        <v>116650</v>
      </c>
      <c r="BZ19" s="23">
        <v>122470</v>
      </c>
      <c r="CA19" s="23">
        <v>122470</v>
      </c>
      <c r="CB19" s="23">
        <v>122470</v>
      </c>
      <c r="CC19" s="23">
        <v>122470</v>
      </c>
      <c r="CD19" s="23">
        <v>127913</v>
      </c>
      <c r="CE19" s="40">
        <v>136078</v>
      </c>
      <c r="CF19" s="40">
        <v>140614</v>
      </c>
      <c r="CG19" s="40">
        <v>142882</v>
      </c>
      <c r="CH19" s="40">
        <v>140614</v>
      </c>
      <c r="CI19" s="40">
        <v>142882</v>
      </c>
      <c r="CJ19" s="40">
        <v>151954</v>
      </c>
      <c r="CK19" s="40">
        <v>159211</v>
      </c>
      <c r="CL19" s="40">
        <v>172365</v>
      </c>
      <c r="CM19" s="40">
        <v>175540</v>
      </c>
      <c r="CN19" s="3">
        <v>132000</v>
      </c>
      <c r="CO19" s="3">
        <v>132000</v>
      </c>
      <c r="CP19" s="3">
        <v>138600</v>
      </c>
      <c r="CQ19" s="3">
        <v>142000</v>
      </c>
      <c r="CR19" s="3">
        <v>142000</v>
      </c>
      <c r="CS19" s="3">
        <v>150000</v>
      </c>
      <c r="CT19" s="3">
        <v>153000</v>
      </c>
      <c r="CU19" s="3">
        <v>160000</v>
      </c>
      <c r="CV19" s="3">
        <v>164000</v>
      </c>
      <c r="CW19" s="3">
        <v>59000</v>
      </c>
      <c r="CX19" s="3">
        <v>59000</v>
      </c>
      <c r="CY19" s="3">
        <v>68000</v>
      </c>
      <c r="CZ19" s="3">
        <v>68000</v>
      </c>
      <c r="DA19" s="3">
        <v>64000</v>
      </c>
      <c r="DB19" s="3">
        <v>75500</v>
      </c>
      <c r="DC19" s="3">
        <v>75500</v>
      </c>
      <c r="DD19" s="3">
        <v>75500</v>
      </c>
      <c r="DE19" s="3">
        <v>75500</v>
      </c>
      <c r="DF19" s="3">
        <v>64000</v>
      </c>
      <c r="DG19" s="3">
        <v>75500</v>
      </c>
      <c r="DH19" s="3">
        <v>64000</v>
      </c>
      <c r="DI19" s="3">
        <v>73500</v>
      </c>
      <c r="DJ19" s="3">
        <v>73500</v>
      </c>
      <c r="DK19" s="3">
        <v>78000</v>
      </c>
      <c r="DL19" s="3">
        <v>73500</v>
      </c>
      <c r="DM19" s="3">
        <v>78000</v>
      </c>
      <c r="DN19" s="3">
        <v>73500</v>
      </c>
      <c r="DO19" s="3">
        <v>79000</v>
      </c>
      <c r="DP19" s="3">
        <v>79000</v>
      </c>
      <c r="DQ19" s="3">
        <v>73500</v>
      </c>
      <c r="DR19" s="3">
        <v>79000</v>
      </c>
      <c r="DS19" s="3">
        <v>79000</v>
      </c>
      <c r="DT19" s="3">
        <v>83000</v>
      </c>
      <c r="DU19" s="3">
        <v>83000</v>
      </c>
      <c r="DV19" s="3">
        <v>89000</v>
      </c>
      <c r="DW19" s="3">
        <v>93500</v>
      </c>
      <c r="DX19" s="3">
        <v>93500</v>
      </c>
      <c r="DY19" s="3">
        <v>89000</v>
      </c>
      <c r="DZ19" s="3">
        <v>93500</v>
      </c>
      <c r="EA19" s="3">
        <v>93500</v>
      </c>
      <c r="EB19" s="3">
        <v>97000</v>
      </c>
      <c r="EC19" s="3">
        <v>101000</v>
      </c>
      <c r="ED19" s="3">
        <v>101000</v>
      </c>
      <c r="EE19" s="23">
        <v>35990</v>
      </c>
      <c r="EF19" s="23">
        <v>37200</v>
      </c>
      <c r="EG19" s="23">
        <v>38600</v>
      </c>
      <c r="EH19" s="23">
        <v>37500</v>
      </c>
      <c r="EI19" s="23">
        <v>38790</v>
      </c>
      <c r="EJ19" s="23">
        <v>40370</v>
      </c>
      <c r="EK19" s="23">
        <v>47790</v>
      </c>
      <c r="EL19" s="23">
        <v>50300</v>
      </c>
      <c r="EM19" s="23">
        <v>51800</v>
      </c>
      <c r="EN19" s="23">
        <v>48790</v>
      </c>
      <c r="EO19" s="23">
        <v>50790</v>
      </c>
      <c r="EP19" s="23">
        <v>52290</v>
      </c>
      <c r="EQ19" s="23">
        <v>19000</v>
      </c>
      <c r="ER19" s="23">
        <v>20000</v>
      </c>
      <c r="ES19" s="40">
        <v>21100</v>
      </c>
      <c r="ET19" s="40">
        <v>20990</v>
      </c>
      <c r="EU19" s="40">
        <v>22000</v>
      </c>
      <c r="EV19" s="23">
        <v>24100</v>
      </c>
      <c r="EW19" s="40">
        <v>44600</v>
      </c>
      <c r="EX19" s="40">
        <v>56400</v>
      </c>
      <c r="EY19" s="40">
        <v>56400</v>
      </c>
      <c r="EZ19" s="40">
        <v>61500</v>
      </c>
      <c r="FA19" s="23">
        <v>21523</v>
      </c>
      <c r="FB19" s="23">
        <v>23133</v>
      </c>
      <c r="FC19" s="23">
        <v>24041</v>
      </c>
      <c r="FD19" s="23">
        <v>23133</v>
      </c>
      <c r="FE19" s="23">
        <v>24041</v>
      </c>
      <c r="FF19" s="23">
        <v>32999</v>
      </c>
      <c r="FG19" s="23">
        <v>38329</v>
      </c>
      <c r="FH19" s="23">
        <v>38329</v>
      </c>
      <c r="FI19" s="23">
        <v>41640</v>
      </c>
    </row>
    <row r="20" spans="1:165">
      <c r="A20" s="1" t="s">
        <v>2616</v>
      </c>
      <c r="B20" s="3"/>
      <c r="C20" s="3">
        <v>22104</v>
      </c>
      <c r="D20" s="3">
        <v>24242</v>
      </c>
      <c r="E20" s="3">
        <v>22129</v>
      </c>
      <c r="F20" s="3">
        <v>22129</v>
      </c>
      <c r="G20" s="3">
        <v>22129</v>
      </c>
      <c r="H20" s="3">
        <v>26426</v>
      </c>
      <c r="I20" s="3">
        <v>22126</v>
      </c>
      <c r="J20" s="3">
        <v>26422</v>
      </c>
      <c r="K20" s="3">
        <v>13979</v>
      </c>
      <c r="L20" s="3">
        <v>13926</v>
      </c>
      <c r="M20" s="3">
        <v>13926</v>
      </c>
      <c r="N20" s="3">
        <v>13926</v>
      </c>
      <c r="O20" s="3">
        <v>13926</v>
      </c>
      <c r="P20" s="3">
        <v>66245</v>
      </c>
      <c r="Q20" s="3">
        <v>66245</v>
      </c>
      <c r="R20" s="3">
        <v>88552</v>
      </c>
      <c r="S20" s="3">
        <v>88552</v>
      </c>
      <c r="T20" s="3">
        <v>88552</v>
      </c>
      <c r="U20" s="3">
        <v>88552</v>
      </c>
      <c r="V20" s="3">
        <v>91891</v>
      </c>
      <c r="W20" s="3">
        <v>91891</v>
      </c>
      <c r="X20" s="3">
        <v>88552</v>
      </c>
      <c r="Y20" s="3">
        <v>91891</v>
      </c>
      <c r="Z20" s="3">
        <v>91891</v>
      </c>
      <c r="AA20" s="3">
        <v>60900</v>
      </c>
      <c r="AB20" s="3">
        <v>60900</v>
      </c>
      <c r="AC20" s="3">
        <v>65590</v>
      </c>
      <c r="AD20" s="3">
        <v>90160</v>
      </c>
      <c r="AE20" s="3">
        <v>90160</v>
      </c>
      <c r="AF20" s="3">
        <v>90290</v>
      </c>
      <c r="AG20" s="3">
        <v>90290</v>
      </c>
      <c r="AH20" s="3">
        <v>13903</v>
      </c>
      <c r="AI20" s="18">
        <v>16665</v>
      </c>
      <c r="AJ20" s="3">
        <v>29069</v>
      </c>
      <c r="AK20" s="3">
        <v>29069</v>
      </c>
      <c r="AL20" s="3">
        <v>29069</v>
      </c>
      <c r="AM20" s="3">
        <v>29069</v>
      </c>
      <c r="AN20" s="3">
        <v>30620</v>
      </c>
      <c r="AO20" s="3">
        <v>30620</v>
      </c>
      <c r="AP20" s="3">
        <v>33762</v>
      </c>
      <c r="AQ20" s="3">
        <v>40064</v>
      </c>
      <c r="AR20" s="23">
        <v>13420</v>
      </c>
      <c r="AS20" s="23">
        <v>18090</v>
      </c>
      <c r="AT20" s="23">
        <v>18090</v>
      </c>
      <c r="AU20" s="23">
        <v>19530</v>
      </c>
      <c r="AV20" s="23">
        <v>19530</v>
      </c>
      <c r="AW20" s="40">
        <v>21007</v>
      </c>
      <c r="AX20" s="23">
        <v>22600</v>
      </c>
      <c r="AY20" s="23">
        <v>19531</v>
      </c>
      <c r="AZ20" s="23">
        <v>19531</v>
      </c>
      <c r="BA20" s="40">
        <v>20102</v>
      </c>
      <c r="BB20" s="40">
        <v>21964</v>
      </c>
      <c r="BC20" s="40">
        <v>20102</v>
      </c>
      <c r="BD20" s="40">
        <v>21964</v>
      </c>
      <c r="BE20" s="23">
        <v>20103</v>
      </c>
      <c r="BF20" s="40">
        <v>26022</v>
      </c>
      <c r="BG20" s="40">
        <v>26022</v>
      </c>
      <c r="BH20" s="40">
        <v>26022</v>
      </c>
      <c r="BI20" s="40">
        <v>26022</v>
      </c>
      <c r="BJ20" s="40">
        <v>29666</v>
      </c>
      <c r="BK20" s="23">
        <v>33611</v>
      </c>
      <c r="BL20" s="23">
        <v>37538</v>
      </c>
      <c r="BM20" s="23">
        <v>25816</v>
      </c>
      <c r="BN20" s="23">
        <v>25817</v>
      </c>
      <c r="BO20" s="23">
        <v>25817</v>
      </c>
      <c r="BP20" s="23">
        <v>25817</v>
      </c>
      <c r="BQ20" s="23">
        <v>25817</v>
      </c>
      <c r="BR20" s="23">
        <v>35302</v>
      </c>
      <c r="BS20" s="23">
        <v>35303</v>
      </c>
      <c r="BT20" s="23">
        <v>42680</v>
      </c>
      <c r="BU20" s="23">
        <v>42680</v>
      </c>
      <c r="BV20" s="23">
        <v>42680</v>
      </c>
      <c r="BW20" s="23">
        <v>42680</v>
      </c>
      <c r="BX20" s="23">
        <v>42680</v>
      </c>
      <c r="BY20" s="23">
        <v>42680</v>
      </c>
      <c r="BZ20" s="23">
        <v>43495</v>
      </c>
      <c r="CA20" s="23">
        <v>43495</v>
      </c>
      <c r="CB20" s="23">
        <v>43495</v>
      </c>
      <c r="CC20" s="23">
        <v>43495</v>
      </c>
      <c r="CD20" s="40">
        <v>45955</v>
      </c>
      <c r="CE20" s="40">
        <v>63217</v>
      </c>
      <c r="CF20" s="40">
        <v>63217</v>
      </c>
      <c r="CG20" s="40">
        <v>63217</v>
      </c>
      <c r="CH20" s="40">
        <v>63217</v>
      </c>
      <c r="CI20" s="40">
        <v>63217</v>
      </c>
      <c r="CJ20" s="40">
        <v>63216</v>
      </c>
      <c r="CK20" s="40">
        <v>77752</v>
      </c>
      <c r="CL20" s="40">
        <v>91380</v>
      </c>
      <c r="CM20" s="40">
        <v>91380</v>
      </c>
      <c r="CN20" s="3">
        <v>61070</v>
      </c>
      <c r="CO20" s="3">
        <v>61070</v>
      </c>
      <c r="CP20" s="3">
        <v>61070</v>
      </c>
      <c r="CQ20" s="3">
        <v>61070</v>
      </c>
      <c r="CR20" s="3">
        <v>61070</v>
      </c>
      <c r="CS20" s="3">
        <v>61070</v>
      </c>
      <c r="CT20" s="3">
        <v>61070</v>
      </c>
      <c r="CU20" s="3">
        <v>61070</v>
      </c>
      <c r="CV20" s="3">
        <v>61070</v>
      </c>
      <c r="CW20" s="3">
        <v>24209</v>
      </c>
      <c r="CX20" s="3">
        <v>24209</v>
      </c>
      <c r="CY20" s="3">
        <v>24209</v>
      </c>
      <c r="CZ20" s="3">
        <v>24209</v>
      </c>
      <c r="DA20" s="3">
        <v>24209</v>
      </c>
      <c r="DB20" s="3">
        <v>24209</v>
      </c>
      <c r="DC20" s="3">
        <v>24209</v>
      </c>
      <c r="DD20" s="3">
        <v>24209</v>
      </c>
      <c r="DE20" s="3">
        <v>24209</v>
      </c>
      <c r="DF20" s="3">
        <v>23740</v>
      </c>
      <c r="DG20" s="3">
        <v>23740</v>
      </c>
      <c r="DH20" s="3">
        <v>23740</v>
      </c>
      <c r="DI20" s="3">
        <v>24209</v>
      </c>
      <c r="DJ20" s="3">
        <v>24209</v>
      </c>
      <c r="DK20" s="3">
        <v>24209</v>
      </c>
      <c r="DL20" s="3">
        <v>23859</v>
      </c>
      <c r="DM20" s="3">
        <v>23859</v>
      </c>
      <c r="DN20" s="3">
        <v>23740</v>
      </c>
      <c r="DO20" s="3">
        <v>23740</v>
      </c>
      <c r="DP20" s="3">
        <v>23740</v>
      </c>
      <c r="DQ20" s="3">
        <v>23740</v>
      </c>
      <c r="DR20" s="3">
        <v>23740</v>
      </c>
      <c r="DS20" s="3">
        <v>23740</v>
      </c>
      <c r="DT20" s="3">
        <v>24050</v>
      </c>
      <c r="DU20" s="3">
        <v>23700</v>
      </c>
      <c r="DV20" s="3">
        <v>24050</v>
      </c>
      <c r="DW20" s="3">
        <v>24050</v>
      </c>
      <c r="DX20" s="3">
        <v>23700</v>
      </c>
      <c r="DY20" s="3">
        <v>23490</v>
      </c>
      <c r="DZ20" s="3">
        <v>23490</v>
      </c>
      <c r="EA20" s="3">
        <v>23490</v>
      </c>
      <c r="EB20" s="3">
        <v>32943</v>
      </c>
      <c r="EC20" s="3">
        <v>39748</v>
      </c>
      <c r="ED20" s="3">
        <v>39748</v>
      </c>
      <c r="EE20" s="23">
        <v>11625</v>
      </c>
      <c r="EF20" s="23">
        <v>11625</v>
      </c>
      <c r="EG20" s="23">
        <v>11625</v>
      </c>
      <c r="EH20" s="23">
        <v>11625</v>
      </c>
      <c r="EI20" s="23">
        <v>11625</v>
      </c>
      <c r="EJ20" s="23">
        <v>11625</v>
      </c>
      <c r="EK20" s="23">
        <v>16153</v>
      </c>
      <c r="EL20" s="23">
        <v>16153</v>
      </c>
      <c r="EM20" s="23">
        <v>16153</v>
      </c>
      <c r="EN20" s="23">
        <v>16153</v>
      </c>
      <c r="EO20" s="23">
        <v>16153</v>
      </c>
      <c r="EP20" s="23">
        <v>16153</v>
      </c>
      <c r="EQ20" s="23">
        <v>5146</v>
      </c>
      <c r="ER20" s="23">
        <v>5146</v>
      </c>
      <c r="ES20" s="40">
        <v>6396</v>
      </c>
      <c r="ET20" s="40">
        <v>5153</v>
      </c>
      <c r="EU20" s="40">
        <v>5786</v>
      </c>
      <c r="EV20" s="40">
        <v>7438</v>
      </c>
      <c r="EW20" s="23">
        <v>10612.7</v>
      </c>
      <c r="EX20" s="23">
        <f>EX21/0.803</f>
        <v>17048.567870485676</v>
      </c>
      <c r="EY20" s="23">
        <f>EY21/0.803</f>
        <v>17048.567870485676</v>
      </c>
      <c r="EZ20" s="23">
        <f>EZ21/0.803</f>
        <v>17048.567870485676</v>
      </c>
      <c r="FA20" s="23">
        <v>5300</v>
      </c>
      <c r="FB20" s="23">
        <v>8081</v>
      </c>
      <c r="FC20" s="23">
        <v>8081</v>
      </c>
      <c r="FD20" s="23">
        <v>8081</v>
      </c>
      <c r="FE20" s="23">
        <v>8081</v>
      </c>
      <c r="FF20" s="23">
        <v>10989</v>
      </c>
      <c r="FG20" s="23">
        <v>10989</v>
      </c>
      <c r="FH20" s="37">
        <v>10989</v>
      </c>
      <c r="FI20" s="23">
        <v>10989</v>
      </c>
    </row>
    <row r="21" spans="1:165">
      <c r="A21" s="41" t="s">
        <v>2617</v>
      </c>
      <c r="B21" s="54"/>
      <c r="C21" s="42">
        <v>17748</v>
      </c>
      <c r="D21" s="42">
        <v>19457</v>
      </c>
      <c r="E21" s="42">
        <v>17766</v>
      </c>
      <c r="F21" s="42">
        <v>17766</v>
      </c>
      <c r="G21" s="42">
        <v>17766</v>
      </c>
      <c r="H21" s="42">
        <v>21216</v>
      </c>
      <c r="I21" s="42">
        <v>17764</v>
      </c>
      <c r="J21" s="42">
        <v>21213</v>
      </c>
      <c r="K21" s="42">
        <v>11223</v>
      </c>
      <c r="L21" s="42">
        <v>11181</v>
      </c>
      <c r="M21" s="42">
        <v>11181</v>
      </c>
      <c r="N21" s="42">
        <v>11181</v>
      </c>
      <c r="O21" s="42">
        <v>11181</v>
      </c>
      <c r="P21" s="43">
        <v>53183.94</v>
      </c>
      <c r="Q21" s="43">
        <v>53183.94</v>
      </c>
      <c r="R21" s="43">
        <v>71092.83</v>
      </c>
      <c r="S21" s="43">
        <v>71092.83</v>
      </c>
      <c r="T21" s="43">
        <v>71092.83</v>
      </c>
      <c r="U21" s="43">
        <v>71092.83</v>
      </c>
      <c r="V21" s="43">
        <v>73773.5</v>
      </c>
      <c r="W21" s="43">
        <v>73773.5</v>
      </c>
      <c r="X21" s="43">
        <v>71092.83</v>
      </c>
      <c r="Y21" s="43">
        <v>73773.5</v>
      </c>
      <c r="Z21" s="43">
        <v>73773.5</v>
      </c>
      <c r="AA21" s="43">
        <v>48892.78</v>
      </c>
      <c r="AB21" s="43">
        <v>48892.78</v>
      </c>
      <c r="AC21" s="20">
        <v>52658.080000000002</v>
      </c>
      <c r="AD21" s="43">
        <v>72383.789999999994</v>
      </c>
      <c r="AE21" s="43">
        <v>72383.789999999994</v>
      </c>
      <c r="AF21" s="43">
        <v>72488.160000000003</v>
      </c>
      <c r="AG21" s="43">
        <v>72488.160000000003</v>
      </c>
      <c r="AH21" s="42">
        <v>11163</v>
      </c>
      <c r="AI21" s="42">
        <v>13382</v>
      </c>
      <c r="AJ21" s="42">
        <v>23360</v>
      </c>
      <c r="AK21" s="42">
        <v>23360</v>
      </c>
      <c r="AL21" s="42">
        <v>23360</v>
      </c>
      <c r="AM21" s="42">
        <v>23360</v>
      </c>
      <c r="AN21" s="42">
        <v>24600</v>
      </c>
      <c r="AO21" s="42">
        <v>24600</v>
      </c>
      <c r="AP21" s="43">
        <v>27105.39</v>
      </c>
      <c r="AQ21" s="43">
        <v>32164.86</v>
      </c>
      <c r="AR21" s="42">
        <v>10758</v>
      </c>
      <c r="AS21" s="42">
        <v>14527</v>
      </c>
      <c r="AT21" s="42">
        <v>14527</v>
      </c>
      <c r="AU21" s="42">
        <v>15682</v>
      </c>
      <c r="AV21" s="42">
        <v>15682</v>
      </c>
      <c r="AW21" s="42">
        <v>16867</v>
      </c>
      <c r="AX21" s="42">
        <v>18143</v>
      </c>
      <c r="AY21" s="42">
        <v>15682</v>
      </c>
      <c r="AZ21" s="42">
        <v>15682</v>
      </c>
      <c r="BA21" s="42">
        <v>16141</v>
      </c>
      <c r="BB21" s="42">
        <v>17636</v>
      </c>
      <c r="BC21" s="42">
        <v>16141</v>
      </c>
      <c r="BD21" s="42">
        <v>17636</v>
      </c>
      <c r="BE21" s="44">
        <v>16141</v>
      </c>
      <c r="BF21" s="42">
        <v>20894</v>
      </c>
      <c r="BG21" s="42">
        <v>20894</v>
      </c>
      <c r="BH21" s="42">
        <v>20894</v>
      </c>
      <c r="BI21" s="42">
        <v>20894</v>
      </c>
      <c r="BJ21" s="42">
        <v>23817</v>
      </c>
      <c r="BK21" s="42">
        <v>27095</v>
      </c>
      <c r="BL21" s="42">
        <v>30214</v>
      </c>
      <c r="BM21" s="33">
        <v>20730</v>
      </c>
      <c r="BN21" s="42">
        <v>20730</v>
      </c>
      <c r="BO21" s="42">
        <v>20730</v>
      </c>
      <c r="BP21" s="42">
        <v>20730</v>
      </c>
      <c r="BQ21" s="42">
        <v>20730</v>
      </c>
      <c r="BR21" s="42">
        <v>28347</v>
      </c>
      <c r="BS21" s="42">
        <v>28342</v>
      </c>
      <c r="BT21" s="33">
        <v>34260</v>
      </c>
      <c r="BU21" s="33">
        <v>34260</v>
      </c>
      <c r="BV21" s="33">
        <v>34260</v>
      </c>
      <c r="BW21" s="33">
        <v>34260</v>
      </c>
      <c r="BX21" s="33">
        <v>34260</v>
      </c>
      <c r="BY21" s="33">
        <v>34260</v>
      </c>
      <c r="BZ21" s="23">
        <v>34930</v>
      </c>
      <c r="CA21" s="23">
        <v>34930</v>
      </c>
      <c r="CB21" s="23">
        <v>34930</v>
      </c>
      <c r="CC21" s="23">
        <v>34930</v>
      </c>
      <c r="CD21" s="23">
        <v>36894</v>
      </c>
      <c r="CE21" s="23">
        <v>50753</v>
      </c>
      <c r="CF21" s="23">
        <v>50753</v>
      </c>
      <c r="CG21" s="23">
        <v>50753</v>
      </c>
      <c r="CH21" s="23">
        <v>50753</v>
      </c>
      <c r="CI21" s="23">
        <v>50753</v>
      </c>
      <c r="CJ21" s="23">
        <v>50752</v>
      </c>
      <c r="CK21" s="40">
        <v>62422</v>
      </c>
      <c r="CL21" s="40">
        <v>73363</v>
      </c>
      <c r="CM21" s="40">
        <v>73363</v>
      </c>
      <c r="CN21" s="43">
        <v>47940</v>
      </c>
      <c r="CO21" s="43">
        <v>47940</v>
      </c>
      <c r="CP21" s="43">
        <v>47940</v>
      </c>
      <c r="CQ21" s="43">
        <v>47940</v>
      </c>
      <c r="CR21" s="43">
        <v>47940</v>
      </c>
      <c r="CS21" s="43">
        <v>47940</v>
      </c>
      <c r="CT21" s="43">
        <v>47940</v>
      </c>
      <c r="CU21" s="43">
        <v>47940</v>
      </c>
      <c r="CV21" s="43">
        <v>47940</v>
      </c>
      <c r="CW21" s="42">
        <v>19476.02</v>
      </c>
      <c r="CX21" s="42">
        <v>19476.02</v>
      </c>
      <c r="CY21" s="42">
        <v>19476.02</v>
      </c>
      <c r="CZ21" s="42">
        <v>19476.02</v>
      </c>
      <c r="DA21" s="43">
        <v>19435.88</v>
      </c>
      <c r="DB21" s="43">
        <v>19435.88</v>
      </c>
      <c r="DC21" s="43">
        <v>19435.88</v>
      </c>
      <c r="DD21" s="43">
        <v>19435.88</v>
      </c>
      <c r="DE21" s="43">
        <v>19435.88</v>
      </c>
      <c r="DF21" s="43">
        <v>19059.349999999999</v>
      </c>
      <c r="DG21" s="43">
        <v>19059.349999999999</v>
      </c>
      <c r="DH21" s="43">
        <v>19059.349999999999</v>
      </c>
      <c r="DI21" s="43">
        <v>19435.88</v>
      </c>
      <c r="DJ21" s="43">
        <v>19435.88</v>
      </c>
      <c r="DK21" s="43">
        <v>19435.88</v>
      </c>
      <c r="DL21" s="43">
        <v>19154.89</v>
      </c>
      <c r="DM21" s="43">
        <v>19154.89</v>
      </c>
      <c r="DN21" s="43">
        <v>19059.349999999999</v>
      </c>
      <c r="DO21" s="43">
        <v>19059.349999999999</v>
      </c>
      <c r="DP21" s="43">
        <v>19059.349999999999</v>
      </c>
      <c r="DQ21" s="43">
        <v>19059.349999999999</v>
      </c>
      <c r="DR21" s="43">
        <v>19059.349999999999</v>
      </c>
      <c r="DS21" s="43">
        <v>19059.349999999999</v>
      </c>
      <c r="DT21" s="43">
        <v>19308.23</v>
      </c>
      <c r="DU21" s="43">
        <v>19027.240000000002</v>
      </c>
      <c r="DV21" s="43">
        <v>19308.23</v>
      </c>
      <c r="DW21" s="43">
        <v>19308.23</v>
      </c>
      <c r="DX21" s="43">
        <v>19027.240000000002</v>
      </c>
      <c r="DY21" s="43">
        <v>18858.64</v>
      </c>
      <c r="DZ21" s="43">
        <v>18858.64</v>
      </c>
      <c r="EA21" s="43">
        <v>18858.64</v>
      </c>
      <c r="EB21" s="43">
        <v>26447.86</v>
      </c>
      <c r="EC21" s="43">
        <v>31911.17</v>
      </c>
      <c r="ED21" s="43">
        <v>31911.17</v>
      </c>
      <c r="EE21" s="23">
        <v>9335</v>
      </c>
      <c r="EF21" s="23">
        <v>9335</v>
      </c>
      <c r="EG21" s="23">
        <v>9335</v>
      </c>
      <c r="EH21" s="23">
        <v>9335</v>
      </c>
      <c r="EI21" s="23">
        <v>9335</v>
      </c>
      <c r="EJ21" s="23">
        <v>9335</v>
      </c>
      <c r="EK21" s="23">
        <v>12971</v>
      </c>
      <c r="EL21" s="23">
        <v>12971</v>
      </c>
      <c r="EM21" s="23">
        <v>12971</v>
      </c>
      <c r="EN21" s="23">
        <v>12971</v>
      </c>
      <c r="EO21" s="23">
        <v>12971</v>
      </c>
      <c r="EP21" s="23">
        <v>12971</v>
      </c>
      <c r="EQ21" s="23">
        <v>4132</v>
      </c>
      <c r="ER21" s="23">
        <v>4132</v>
      </c>
      <c r="ES21" s="40">
        <v>5136</v>
      </c>
      <c r="ET21" s="40">
        <v>4132</v>
      </c>
      <c r="EU21" s="40">
        <v>5136</v>
      </c>
      <c r="EV21" s="40">
        <v>5973</v>
      </c>
      <c r="EW21" s="40">
        <v>8522</v>
      </c>
      <c r="EX21" s="40">
        <v>13690</v>
      </c>
      <c r="EY21" s="40">
        <v>13690</v>
      </c>
      <c r="EZ21" s="40">
        <v>13690</v>
      </c>
      <c r="FA21" s="141">
        <v>4255.04</v>
      </c>
      <c r="FB21" s="141">
        <v>6487.73</v>
      </c>
      <c r="FC21" s="141">
        <v>6487.73</v>
      </c>
      <c r="FD21" s="141">
        <v>6487.73</v>
      </c>
      <c r="FE21" s="141">
        <v>6487.73</v>
      </c>
      <c r="FF21" s="23">
        <v>8784.5</v>
      </c>
      <c r="FG21" s="23">
        <v>8784.5</v>
      </c>
      <c r="FH21" s="37">
        <v>8784.5</v>
      </c>
      <c r="FI21" s="23">
        <v>8718.5</v>
      </c>
    </row>
    <row r="22" spans="1:165">
      <c r="A22" s="1" t="s">
        <v>2618</v>
      </c>
      <c r="B22" s="3"/>
      <c r="C22" s="23">
        <f t="shared" ref="C22:D22" si="99">100*(C21/C19)</f>
        <v>25.081967213114751</v>
      </c>
      <c r="D22" s="23">
        <f t="shared" si="99"/>
        <v>25.532780431473412</v>
      </c>
      <c r="E22" s="23">
        <f t="shared" ref="E22:J22" si="100">100*(E21/E19)</f>
        <v>27.976190476190478</v>
      </c>
      <c r="F22" s="23">
        <f t="shared" si="100"/>
        <v>26.198902849053262</v>
      </c>
      <c r="G22" s="23">
        <f t="shared" si="100"/>
        <v>26.198902849053262</v>
      </c>
      <c r="H22" s="23">
        <f t="shared" si="100"/>
        <v>29.233207027213226</v>
      </c>
      <c r="I22" s="23">
        <f t="shared" si="100"/>
        <v>27.973481567799947</v>
      </c>
      <c r="J22" s="23">
        <f t="shared" si="100"/>
        <v>31.282073969208991</v>
      </c>
      <c r="K22" s="23">
        <f t="shared" ref="K22:O22" si="101">100*(K21/K19)</f>
        <v>27.279356359835688</v>
      </c>
      <c r="L22" s="23">
        <f t="shared" si="101"/>
        <v>24.650014330121916</v>
      </c>
      <c r="M22" s="23">
        <f t="shared" si="101"/>
        <v>22.823956887400996</v>
      </c>
      <c r="N22" s="23">
        <f t="shared" si="101"/>
        <v>21.622510152775092</v>
      </c>
      <c r="O22" s="23">
        <f t="shared" si="101"/>
        <v>20.371686253074611</v>
      </c>
      <c r="P22" s="23">
        <f t="shared" ref="P22:R22" si="102">100*(P21/P19)</f>
        <v>42.959563812600969</v>
      </c>
      <c r="Q22" s="23">
        <f t="shared" si="102"/>
        <v>42.479185303514377</v>
      </c>
      <c r="R22" s="23">
        <f t="shared" si="102"/>
        <v>49.755626942134882</v>
      </c>
      <c r="S22" s="23">
        <f t="shared" ref="S22:AZ22" si="103">100*(S21/S19)</f>
        <v>49.755626942134882</v>
      </c>
      <c r="T22" s="23">
        <f t="shared" si="103"/>
        <v>48.224684574684574</v>
      </c>
      <c r="U22" s="23">
        <f t="shared" si="103"/>
        <v>48.224684574684574</v>
      </c>
      <c r="V22" s="23">
        <f t="shared" si="103"/>
        <v>46.468568909045096</v>
      </c>
      <c r="W22" s="23">
        <f t="shared" si="103"/>
        <v>45.814082023002214</v>
      </c>
      <c r="X22" s="23">
        <f t="shared" si="103"/>
        <v>48.224684574684574</v>
      </c>
      <c r="Y22" s="23">
        <f t="shared" si="103"/>
        <v>48.549251099002348</v>
      </c>
      <c r="Z22" s="23">
        <f t="shared" si="103"/>
        <v>45.814082023002214</v>
      </c>
      <c r="AA22" s="23">
        <f t="shared" si="103"/>
        <v>47.012288461538461</v>
      </c>
      <c r="AB22" s="23">
        <f t="shared" si="103"/>
        <v>46.03839924670433</v>
      </c>
      <c r="AC22" s="23">
        <f t="shared" si="103"/>
        <v>45.006905982905984</v>
      </c>
      <c r="AD22" s="23">
        <f t="shared" si="103"/>
        <v>51.08242060691601</v>
      </c>
      <c r="AE22" s="23">
        <f t="shared" si="103"/>
        <v>51.08242060691601</v>
      </c>
      <c r="AF22" s="23">
        <f t="shared" si="103"/>
        <v>48.813575757575762</v>
      </c>
      <c r="AG22" s="23">
        <f t="shared" si="103"/>
        <v>47.846970297029706</v>
      </c>
      <c r="AH22" s="23">
        <f t="shared" si="103"/>
        <v>20.856064569165234</v>
      </c>
      <c r="AI22" s="23">
        <f t="shared" si="103"/>
        <v>24.382333649150937</v>
      </c>
      <c r="AJ22" s="23">
        <f t="shared" si="103"/>
        <v>32.176308539944905</v>
      </c>
      <c r="AK22" s="23">
        <f t="shared" si="103"/>
        <v>30.456323337679269</v>
      </c>
      <c r="AL22" s="23">
        <f t="shared" si="103"/>
        <v>32.176308539944905</v>
      </c>
      <c r="AM22" s="23">
        <f t="shared" si="103"/>
        <v>30.456323337679269</v>
      </c>
      <c r="AN22" s="23">
        <f t="shared" si="103"/>
        <v>31.337579617834393</v>
      </c>
      <c r="AO22" s="23">
        <f t="shared" si="103"/>
        <v>29.320619785458881</v>
      </c>
      <c r="AP22" s="23">
        <f t="shared" si="103"/>
        <v>31.335710982658959</v>
      </c>
      <c r="AQ22" s="23">
        <f t="shared" si="103"/>
        <v>33.822145110410098</v>
      </c>
      <c r="AR22" s="23">
        <f t="shared" si="103"/>
        <v>23.026541095890408</v>
      </c>
      <c r="AS22" s="23">
        <f t="shared" si="103"/>
        <v>29.11514179777533</v>
      </c>
      <c r="AT22" s="23">
        <f t="shared" si="103"/>
        <v>27.728574155373163</v>
      </c>
      <c r="AU22" s="23">
        <f t="shared" si="103"/>
        <v>29.933193357510973</v>
      </c>
      <c r="AV22" s="23">
        <f t="shared" si="103"/>
        <v>29.549651403806294</v>
      </c>
      <c r="AW22" s="23">
        <f t="shared" si="103"/>
        <v>29.867899135854937</v>
      </c>
      <c r="AX22" s="23">
        <f t="shared" si="103"/>
        <v>31.224507357370278</v>
      </c>
      <c r="AY22" s="23">
        <f t="shared" si="103"/>
        <v>29.933193357510973</v>
      </c>
      <c r="AZ22" s="23">
        <f t="shared" si="103"/>
        <v>26.989071508476037</v>
      </c>
      <c r="BA22" s="23">
        <f t="shared" ref="BA22:CM22" si="104">100*(BA21/BA19)</f>
        <v>28.582306275676437</v>
      </c>
      <c r="BB22" s="23">
        <f t="shared" si="104"/>
        <v>28.380161565446883</v>
      </c>
      <c r="BC22" s="23">
        <f t="shared" si="104"/>
        <v>25.69281950877863</v>
      </c>
      <c r="BD22" s="23">
        <f t="shared" si="104"/>
        <v>27.284682147995731</v>
      </c>
      <c r="BE22" s="23">
        <f t="shared" si="104"/>
        <v>30.809314754724181</v>
      </c>
      <c r="BF22" s="23">
        <f t="shared" si="104"/>
        <v>37.148190950306692</v>
      </c>
      <c r="BG22" s="23">
        <f t="shared" si="104"/>
        <v>29.814497716894977</v>
      </c>
      <c r="BH22" s="23">
        <f t="shared" si="104"/>
        <v>29.622593359231008</v>
      </c>
      <c r="BI22" s="23">
        <f t="shared" si="104"/>
        <v>26.442745773007996</v>
      </c>
      <c r="BJ22" s="23">
        <f t="shared" si="104"/>
        <v>27.974253867205395</v>
      </c>
      <c r="BK22" s="23">
        <f t="shared" si="104"/>
        <v>34.932442885874892</v>
      </c>
      <c r="BL22" s="23">
        <f t="shared" si="104"/>
        <v>38.238309181800922</v>
      </c>
      <c r="BM22" s="23">
        <f t="shared" si="104"/>
        <v>25.820514417388058</v>
      </c>
      <c r="BN22" s="23">
        <f t="shared" si="104"/>
        <v>25.083490634528822</v>
      </c>
      <c r="BO22" s="23">
        <f t="shared" si="104"/>
        <v>25.083490634528822</v>
      </c>
      <c r="BP22" s="23">
        <f t="shared" si="104"/>
        <v>23.473062028670427</v>
      </c>
      <c r="BQ22" s="23">
        <f t="shared" si="104"/>
        <v>23.093633376037431</v>
      </c>
      <c r="BR22" s="23">
        <f t="shared" si="104"/>
        <v>34.300130680993171</v>
      </c>
      <c r="BS22" s="23">
        <f t="shared" si="104"/>
        <v>32.092306995493352</v>
      </c>
      <c r="BT22" s="23">
        <f t="shared" si="104"/>
        <v>30.211640211640212</v>
      </c>
      <c r="BU22" s="23">
        <f t="shared" si="104"/>
        <v>29.623865110246435</v>
      </c>
      <c r="BV22" s="23">
        <f t="shared" si="104"/>
        <v>31.474506201194302</v>
      </c>
      <c r="BW22" s="23">
        <f t="shared" si="104"/>
        <v>29.623865110246435</v>
      </c>
      <c r="BX22" s="23">
        <f t="shared" si="104"/>
        <v>30.211640211640212</v>
      </c>
      <c r="BY22" s="23">
        <f t="shared" si="104"/>
        <v>29.369909987141018</v>
      </c>
      <c r="BZ22" s="23">
        <f t="shared" si="104"/>
        <v>28.52127051522822</v>
      </c>
      <c r="CA22" s="23">
        <f t="shared" si="104"/>
        <v>28.52127051522822</v>
      </c>
      <c r="CB22" s="23">
        <f t="shared" si="104"/>
        <v>28.52127051522822</v>
      </c>
      <c r="CC22" s="23">
        <f t="shared" si="104"/>
        <v>28.52127051522822</v>
      </c>
      <c r="CD22" s="23">
        <f t="shared" si="104"/>
        <v>28.84304175494281</v>
      </c>
      <c r="CE22" s="23">
        <f t="shared" si="104"/>
        <v>37.296991431384939</v>
      </c>
      <c r="CF22" s="23">
        <f t="shared" si="104"/>
        <v>36.093845563030705</v>
      </c>
      <c r="CG22" s="23">
        <f t="shared" si="104"/>
        <v>35.520919360031357</v>
      </c>
      <c r="CH22" s="23">
        <f t="shared" si="104"/>
        <v>36.093845563030705</v>
      </c>
      <c r="CI22" s="23">
        <f t="shared" si="104"/>
        <v>35.520919360031357</v>
      </c>
      <c r="CJ22" s="23">
        <f t="shared" si="104"/>
        <v>33.399581452281609</v>
      </c>
      <c r="CK22" s="23">
        <f t="shared" si="104"/>
        <v>39.207089962376976</v>
      </c>
      <c r="CL22" s="23">
        <f t="shared" si="104"/>
        <v>42.562585211614888</v>
      </c>
      <c r="CM22" s="23">
        <f t="shared" si="104"/>
        <v>41.792753788310357</v>
      </c>
      <c r="CN22" s="23">
        <f t="shared" ref="CN22:CV22" si="105">100*(CN21/CN19)</f>
        <v>36.318181818181813</v>
      </c>
      <c r="CO22" s="23">
        <f t="shared" si="105"/>
        <v>36.318181818181813</v>
      </c>
      <c r="CP22" s="23">
        <f t="shared" si="105"/>
        <v>34.588744588744589</v>
      </c>
      <c r="CQ22" s="23">
        <f t="shared" si="105"/>
        <v>33.760563380281688</v>
      </c>
      <c r="CR22" s="23">
        <f t="shared" si="105"/>
        <v>33.760563380281688</v>
      </c>
      <c r="CS22" s="23">
        <f t="shared" si="105"/>
        <v>31.96</v>
      </c>
      <c r="CT22" s="23">
        <f t="shared" si="105"/>
        <v>31.333333333333336</v>
      </c>
      <c r="CU22" s="23">
        <f t="shared" si="105"/>
        <v>29.962499999999999</v>
      </c>
      <c r="CV22" s="23">
        <f t="shared" si="105"/>
        <v>29.23170731707317</v>
      </c>
      <c r="CW22" s="23">
        <f t="shared" ref="CW22:CZ22" si="106">100*(CW21/CW19)</f>
        <v>33.010203389830508</v>
      </c>
      <c r="CX22" s="23">
        <f t="shared" si="106"/>
        <v>33.010203389830508</v>
      </c>
      <c r="CY22" s="23">
        <f t="shared" si="106"/>
        <v>28.641205882352942</v>
      </c>
      <c r="CZ22" s="23">
        <f t="shared" si="106"/>
        <v>28.641205882352942</v>
      </c>
      <c r="DA22" s="23">
        <f t="shared" ref="DA22:DH22" si="107">100*(DA21/DA19)</f>
        <v>30.368562500000003</v>
      </c>
      <c r="DB22" s="23">
        <f t="shared" si="107"/>
        <v>25.742887417218547</v>
      </c>
      <c r="DC22" s="23">
        <f t="shared" si="107"/>
        <v>25.742887417218547</v>
      </c>
      <c r="DD22" s="23">
        <f t="shared" si="107"/>
        <v>25.742887417218547</v>
      </c>
      <c r="DE22" s="23">
        <f t="shared" si="107"/>
        <v>25.742887417218547</v>
      </c>
      <c r="DF22" s="23">
        <f t="shared" si="107"/>
        <v>29.780234374999999</v>
      </c>
      <c r="DG22" s="23">
        <f t="shared" si="107"/>
        <v>25.244172185430465</v>
      </c>
      <c r="DH22" s="23">
        <f t="shared" si="107"/>
        <v>29.780234374999999</v>
      </c>
      <c r="DI22" s="23">
        <f t="shared" ref="DI22:DS22" si="108">100*(DI21/DI19)</f>
        <v>26.443374149659864</v>
      </c>
      <c r="DJ22" s="23">
        <f t="shared" si="108"/>
        <v>26.443374149659864</v>
      </c>
      <c r="DK22" s="23">
        <f t="shared" si="108"/>
        <v>24.917794871794875</v>
      </c>
      <c r="DL22" s="23">
        <f t="shared" si="108"/>
        <v>26.061074829931975</v>
      </c>
      <c r="DM22" s="23">
        <f t="shared" si="108"/>
        <v>24.557551282051282</v>
      </c>
      <c r="DN22" s="23">
        <f t="shared" si="108"/>
        <v>25.93108843537415</v>
      </c>
      <c r="DO22" s="23">
        <f t="shared" si="108"/>
        <v>24.125759493670884</v>
      </c>
      <c r="DP22" s="23">
        <f t="shared" si="108"/>
        <v>24.125759493670884</v>
      </c>
      <c r="DQ22" s="23">
        <f t="shared" si="108"/>
        <v>25.93108843537415</v>
      </c>
      <c r="DR22" s="23">
        <f t="shared" si="108"/>
        <v>24.125759493670884</v>
      </c>
      <c r="DS22" s="23">
        <f t="shared" si="108"/>
        <v>24.125759493670884</v>
      </c>
      <c r="DT22" s="23">
        <f t="shared" ref="DT22:ED22" si="109">100*(DT21/DT19)</f>
        <v>23.262927710843371</v>
      </c>
      <c r="DU22" s="23">
        <f t="shared" si="109"/>
        <v>22.924385542168675</v>
      </c>
      <c r="DV22" s="23">
        <f t="shared" si="109"/>
        <v>21.6946404494382</v>
      </c>
      <c r="DW22" s="23">
        <f t="shared" si="109"/>
        <v>20.650513368983955</v>
      </c>
      <c r="DX22" s="23">
        <f t="shared" si="109"/>
        <v>20.349989304812834</v>
      </c>
      <c r="DY22" s="23">
        <f t="shared" si="109"/>
        <v>21.189483146067413</v>
      </c>
      <c r="DZ22" s="23">
        <f t="shared" si="109"/>
        <v>20.169668449197861</v>
      </c>
      <c r="EA22" s="23">
        <f t="shared" si="109"/>
        <v>20.169668449197861</v>
      </c>
      <c r="EB22" s="23">
        <f t="shared" si="109"/>
        <v>27.265835051546393</v>
      </c>
      <c r="EC22" s="23">
        <f t="shared" si="109"/>
        <v>31.595217821782178</v>
      </c>
      <c r="ED22" s="23">
        <f t="shared" si="109"/>
        <v>31.595217821782178</v>
      </c>
      <c r="EE22" s="23">
        <f>100*(EE21/EE19)</f>
        <v>25.937760489024729</v>
      </c>
      <c r="EF22" s="23">
        <f t="shared" ref="EF22:EG22" si="110">100*(EF21/EF19)</f>
        <v>25.094086021505372</v>
      </c>
      <c r="EG22" s="23">
        <f t="shared" si="110"/>
        <v>24.183937823834199</v>
      </c>
      <c r="EH22" s="23">
        <f t="shared" ref="EH22" si="111">100*(EH21/EH19)</f>
        <v>24.893333333333334</v>
      </c>
      <c r="EI22" s="23">
        <f t="shared" ref="EI22" si="112">100*(EI21/EI19)</f>
        <v>24.065480794019077</v>
      </c>
      <c r="EJ22" s="23">
        <f t="shared" ref="EJ22:EK22" si="113">100*(EJ21/EJ19)</f>
        <v>23.123606638593014</v>
      </c>
      <c r="EK22" s="23">
        <f t="shared" si="113"/>
        <v>27.141661435446746</v>
      </c>
      <c r="EL22" s="23">
        <f t="shared" ref="EL22" si="114">100*(EL21/EL19)</f>
        <v>25.787276341948314</v>
      </c>
      <c r="EM22" s="23">
        <f t="shared" ref="EM22" si="115">100*(EM21/EM19)</f>
        <v>25.04054054054054</v>
      </c>
      <c r="EN22" s="23">
        <f t="shared" ref="EN22" si="116">100*(EN21/EN19)</f>
        <v>26.585365853658537</v>
      </c>
      <c r="EO22" s="23">
        <f t="shared" ref="EO22" si="117">100*(EO21/EO19)</f>
        <v>25.538491829100217</v>
      </c>
      <c r="EP22" s="23">
        <f t="shared" ref="EP22" si="118">100*(EP21/EP19)</f>
        <v>24.805890227576974</v>
      </c>
      <c r="EQ22" s="23">
        <f t="shared" ref="EQ22" si="119">100*(EQ21/EQ19)</f>
        <v>21.747368421052631</v>
      </c>
      <c r="ER22" s="23">
        <f t="shared" ref="ER22:EZ22" si="120">100*(ER21/ER19)</f>
        <v>20.66</v>
      </c>
      <c r="ES22" s="23">
        <f t="shared" si="120"/>
        <v>24.341232227488153</v>
      </c>
      <c r="ET22" s="23">
        <f t="shared" si="120"/>
        <v>19.685564554549785</v>
      </c>
      <c r="EU22" s="23">
        <f t="shared" si="120"/>
        <v>23.345454545454544</v>
      </c>
      <c r="EV22" s="23">
        <f t="shared" si="120"/>
        <v>24.784232365145229</v>
      </c>
      <c r="EW22" s="23">
        <f t="shared" si="120"/>
        <v>19.107623318385649</v>
      </c>
      <c r="EX22" s="23">
        <f t="shared" si="120"/>
        <v>24.273049645390071</v>
      </c>
      <c r="EY22" s="23">
        <f t="shared" si="120"/>
        <v>24.273049645390071</v>
      </c>
      <c r="EZ22" s="23">
        <f t="shared" si="120"/>
        <v>22.260162601626014</v>
      </c>
      <c r="FA22" s="23">
        <f t="shared" ref="FA22:FI22" si="121">100*(FA21/FA19)</f>
        <v>19.769734702411373</v>
      </c>
      <c r="FB22" s="23">
        <f t="shared" si="121"/>
        <v>28.045346474733062</v>
      </c>
      <c r="FC22" s="23">
        <f t="shared" si="121"/>
        <v>26.986107067093712</v>
      </c>
      <c r="FD22" s="23">
        <f t="shared" si="121"/>
        <v>28.045346474733062</v>
      </c>
      <c r="FE22" s="23">
        <f t="shared" si="121"/>
        <v>26.986107067093712</v>
      </c>
      <c r="FF22" s="23">
        <f t="shared" si="121"/>
        <v>26.620503651625803</v>
      </c>
      <c r="FG22" s="23">
        <f t="shared" si="121"/>
        <v>22.918677763573271</v>
      </c>
      <c r="FH22" s="23">
        <f t="shared" si="121"/>
        <v>22.918677763573271</v>
      </c>
      <c r="FI22" s="23">
        <f t="shared" si="121"/>
        <v>20.93780019212296</v>
      </c>
    </row>
    <row r="23" spans="1:165" ht="39">
      <c r="A23" s="1" t="s">
        <v>2619</v>
      </c>
      <c r="B23" s="3"/>
      <c r="C23" s="55" t="s">
        <v>715</v>
      </c>
      <c r="D23" s="55" t="s">
        <v>2620</v>
      </c>
      <c r="E23" s="56" t="s">
        <v>709</v>
      </c>
      <c r="F23" s="55" t="s">
        <v>2621</v>
      </c>
      <c r="G23" s="55" t="s">
        <v>714</v>
      </c>
      <c r="H23" s="55" t="s">
        <v>710</v>
      </c>
      <c r="I23" s="55" t="s">
        <v>2622</v>
      </c>
      <c r="J23" s="55" t="s">
        <v>2622</v>
      </c>
      <c r="K23" s="55" t="s">
        <v>708</v>
      </c>
      <c r="L23" s="55" t="s">
        <v>2623</v>
      </c>
      <c r="M23" s="55" t="s">
        <v>610</v>
      </c>
      <c r="N23" s="55" t="s">
        <v>612</v>
      </c>
      <c r="O23" s="55" t="s">
        <v>613</v>
      </c>
      <c r="P23" s="56" t="s">
        <v>2495</v>
      </c>
      <c r="Q23" s="56" t="s">
        <v>605</v>
      </c>
      <c r="R23" s="56" t="s">
        <v>605</v>
      </c>
      <c r="S23" s="56" t="s">
        <v>2496</v>
      </c>
      <c r="T23" s="56" t="s">
        <v>607</v>
      </c>
      <c r="U23" s="56" t="s">
        <v>607</v>
      </c>
      <c r="V23" s="56" t="s">
        <v>607</v>
      </c>
      <c r="W23" s="56" t="s">
        <v>607</v>
      </c>
      <c r="X23" s="56" t="s">
        <v>2497</v>
      </c>
      <c r="Y23" s="56" t="s">
        <v>2497</v>
      </c>
      <c r="Z23" s="56" t="s">
        <v>2497</v>
      </c>
      <c r="AA23" s="56" t="s">
        <v>2495</v>
      </c>
      <c r="AB23" s="56" t="s">
        <v>604</v>
      </c>
      <c r="AC23" s="56" t="s">
        <v>604</v>
      </c>
      <c r="AD23" s="56" t="s">
        <v>605</v>
      </c>
      <c r="AE23" s="56" t="s">
        <v>2496</v>
      </c>
      <c r="AF23" s="56" t="s">
        <v>607</v>
      </c>
      <c r="AG23" s="56" t="s">
        <v>706</v>
      </c>
      <c r="AH23" s="26" t="s">
        <v>608</v>
      </c>
      <c r="AI23" s="26" t="s">
        <v>609</v>
      </c>
      <c r="AJ23" s="56" t="s">
        <v>610</v>
      </c>
      <c r="AK23" s="56" t="s">
        <v>611</v>
      </c>
      <c r="AL23" s="56" t="s">
        <v>610</v>
      </c>
      <c r="AM23" s="56" t="s">
        <v>611</v>
      </c>
      <c r="AN23" s="56" t="s">
        <v>611</v>
      </c>
      <c r="AO23" s="56" t="s">
        <v>612</v>
      </c>
      <c r="AP23" s="56" t="s">
        <v>613</v>
      </c>
      <c r="AQ23" s="56" t="s">
        <v>2498</v>
      </c>
      <c r="AR23" s="23" t="s">
        <v>610</v>
      </c>
      <c r="AS23" s="23" t="s">
        <v>771</v>
      </c>
      <c r="AT23" s="23" t="s">
        <v>771</v>
      </c>
      <c r="AU23" s="23" t="s">
        <v>2499</v>
      </c>
      <c r="AV23" s="23" t="s">
        <v>2499</v>
      </c>
      <c r="AW23" s="23" t="s">
        <v>2500</v>
      </c>
      <c r="AX23" s="23" t="s">
        <v>2500</v>
      </c>
      <c r="AY23" s="23" t="s">
        <v>2500</v>
      </c>
      <c r="AZ23" s="23" t="s">
        <v>2500</v>
      </c>
      <c r="BA23" s="23" t="s">
        <v>2501</v>
      </c>
      <c r="BB23" s="23" t="s">
        <v>2502</v>
      </c>
      <c r="BC23" s="23" t="s">
        <v>2502</v>
      </c>
      <c r="BD23" s="23" t="s">
        <v>2503</v>
      </c>
      <c r="BE23" s="23" t="s">
        <v>614</v>
      </c>
      <c r="BF23" s="23" t="s">
        <v>2504</v>
      </c>
      <c r="BG23" s="23" t="s">
        <v>2505</v>
      </c>
      <c r="BH23" s="23" t="s">
        <v>2506</v>
      </c>
      <c r="BI23" s="23" t="s">
        <v>2507</v>
      </c>
      <c r="BJ23" s="23" t="s">
        <v>2507</v>
      </c>
      <c r="BK23" s="23" t="s">
        <v>2505</v>
      </c>
      <c r="BL23" s="23" t="s">
        <v>2506</v>
      </c>
      <c r="BM23" s="23" t="s">
        <v>2508</v>
      </c>
      <c r="BN23" s="23" t="s">
        <v>2509</v>
      </c>
      <c r="BO23" s="23" t="s">
        <v>2509</v>
      </c>
      <c r="BP23" s="23" t="s">
        <v>2509</v>
      </c>
      <c r="BQ23" s="23" t="s">
        <v>2509</v>
      </c>
      <c r="BR23" s="23" t="s">
        <v>2510</v>
      </c>
      <c r="BS23" s="23" t="s">
        <v>2510</v>
      </c>
      <c r="BT23" s="23" t="s">
        <v>2511</v>
      </c>
      <c r="BU23" s="23" t="s">
        <v>2512</v>
      </c>
      <c r="BV23" s="26" t="s">
        <v>2513</v>
      </c>
      <c r="BW23" s="26" t="s">
        <v>808</v>
      </c>
      <c r="BX23" s="23" t="s">
        <v>2511</v>
      </c>
      <c r="BY23" s="23" t="s">
        <v>2512</v>
      </c>
      <c r="BZ23" s="23" t="s">
        <v>2512</v>
      </c>
      <c r="CA23" s="23" t="s">
        <v>2514</v>
      </c>
      <c r="CB23" s="26" t="s">
        <v>808</v>
      </c>
      <c r="CC23" s="26" t="s">
        <v>2515</v>
      </c>
      <c r="CD23" s="26" t="s">
        <v>644</v>
      </c>
      <c r="CE23" s="56" t="s">
        <v>2516</v>
      </c>
      <c r="CF23" s="26" t="s">
        <v>2517</v>
      </c>
      <c r="CG23" s="56" t="s">
        <v>645</v>
      </c>
      <c r="CH23" s="56" t="s">
        <v>2480</v>
      </c>
      <c r="CI23" s="26" t="s">
        <v>2518</v>
      </c>
      <c r="CJ23" s="26" t="s">
        <v>2519</v>
      </c>
      <c r="CK23" s="23" t="s">
        <v>2477</v>
      </c>
      <c r="CL23" s="26" t="s">
        <v>2520</v>
      </c>
      <c r="CM23" s="26" t="s">
        <v>2521</v>
      </c>
      <c r="CN23" s="53" t="s">
        <v>550</v>
      </c>
      <c r="CO23" s="53" t="s">
        <v>552</v>
      </c>
      <c r="CP23" s="53" t="s">
        <v>550</v>
      </c>
      <c r="CQ23" s="53" t="s">
        <v>550</v>
      </c>
      <c r="CR23" s="53" t="s">
        <v>553</v>
      </c>
      <c r="CS23" s="53" t="s">
        <v>551</v>
      </c>
      <c r="CT23" s="53" t="s">
        <v>553</v>
      </c>
      <c r="CU23" s="53" t="s">
        <v>2522</v>
      </c>
      <c r="CV23" s="53" t="s">
        <v>551</v>
      </c>
      <c r="CW23" s="23" t="s">
        <v>2523</v>
      </c>
      <c r="CX23" s="23" t="s">
        <v>2524</v>
      </c>
      <c r="CY23" s="53" t="s">
        <v>2525</v>
      </c>
      <c r="CZ23" s="53" t="s">
        <v>2526</v>
      </c>
      <c r="DA23" s="26" t="s">
        <v>561</v>
      </c>
      <c r="DB23" s="26" t="s">
        <v>564</v>
      </c>
      <c r="DC23" s="26" t="s">
        <v>565</v>
      </c>
      <c r="DD23" s="26" t="s">
        <v>566</v>
      </c>
      <c r="DE23" s="26" t="s">
        <v>568</v>
      </c>
      <c r="DF23" s="26" t="s">
        <v>2527</v>
      </c>
      <c r="DG23" s="26" t="s">
        <v>2528</v>
      </c>
      <c r="DH23" s="26" t="s">
        <v>2529</v>
      </c>
      <c r="DI23" s="53" t="s">
        <v>572</v>
      </c>
      <c r="DJ23" s="53" t="s">
        <v>573</v>
      </c>
      <c r="DK23" s="53" t="s">
        <v>574</v>
      </c>
      <c r="DL23" s="53" t="s">
        <v>576</v>
      </c>
      <c r="DM23" s="55" t="s">
        <v>577</v>
      </c>
      <c r="DN23" s="53" t="s">
        <v>569</v>
      </c>
      <c r="DO23" s="53" t="s">
        <v>570</v>
      </c>
      <c r="DP23" s="53" t="s">
        <v>2530</v>
      </c>
      <c r="DQ23" s="53" t="s">
        <v>2531</v>
      </c>
      <c r="DR23" s="53" t="s">
        <v>581</v>
      </c>
      <c r="DS23" s="53" t="s">
        <v>2532</v>
      </c>
      <c r="DT23" s="53" t="s">
        <v>583</v>
      </c>
      <c r="DU23" s="53" t="s">
        <v>585</v>
      </c>
      <c r="DV23" s="53" t="s">
        <v>584</v>
      </c>
      <c r="DW23" s="53" t="s">
        <v>2533</v>
      </c>
      <c r="DX23" s="26" t="s">
        <v>587</v>
      </c>
      <c r="DY23" s="26" t="s">
        <v>2534</v>
      </c>
      <c r="DZ23" s="26" t="s">
        <v>2535</v>
      </c>
      <c r="EA23" s="26" t="s">
        <v>2536</v>
      </c>
      <c r="EB23" s="26" t="s">
        <v>2537</v>
      </c>
      <c r="EC23" s="26" t="s">
        <v>2538</v>
      </c>
      <c r="ED23" s="26" t="s">
        <v>2539</v>
      </c>
      <c r="EE23" s="45" t="s">
        <v>678</v>
      </c>
      <c r="EF23" s="45" t="s">
        <v>678</v>
      </c>
      <c r="EG23" s="45" t="s">
        <v>2540</v>
      </c>
      <c r="EH23" s="45" t="s">
        <v>678</v>
      </c>
      <c r="EI23" s="45" t="s">
        <v>678</v>
      </c>
      <c r="EJ23" s="45" t="s">
        <v>2540</v>
      </c>
      <c r="EK23" s="45" t="s">
        <v>680</v>
      </c>
      <c r="EL23" s="45" t="s">
        <v>680</v>
      </c>
      <c r="EM23" s="45" t="s">
        <v>681</v>
      </c>
      <c r="EN23" s="45" t="s">
        <v>680</v>
      </c>
      <c r="EO23" s="45" t="s">
        <v>680</v>
      </c>
      <c r="EP23" s="45" t="s">
        <v>681</v>
      </c>
      <c r="EQ23" s="23" t="s">
        <v>2541</v>
      </c>
      <c r="ER23" s="23" t="s">
        <v>2542</v>
      </c>
      <c r="ES23" s="23" t="s">
        <v>2541</v>
      </c>
      <c r="ET23" s="23" t="s">
        <v>2543</v>
      </c>
      <c r="EU23" s="23" t="s">
        <v>2544</v>
      </c>
      <c r="EV23" s="23" t="s">
        <v>2545</v>
      </c>
      <c r="EW23" s="23" t="s">
        <v>2546</v>
      </c>
      <c r="EX23" s="23" t="s">
        <v>2547</v>
      </c>
      <c r="EY23" s="23" t="s">
        <v>2547</v>
      </c>
      <c r="EZ23" s="23" t="s">
        <v>2547</v>
      </c>
      <c r="FA23" s="23" t="s">
        <v>2548</v>
      </c>
      <c r="FB23" s="23" t="s">
        <v>2548</v>
      </c>
      <c r="FC23" s="23" t="s">
        <v>2548</v>
      </c>
      <c r="FD23" s="23" t="s">
        <v>2549</v>
      </c>
      <c r="FE23" s="23" t="s">
        <v>2549</v>
      </c>
      <c r="FF23" s="23" t="s">
        <v>2550</v>
      </c>
      <c r="FG23" s="23" t="s">
        <v>2550</v>
      </c>
      <c r="FH23" s="23" t="s">
        <v>2550</v>
      </c>
      <c r="FI23" s="23" t="s">
        <v>2551</v>
      </c>
    </row>
    <row r="24" spans="1:165" ht="25.5">
      <c r="A24" s="57" t="s">
        <v>2624</v>
      </c>
      <c r="B24" s="57"/>
      <c r="C24" s="57">
        <v>111.20554</v>
      </c>
      <c r="D24" s="57">
        <v>124.5502</v>
      </c>
      <c r="E24" s="57">
        <v>85.628</v>
      </c>
      <c r="F24" s="57">
        <v>92.745400000000004</v>
      </c>
      <c r="G24" s="57">
        <v>92.745400000000004</v>
      </c>
      <c r="H24" s="57">
        <v>96.526399999999995</v>
      </c>
      <c r="I24" s="57">
        <v>92.745400000000004</v>
      </c>
      <c r="J24" s="57">
        <v>92.745400000000004</v>
      </c>
      <c r="K24" s="57">
        <v>62.275100000000002</v>
      </c>
      <c r="L24" s="57">
        <v>66.723299999999995</v>
      </c>
      <c r="M24" s="57">
        <v>62.275100000000002</v>
      </c>
      <c r="N24" s="57">
        <v>68.947400000000002</v>
      </c>
      <c r="O24" s="57">
        <v>71.171499999999995</v>
      </c>
      <c r="P24" s="57">
        <v>53.378660000000004</v>
      </c>
      <c r="Q24" s="57">
        <v>77.843900000000005</v>
      </c>
      <c r="R24" s="57">
        <v>77.843900000000005</v>
      </c>
      <c r="S24" s="57">
        <v>77.843869999999995</v>
      </c>
      <c r="T24" s="57">
        <v>80.067988799999995</v>
      </c>
      <c r="U24" s="57">
        <v>80.067988799999995</v>
      </c>
      <c r="V24" s="57">
        <v>80.067988799999995</v>
      </c>
      <c r="W24" s="57">
        <v>80.067988799999995</v>
      </c>
      <c r="X24" s="57">
        <v>106.75700000000001</v>
      </c>
      <c r="Y24" s="57">
        <v>106.75700000000001</v>
      </c>
      <c r="Z24" s="57">
        <v>106.75700000000001</v>
      </c>
      <c r="AA24" s="57">
        <v>53.378660000000004</v>
      </c>
      <c r="AB24" s="57">
        <v>78.733500000000006</v>
      </c>
      <c r="AC24" s="57">
        <v>78.733500000000006</v>
      </c>
      <c r="AD24" s="57">
        <v>77.843900000000005</v>
      </c>
      <c r="AE24" s="57">
        <v>77.843869999999995</v>
      </c>
      <c r="AF24" s="57">
        <v>80.067989999999995</v>
      </c>
      <c r="AG24" s="57">
        <v>85.783950000000004</v>
      </c>
      <c r="AH24" s="57">
        <v>83.23</v>
      </c>
      <c r="AI24" s="57">
        <v>95.33</v>
      </c>
      <c r="AJ24" s="23">
        <v>62.274999999999999</v>
      </c>
      <c r="AK24" s="57">
        <v>64.499200000000002</v>
      </c>
      <c r="AL24" s="23">
        <v>62.274999999999999</v>
      </c>
      <c r="AM24" s="57">
        <v>64.499200000000002</v>
      </c>
      <c r="AN24" s="57">
        <v>64.499200000000002</v>
      </c>
      <c r="AO24" s="57">
        <v>68.947400000000002</v>
      </c>
      <c r="AP24" s="57">
        <v>71.171499999999995</v>
      </c>
      <c r="AQ24" s="57">
        <v>77.399000000000001</v>
      </c>
      <c r="AR24" s="23">
        <v>62.274999999999999</v>
      </c>
      <c r="AS24" s="23">
        <v>64.4992132</v>
      </c>
      <c r="AT24" s="23">
        <v>64.4992132</v>
      </c>
      <c r="AU24" s="23">
        <v>68.947450000000003</v>
      </c>
      <c r="AV24" s="23">
        <v>68.947450000000003</v>
      </c>
      <c r="AW24" s="23">
        <v>71.171545600000002</v>
      </c>
      <c r="AX24" s="23">
        <v>71.171545600000002</v>
      </c>
      <c r="AY24" s="23">
        <v>71.171545600000002</v>
      </c>
      <c r="AZ24" s="23">
        <v>71.171545600000002</v>
      </c>
      <c r="BA24" s="23">
        <v>89.409254000000004</v>
      </c>
      <c r="BB24" s="23">
        <v>98.305697359999996</v>
      </c>
      <c r="BC24" s="23">
        <v>98.305697359999996</v>
      </c>
      <c r="BD24" s="23">
        <v>104.5332076</v>
      </c>
      <c r="BE24" s="23">
        <v>89.40925</v>
      </c>
      <c r="BF24" s="23">
        <v>82.292000000000002</v>
      </c>
      <c r="BG24" s="23">
        <v>91.632999999999996</v>
      </c>
      <c r="BH24" s="23">
        <v>107.64696000000001</v>
      </c>
      <c r="BI24" s="23">
        <v>116.98820000000001</v>
      </c>
      <c r="BJ24" s="23">
        <v>116.98820000000001</v>
      </c>
      <c r="BK24" s="23">
        <v>91.632999999999996</v>
      </c>
      <c r="BL24" s="23">
        <v>107.64696000000001</v>
      </c>
      <c r="BM24" s="23">
        <v>124.71</v>
      </c>
      <c r="BN24" s="23">
        <v>130.41</v>
      </c>
      <c r="BO24" s="23">
        <v>130.41</v>
      </c>
      <c r="BP24" s="23">
        <v>130.41</v>
      </c>
      <c r="BQ24" s="23">
        <v>130.41</v>
      </c>
      <c r="BR24" s="23">
        <v>130.41</v>
      </c>
      <c r="BS24" s="23">
        <v>130.41</v>
      </c>
      <c r="BT24" s="23">
        <v>166.94175999999999</v>
      </c>
      <c r="BU24" s="23">
        <v>181.93226000000001</v>
      </c>
      <c r="BV24" s="23">
        <v>163.338697</v>
      </c>
      <c r="BW24" s="23">
        <v>176.19399999999999</v>
      </c>
      <c r="BX24" s="23">
        <v>166.94175999999999</v>
      </c>
      <c r="BY24" s="23">
        <v>181.93226000000001</v>
      </c>
      <c r="BZ24" s="23">
        <v>181.93226000000001</v>
      </c>
      <c r="CA24" s="23">
        <v>191.27350000000001</v>
      </c>
      <c r="CB24" s="23">
        <v>176.19399999999999</v>
      </c>
      <c r="CC24" s="23">
        <v>189.22730000000001</v>
      </c>
      <c r="CD24" s="23">
        <v>213.5146</v>
      </c>
      <c r="CE24" s="23">
        <v>208.755</v>
      </c>
      <c r="CF24" s="23">
        <v>222.41108</v>
      </c>
      <c r="CG24" s="23">
        <v>216.4949</v>
      </c>
      <c r="CH24" s="23">
        <v>232.19717</v>
      </c>
      <c r="CI24" s="23">
        <v>231.08510999999999</v>
      </c>
      <c r="CJ24" s="23">
        <v>254.349311</v>
      </c>
      <c r="CK24" s="23">
        <v>252.43657999999999</v>
      </c>
      <c r="CL24" s="23">
        <v>252.97036</v>
      </c>
      <c r="CM24" s="23">
        <v>264.44677000000001</v>
      </c>
      <c r="CN24" s="57">
        <v>217.82939999999999</v>
      </c>
      <c r="CO24" s="57">
        <v>213.5146</v>
      </c>
      <c r="CP24" s="57">
        <v>217.82939999999999</v>
      </c>
      <c r="CQ24" s="57">
        <v>217.82939999999999</v>
      </c>
      <c r="CR24" s="57">
        <v>222.41108</v>
      </c>
      <c r="CS24" s="57">
        <v>233.3537</v>
      </c>
      <c r="CT24" s="57">
        <v>222.41108</v>
      </c>
      <c r="CU24" s="57">
        <v>249.10040000000001</v>
      </c>
      <c r="CV24" s="57">
        <v>233.3537</v>
      </c>
      <c r="CW24" s="57">
        <v>96.081580000000002</v>
      </c>
      <c r="CX24" s="57">
        <v>98.305696999999995</v>
      </c>
      <c r="CY24" s="57">
        <v>103.64355999999999</v>
      </c>
      <c r="CZ24" s="57">
        <v>105.86767</v>
      </c>
      <c r="DA24" s="57">
        <v>97.860875199999995</v>
      </c>
      <c r="DB24" s="57">
        <v>104.5332076</v>
      </c>
      <c r="DC24" s="57">
        <v>120.101983</v>
      </c>
      <c r="DD24" s="57">
        <v>102.48699999999999</v>
      </c>
      <c r="DE24" s="57">
        <v>110.31589</v>
      </c>
      <c r="DF24" s="57">
        <v>106.8018</v>
      </c>
      <c r="DG24" s="57">
        <v>120.63576</v>
      </c>
      <c r="DH24" s="57">
        <v>107.82489</v>
      </c>
      <c r="DI24" s="57">
        <v>111.20554</v>
      </c>
      <c r="DJ24" s="57">
        <v>117.87787</v>
      </c>
      <c r="DK24" s="57">
        <v>120.101983</v>
      </c>
      <c r="DL24" s="57">
        <v>110.31589568</v>
      </c>
      <c r="DM24" s="57">
        <v>110.31589568</v>
      </c>
      <c r="DN24" s="57">
        <v>106.8018</v>
      </c>
      <c r="DO24" s="57">
        <v>120.635769</v>
      </c>
      <c r="DP24" s="57">
        <v>120.43559981999999</v>
      </c>
      <c r="DQ24" s="57">
        <v>107.82489</v>
      </c>
      <c r="DR24" s="57">
        <v>130.28841</v>
      </c>
      <c r="DS24" s="57">
        <v>130.08824000000001</v>
      </c>
      <c r="DT24" s="57">
        <v>133.44664700000001</v>
      </c>
      <c r="DU24" s="57">
        <v>133.00182580000001</v>
      </c>
      <c r="DV24" s="57">
        <v>137.89486959999999</v>
      </c>
      <c r="DW24" s="57">
        <v>142.3430912</v>
      </c>
      <c r="DX24" s="57">
        <v>140.56379999999999</v>
      </c>
      <c r="DY24" s="57">
        <v>143.0548</v>
      </c>
      <c r="DZ24" s="57">
        <v>143.0548</v>
      </c>
      <c r="EA24" s="57">
        <v>147.28059999999999</v>
      </c>
      <c r="EB24" s="57">
        <v>143.0548</v>
      </c>
      <c r="EC24" s="57">
        <v>143.0548</v>
      </c>
      <c r="ED24" s="57">
        <v>147.28059999999999</v>
      </c>
      <c r="EE24" s="23">
        <v>64.543695</v>
      </c>
      <c r="EF24" s="23">
        <v>64.543695</v>
      </c>
      <c r="EG24" s="23">
        <v>64.543695</v>
      </c>
      <c r="EH24" s="23">
        <v>64.543695</v>
      </c>
      <c r="EI24" s="23">
        <v>64.543695</v>
      </c>
      <c r="EJ24" s="23">
        <v>64.543695</v>
      </c>
      <c r="EK24" s="23">
        <v>83.715500000000006</v>
      </c>
      <c r="EL24" s="23">
        <v>83.715500000000006</v>
      </c>
      <c r="EM24" s="23">
        <v>83.715500000000006</v>
      </c>
      <c r="EN24" s="23">
        <v>83.715500000000006</v>
      </c>
      <c r="EO24" s="23">
        <v>83.715500000000006</v>
      </c>
      <c r="EP24" s="23">
        <v>83.715500000000006</v>
      </c>
      <c r="EQ24" s="23">
        <v>33.71</v>
      </c>
      <c r="ER24" s="23">
        <v>33.71</v>
      </c>
      <c r="ES24" s="23">
        <v>33.71</v>
      </c>
      <c r="ET24" s="23">
        <v>33.71</v>
      </c>
      <c r="EU24" s="23">
        <v>33.71</v>
      </c>
      <c r="EV24" s="23">
        <v>39.67</v>
      </c>
      <c r="EW24" s="23">
        <v>67</v>
      </c>
      <c r="EX24" s="23">
        <v>98</v>
      </c>
      <c r="EY24" s="23">
        <v>98</v>
      </c>
      <c r="EZ24" s="23">
        <v>98</v>
      </c>
      <c r="FA24" s="23">
        <v>41.012599999999999</v>
      </c>
      <c r="FB24" s="23">
        <v>41.012599999999999</v>
      </c>
      <c r="FC24" s="23">
        <v>41.012599999999999</v>
      </c>
      <c r="FD24" s="23">
        <v>41.012599999999999</v>
      </c>
      <c r="FE24" s="23">
        <v>41.012599999999999</v>
      </c>
      <c r="FF24" s="23">
        <v>64.540000000000006</v>
      </c>
      <c r="FG24" s="23">
        <v>64.540000000000006</v>
      </c>
      <c r="FH24" s="23">
        <v>64.540000000000006</v>
      </c>
      <c r="FI24" s="23">
        <v>64.540000000000006</v>
      </c>
    </row>
    <row r="25" spans="1:165">
      <c r="A25" s="1" t="s">
        <v>2625</v>
      </c>
      <c r="B25" s="3"/>
      <c r="C25" s="23">
        <v>2595</v>
      </c>
      <c r="D25" s="23">
        <v>2595</v>
      </c>
      <c r="E25" s="23">
        <v>2081.0819999999999</v>
      </c>
      <c r="F25" s="23">
        <v>2096.9580000000001</v>
      </c>
      <c r="G25" s="23">
        <v>2096.9580000000001</v>
      </c>
      <c r="H25" s="23">
        <v>2124.627</v>
      </c>
      <c r="I25" s="23">
        <v>2124.627</v>
      </c>
      <c r="J25" s="23">
        <v>2124.627</v>
      </c>
      <c r="K25" s="23">
        <v>1453.7639999999999</v>
      </c>
      <c r="L25" s="23">
        <v>1537.2249999999999</v>
      </c>
      <c r="M25" s="23">
        <v>1453.7639999999999</v>
      </c>
      <c r="N25" s="23">
        <v>1548.5640000000001</v>
      </c>
      <c r="O25" s="23">
        <v>1555.8219999999999</v>
      </c>
      <c r="P25" s="23">
        <v>1585.3050000000001</v>
      </c>
      <c r="Q25" s="23">
        <v>2313.3209999999999</v>
      </c>
      <c r="R25" s="23">
        <v>2313.3209999999999</v>
      </c>
      <c r="S25" s="23">
        <v>2060</v>
      </c>
      <c r="T25" s="23">
        <v>1968.5909999999999</v>
      </c>
      <c r="U25" s="23">
        <v>1968.5909999999999</v>
      </c>
      <c r="V25" s="23">
        <v>1968.5909999999999</v>
      </c>
      <c r="W25" s="23">
        <v>1968.5909999999999</v>
      </c>
      <c r="X25" s="23">
        <v>2139</v>
      </c>
      <c r="Y25" s="23">
        <v>2139</v>
      </c>
      <c r="Z25" s="23">
        <v>2139</v>
      </c>
      <c r="AA25" s="23">
        <v>1585.3050000000001</v>
      </c>
      <c r="AB25" s="23">
        <v>1880.14</v>
      </c>
      <c r="AC25" s="23">
        <v>1880.14</v>
      </c>
      <c r="AD25" s="23">
        <v>2313.3209999999999</v>
      </c>
      <c r="AE25" s="23">
        <v>2060</v>
      </c>
      <c r="AF25" s="23">
        <v>1900.5519999999999</v>
      </c>
      <c r="AG25" s="23">
        <v>1968.5909999999999</v>
      </c>
      <c r="AH25" s="23">
        <v>2085</v>
      </c>
      <c r="AI25" s="23">
        <v>2085</v>
      </c>
      <c r="AJ25" s="23">
        <v>1453.7635</v>
      </c>
      <c r="AK25" s="3">
        <v>1475.0820000000001</v>
      </c>
      <c r="AL25" s="23">
        <v>1453.7635</v>
      </c>
      <c r="AM25" s="3">
        <v>1475.0820000000001</v>
      </c>
      <c r="AN25" s="3">
        <v>1475.0820000000001</v>
      </c>
      <c r="AO25" s="3">
        <v>1548.5640000000001</v>
      </c>
      <c r="AP25" s="3">
        <v>1555.8219999999999</v>
      </c>
      <c r="AQ25" s="3">
        <v>1585.3050000000001</v>
      </c>
      <c r="AR25" s="23">
        <v>1453.7635</v>
      </c>
      <c r="AS25" s="23">
        <v>1543.1212</v>
      </c>
      <c r="AT25" s="23">
        <v>1543.1212</v>
      </c>
      <c r="AU25" s="23">
        <v>1575.78</v>
      </c>
      <c r="AV25" s="23">
        <v>1575.78</v>
      </c>
      <c r="AW25" s="23">
        <v>1576.2329999999999</v>
      </c>
      <c r="AX25" s="23">
        <v>1576.2329999999999</v>
      </c>
      <c r="AY25" s="23">
        <v>1576.2329999999999</v>
      </c>
      <c r="AZ25" s="23">
        <v>1576.2329999999999</v>
      </c>
      <c r="BA25" s="23">
        <v>1966</v>
      </c>
      <c r="BB25" s="23">
        <v>1966</v>
      </c>
      <c r="BC25" s="23">
        <v>1966</v>
      </c>
      <c r="BD25" s="23">
        <v>1966</v>
      </c>
      <c r="BE25" s="23">
        <v>1966</v>
      </c>
      <c r="BF25" s="23">
        <v>2386</v>
      </c>
      <c r="BG25" s="23">
        <v>2386</v>
      </c>
      <c r="BH25" s="23">
        <v>2386</v>
      </c>
      <c r="BI25" s="23">
        <v>2386</v>
      </c>
      <c r="BJ25" s="23">
        <v>2386</v>
      </c>
      <c r="BK25" s="23">
        <v>2386</v>
      </c>
      <c r="BL25" s="23">
        <v>2386</v>
      </c>
      <c r="BM25" s="23">
        <v>2780</v>
      </c>
      <c r="BN25" s="23">
        <v>2780</v>
      </c>
      <c r="BO25" s="23">
        <v>2780</v>
      </c>
      <c r="BP25" s="23">
        <v>2780</v>
      </c>
      <c r="BQ25" s="23">
        <v>2780</v>
      </c>
      <c r="BR25" s="23">
        <v>2780</v>
      </c>
      <c r="BS25" s="23">
        <v>2780</v>
      </c>
      <c r="BT25" s="23">
        <v>3221</v>
      </c>
      <c r="BU25" s="23">
        <v>3221</v>
      </c>
      <c r="BV25" s="23">
        <v>3484</v>
      </c>
      <c r="BW25" s="23">
        <v>3449</v>
      </c>
      <c r="BX25" s="23">
        <v>3221</v>
      </c>
      <c r="BY25" s="23">
        <v>3221</v>
      </c>
      <c r="BZ25" s="23">
        <v>3221</v>
      </c>
      <c r="CA25" s="23">
        <v>3221</v>
      </c>
      <c r="CB25" s="23">
        <v>3449</v>
      </c>
      <c r="CC25" s="23">
        <v>3449</v>
      </c>
      <c r="CD25" s="23">
        <v>4052.8478300000002</v>
      </c>
      <c r="CE25" s="23">
        <v>3980.7266</v>
      </c>
      <c r="CF25" s="23">
        <v>4043.7759999999998</v>
      </c>
      <c r="CG25" s="23">
        <v>3980.7266</v>
      </c>
      <c r="CH25" s="23">
        <v>4272.8401299999996</v>
      </c>
      <c r="CI25" s="23">
        <v>4386.2380000000003</v>
      </c>
      <c r="CJ25" s="23">
        <v>4386.2380000000003</v>
      </c>
      <c r="CK25" s="23">
        <v>4272.84</v>
      </c>
      <c r="CL25" s="23">
        <v>5775</v>
      </c>
      <c r="CM25" s="23">
        <v>5775</v>
      </c>
      <c r="CN25" s="23">
        <v>3973.4690000000001</v>
      </c>
      <c r="CO25" s="23">
        <v>4043.7759999999998</v>
      </c>
      <c r="CP25" s="23">
        <v>3973.4690000000001</v>
      </c>
      <c r="CQ25" s="23">
        <v>3973.4690000000001</v>
      </c>
      <c r="CR25" s="23">
        <v>4052.848</v>
      </c>
      <c r="CS25" s="23">
        <v>4300.0559999999996</v>
      </c>
      <c r="CT25" s="23">
        <v>4052.848</v>
      </c>
      <c r="CU25" s="23">
        <v>4272.84</v>
      </c>
      <c r="CV25" s="23">
        <v>4300.0559999999996</v>
      </c>
      <c r="CW25" s="23">
        <v>2455.1999999999998</v>
      </c>
      <c r="CX25" s="23">
        <v>2449.3989999999999</v>
      </c>
      <c r="CY25" s="23">
        <v>2455.1999999999998</v>
      </c>
      <c r="CZ25" s="23">
        <v>2449.3989999999999</v>
      </c>
      <c r="DA25" s="23">
        <v>2455.1999999999998</v>
      </c>
      <c r="DB25" s="23">
        <v>2331</v>
      </c>
      <c r="DC25" s="23">
        <v>2455.1999999999998</v>
      </c>
      <c r="DD25" s="23">
        <v>2404</v>
      </c>
      <c r="DE25" s="23">
        <v>2404</v>
      </c>
      <c r="DF25" s="23">
        <v>2990</v>
      </c>
      <c r="DG25" s="23">
        <v>2990</v>
      </c>
      <c r="DH25" s="23">
        <v>2857.6320000000001</v>
      </c>
      <c r="DI25" s="23">
        <v>2331</v>
      </c>
      <c r="DJ25" s="23">
        <v>2331</v>
      </c>
      <c r="DK25" s="23">
        <v>2455.1999999999998</v>
      </c>
      <c r="DL25" s="23">
        <v>2404</v>
      </c>
      <c r="DM25" s="23">
        <v>2404</v>
      </c>
      <c r="DN25" s="23">
        <v>2990</v>
      </c>
      <c r="DO25" s="23">
        <v>2990</v>
      </c>
      <c r="DP25" s="23">
        <v>2857.6320000000001</v>
      </c>
      <c r="DQ25" s="23">
        <v>2857.6320000000001</v>
      </c>
      <c r="DR25" s="23">
        <v>2990</v>
      </c>
      <c r="DS25" s="23">
        <v>2857.6320000000001</v>
      </c>
      <c r="DT25" s="23">
        <v>2455.1999999999998</v>
      </c>
      <c r="DU25" s="23">
        <v>2404</v>
      </c>
      <c r="DV25" s="23">
        <v>2455.1999999999998</v>
      </c>
      <c r="DW25" s="23">
        <v>2455.1999999999998</v>
      </c>
      <c r="DX25" s="23">
        <v>2404</v>
      </c>
      <c r="DY25" s="23">
        <v>2990</v>
      </c>
      <c r="DZ25" s="23">
        <v>2990</v>
      </c>
      <c r="EA25" s="23">
        <v>2857.6320000000001</v>
      </c>
      <c r="EB25" s="23">
        <v>2990</v>
      </c>
      <c r="EC25" s="23">
        <v>2990</v>
      </c>
      <c r="ED25" s="23">
        <v>2857.6320000000001</v>
      </c>
      <c r="EE25" s="23">
        <v>1427.7273399999999</v>
      </c>
      <c r="EF25" s="23">
        <v>1427.7273399999999</v>
      </c>
      <c r="EG25" s="23">
        <v>1427.7273399999999</v>
      </c>
      <c r="EH25" s="23">
        <v>1427.7273399999999</v>
      </c>
      <c r="EI25" s="23">
        <v>1427.7273399999999</v>
      </c>
      <c r="EJ25" s="23">
        <v>1427.7273399999999</v>
      </c>
      <c r="EK25" s="23">
        <v>2079.3581399999998</v>
      </c>
      <c r="EL25" s="23">
        <v>2079.3581399999998</v>
      </c>
      <c r="EM25" s="23">
        <v>2079.3581399999998</v>
      </c>
      <c r="EN25" s="23">
        <v>2079.3581399999998</v>
      </c>
      <c r="EO25" s="23">
        <v>2079.3581399999998</v>
      </c>
      <c r="EP25" s="23">
        <v>2079.3581399999998</v>
      </c>
      <c r="EQ25" s="23">
        <v>751.6</v>
      </c>
      <c r="ER25" s="23">
        <v>751.6</v>
      </c>
      <c r="ES25" s="23">
        <v>751.6</v>
      </c>
      <c r="ET25" s="23">
        <v>751.6</v>
      </c>
      <c r="EU25" s="23">
        <v>751.6</v>
      </c>
      <c r="EV25" s="23">
        <v>751.6</v>
      </c>
      <c r="EW25" s="23">
        <v>1724</v>
      </c>
      <c r="EX25" s="23">
        <v>2177</v>
      </c>
      <c r="EY25" s="23">
        <v>2177</v>
      </c>
      <c r="EZ25" s="23">
        <v>2177</v>
      </c>
      <c r="FA25" s="23">
        <v>750.69539999999995</v>
      </c>
      <c r="FB25" s="23">
        <v>750.69539999999995</v>
      </c>
      <c r="FC25" s="23">
        <v>750.69539999999995</v>
      </c>
      <c r="FD25" s="23">
        <v>757.49929999999995</v>
      </c>
      <c r="FE25" s="23">
        <v>757.49929999999995</v>
      </c>
      <c r="FF25" s="23">
        <v>1261</v>
      </c>
      <c r="FG25" s="23">
        <v>1261</v>
      </c>
      <c r="FH25" s="23">
        <v>1261</v>
      </c>
      <c r="FI25" s="23">
        <v>1261</v>
      </c>
    </row>
    <row r="26" spans="1:165">
      <c r="A26" s="1" t="s">
        <v>2626</v>
      </c>
      <c r="B26" s="3"/>
      <c r="C26" s="23">
        <v>2</v>
      </c>
      <c r="D26" s="23">
        <v>2</v>
      </c>
      <c r="E26" s="23">
        <v>2</v>
      </c>
      <c r="F26" s="23">
        <v>2</v>
      </c>
      <c r="G26" s="23">
        <v>2</v>
      </c>
      <c r="H26" s="23">
        <v>2</v>
      </c>
      <c r="I26" s="23">
        <v>2</v>
      </c>
      <c r="J26" s="23">
        <v>2</v>
      </c>
      <c r="K26" s="23">
        <v>2</v>
      </c>
      <c r="L26" s="23">
        <v>2</v>
      </c>
      <c r="M26" s="23">
        <v>2</v>
      </c>
      <c r="N26" s="23">
        <v>2</v>
      </c>
      <c r="O26" s="23">
        <v>2</v>
      </c>
      <c r="P26" s="23">
        <v>4</v>
      </c>
      <c r="Q26" s="23">
        <v>4</v>
      </c>
      <c r="R26" s="23">
        <v>4</v>
      </c>
      <c r="S26" s="23">
        <v>4</v>
      </c>
      <c r="T26" s="23">
        <v>4</v>
      </c>
      <c r="U26" s="23">
        <v>4</v>
      </c>
      <c r="V26" s="23">
        <v>4</v>
      </c>
      <c r="W26" s="23">
        <v>4</v>
      </c>
      <c r="X26" s="23">
        <v>4</v>
      </c>
      <c r="Y26" s="23">
        <v>4</v>
      </c>
      <c r="Z26" s="23">
        <v>4</v>
      </c>
      <c r="AA26" s="23">
        <v>4</v>
      </c>
      <c r="AB26" s="23">
        <v>4</v>
      </c>
      <c r="AC26" s="23">
        <v>4</v>
      </c>
      <c r="AD26" s="23">
        <v>4</v>
      </c>
      <c r="AE26" s="23">
        <v>4</v>
      </c>
      <c r="AF26" s="23">
        <v>4</v>
      </c>
      <c r="AG26" s="23">
        <v>4</v>
      </c>
      <c r="AH26" s="23">
        <v>2</v>
      </c>
      <c r="AI26" s="23">
        <v>2</v>
      </c>
      <c r="AJ26" s="23">
        <v>3</v>
      </c>
      <c r="AK26" s="3">
        <v>3</v>
      </c>
      <c r="AL26" s="23">
        <v>3</v>
      </c>
      <c r="AM26" s="3">
        <v>3</v>
      </c>
      <c r="AN26" s="3">
        <v>3</v>
      </c>
      <c r="AO26" s="3">
        <v>3</v>
      </c>
      <c r="AP26" s="3">
        <v>3</v>
      </c>
      <c r="AQ26" s="3">
        <v>3</v>
      </c>
      <c r="AR26" s="23">
        <v>2</v>
      </c>
      <c r="AS26" s="23">
        <v>2</v>
      </c>
      <c r="AT26" s="23">
        <v>2</v>
      </c>
      <c r="AU26" s="23">
        <v>2</v>
      </c>
      <c r="AV26" s="23">
        <v>2</v>
      </c>
      <c r="AW26" s="23">
        <v>2</v>
      </c>
      <c r="AX26" s="23">
        <v>2</v>
      </c>
      <c r="AY26" s="23">
        <v>2</v>
      </c>
      <c r="AZ26" s="23">
        <v>2</v>
      </c>
      <c r="BA26" s="23">
        <v>2</v>
      </c>
      <c r="BB26" s="23">
        <v>2</v>
      </c>
      <c r="BC26" s="23">
        <v>2</v>
      </c>
      <c r="BD26" s="23">
        <v>2</v>
      </c>
      <c r="BE26" s="23">
        <v>2</v>
      </c>
      <c r="BF26" s="23">
        <v>2</v>
      </c>
      <c r="BG26" s="23">
        <v>2</v>
      </c>
      <c r="BH26" s="23">
        <v>2</v>
      </c>
      <c r="BI26" s="23">
        <v>2</v>
      </c>
      <c r="BJ26" s="23">
        <v>2</v>
      </c>
      <c r="BK26" s="23">
        <v>2</v>
      </c>
      <c r="BL26" s="23">
        <v>2</v>
      </c>
      <c r="BM26" s="23">
        <v>2</v>
      </c>
      <c r="BN26" s="23">
        <v>2</v>
      </c>
      <c r="BO26" s="23">
        <v>2</v>
      </c>
      <c r="BP26" s="23">
        <v>2</v>
      </c>
      <c r="BQ26" s="23">
        <v>2</v>
      </c>
      <c r="BR26" s="23">
        <v>2</v>
      </c>
      <c r="BS26" s="23">
        <v>2</v>
      </c>
      <c r="BT26" s="23">
        <v>2</v>
      </c>
      <c r="BU26" s="23">
        <v>2</v>
      </c>
      <c r="BV26" s="23">
        <v>2</v>
      </c>
      <c r="BW26" s="23">
        <v>2</v>
      </c>
      <c r="BX26" s="23">
        <v>2</v>
      </c>
      <c r="BY26" s="23">
        <v>2</v>
      </c>
      <c r="BZ26" s="23">
        <v>2</v>
      </c>
      <c r="CA26" s="23">
        <v>2</v>
      </c>
      <c r="CB26" s="23">
        <v>2</v>
      </c>
      <c r="CC26" s="23">
        <v>2</v>
      </c>
      <c r="CD26" s="23">
        <v>2</v>
      </c>
      <c r="CE26" s="23">
        <v>2</v>
      </c>
      <c r="CF26" s="23">
        <v>2</v>
      </c>
      <c r="CG26" s="23">
        <v>2</v>
      </c>
      <c r="CH26" s="23">
        <v>2</v>
      </c>
      <c r="CI26" s="23">
        <v>2</v>
      </c>
      <c r="CJ26" s="23">
        <v>2</v>
      </c>
      <c r="CK26" s="23">
        <v>2</v>
      </c>
      <c r="CL26" s="23">
        <v>2</v>
      </c>
      <c r="CM26" s="23">
        <v>2</v>
      </c>
      <c r="CN26" s="23">
        <v>2</v>
      </c>
      <c r="CO26" s="23">
        <v>2</v>
      </c>
      <c r="CP26" s="23">
        <v>2</v>
      </c>
      <c r="CQ26" s="23">
        <v>2</v>
      </c>
      <c r="CR26" s="23">
        <v>2</v>
      </c>
      <c r="CS26" s="23">
        <v>2</v>
      </c>
      <c r="CT26" s="23">
        <v>2</v>
      </c>
      <c r="CU26" s="23">
        <v>2</v>
      </c>
      <c r="CV26" s="23">
        <v>2</v>
      </c>
      <c r="CW26" s="23">
        <v>2</v>
      </c>
      <c r="CX26" s="23">
        <v>2</v>
      </c>
      <c r="CY26" s="23">
        <v>2</v>
      </c>
      <c r="CZ26" s="23">
        <v>2</v>
      </c>
      <c r="DA26" s="23">
        <v>2</v>
      </c>
      <c r="DB26" s="23">
        <v>2</v>
      </c>
      <c r="DC26" s="23">
        <v>2</v>
      </c>
      <c r="DD26" s="23">
        <v>2</v>
      </c>
      <c r="DE26" s="23">
        <v>2</v>
      </c>
      <c r="DF26" s="23">
        <v>2</v>
      </c>
      <c r="DG26" s="23">
        <v>2</v>
      </c>
      <c r="DH26" s="23">
        <v>2</v>
      </c>
      <c r="DI26" s="23">
        <v>2</v>
      </c>
      <c r="DJ26" s="23">
        <v>2</v>
      </c>
      <c r="DK26" s="23">
        <v>2</v>
      </c>
      <c r="DL26" s="23">
        <v>2</v>
      </c>
      <c r="DM26" s="23">
        <v>2</v>
      </c>
      <c r="DN26" s="23">
        <v>2</v>
      </c>
      <c r="DO26" s="23">
        <v>2</v>
      </c>
      <c r="DP26" s="23">
        <v>2</v>
      </c>
      <c r="DQ26" s="23">
        <v>2</v>
      </c>
      <c r="DR26" s="23">
        <v>2</v>
      </c>
      <c r="DS26" s="23">
        <v>2</v>
      </c>
      <c r="DT26" s="23">
        <v>2</v>
      </c>
      <c r="DU26" s="23">
        <v>2</v>
      </c>
      <c r="DV26" s="23">
        <v>2</v>
      </c>
      <c r="DW26" s="23">
        <v>2</v>
      </c>
      <c r="DX26" s="23">
        <v>2</v>
      </c>
      <c r="DY26" s="23">
        <v>2</v>
      </c>
      <c r="DZ26" s="23">
        <v>2</v>
      </c>
      <c r="EA26" s="23">
        <v>2</v>
      </c>
      <c r="EB26" s="23">
        <v>2</v>
      </c>
      <c r="EC26" s="23">
        <v>2</v>
      </c>
      <c r="ED26" s="23">
        <v>2</v>
      </c>
      <c r="EE26" s="23">
        <v>2</v>
      </c>
      <c r="EF26" s="23">
        <v>2</v>
      </c>
      <c r="EG26" s="23">
        <v>2</v>
      </c>
      <c r="EH26" s="23">
        <v>2</v>
      </c>
      <c r="EI26" s="23">
        <v>2</v>
      </c>
      <c r="EJ26" s="23">
        <v>2</v>
      </c>
      <c r="EK26" s="23">
        <v>2</v>
      </c>
      <c r="EL26" s="23">
        <v>2</v>
      </c>
      <c r="EM26" s="23">
        <v>2</v>
      </c>
      <c r="EN26" s="23">
        <v>2</v>
      </c>
      <c r="EO26" s="23">
        <v>2</v>
      </c>
      <c r="EP26" s="23">
        <v>2</v>
      </c>
      <c r="EQ26" s="23">
        <v>2</v>
      </c>
      <c r="ER26" s="23">
        <v>2</v>
      </c>
      <c r="ES26" s="23">
        <v>2</v>
      </c>
      <c r="ET26" s="23">
        <v>2</v>
      </c>
      <c r="EU26" s="23">
        <v>2</v>
      </c>
      <c r="EV26" s="23">
        <v>2</v>
      </c>
      <c r="EW26" s="23">
        <v>2</v>
      </c>
      <c r="EX26" s="23">
        <v>2</v>
      </c>
      <c r="EY26" s="23">
        <v>2</v>
      </c>
      <c r="EZ26" s="23">
        <v>2</v>
      </c>
      <c r="FA26" s="23">
        <v>2</v>
      </c>
      <c r="FB26" s="23">
        <v>2</v>
      </c>
      <c r="FC26" s="23">
        <v>2</v>
      </c>
      <c r="FD26" s="23">
        <v>2</v>
      </c>
      <c r="FE26" s="23">
        <v>2</v>
      </c>
      <c r="FF26" s="23">
        <v>2</v>
      </c>
      <c r="FG26" s="23">
        <v>2</v>
      </c>
      <c r="FH26" s="23">
        <v>2</v>
      </c>
      <c r="FI26" s="23">
        <v>2</v>
      </c>
    </row>
    <row r="27" spans="1:165">
      <c r="A27" s="1" t="s">
        <v>2627</v>
      </c>
      <c r="B27" s="3"/>
      <c r="C27" s="23">
        <f>C24*C26</f>
        <v>222.41108</v>
      </c>
      <c r="D27" s="23">
        <f t="shared" ref="D27" si="122">D24*D26</f>
        <v>249.10040000000001</v>
      </c>
      <c r="E27" s="23">
        <f t="shared" ref="E27:J27" si="123">E24*E26</f>
        <v>171.256</v>
      </c>
      <c r="F27" s="23">
        <f t="shared" si="123"/>
        <v>185.49080000000001</v>
      </c>
      <c r="G27" s="23">
        <f>G24*G26</f>
        <v>185.49080000000001</v>
      </c>
      <c r="H27" s="23">
        <f t="shared" si="123"/>
        <v>193.05279999999999</v>
      </c>
      <c r="I27" s="23">
        <f t="shared" si="123"/>
        <v>185.49080000000001</v>
      </c>
      <c r="J27" s="23">
        <f t="shared" si="123"/>
        <v>185.49080000000001</v>
      </c>
      <c r="K27" s="23">
        <f>K24*K26</f>
        <v>124.5502</v>
      </c>
      <c r="L27" s="23">
        <f t="shared" ref="L27:O27" si="124">L24*L26</f>
        <v>133.44659999999999</v>
      </c>
      <c r="M27" s="23">
        <f t="shared" si="124"/>
        <v>124.5502</v>
      </c>
      <c r="N27" s="23">
        <f t="shared" si="124"/>
        <v>137.8948</v>
      </c>
      <c r="O27" s="23">
        <f t="shared" si="124"/>
        <v>142.34299999999999</v>
      </c>
      <c r="P27" s="23">
        <f t="shared" ref="P27:AZ27" si="125">P24*P26</f>
        <v>213.51464000000001</v>
      </c>
      <c r="Q27" s="23">
        <f t="shared" si="125"/>
        <v>311.37560000000002</v>
      </c>
      <c r="R27" s="23">
        <f t="shared" si="125"/>
        <v>311.37560000000002</v>
      </c>
      <c r="S27" s="23">
        <f t="shared" si="125"/>
        <v>311.37547999999998</v>
      </c>
      <c r="T27" s="23">
        <f t="shared" si="125"/>
        <v>320.27195519999998</v>
      </c>
      <c r="U27" s="23">
        <f t="shared" si="125"/>
        <v>320.27195519999998</v>
      </c>
      <c r="V27" s="23">
        <f t="shared" si="125"/>
        <v>320.27195519999998</v>
      </c>
      <c r="W27" s="23">
        <f t="shared" si="125"/>
        <v>320.27195519999998</v>
      </c>
      <c r="X27" s="23">
        <f t="shared" si="125"/>
        <v>427.02800000000002</v>
      </c>
      <c r="Y27" s="23">
        <f t="shared" si="125"/>
        <v>427.02800000000002</v>
      </c>
      <c r="Z27" s="23">
        <f t="shared" si="125"/>
        <v>427.02800000000002</v>
      </c>
      <c r="AA27" s="23">
        <f t="shared" si="125"/>
        <v>213.51464000000001</v>
      </c>
      <c r="AB27" s="23">
        <f t="shared" si="125"/>
        <v>314.93400000000003</v>
      </c>
      <c r="AC27" s="23">
        <f t="shared" si="125"/>
        <v>314.93400000000003</v>
      </c>
      <c r="AD27" s="23">
        <f t="shared" si="125"/>
        <v>311.37560000000002</v>
      </c>
      <c r="AE27" s="23">
        <f t="shared" si="125"/>
        <v>311.37547999999998</v>
      </c>
      <c r="AF27" s="23">
        <f t="shared" si="125"/>
        <v>320.27195999999998</v>
      </c>
      <c r="AG27" s="23">
        <f t="shared" si="125"/>
        <v>343.13580000000002</v>
      </c>
      <c r="AH27" s="23">
        <f t="shared" si="125"/>
        <v>166.46</v>
      </c>
      <c r="AI27" s="23">
        <f t="shared" si="125"/>
        <v>190.66</v>
      </c>
      <c r="AJ27" s="23">
        <f t="shared" si="125"/>
        <v>186.82499999999999</v>
      </c>
      <c r="AK27" s="23">
        <f t="shared" si="125"/>
        <v>193.49760000000001</v>
      </c>
      <c r="AL27" s="23">
        <f t="shared" si="125"/>
        <v>186.82499999999999</v>
      </c>
      <c r="AM27" s="23">
        <f t="shared" si="125"/>
        <v>193.49760000000001</v>
      </c>
      <c r="AN27" s="23">
        <f t="shared" si="125"/>
        <v>193.49760000000001</v>
      </c>
      <c r="AO27" s="23">
        <f t="shared" si="125"/>
        <v>206.84219999999999</v>
      </c>
      <c r="AP27" s="23">
        <f t="shared" si="125"/>
        <v>213.5145</v>
      </c>
      <c r="AQ27" s="23">
        <f t="shared" si="125"/>
        <v>232.197</v>
      </c>
      <c r="AR27" s="23">
        <f t="shared" si="125"/>
        <v>124.55</v>
      </c>
      <c r="AS27" s="23">
        <f t="shared" si="125"/>
        <v>128.9984264</v>
      </c>
      <c r="AT27" s="23">
        <f t="shared" si="125"/>
        <v>128.9984264</v>
      </c>
      <c r="AU27" s="23">
        <f t="shared" si="125"/>
        <v>137.89490000000001</v>
      </c>
      <c r="AV27" s="23">
        <f t="shared" si="125"/>
        <v>137.89490000000001</v>
      </c>
      <c r="AW27" s="23">
        <f t="shared" si="125"/>
        <v>142.3430912</v>
      </c>
      <c r="AX27" s="23">
        <f t="shared" si="125"/>
        <v>142.3430912</v>
      </c>
      <c r="AY27" s="23">
        <f t="shared" si="125"/>
        <v>142.3430912</v>
      </c>
      <c r="AZ27" s="23">
        <f t="shared" si="125"/>
        <v>142.3430912</v>
      </c>
      <c r="BA27" s="23">
        <f t="shared" ref="BA27:CM27" si="126">BA24*BA26</f>
        <v>178.81850800000001</v>
      </c>
      <c r="BB27" s="23">
        <f t="shared" si="126"/>
        <v>196.61139471999999</v>
      </c>
      <c r="BC27" s="23">
        <f t="shared" si="126"/>
        <v>196.61139471999999</v>
      </c>
      <c r="BD27" s="23">
        <f t="shared" si="126"/>
        <v>209.06641519999999</v>
      </c>
      <c r="BE27" s="23">
        <f t="shared" si="126"/>
        <v>178.8185</v>
      </c>
      <c r="BF27" s="23">
        <f t="shared" si="126"/>
        <v>164.584</v>
      </c>
      <c r="BG27" s="23">
        <f t="shared" si="126"/>
        <v>183.26599999999999</v>
      </c>
      <c r="BH27" s="23">
        <f t="shared" si="126"/>
        <v>215.29392000000001</v>
      </c>
      <c r="BI27" s="23">
        <f t="shared" si="126"/>
        <v>233.97640000000001</v>
      </c>
      <c r="BJ27" s="23">
        <f t="shared" si="126"/>
        <v>233.97640000000001</v>
      </c>
      <c r="BK27" s="23">
        <f t="shared" si="126"/>
        <v>183.26599999999999</v>
      </c>
      <c r="BL27" s="23">
        <f t="shared" si="126"/>
        <v>215.29392000000001</v>
      </c>
      <c r="BM27" s="23">
        <f t="shared" si="126"/>
        <v>249.42</v>
      </c>
      <c r="BN27" s="23">
        <f t="shared" si="126"/>
        <v>260.82</v>
      </c>
      <c r="BO27" s="23">
        <f t="shared" si="126"/>
        <v>260.82</v>
      </c>
      <c r="BP27" s="23">
        <f t="shared" si="126"/>
        <v>260.82</v>
      </c>
      <c r="BQ27" s="23">
        <f t="shared" si="126"/>
        <v>260.82</v>
      </c>
      <c r="BR27" s="23">
        <f t="shared" si="126"/>
        <v>260.82</v>
      </c>
      <c r="BS27" s="23">
        <f t="shared" si="126"/>
        <v>260.82</v>
      </c>
      <c r="BT27" s="23">
        <f t="shared" si="126"/>
        <v>333.88351999999998</v>
      </c>
      <c r="BU27" s="23">
        <f t="shared" si="126"/>
        <v>363.86452000000003</v>
      </c>
      <c r="BV27" s="23">
        <f t="shared" si="126"/>
        <v>326.67739399999999</v>
      </c>
      <c r="BW27" s="23">
        <f t="shared" si="126"/>
        <v>352.38799999999998</v>
      </c>
      <c r="BX27" s="23">
        <f t="shared" si="126"/>
        <v>333.88351999999998</v>
      </c>
      <c r="BY27" s="23">
        <f t="shared" si="126"/>
        <v>363.86452000000003</v>
      </c>
      <c r="BZ27" s="23">
        <f t="shared" si="126"/>
        <v>363.86452000000003</v>
      </c>
      <c r="CA27" s="23">
        <f t="shared" si="126"/>
        <v>382.54700000000003</v>
      </c>
      <c r="CB27" s="23">
        <f t="shared" si="126"/>
        <v>352.38799999999998</v>
      </c>
      <c r="CC27" s="23">
        <f t="shared" si="126"/>
        <v>378.45460000000003</v>
      </c>
      <c r="CD27" s="23">
        <f t="shared" si="126"/>
        <v>427.0292</v>
      </c>
      <c r="CE27" s="23">
        <f t="shared" si="126"/>
        <v>417.51</v>
      </c>
      <c r="CF27" s="23">
        <f t="shared" si="126"/>
        <v>444.82216</v>
      </c>
      <c r="CG27" s="23">
        <f t="shared" si="126"/>
        <v>432.9898</v>
      </c>
      <c r="CH27" s="23">
        <f t="shared" si="126"/>
        <v>464.39434</v>
      </c>
      <c r="CI27" s="23">
        <f t="shared" si="126"/>
        <v>462.17021999999997</v>
      </c>
      <c r="CJ27" s="23">
        <f t="shared" si="126"/>
        <v>508.698622</v>
      </c>
      <c r="CK27" s="23">
        <f t="shared" si="126"/>
        <v>504.87315999999998</v>
      </c>
      <c r="CL27" s="23">
        <f t="shared" si="126"/>
        <v>505.94072</v>
      </c>
      <c r="CM27" s="23">
        <f t="shared" si="126"/>
        <v>528.89354000000003</v>
      </c>
      <c r="CN27" s="23">
        <f t="shared" ref="CN27:CV27" si="127">CN24*CN26</f>
        <v>435.65879999999999</v>
      </c>
      <c r="CO27" s="23">
        <f t="shared" si="127"/>
        <v>427.0292</v>
      </c>
      <c r="CP27" s="23">
        <f t="shared" si="127"/>
        <v>435.65879999999999</v>
      </c>
      <c r="CQ27" s="23">
        <f t="shared" si="127"/>
        <v>435.65879999999999</v>
      </c>
      <c r="CR27" s="23">
        <f t="shared" si="127"/>
        <v>444.82216</v>
      </c>
      <c r="CS27" s="23">
        <f t="shared" si="127"/>
        <v>466.70740000000001</v>
      </c>
      <c r="CT27" s="23">
        <f t="shared" si="127"/>
        <v>444.82216</v>
      </c>
      <c r="CU27" s="23">
        <f t="shared" si="127"/>
        <v>498.20080000000002</v>
      </c>
      <c r="CV27" s="23">
        <f t="shared" si="127"/>
        <v>466.70740000000001</v>
      </c>
      <c r="CW27" s="23">
        <f t="shared" ref="CW27:CZ27" si="128">CW24*CW26</f>
        <v>192.16316</v>
      </c>
      <c r="CX27" s="23">
        <f t="shared" si="128"/>
        <v>196.61139399999999</v>
      </c>
      <c r="CY27" s="23">
        <f t="shared" si="128"/>
        <v>207.28711999999999</v>
      </c>
      <c r="CZ27" s="23">
        <f t="shared" si="128"/>
        <v>211.73534000000001</v>
      </c>
      <c r="DA27" s="23">
        <f t="shared" ref="DA27:DH27" si="129">DA24*DA26</f>
        <v>195.72175039999999</v>
      </c>
      <c r="DB27" s="23">
        <f t="shared" si="129"/>
        <v>209.06641519999999</v>
      </c>
      <c r="DC27" s="23">
        <f t="shared" si="129"/>
        <v>240.20396600000001</v>
      </c>
      <c r="DD27" s="23">
        <f t="shared" si="129"/>
        <v>204.97399999999999</v>
      </c>
      <c r="DE27" s="23">
        <f t="shared" si="129"/>
        <v>220.63177999999999</v>
      </c>
      <c r="DF27" s="23">
        <f t="shared" si="129"/>
        <v>213.6036</v>
      </c>
      <c r="DG27" s="23">
        <f t="shared" si="129"/>
        <v>241.27152000000001</v>
      </c>
      <c r="DH27" s="23">
        <f t="shared" si="129"/>
        <v>215.64977999999999</v>
      </c>
      <c r="DI27" s="23">
        <f t="shared" ref="DI27:DS27" si="130">DI24*DI26</f>
        <v>222.41108</v>
      </c>
      <c r="DJ27" s="23">
        <f t="shared" si="130"/>
        <v>235.75574</v>
      </c>
      <c r="DK27" s="23">
        <f t="shared" si="130"/>
        <v>240.20396600000001</v>
      </c>
      <c r="DL27" s="23">
        <f t="shared" si="130"/>
        <v>220.63179135999999</v>
      </c>
      <c r="DM27" s="23">
        <f t="shared" si="130"/>
        <v>220.63179135999999</v>
      </c>
      <c r="DN27" s="23">
        <f t="shared" si="130"/>
        <v>213.6036</v>
      </c>
      <c r="DO27" s="23">
        <f t="shared" si="130"/>
        <v>241.27153799999999</v>
      </c>
      <c r="DP27" s="23">
        <f t="shared" si="130"/>
        <v>240.87119963999999</v>
      </c>
      <c r="DQ27" s="23">
        <f t="shared" si="130"/>
        <v>215.64977999999999</v>
      </c>
      <c r="DR27" s="23">
        <f t="shared" si="130"/>
        <v>260.57682</v>
      </c>
      <c r="DS27" s="23">
        <f t="shared" si="130"/>
        <v>260.17648000000003</v>
      </c>
      <c r="DT27" s="23">
        <f t="shared" ref="DT27:ED27" si="131">DT24*DT26</f>
        <v>266.89329400000003</v>
      </c>
      <c r="DU27" s="23">
        <f t="shared" si="131"/>
        <v>266.00365160000001</v>
      </c>
      <c r="DV27" s="23">
        <f t="shared" si="131"/>
        <v>275.78973919999999</v>
      </c>
      <c r="DW27" s="23">
        <f t="shared" si="131"/>
        <v>284.68618240000001</v>
      </c>
      <c r="DX27" s="23">
        <f t="shared" si="131"/>
        <v>281.12759999999997</v>
      </c>
      <c r="DY27" s="23">
        <f t="shared" si="131"/>
        <v>286.1096</v>
      </c>
      <c r="DZ27" s="23">
        <f t="shared" si="131"/>
        <v>286.1096</v>
      </c>
      <c r="EA27" s="23">
        <f t="shared" si="131"/>
        <v>294.56119999999999</v>
      </c>
      <c r="EB27" s="23">
        <f t="shared" si="131"/>
        <v>286.1096</v>
      </c>
      <c r="EC27" s="23">
        <f t="shared" si="131"/>
        <v>286.1096</v>
      </c>
      <c r="ED27" s="23">
        <f t="shared" si="131"/>
        <v>294.56119999999999</v>
      </c>
      <c r="EE27" s="23">
        <f>EE24*EE26</f>
        <v>129.08739</v>
      </c>
      <c r="EF27" s="23">
        <f t="shared" ref="EF27:EG27" si="132">EF24*EF26</f>
        <v>129.08739</v>
      </c>
      <c r="EG27" s="23">
        <f t="shared" si="132"/>
        <v>129.08739</v>
      </c>
      <c r="EH27" s="23">
        <f>EH24*EH26</f>
        <v>129.08739</v>
      </c>
      <c r="EI27" s="23">
        <f t="shared" ref="EI27" si="133">EI24*EI26</f>
        <v>129.08739</v>
      </c>
      <c r="EJ27" s="23">
        <f t="shared" ref="EJ27" si="134">EJ24*EJ26</f>
        <v>129.08739</v>
      </c>
      <c r="EK27" s="23">
        <f t="shared" ref="EK27:EP27" si="135">EK24*EK26</f>
        <v>167.43100000000001</v>
      </c>
      <c r="EL27" s="23">
        <f t="shared" si="135"/>
        <v>167.43100000000001</v>
      </c>
      <c r="EM27" s="23">
        <f t="shared" si="135"/>
        <v>167.43100000000001</v>
      </c>
      <c r="EN27" s="23">
        <f t="shared" si="135"/>
        <v>167.43100000000001</v>
      </c>
      <c r="EO27" s="23">
        <f t="shared" si="135"/>
        <v>167.43100000000001</v>
      </c>
      <c r="EP27" s="23">
        <f t="shared" si="135"/>
        <v>167.43100000000001</v>
      </c>
      <c r="EQ27" s="23">
        <f t="shared" ref="EQ27:EV27" si="136">EQ24*EQ26</f>
        <v>67.42</v>
      </c>
      <c r="ER27" s="23">
        <f t="shared" si="136"/>
        <v>67.42</v>
      </c>
      <c r="ES27" s="23">
        <f t="shared" si="136"/>
        <v>67.42</v>
      </c>
      <c r="ET27" s="23">
        <f t="shared" si="136"/>
        <v>67.42</v>
      </c>
      <c r="EU27" s="23">
        <f t="shared" si="136"/>
        <v>67.42</v>
      </c>
      <c r="EV27" s="23">
        <f t="shared" si="136"/>
        <v>79.34</v>
      </c>
      <c r="EW27" s="23">
        <f t="shared" ref="EW27" si="137">EW24*EW26</f>
        <v>134</v>
      </c>
      <c r="EX27" s="23">
        <f t="shared" ref="EX27" si="138">EX24*EX26</f>
        <v>196</v>
      </c>
      <c r="EY27" s="23">
        <f t="shared" ref="EY27" si="139">EY24*EY26</f>
        <v>196</v>
      </c>
      <c r="EZ27" s="23">
        <f t="shared" ref="EZ27:FI27" si="140">EZ24*EZ26</f>
        <v>196</v>
      </c>
      <c r="FA27" s="23">
        <f t="shared" si="140"/>
        <v>82.025199999999998</v>
      </c>
      <c r="FB27" s="23">
        <f t="shared" si="140"/>
        <v>82.025199999999998</v>
      </c>
      <c r="FC27" s="23">
        <f t="shared" si="140"/>
        <v>82.025199999999998</v>
      </c>
      <c r="FD27" s="23">
        <f t="shared" si="140"/>
        <v>82.025199999999998</v>
      </c>
      <c r="FE27" s="23">
        <f t="shared" si="140"/>
        <v>82.025199999999998</v>
      </c>
      <c r="FF27" s="23">
        <f t="shared" si="140"/>
        <v>129.08000000000001</v>
      </c>
      <c r="FG27" s="23">
        <f t="shared" si="140"/>
        <v>129.08000000000001</v>
      </c>
      <c r="FH27" s="23">
        <f t="shared" si="140"/>
        <v>129.08000000000001</v>
      </c>
      <c r="FI27" s="23">
        <f t="shared" si="140"/>
        <v>129.08000000000001</v>
      </c>
    </row>
    <row r="28" spans="1:165" ht="25.5">
      <c r="A28" s="1" t="s">
        <v>2628</v>
      </c>
      <c r="B28" s="3"/>
      <c r="C28" s="32">
        <f t="shared" ref="C28:D28" si="141">C27*0.2</f>
        <v>44.482216000000001</v>
      </c>
      <c r="D28" s="32">
        <f t="shared" si="141"/>
        <v>49.820080000000004</v>
      </c>
      <c r="E28" s="32">
        <f t="shared" ref="E28:J28" si="142">E27*0.2</f>
        <v>34.251200000000004</v>
      </c>
      <c r="F28" s="32">
        <f t="shared" si="142"/>
        <v>37.09816</v>
      </c>
      <c r="G28" s="32">
        <f t="shared" si="142"/>
        <v>37.09816</v>
      </c>
      <c r="H28" s="32">
        <f t="shared" si="142"/>
        <v>38.61056</v>
      </c>
      <c r="I28" s="32">
        <f t="shared" si="142"/>
        <v>37.09816</v>
      </c>
      <c r="J28" s="32">
        <f t="shared" si="142"/>
        <v>37.09816</v>
      </c>
      <c r="K28" s="32">
        <f>K27*0.2</f>
        <v>24.910040000000002</v>
      </c>
      <c r="L28" s="32">
        <f t="shared" ref="L28:O28" si="143">L27*0.2</f>
        <v>26.689319999999999</v>
      </c>
      <c r="M28" s="32">
        <f t="shared" si="143"/>
        <v>24.910040000000002</v>
      </c>
      <c r="N28" s="32">
        <f t="shared" si="143"/>
        <v>27.578960000000002</v>
      </c>
      <c r="O28" s="32">
        <f t="shared" si="143"/>
        <v>28.468599999999999</v>
      </c>
      <c r="P28" s="32">
        <f t="shared" ref="P28:AR28" si="144">P27*0.2</f>
        <v>42.702928000000007</v>
      </c>
      <c r="Q28" s="32">
        <f t="shared" si="144"/>
        <v>62.275120000000008</v>
      </c>
      <c r="R28" s="32">
        <f t="shared" si="144"/>
        <v>62.275120000000008</v>
      </c>
      <c r="S28" s="32">
        <f t="shared" si="144"/>
        <v>62.275095999999998</v>
      </c>
      <c r="T28" s="32">
        <f t="shared" si="144"/>
        <v>64.054391039999999</v>
      </c>
      <c r="U28" s="32">
        <f t="shared" si="144"/>
        <v>64.054391039999999</v>
      </c>
      <c r="V28" s="32">
        <f t="shared" si="144"/>
        <v>64.054391039999999</v>
      </c>
      <c r="W28" s="32">
        <f t="shared" si="144"/>
        <v>64.054391039999999</v>
      </c>
      <c r="X28" s="32">
        <f t="shared" si="144"/>
        <v>85.405600000000007</v>
      </c>
      <c r="Y28" s="32">
        <f t="shared" si="144"/>
        <v>85.405600000000007</v>
      </c>
      <c r="Z28" s="32">
        <f t="shared" si="144"/>
        <v>85.405600000000007</v>
      </c>
      <c r="AA28" s="32">
        <f t="shared" si="144"/>
        <v>42.702928000000007</v>
      </c>
      <c r="AB28" s="32">
        <f t="shared" si="144"/>
        <v>62.986800000000009</v>
      </c>
      <c r="AC28" s="32">
        <f t="shared" si="144"/>
        <v>62.986800000000009</v>
      </c>
      <c r="AD28" s="32">
        <f t="shared" si="144"/>
        <v>62.275120000000008</v>
      </c>
      <c r="AE28" s="32">
        <f t="shared" si="144"/>
        <v>62.275095999999998</v>
      </c>
      <c r="AF28" s="32">
        <f t="shared" si="144"/>
        <v>64.054391999999993</v>
      </c>
      <c r="AG28" s="32">
        <f t="shared" si="144"/>
        <v>68.627160000000003</v>
      </c>
      <c r="AH28" s="32">
        <f t="shared" si="144"/>
        <v>33.292000000000002</v>
      </c>
      <c r="AI28" s="32">
        <f t="shared" si="144"/>
        <v>38.131999999999998</v>
      </c>
      <c r="AJ28" s="32">
        <f t="shared" si="144"/>
        <v>37.365000000000002</v>
      </c>
      <c r="AK28" s="32">
        <f t="shared" si="144"/>
        <v>38.699520000000007</v>
      </c>
      <c r="AL28" s="32">
        <f t="shared" si="144"/>
        <v>37.365000000000002</v>
      </c>
      <c r="AM28" s="32">
        <f t="shared" si="144"/>
        <v>38.699520000000007</v>
      </c>
      <c r="AN28" s="32">
        <f t="shared" si="144"/>
        <v>38.699520000000007</v>
      </c>
      <c r="AO28" s="32">
        <f t="shared" si="144"/>
        <v>41.36844</v>
      </c>
      <c r="AP28" s="32">
        <f t="shared" si="144"/>
        <v>42.7029</v>
      </c>
      <c r="AQ28" s="32">
        <f t="shared" si="144"/>
        <v>46.439400000000006</v>
      </c>
      <c r="AR28" s="32">
        <f t="shared" si="144"/>
        <v>24.91</v>
      </c>
      <c r="AS28" s="32">
        <f t="shared" ref="AS28:BA28" si="145">AS27*0.2</f>
        <v>25.799685280000002</v>
      </c>
      <c r="AT28" s="32">
        <f t="shared" si="145"/>
        <v>25.799685280000002</v>
      </c>
      <c r="AU28" s="32">
        <f t="shared" si="145"/>
        <v>27.578980000000001</v>
      </c>
      <c r="AV28" s="32">
        <f t="shared" si="145"/>
        <v>27.578980000000001</v>
      </c>
      <c r="AW28" s="32">
        <f t="shared" si="145"/>
        <v>28.468618240000001</v>
      </c>
      <c r="AX28" s="32">
        <f t="shared" si="145"/>
        <v>28.468618240000001</v>
      </c>
      <c r="AY28" s="32">
        <f t="shared" si="145"/>
        <v>28.468618240000001</v>
      </c>
      <c r="AZ28" s="32">
        <f t="shared" si="145"/>
        <v>28.468618240000001</v>
      </c>
      <c r="BA28" s="32">
        <f t="shared" si="145"/>
        <v>35.763701600000005</v>
      </c>
      <c r="BB28" s="32">
        <f t="shared" ref="BB28" si="146">BB27*0.2</f>
        <v>39.322278944000004</v>
      </c>
      <c r="BC28" s="32">
        <f t="shared" ref="BC28" si="147">BC27*0.2</f>
        <v>39.322278944000004</v>
      </c>
      <c r="BD28" s="32">
        <f t="shared" ref="BD28" si="148">BD27*0.2</f>
        <v>41.813283040000002</v>
      </c>
      <c r="BE28" s="32">
        <f t="shared" ref="BE28" si="149">BE27*0.2</f>
        <v>35.7637</v>
      </c>
      <c r="BF28" s="32">
        <f t="shared" ref="BF28" si="150">BF27*0.2</f>
        <v>32.916800000000002</v>
      </c>
      <c r="BG28" s="32">
        <f t="shared" ref="BG28" si="151">BG27*0.2</f>
        <v>36.653199999999998</v>
      </c>
      <c r="BH28" s="32">
        <f t="shared" ref="BH28" si="152">BH27*0.2</f>
        <v>43.058784000000003</v>
      </c>
      <c r="BI28" s="32">
        <f t="shared" ref="BI28" si="153">BI27*0.2</f>
        <v>46.795280000000005</v>
      </c>
      <c r="BJ28" s="32">
        <f t="shared" ref="BJ28:BN28" si="154">BJ27*0.2</f>
        <v>46.795280000000005</v>
      </c>
      <c r="BK28" s="32">
        <f t="shared" si="154"/>
        <v>36.653199999999998</v>
      </c>
      <c r="BL28" s="32">
        <f t="shared" si="154"/>
        <v>43.058784000000003</v>
      </c>
      <c r="BM28" s="32">
        <f t="shared" si="154"/>
        <v>49.884</v>
      </c>
      <c r="BN28" s="32">
        <f t="shared" si="154"/>
        <v>52.164000000000001</v>
      </c>
      <c r="BO28" s="32">
        <f t="shared" ref="BO28:BP28" si="155">BO27*0.2</f>
        <v>52.164000000000001</v>
      </c>
      <c r="BP28" s="32">
        <f t="shared" si="155"/>
        <v>52.164000000000001</v>
      </c>
      <c r="BQ28" s="32">
        <f t="shared" ref="BQ28:BR28" si="156">BQ27*0.2</f>
        <v>52.164000000000001</v>
      </c>
      <c r="BR28" s="32">
        <f t="shared" si="156"/>
        <v>52.164000000000001</v>
      </c>
      <c r="BS28" s="32">
        <f t="shared" ref="BS28:BT28" si="157">BS27*0.2</f>
        <v>52.164000000000001</v>
      </c>
      <c r="BT28" s="32">
        <f t="shared" si="157"/>
        <v>66.776703999999995</v>
      </c>
      <c r="BU28" s="32">
        <f t="shared" ref="BU28" si="158">BU27*0.2</f>
        <v>72.772904000000011</v>
      </c>
      <c r="BV28" s="32">
        <f t="shared" ref="BV28:BY28" si="159">BV27*0.2</f>
        <v>65.335478800000004</v>
      </c>
      <c r="BW28" s="32">
        <f t="shared" si="159"/>
        <v>70.477599999999995</v>
      </c>
      <c r="BX28" s="32">
        <f t="shared" si="159"/>
        <v>66.776703999999995</v>
      </c>
      <c r="BY28" s="32">
        <f t="shared" si="159"/>
        <v>72.772904000000011</v>
      </c>
      <c r="BZ28" s="32">
        <f t="shared" ref="BZ28:CA28" si="160">BZ27*0.2</f>
        <v>72.772904000000011</v>
      </c>
      <c r="CA28" s="32">
        <f t="shared" si="160"/>
        <v>76.509400000000014</v>
      </c>
      <c r="CB28" s="32">
        <f t="shared" ref="CB28:CC28" si="161">CB27*0.2</f>
        <v>70.477599999999995</v>
      </c>
      <c r="CC28" s="32">
        <f t="shared" si="161"/>
        <v>75.690920000000006</v>
      </c>
      <c r="CD28" s="32">
        <f t="shared" ref="CD28:CF28" si="162">CD27*0.2</f>
        <v>85.405840000000012</v>
      </c>
      <c r="CE28" s="32">
        <f t="shared" ref="CE28:CG28" si="163">CE27*0.2</f>
        <v>83.50200000000001</v>
      </c>
      <c r="CF28" s="32">
        <f t="shared" si="162"/>
        <v>88.964432000000002</v>
      </c>
      <c r="CG28" s="32">
        <f t="shared" si="163"/>
        <v>86.59796</v>
      </c>
      <c r="CH28" s="32">
        <f t="shared" ref="CH28" si="164">CH27*0.2</f>
        <v>92.878868000000011</v>
      </c>
      <c r="CI28" s="32">
        <f t="shared" ref="CI28:CJ28" si="165">CI27*0.2</f>
        <v>92.434044</v>
      </c>
      <c r="CJ28" s="32">
        <f t="shared" si="165"/>
        <v>101.7397244</v>
      </c>
      <c r="CK28" s="32">
        <f t="shared" ref="CK28:CM28" si="166">CK27*0.2</f>
        <v>100.974632</v>
      </c>
      <c r="CL28" s="32">
        <f t="shared" si="166"/>
        <v>101.18814400000001</v>
      </c>
      <c r="CM28" s="32">
        <f t="shared" si="166"/>
        <v>105.77870800000001</v>
      </c>
      <c r="CN28" s="32">
        <f t="shared" ref="CN28:CV28" si="167">CN27*0.2</f>
        <v>87.13176</v>
      </c>
      <c r="CO28" s="32">
        <f t="shared" si="167"/>
        <v>85.405840000000012</v>
      </c>
      <c r="CP28" s="32">
        <f t="shared" si="167"/>
        <v>87.13176</v>
      </c>
      <c r="CQ28" s="32">
        <f t="shared" si="167"/>
        <v>87.13176</v>
      </c>
      <c r="CR28" s="32">
        <f t="shared" si="167"/>
        <v>88.964432000000002</v>
      </c>
      <c r="CS28" s="32">
        <f t="shared" si="167"/>
        <v>93.341480000000004</v>
      </c>
      <c r="CT28" s="32">
        <f t="shared" si="167"/>
        <v>88.964432000000002</v>
      </c>
      <c r="CU28" s="32">
        <f t="shared" si="167"/>
        <v>99.640160000000009</v>
      </c>
      <c r="CV28" s="32">
        <f t="shared" si="167"/>
        <v>93.341480000000004</v>
      </c>
      <c r="CW28" s="32">
        <f t="shared" ref="CW28:CZ28" si="168">CW27*0.2</f>
        <v>38.432632000000005</v>
      </c>
      <c r="CX28" s="32">
        <f t="shared" si="168"/>
        <v>39.322278799999999</v>
      </c>
      <c r="CY28" s="32">
        <f t="shared" si="168"/>
        <v>41.457424000000003</v>
      </c>
      <c r="CZ28" s="32">
        <f t="shared" si="168"/>
        <v>42.347068000000007</v>
      </c>
      <c r="DA28" s="32">
        <f t="shared" ref="DA28:DH28" si="169">DA27*0.2</f>
        <v>39.144350080000002</v>
      </c>
      <c r="DB28" s="32">
        <f t="shared" si="169"/>
        <v>41.813283040000002</v>
      </c>
      <c r="DC28" s="32">
        <f t="shared" si="169"/>
        <v>48.040793200000003</v>
      </c>
      <c r="DD28" s="32">
        <f t="shared" si="169"/>
        <v>40.994799999999998</v>
      </c>
      <c r="DE28" s="32">
        <f t="shared" si="169"/>
        <v>44.126356000000001</v>
      </c>
      <c r="DF28" s="32">
        <f t="shared" si="169"/>
        <v>42.72072</v>
      </c>
      <c r="DG28" s="32">
        <f t="shared" si="169"/>
        <v>48.254304000000005</v>
      </c>
      <c r="DH28" s="32">
        <f t="shared" si="169"/>
        <v>43.129956</v>
      </c>
      <c r="DI28" s="32">
        <f t="shared" ref="DI28:DS28" si="170">DI27*0.2</f>
        <v>44.482216000000001</v>
      </c>
      <c r="DJ28" s="32">
        <f t="shared" si="170"/>
        <v>47.151148000000006</v>
      </c>
      <c r="DK28" s="32">
        <f t="shared" si="170"/>
        <v>48.040793200000003</v>
      </c>
      <c r="DL28" s="32">
        <f t="shared" si="170"/>
        <v>44.126358272000004</v>
      </c>
      <c r="DM28" s="32">
        <f t="shared" si="170"/>
        <v>44.126358272000004</v>
      </c>
      <c r="DN28" s="32">
        <f t="shared" si="170"/>
        <v>42.72072</v>
      </c>
      <c r="DO28" s="32">
        <f t="shared" si="170"/>
        <v>48.254307600000004</v>
      </c>
      <c r="DP28" s="32">
        <f t="shared" si="170"/>
        <v>48.174239927999999</v>
      </c>
      <c r="DQ28" s="32">
        <f t="shared" si="170"/>
        <v>43.129956</v>
      </c>
      <c r="DR28" s="32">
        <f t="shared" si="170"/>
        <v>52.115364</v>
      </c>
      <c r="DS28" s="32">
        <f t="shared" si="170"/>
        <v>52.03529600000001</v>
      </c>
      <c r="DT28" s="32">
        <f t="shared" ref="DT28:ED28" si="171">DT27*0.2</f>
        <v>53.378658800000011</v>
      </c>
      <c r="DU28" s="32">
        <f t="shared" si="171"/>
        <v>53.200730320000005</v>
      </c>
      <c r="DV28" s="32">
        <f t="shared" si="171"/>
        <v>55.157947839999999</v>
      </c>
      <c r="DW28" s="32">
        <f t="shared" si="171"/>
        <v>56.937236480000003</v>
      </c>
      <c r="DX28" s="32">
        <f t="shared" si="171"/>
        <v>56.225519999999996</v>
      </c>
      <c r="DY28" s="32">
        <f t="shared" si="171"/>
        <v>57.221920000000004</v>
      </c>
      <c r="DZ28" s="32">
        <f t="shared" si="171"/>
        <v>57.221920000000004</v>
      </c>
      <c r="EA28" s="32">
        <f t="shared" si="171"/>
        <v>58.912239999999997</v>
      </c>
      <c r="EB28" s="32">
        <f t="shared" si="171"/>
        <v>57.221920000000004</v>
      </c>
      <c r="EC28" s="32">
        <f t="shared" si="171"/>
        <v>57.221920000000004</v>
      </c>
      <c r="ED28" s="32">
        <f t="shared" si="171"/>
        <v>58.912239999999997</v>
      </c>
      <c r="EE28" s="32">
        <f>EE27*0.2</f>
        <v>25.817478000000001</v>
      </c>
      <c r="EF28" s="32">
        <f t="shared" ref="EF28:EG28" si="172">EF27*0.2</f>
        <v>25.817478000000001</v>
      </c>
      <c r="EG28" s="32">
        <f t="shared" si="172"/>
        <v>25.817478000000001</v>
      </c>
      <c r="EH28" s="32">
        <f>EH27*0.2</f>
        <v>25.817478000000001</v>
      </c>
      <c r="EI28" s="32">
        <f t="shared" ref="EI28" si="173">EI27*0.2</f>
        <v>25.817478000000001</v>
      </c>
      <c r="EJ28" s="32">
        <f t="shared" ref="EJ28" si="174">EJ27*0.2</f>
        <v>25.817478000000001</v>
      </c>
      <c r="EK28" s="32">
        <f t="shared" ref="EK28:EM28" si="175">EK27*0.2</f>
        <v>33.486200000000004</v>
      </c>
      <c r="EL28" s="32">
        <f t="shared" si="175"/>
        <v>33.486200000000004</v>
      </c>
      <c r="EM28" s="32">
        <f t="shared" si="175"/>
        <v>33.486200000000004</v>
      </c>
      <c r="EN28" s="32">
        <f t="shared" ref="EN28" si="176">EN27*0.2</f>
        <v>33.486200000000004</v>
      </c>
      <c r="EO28" s="32">
        <f t="shared" ref="EO28" si="177">EO27*0.2</f>
        <v>33.486200000000004</v>
      </c>
      <c r="EP28" s="32">
        <f t="shared" ref="EP28:EV28" si="178">EP27*0.2</f>
        <v>33.486200000000004</v>
      </c>
      <c r="EQ28" s="32">
        <f t="shared" si="178"/>
        <v>13.484000000000002</v>
      </c>
      <c r="ER28" s="32">
        <f t="shared" si="178"/>
        <v>13.484000000000002</v>
      </c>
      <c r="ES28" s="32">
        <f t="shared" si="178"/>
        <v>13.484000000000002</v>
      </c>
      <c r="ET28" s="32">
        <f t="shared" si="178"/>
        <v>13.484000000000002</v>
      </c>
      <c r="EU28" s="32">
        <f t="shared" si="178"/>
        <v>13.484000000000002</v>
      </c>
      <c r="EV28" s="32">
        <f t="shared" si="178"/>
        <v>15.868000000000002</v>
      </c>
      <c r="EW28" s="32">
        <f t="shared" ref="EW28:FE28" si="179">EW27*0.2</f>
        <v>26.8</v>
      </c>
      <c r="EX28" s="32">
        <f t="shared" si="179"/>
        <v>39.200000000000003</v>
      </c>
      <c r="EY28" s="32">
        <f t="shared" si="179"/>
        <v>39.200000000000003</v>
      </c>
      <c r="EZ28" s="32">
        <f t="shared" si="179"/>
        <v>39.200000000000003</v>
      </c>
      <c r="FA28" s="32">
        <f t="shared" si="179"/>
        <v>16.40504</v>
      </c>
      <c r="FB28" s="32">
        <f t="shared" si="179"/>
        <v>16.40504</v>
      </c>
      <c r="FC28" s="32">
        <f t="shared" si="179"/>
        <v>16.40504</v>
      </c>
      <c r="FD28" s="32">
        <f t="shared" si="179"/>
        <v>16.40504</v>
      </c>
      <c r="FE28" s="32">
        <f t="shared" si="179"/>
        <v>16.40504</v>
      </c>
      <c r="FF28" s="32">
        <f t="shared" ref="FF28" si="180">FF27*0.2</f>
        <v>25.816000000000003</v>
      </c>
      <c r="FG28" s="32">
        <f t="shared" ref="FG28" si="181">FG27*0.2</f>
        <v>25.816000000000003</v>
      </c>
      <c r="FH28" s="32">
        <f t="shared" ref="FH28" si="182">FH27*0.2</f>
        <v>25.816000000000003</v>
      </c>
      <c r="FI28" s="32">
        <f>FI27*0.2</f>
        <v>25.816000000000003</v>
      </c>
    </row>
    <row r="29" spans="1:165">
      <c r="A29" s="1" t="s">
        <v>2629</v>
      </c>
      <c r="B29" s="3"/>
      <c r="C29" s="23">
        <f t="shared" ref="C29:D29" si="183">(1/(10^6))*(1000*C27)*(C12)</f>
        <v>16.018528026478347</v>
      </c>
      <c r="D29" s="23">
        <f t="shared" si="183"/>
        <v>17.94075069824294</v>
      </c>
      <c r="E29" s="23">
        <f t="shared" ref="E29:J29" si="184">(1/(10^6))*(1000*E27)*(E12)</f>
        <v>11.45319558138624</v>
      </c>
      <c r="F29" s="23">
        <f t="shared" si="184"/>
        <v>13.359449441340288</v>
      </c>
      <c r="G29" s="23">
        <f t="shared" si="184"/>
        <v>13.359449441340288</v>
      </c>
      <c r="H29" s="23">
        <f t="shared" si="184"/>
        <v>13.904081070916606</v>
      </c>
      <c r="I29" s="23">
        <f t="shared" si="184"/>
        <v>13.359449441340288</v>
      </c>
      <c r="J29" s="23">
        <f t="shared" si="184"/>
        <v>13.359449441340288</v>
      </c>
      <c r="K29" s="23">
        <f>(1/(10^6))*(1000*K27)*(K12)</f>
        <v>7.3685484591347192</v>
      </c>
      <c r="L29" s="23">
        <f t="shared" ref="L29:O29" si="185">(1/(10^6))*(1000*L27)*(L12)</f>
        <v>9.6111133588229727</v>
      </c>
      <c r="M29" s="23">
        <f t="shared" si="185"/>
        <v>8.9703753491214702</v>
      </c>
      <c r="N29" s="23">
        <f t="shared" si="185"/>
        <v>8.5127343942868485</v>
      </c>
      <c r="O29" s="23">
        <f t="shared" si="185"/>
        <v>10.251851368524479</v>
      </c>
      <c r="P29" s="23">
        <f t="shared" ref="P29:AZ29" si="186">(1/(10^6))*(1000*P27)*(P12)</f>
        <v>15.048295169624501</v>
      </c>
      <c r="Q29" s="23">
        <f t="shared" si="186"/>
        <v>22.105652476756994</v>
      </c>
      <c r="R29" s="23">
        <f t="shared" si="186"/>
        <v>24.027828658382209</v>
      </c>
      <c r="S29" s="23">
        <f t="shared" si="186"/>
        <v>24.027819398377765</v>
      </c>
      <c r="T29" s="23">
        <f t="shared" si="186"/>
        <v>25.208569005923831</v>
      </c>
      <c r="U29" s="23">
        <f t="shared" si="186"/>
        <v>25.208569005923831</v>
      </c>
      <c r="V29" s="23">
        <f t="shared" si="186"/>
        <v>26.361981769736445</v>
      </c>
      <c r="W29" s="23">
        <f t="shared" si="186"/>
        <v>26.361981769736445</v>
      </c>
      <c r="X29" s="23">
        <f t="shared" si="186"/>
        <v>33.611325096321274</v>
      </c>
      <c r="Y29" s="23">
        <f t="shared" si="186"/>
        <v>35.149204194719999</v>
      </c>
      <c r="Z29" s="23">
        <f t="shared" si="186"/>
        <v>35.149204194719999</v>
      </c>
      <c r="AA29" s="23">
        <f t="shared" si="186"/>
        <v>13.400644439126912</v>
      </c>
      <c r="AB29" s="23">
        <f t="shared" si="186"/>
        <v>20.090038843585919</v>
      </c>
      <c r="AC29" s="23">
        <f t="shared" si="186"/>
        <v>21.548181147229439</v>
      </c>
      <c r="AD29" s="23">
        <f t="shared" si="186"/>
        <v>24.027828658382209</v>
      </c>
      <c r="AE29" s="23">
        <f t="shared" si="186"/>
        <v>24.027819398377765</v>
      </c>
      <c r="AF29" s="23">
        <f t="shared" si="186"/>
        <v>25.208569383731284</v>
      </c>
      <c r="AG29" s="23">
        <f t="shared" si="186"/>
        <v>27.361295893495878</v>
      </c>
      <c r="AH29" s="23">
        <f t="shared" si="186"/>
        <v>11.132450462918399</v>
      </c>
      <c r="AI29" s="23">
        <f t="shared" si="186"/>
        <v>12.7508891340864</v>
      </c>
      <c r="AJ29" s="23">
        <f t="shared" si="186"/>
        <v>13.455541417031998</v>
      </c>
      <c r="AK29" s="23">
        <f t="shared" si="186"/>
        <v>13.936116530958335</v>
      </c>
      <c r="AL29" s="23">
        <f t="shared" si="186"/>
        <v>13.455541417031998</v>
      </c>
      <c r="AM29" s="23">
        <f t="shared" si="186"/>
        <v>13.936116530958335</v>
      </c>
      <c r="AN29" s="23">
        <f t="shared" si="186"/>
        <v>14.433844246474752</v>
      </c>
      <c r="AO29" s="23">
        <f t="shared" si="186"/>
        <v>15.429277150714944</v>
      </c>
      <c r="AP29" s="23">
        <f t="shared" si="186"/>
        <v>15.92699360283504</v>
      </c>
      <c r="AQ29" s="23">
        <f t="shared" si="186"/>
        <v>17.320604144437439</v>
      </c>
      <c r="AR29" s="23">
        <f t="shared" si="186"/>
        <v>9.2907325199999988</v>
      </c>
      <c r="AS29" s="23">
        <f t="shared" si="186"/>
        <v>9.6225602182521577</v>
      </c>
      <c r="AT29" s="23">
        <f t="shared" si="186"/>
        <v>9.6225602182521577</v>
      </c>
      <c r="AU29" s="23">
        <f t="shared" si="186"/>
        <v>10.428097948679838</v>
      </c>
      <c r="AV29" s="23">
        <f t="shared" si="186"/>
        <v>10.428097948679838</v>
      </c>
      <c r="AW29" s="23">
        <f t="shared" si="186"/>
        <v>10.764485831973968</v>
      </c>
      <c r="AX29" s="23">
        <f t="shared" si="186"/>
        <v>10.764485831973968</v>
      </c>
      <c r="AY29" s="23">
        <f t="shared" si="186"/>
        <v>10.764485831973968</v>
      </c>
      <c r="AZ29" s="23">
        <f t="shared" si="186"/>
        <v>10.764485831973968</v>
      </c>
      <c r="BA29" s="23">
        <f t="shared" ref="BA29:CM29" si="187">(1/(10^6))*(1000*BA27)*(BA12)</f>
        <v>14.25878798607765</v>
      </c>
      <c r="BB29" s="23">
        <f t="shared" si="187"/>
        <v>15.677572888369623</v>
      </c>
      <c r="BC29" s="23">
        <f t="shared" si="187"/>
        <v>16.891324663013521</v>
      </c>
      <c r="BD29" s="23">
        <f t="shared" si="187"/>
        <v>17.961363329448766</v>
      </c>
      <c r="BE29" s="23">
        <f t="shared" si="187"/>
        <v>13.338865068033121</v>
      </c>
      <c r="BF29" s="23">
        <f t="shared" si="187"/>
        <v>12.277050575623679</v>
      </c>
      <c r="BG29" s="23">
        <f t="shared" si="187"/>
        <v>14.142033116618878</v>
      </c>
      <c r="BH29" s="23">
        <f t="shared" si="187"/>
        <v>16.05972843328804</v>
      </c>
      <c r="BI29" s="23">
        <f t="shared" si="187"/>
        <v>17.934796598768898</v>
      </c>
      <c r="BJ29" s="23">
        <f t="shared" si="187"/>
        <v>17.934796598768898</v>
      </c>
      <c r="BK29" s="23">
        <f t="shared" si="187"/>
        <v>14.142033116618878</v>
      </c>
      <c r="BL29" s="23">
        <f t="shared" si="187"/>
        <v>16.05972843328804</v>
      </c>
      <c r="BM29" s="23">
        <f t="shared" si="187"/>
        <v>23.096258477951995</v>
      </c>
      <c r="BN29" s="23">
        <f t="shared" si="187"/>
        <v>24.151896945791997</v>
      </c>
      <c r="BO29" s="23">
        <f t="shared" si="187"/>
        <v>24.151896945791997</v>
      </c>
      <c r="BP29" s="23">
        <f t="shared" si="187"/>
        <v>24.151896945791997</v>
      </c>
      <c r="BQ29" s="23">
        <f t="shared" si="187"/>
        <v>24.151896945791997</v>
      </c>
      <c r="BR29" s="23">
        <f t="shared" si="187"/>
        <v>24.151896945791997</v>
      </c>
      <c r="BS29" s="23">
        <f t="shared" si="187"/>
        <v>24.151896945791997</v>
      </c>
      <c r="BT29" s="23">
        <f t="shared" si="187"/>
        <v>24.905852703830629</v>
      </c>
      <c r="BU29" s="23">
        <f t="shared" si="187"/>
        <v>27.142268475155753</v>
      </c>
      <c r="BV29" s="23">
        <f t="shared" si="187"/>
        <v>24.368315802574632</v>
      </c>
      <c r="BW29" s="23">
        <f t="shared" si="187"/>
        <v>26.286183944021762</v>
      </c>
      <c r="BX29" s="23">
        <f t="shared" si="187"/>
        <v>24.905852703830629</v>
      </c>
      <c r="BY29" s="23">
        <f t="shared" si="187"/>
        <v>27.142268475155753</v>
      </c>
      <c r="BZ29" s="23">
        <f t="shared" si="187"/>
        <v>27.142268475155753</v>
      </c>
      <c r="CA29" s="23">
        <f t="shared" si="187"/>
        <v>28.535877524869438</v>
      </c>
      <c r="CB29" s="23">
        <f t="shared" si="187"/>
        <v>26.286183944021762</v>
      </c>
      <c r="CC29" s="23">
        <f t="shared" si="187"/>
        <v>28.230607256947398</v>
      </c>
      <c r="CD29" s="23">
        <f t="shared" si="187"/>
        <v>35.149302968207998</v>
      </c>
      <c r="CE29" s="23">
        <f t="shared" si="187"/>
        <v>34.365765812399999</v>
      </c>
      <c r="CF29" s="23">
        <f t="shared" si="187"/>
        <v>36.613863569078397</v>
      </c>
      <c r="CG29" s="23">
        <f t="shared" si="187"/>
        <v>35.639927345352</v>
      </c>
      <c r="CH29" s="23">
        <f t="shared" si="187"/>
        <v>38.224873974381602</v>
      </c>
      <c r="CI29" s="23">
        <f t="shared" si="187"/>
        <v>38.041803899272793</v>
      </c>
      <c r="CJ29" s="23">
        <f t="shared" si="187"/>
        <v>41.87161436311127</v>
      </c>
      <c r="CK29" s="23">
        <f t="shared" si="187"/>
        <v>41.556735842318396</v>
      </c>
      <c r="CL29" s="23">
        <f t="shared" si="187"/>
        <v>41.64460802969279</v>
      </c>
      <c r="CM29" s="23">
        <f t="shared" si="187"/>
        <v>43.533883105389599</v>
      </c>
      <c r="CN29" s="23">
        <f t="shared" ref="CN29:CV29" si="188">(1/(10^6))*(1000*CN27)*(CN12)</f>
        <v>25.650791470030356</v>
      </c>
      <c r="CO29" s="23">
        <f t="shared" si="188"/>
        <v>24.450695100873183</v>
      </c>
      <c r="CP29" s="23">
        <f t="shared" si="188"/>
        <v>25.650791470030356</v>
      </c>
      <c r="CQ29" s="23">
        <f t="shared" si="188"/>
        <v>27.062761539060457</v>
      </c>
      <c r="CR29" s="23">
        <f t="shared" si="188"/>
        <v>27.631981824698126</v>
      </c>
      <c r="CS29" s="23">
        <f t="shared" si="188"/>
        <v>28.9914746923852</v>
      </c>
      <c r="CT29" s="23">
        <f t="shared" si="188"/>
        <v>27.631981824698126</v>
      </c>
      <c r="CU29" s="23">
        <f t="shared" si="188"/>
        <v>32.562487350109883</v>
      </c>
      <c r="CV29" s="23">
        <f t="shared" si="188"/>
        <v>30.504073475399228</v>
      </c>
      <c r="CW29" s="23">
        <f t="shared" ref="CW29:CZ29" si="189">(1/(10^6))*(1000*CW27)*(CW12)</f>
        <v>11.418015017690827</v>
      </c>
      <c r="CX29" s="23">
        <f t="shared" si="189"/>
        <v>11.682321675711037</v>
      </c>
      <c r="CY29" s="23">
        <f t="shared" si="189"/>
        <v>12.316655539666815</v>
      </c>
      <c r="CZ29" s="23">
        <f t="shared" si="189"/>
        <v>12.580961365830335</v>
      </c>
      <c r="DA29" s="23">
        <f t="shared" ref="DA29:DH29" si="190">(1/(10^6))*(1000*DA27)*(DA12)</f>
        <v>11.629460534245666</v>
      </c>
      <c r="DB29" s="23">
        <f t="shared" si="190"/>
        <v>12.422378297944233</v>
      </c>
      <c r="DC29" s="23">
        <f t="shared" si="190"/>
        <v>14.272519722806894</v>
      </c>
      <c r="DD29" s="23">
        <f t="shared" si="190"/>
        <v>12.179213800585709</v>
      </c>
      <c r="DE29" s="23">
        <f t="shared" si="190"/>
        <v>13.109573018157375</v>
      </c>
      <c r="DF29" s="23">
        <f t="shared" si="190"/>
        <v>12.691970264398361</v>
      </c>
      <c r="DG29" s="23">
        <f t="shared" si="190"/>
        <v>14.335952004021442</v>
      </c>
      <c r="DH29" s="23">
        <f t="shared" si="190"/>
        <v>12.813550873131577</v>
      </c>
      <c r="DI29" s="23">
        <f t="shared" ref="DI29:DS29" si="191">(1/(10^6))*(1000*DI27)*(DI12)</f>
        <v>13.215296061642803</v>
      </c>
      <c r="DJ29" s="23">
        <f t="shared" si="191"/>
        <v>14.008213540133363</v>
      </c>
      <c r="DK29" s="23">
        <f t="shared" si="191"/>
        <v>14.272519722806894</v>
      </c>
      <c r="DL29" s="23">
        <f t="shared" si="191"/>
        <v>13.109573693149661</v>
      </c>
      <c r="DM29" s="23">
        <f t="shared" si="191"/>
        <v>13.109573693149661</v>
      </c>
      <c r="DN29" s="23">
        <f t="shared" si="191"/>
        <v>12.691970264398361</v>
      </c>
      <c r="DO29" s="23">
        <f t="shared" si="191"/>
        <v>14.335953073551471</v>
      </c>
      <c r="DP29" s="23">
        <f t="shared" si="191"/>
        <v>14.312165634759156</v>
      </c>
      <c r="DQ29" s="23">
        <f t="shared" si="191"/>
        <v>12.813550873131577</v>
      </c>
      <c r="DR29" s="23">
        <f t="shared" si="191"/>
        <v>15.483040786913159</v>
      </c>
      <c r="DS29" s="23">
        <f t="shared" si="191"/>
        <v>15.459253250674779</v>
      </c>
      <c r="DT29" s="23">
        <f t="shared" ref="DT29:ED29" si="192">(1/(10^6))*(1000*DT27)*(DT12)</f>
        <v>15.858355155134698</v>
      </c>
      <c r="DU29" s="23">
        <f t="shared" si="192"/>
        <v>15.805494084971324</v>
      </c>
      <c r="DV29" s="23">
        <f t="shared" si="192"/>
        <v>16.386967116437077</v>
      </c>
      <c r="DW29" s="23">
        <f t="shared" si="192"/>
        <v>16.915578958902788</v>
      </c>
      <c r="DX29" s="23">
        <f t="shared" si="192"/>
        <v>16.704133917694627</v>
      </c>
      <c r="DY29" s="23">
        <f t="shared" si="192"/>
        <v>17.000156062720425</v>
      </c>
      <c r="DZ29" s="23">
        <f t="shared" si="192"/>
        <v>17.000156062720425</v>
      </c>
      <c r="EA29" s="23">
        <f t="shared" si="192"/>
        <v>17.502336062901087</v>
      </c>
      <c r="EB29" s="23">
        <f t="shared" si="192"/>
        <v>17.000156062720425</v>
      </c>
      <c r="EC29" s="23">
        <f t="shared" si="192"/>
        <v>17.000156062720425</v>
      </c>
      <c r="ED29" s="23">
        <f t="shared" si="192"/>
        <v>17.502336062901087</v>
      </c>
      <c r="EE29" s="23">
        <f>(1/(10^6))*(1000*EE27)*(EE12)</f>
        <v>9.1643692777198833</v>
      </c>
      <c r="EF29" s="23">
        <f t="shared" ref="EF29:EG29" si="193">(1/(10^6))*(1000*EF27)*(EF12)</f>
        <v>9.1643692777198833</v>
      </c>
      <c r="EG29" s="23">
        <f t="shared" si="193"/>
        <v>9.1643692777198833</v>
      </c>
      <c r="EH29" s="23">
        <f>(1/(10^6))*(1000*EH27)*(EH12)</f>
        <v>9.1643692777198833</v>
      </c>
      <c r="EI29" s="23">
        <f t="shared" ref="EI29:EJ29" si="194">(1/(10^6))*(1000*EI27)*(EI12)</f>
        <v>9.1643692777198833</v>
      </c>
      <c r="EJ29" s="23">
        <f t="shared" si="194"/>
        <v>9.1643692777198833</v>
      </c>
      <c r="EK29" s="23">
        <f t="shared" ref="EK29:EP29" si="195">(1/(10^6))*(1000*EK27)*(EK12)</f>
        <v>11.628066072955198</v>
      </c>
      <c r="EL29" s="23">
        <f t="shared" si="195"/>
        <v>11.628066072955198</v>
      </c>
      <c r="EM29" s="23">
        <f t="shared" si="195"/>
        <v>11.628066072955198</v>
      </c>
      <c r="EN29" s="23">
        <f t="shared" si="195"/>
        <v>11.628066072955198</v>
      </c>
      <c r="EO29" s="23">
        <f t="shared" si="195"/>
        <v>11.628066072955198</v>
      </c>
      <c r="EP29" s="23">
        <f t="shared" si="195"/>
        <v>11.628066072955198</v>
      </c>
      <c r="EQ29" s="23">
        <f t="shared" ref="EQ29:EV29" si="196">(1/(10^6))*(1000*EQ27)*(EQ12)</f>
        <v>4.2661167212927991</v>
      </c>
      <c r="ER29" s="23">
        <f t="shared" si="196"/>
        <v>4.2661167212927991</v>
      </c>
      <c r="ES29" s="23">
        <f t="shared" si="196"/>
        <v>4.6129613599871995</v>
      </c>
      <c r="ET29" s="23">
        <f t="shared" si="196"/>
        <v>4.6129613599871995</v>
      </c>
      <c r="EU29" s="23">
        <f t="shared" si="196"/>
        <v>4.6823122040639991</v>
      </c>
      <c r="EV29" s="23">
        <f t="shared" si="196"/>
        <v>5.5101550025279984</v>
      </c>
      <c r="EW29" s="23">
        <f t="shared" ref="EW29:EZ29" si="197">(1/(10^6))*(1000*EW27)*(EW12)</f>
        <v>9.3062864927999964</v>
      </c>
      <c r="EX29" s="23">
        <f t="shared" si="197"/>
        <v>13.612180243199997</v>
      </c>
      <c r="EY29" s="23">
        <f t="shared" si="197"/>
        <v>13.612180243199997</v>
      </c>
      <c r="EZ29" s="23">
        <f t="shared" si="197"/>
        <v>13.612180243199997</v>
      </c>
      <c r="FA29" s="23">
        <f t="shared" ref="FA29:FE29" si="198">(1/(10^6))*(1000*FA27)*(FA12)</f>
        <v>5.5700620531114229</v>
      </c>
      <c r="FB29" s="23">
        <f t="shared" si="198"/>
        <v>5.6966418718598391</v>
      </c>
      <c r="FC29" s="23">
        <f t="shared" si="198"/>
        <v>5.6966418718598391</v>
      </c>
      <c r="FD29" s="23">
        <f t="shared" si="198"/>
        <v>5.6966418718598391</v>
      </c>
      <c r="FE29" s="23">
        <f t="shared" si="198"/>
        <v>5.6966418718598391</v>
      </c>
      <c r="FF29" s="23">
        <f t="shared" ref="FF29:FI29" si="199">(1/(10^6))*(1000*FF27)*(FF12)</f>
        <v>9.6286497369216004</v>
      </c>
      <c r="FG29" s="23">
        <f t="shared" si="199"/>
        <v>9.6950669525247992</v>
      </c>
      <c r="FH29" s="23">
        <f t="shared" si="199"/>
        <v>9.6950669525247992</v>
      </c>
      <c r="FI29" s="23">
        <f t="shared" si="199"/>
        <v>9.6950669525247992</v>
      </c>
    </row>
    <row r="30" spans="1:165">
      <c r="A30" s="1" t="s">
        <v>2630</v>
      </c>
      <c r="B30" s="3"/>
      <c r="C30" s="23">
        <f>(1/(10^6))*(1000*C28)*(C15)</f>
        <v>10.068816484895999</v>
      </c>
      <c r="D30" s="23">
        <f t="shared" ref="D30" si="200">(1/(10^6))*(1000*D28)*(D15)</f>
        <v>11.27707402848</v>
      </c>
      <c r="E30" s="23">
        <f t="shared" ref="E30:J30" si="201">(1/(10^6))*(1000*E28)*(E15)</f>
        <v>8.457751569600001</v>
      </c>
      <c r="F30" s="23">
        <f t="shared" si="201"/>
        <v>8.3973911049600005</v>
      </c>
      <c r="G30" s="23">
        <f t="shared" si="201"/>
        <v>8.5882240400000018</v>
      </c>
      <c r="H30" s="23">
        <f t="shared" si="201"/>
        <v>8.7397319193599987</v>
      </c>
      <c r="I30" s="23">
        <f t="shared" si="201"/>
        <v>8.3973911049600005</v>
      </c>
      <c r="J30" s="23">
        <f t="shared" si="201"/>
        <v>8.3973911049600005</v>
      </c>
      <c r="K30" s="23">
        <f>(1/(10^6))*(1000*K28)*(K15)</f>
        <v>4.8696388095600005</v>
      </c>
      <c r="L30" s="23">
        <f t="shared" ref="L30:O30" si="202">(1/(10^6))*(1000*L28)*(L15)</f>
        <v>6.0412877179199995</v>
      </c>
      <c r="M30" s="23">
        <f t="shared" si="202"/>
        <v>5.6385370142399998</v>
      </c>
      <c r="N30" s="23">
        <f t="shared" si="202"/>
        <v>5.3913833114400012</v>
      </c>
      <c r="O30" s="23">
        <f t="shared" si="202"/>
        <v>6.4440384215999993</v>
      </c>
      <c r="P30" s="23">
        <f t="shared" ref="P30:AR30" si="203">(1/(10^6))*(1000*P28)*(P15)</f>
        <v>11.203839110576004</v>
      </c>
      <c r="Q30" s="23">
        <f t="shared" si="203"/>
        <v>16.338936409040002</v>
      </c>
      <c r="R30" s="23">
        <f t="shared" si="203"/>
        <v>16.338936409040002</v>
      </c>
      <c r="S30" s="23">
        <f t="shared" si="203"/>
        <v>16.338930112231999</v>
      </c>
      <c r="T30" s="23">
        <f t="shared" si="203"/>
        <v>16.805758413991683</v>
      </c>
      <c r="U30" s="23">
        <f t="shared" si="203"/>
        <v>16.805758413991683</v>
      </c>
      <c r="V30" s="23">
        <f t="shared" si="203"/>
        <v>16.805758413991683</v>
      </c>
      <c r="W30" s="23">
        <f t="shared" si="203"/>
        <v>16.805758413991683</v>
      </c>
      <c r="X30" s="23">
        <f t="shared" si="203"/>
        <v>20.2107228064</v>
      </c>
      <c r="Y30" s="23">
        <f t="shared" si="203"/>
        <v>20.2107228064</v>
      </c>
      <c r="Z30" s="23">
        <f t="shared" si="203"/>
        <v>20.2107228064</v>
      </c>
      <c r="AA30" s="23">
        <f t="shared" si="203"/>
        <v>10.325098258192002</v>
      </c>
      <c r="AB30" s="23">
        <f t="shared" si="203"/>
        <v>15.229515385200001</v>
      </c>
      <c r="AC30" s="23">
        <f t="shared" si="203"/>
        <v>15.229515385200001</v>
      </c>
      <c r="AD30" s="23">
        <f t="shared" si="203"/>
        <v>15.057438989680001</v>
      </c>
      <c r="AE30" s="23">
        <f t="shared" si="203"/>
        <v>15.057433186743998</v>
      </c>
      <c r="AF30" s="23">
        <f t="shared" si="203"/>
        <v>15.487647387287996</v>
      </c>
      <c r="AG30" s="23">
        <f t="shared" si="203"/>
        <v>16.593292389240002</v>
      </c>
      <c r="AH30" s="23">
        <f t="shared" si="203"/>
        <v>7.4501836359999984</v>
      </c>
      <c r="AI30" s="23">
        <f t="shared" si="203"/>
        <v>8.5332933559999997</v>
      </c>
      <c r="AJ30" s="23">
        <f t="shared" si="203"/>
        <v>9.0344459849999978</v>
      </c>
      <c r="AK30" s="23">
        <f t="shared" si="203"/>
        <v>9.3571182412800002</v>
      </c>
      <c r="AL30" s="23">
        <f t="shared" si="203"/>
        <v>9.0344459849999978</v>
      </c>
      <c r="AM30" s="23">
        <f t="shared" si="203"/>
        <v>9.3571182412800002</v>
      </c>
      <c r="AN30" s="23">
        <f t="shared" si="203"/>
        <v>9.3571182412800002</v>
      </c>
      <c r="AO30" s="23">
        <f t="shared" si="203"/>
        <v>10.002433739159999</v>
      </c>
      <c r="AP30" s="23">
        <f t="shared" si="203"/>
        <v>10.3250914881</v>
      </c>
      <c r="AQ30" s="23">
        <f t="shared" si="203"/>
        <v>11.2285360866</v>
      </c>
      <c r="AR30" s="23">
        <f t="shared" si="203"/>
        <v>5.3822289699999999</v>
      </c>
      <c r="AS30" s="23">
        <f t="shared" ref="AS30:BJ30" si="204">(1/(10^6))*(1000*AS28)*(AS15)</f>
        <v>5.5744605993937606</v>
      </c>
      <c r="AT30" s="23">
        <f t="shared" si="204"/>
        <v>5.5744605993937606</v>
      </c>
      <c r="AU30" s="23">
        <f t="shared" si="204"/>
        <v>5.9589074716600008</v>
      </c>
      <c r="AV30" s="23">
        <f t="shared" si="204"/>
        <v>5.9589074716600008</v>
      </c>
      <c r="AW30" s="23">
        <f t="shared" si="204"/>
        <v>6.1511289372620803</v>
      </c>
      <c r="AX30" s="23">
        <f t="shared" si="204"/>
        <v>6.1511289372620803</v>
      </c>
      <c r="AY30" s="23">
        <f t="shared" si="204"/>
        <v>6.1511289372620803</v>
      </c>
      <c r="AZ30" s="23">
        <f t="shared" si="204"/>
        <v>6.1511289372620803</v>
      </c>
      <c r="BA30" s="23">
        <f t="shared" si="204"/>
        <v>8.0468328600000003</v>
      </c>
      <c r="BB30" s="23">
        <f t="shared" si="204"/>
        <v>8.847512762400001</v>
      </c>
      <c r="BC30" s="23">
        <f t="shared" si="204"/>
        <v>8.847512762400001</v>
      </c>
      <c r="BD30" s="23">
        <f t="shared" si="204"/>
        <v>9.4079886840000011</v>
      </c>
      <c r="BE30" s="23">
        <f t="shared" si="204"/>
        <v>8.0468324999999989</v>
      </c>
      <c r="BF30" s="23">
        <f t="shared" si="204"/>
        <v>7.5708640000000003</v>
      </c>
      <c r="BG30" s="23">
        <f t="shared" si="204"/>
        <v>8.430235999999999</v>
      </c>
      <c r="BH30" s="23">
        <f t="shared" si="204"/>
        <v>9.9035203199999984</v>
      </c>
      <c r="BI30" s="23">
        <f t="shared" si="204"/>
        <v>10.7629144</v>
      </c>
      <c r="BJ30" s="23">
        <f t="shared" si="204"/>
        <v>10.7629144</v>
      </c>
      <c r="BK30" s="23">
        <f t="shared" ref="BK30:BN30" si="205">(1/(10^6))*(1000*BK28)*(BK15)</f>
        <v>8.430235999999999</v>
      </c>
      <c r="BL30" s="23">
        <f t="shared" si="205"/>
        <v>9.9035203199999984</v>
      </c>
      <c r="BM30" s="23">
        <f t="shared" si="205"/>
        <v>11.473319999999999</v>
      </c>
      <c r="BN30" s="23">
        <f t="shared" si="205"/>
        <v>11.997719999999999</v>
      </c>
      <c r="BO30" s="23">
        <f t="shared" ref="BO30:BP30" si="206">(1/(10^6))*(1000*BO28)*(BO15)</f>
        <v>11.997719999999999</v>
      </c>
      <c r="BP30" s="23">
        <f t="shared" si="206"/>
        <v>11.997719999999999</v>
      </c>
      <c r="BQ30" s="23">
        <f t="shared" ref="BQ30:BR30" si="207">(1/(10^6))*(1000*BQ28)*(BQ15)</f>
        <v>11.997719999999999</v>
      </c>
      <c r="BR30" s="23">
        <f t="shared" si="207"/>
        <v>11.997719999999999</v>
      </c>
      <c r="BS30" s="23">
        <f t="shared" ref="BS30:BT30" si="208">(1/(10^6))*(1000*BS28)*(BS15)</f>
        <v>11.997719999999999</v>
      </c>
      <c r="BT30" s="23">
        <f t="shared" si="208"/>
        <v>16.145872483455996</v>
      </c>
      <c r="BU30" s="23">
        <f t="shared" ref="BU30" si="209">(1/(10^6))*(1000*BU28)*(BU15)</f>
        <v>17.595687685255999</v>
      </c>
      <c r="BV30" s="23">
        <f t="shared" ref="BV30:BY30" si="210">(1/(10^6))*(1000*BV28)*(BV15)</f>
        <v>15.7974000835732</v>
      </c>
      <c r="BW30" s="23">
        <f t="shared" si="210"/>
        <v>17.040708426399995</v>
      </c>
      <c r="BX30" s="23">
        <f t="shared" si="210"/>
        <v>16.145872483455996</v>
      </c>
      <c r="BY30" s="23">
        <f t="shared" si="210"/>
        <v>17.595687685255999</v>
      </c>
      <c r="BZ30" s="23">
        <f t="shared" ref="BZ30:CA30" si="211">(1/(10^6))*(1000*BZ28)*(BZ15)</f>
        <v>17.595687685255999</v>
      </c>
      <c r="CA30" s="23">
        <f t="shared" si="211"/>
        <v>18.4991313166</v>
      </c>
      <c r="CB30" s="23">
        <f t="shared" ref="CB30:CC30" si="212">(1/(10^6))*(1000*CB28)*(CB15)</f>
        <v>17.040708426399995</v>
      </c>
      <c r="CC30" s="23">
        <f t="shared" si="212"/>
        <v>18.301231855880001</v>
      </c>
      <c r="CD30" s="23">
        <f t="shared" ref="CD30:CF30" si="213">(1/(10^6))*(1000*CD28)*(CD15)</f>
        <v>20.210779600960002</v>
      </c>
      <c r="CE30" s="23">
        <f t="shared" ref="CE30:CG30" si="214">(1/(10^6))*(1000*CE28)*(CE15)</f>
        <v>19.760247288000002</v>
      </c>
      <c r="CF30" s="23">
        <f t="shared" si="213"/>
        <v>21.052899046208001</v>
      </c>
      <c r="CG30" s="23">
        <f t="shared" si="214"/>
        <v>20.49288764624</v>
      </c>
      <c r="CH30" s="23">
        <f t="shared" ref="CH30" si="215">(1/(10^6))*(1000*CH28)*(CH15)</f>
        <v>21.979226838992005</v>
      </c>
      <c r="CI30" s="23">
        <f t="shared" ref="CI30:CJ30" si="216">(1/(10^6))*(1000*CI28)*(CI15)</f>
        <v>21.873961908336</v>
      </c>
      <c r="CJ30" s="23">
        <f t="shared" si="216"/>
        <v>24.0760953409136</v>
      </c>
      <c r="CK30" s="23">
        <f t="shared" ref="CK30:CM30" si="217">(1/(10^6))*(1000*CK28)*(CK15)</f>
        <v>23.895040815007999</v>
      </c>
      <c r="CL30" s="23">
        <f t="shared" si="217"/>
        <v>23.945567148736004</v>
      </c>
      <c r="CM30" s="23">
        <f t="shared" si="217"/>
        <v>25.031896575952004</v>
      </c>
      <c r="CN30" s="23">
        <f t="shared" ref="CN30:CV30" si="218">(1/(10^6))*(1000*CN28)*(CN15)</f>
        <v>21.515706892079997</v>
      </c>
      <c r="CO30" s="23">
        <f t="shared" si="218"/>
        <v>21.089520288720003</v>
      </c>
      <c r="CP30" s="23">
        <f t="shared" si="218"/>
        <v>21.515706892079997</v>
      </c>
      <c r="CQ30" s="23">
        <f t="shared" si="218"/>
        <v>21.515706892079997</v>
      </c>
      <c r="CR30" s="23">
        <f t="shared" si="218"/>
        <v>21.968254087056</v>
      </c>
      <c r="CS30" s="23">
        <f t="shared" si="218"/>
        <v>23.04909168084</v>
      </c>
      <c r="CT30" s="23">
        <f t="shared" si="218"/>
        <v>21.968254087056</v>
      </c>
      <c r="CU30" s="23">
        <f t="shared" si="218"/>
        <v>24.604443629280002</v>
      </c>
      <c r="CV30" s="23">
        <f t="shared" si="218"/>
        <v>23.04909168084</v>
      </c>
      <c r="CW30" s="23">
        <f t="shared" ref="CW30:CZ30" si="219">(1/(10^6))*(1000*CW28)*(CW15)</f>
        <v>9.0948517670080005</v>
      </c>
      <c r="CX30" s="23">
        <f t="shared" si="219"/>
        <v>9.3053813443472002</v>
      </c>
      <c r="CY30" s="23">
        <f t="shared" si="219"/>
        <v>9.8106506450560023</v>
      </c>
      <c r="CZ30" s="23">
        <f t="shared" si="219"/>
        <v>10.021179559792001</v>
      </c>
      <c r="DA30" s="23">
        <f t="shared" ref="DA30:DH30" si="220">(1/(10^6))*(1000*DA28)*(DA15)</f>
        <v>9.0619170435199994</v>
      </c>
      <c r="DB30" s="23">
        <f t="shared" si="220"/>
        <v>9.6797750237600013</v>
      </c>
      <c r="DC30" s="23">
        <f t="shared" si="220"/>
        <v>11.1214436258</v>
      </c>
      <c r="DD30" s="23">
        <f t="shared" si="220"/>
        <v>9.4902961999999977</v>
      </c>
      <c r="DE30" s="23">
        <f t="shared" si="220"/>
        <v>10.215251413999999</v>
      </c>
      <c r="DF30" s="23">
        <f t="shared" si="220"/>
        <v>9.8898466799999998</v>
      </c>
      <c r="DG30" s="23">
        <f t="shared" si="220"/>
        <v>11.170871376000001</v>
      </c>
      <c r="DH30" s="23">
        <f t="shared" si="220"/>
        <v>9.9845848139999998</v>
      </c>
      <c r="DI30" s="23">
        <f t="shared" ref="DI30:DS30" si="221">(1/(10^6))*(1000*DI28)*(DI15)</f>
        <v>10.297633004</v>
      </c>
      <c r="DJ30" s="23">
        <f t="shared" si="221"/>
        <v>10.915490762000001</v>
      </c>
      <c r="DK30" s="23">
        <f t="shared" si="221"/>
        <v>11.1214436258</v>
      </c>
      <c r="DL30" s="23">
        <f t="shared" si="221"/>
        <v>10.215251939968001</v>
      </c>
      <c r="DM30" s="23">
        <f t="shared" si="221"/>
        <v>10.215251939968001</v>
      </c>
      <c r="DN30" s="23">
        <f t="shared" si="221"/>
        <v>9.8898466799999998</v>
      </c>
      <c r="DO30" s="23">
        <f t="shared" si="221"/>
        <v>11.170872209400001</v>
      </c>
      <c r="DP30" s="23">
        <f t="shared" si="221"/>
        <v>11.152336543331998</v>
      </c>
      <c r="DQ30" s="23">
        <f t="shared" si="221"/>
        <v>9.9845848139999998</v>
      </c>
      <c r="DR30" s="23">
        <f t="shared" si="221"/>
        <v>12.064706765999999</v>
      </c>
      <c r="DS30" s="23">
        <f t="shared" si="221"/>
        <v>12.046171024000001</v>
      </c>
      <c r="DT30" s="23">
        <f t="shared" ref="DT30:ED30" si="222">(1/(10^6))*(1000*DT28)*(DT15)</f>
        <v>12.357159512200001</v>
      </c>
      <c r="DU30" s="23">
        <f t="shared" si="222"/>
        <v>12.315969069079999</v>
      </c>
      <c r="DV30" s="23">
        <f t="shared" si="222"/>
        <v>12.76906492496</v>
      </c>
      <c r="DW30" s="23">
        <f t="shared" si="222"/>
        <v>13.180970245119999</v>
      </c>
      <c r="DX30" s="23">
        <f t="shared" si="222"/>
        <v>13.016207879999998</v>
      </c>
      <c r="DY30" s="23">
        <f t="shared" si="222"/>
        <v>13.246874480000001</v>
      </c>
      <c r="DZ30" s="23">
        <f t="shared" si="222"/>
        <v>13.246874480000001</v>
      </c>
      <c r="EA30" s="23">
        <f t="shared" si="222"/>
        <v>13.63818356</v>
      </c>
      <c r="EB30" s="23">
        <f t="shared" si="222"/>
        <v>13.246874480000001</v>
      </c>
      <c r="EC30" s="23">
        <f t="shared" si="222"/>
        <v>13.246874480000001</v>
      </c>
      <c r="ED30" s="23">
        <f t="shared" si="222"/>
        <v>13.63818356</v>
      </c>
      <c r="EE30" s="23">
        <f>(1/(10^6))*(1000*EE28)*(EE15)</f>
        <v>6.1095512638320004</v>
      </c>
      <c r="EF30" s="23">
        <f t="shared" ref="EF30:EG30" si="223">(1/(10^6))*(1000*EF28)*(EF15)</f>
        <v>6.1095512638320004</v>
      </c>
      <c r="EG30" s="23">
        <f t="shared" si="223"/>
        <v>6.1095512638320004</v>
      </c>
      <c r="EH30" s="23">
        <f>(1/(10^6))*(1000*EH28)*(EH15)</f>
        <v>6.1095512638320004</v>
      </c>
      <c r="EI30" s="23">
        <f t="shared" ref="EI30:EJ30" si="224">(1/(10^6))*(1000*EI28)*(EI15)</f>
        <v>6.1095512638320004</v>
      </c>
      <c r="EJ30" s="23">
        <f t="shared" si="224"/>
        <v>6.1095512638320004</v>
      </c>
      <c r="EK30" s="23">
        <f t="shared" ref="EK30:EP30" si="225">(1/(10^6))*(1000*EK28)*(EK15)</f>
        <v>7.9243083128</v>
      </c>
      <c r="EL30" s="23">
        <f t="shared" si="225"/>
        <v>7.9243083128</v>
      </c>
      <c r="EM30" s="23">
        <f t="shared" si="225"/>
        <v>7.9243083128</v>
      </c>
      <c r="EN30" s="23">
        <f t="shared" si="225"/>
        <v>7.9243083128</v>
      </c>
      <c r="EO30" s="23">
        <f t="shared" si="225"/>
        <v>7.9243083128</v>
      </c>
      <c r="EP30" s="23">
        <f t="shared" si="225"/>
        <v>7.9243083128</v>
      </c>
      <c r="EQ30" s="23">
        <f t="shared" ref="EQ30:EV30" si="226">(1/(10^6))*(1000*EQ28)*(EQ15)</f>
        <v>3.1215460000000004</v>
      </c>
      <c r="ER30" s="23">
        <f t="shared" si="226"/>
        <v>3.1215460000000004</v>
      </c>
      <c r="ES30" s="23">
        <f t="shared" si="226"/>
        <v>3.1215460000000004</v>
      </c>
      <c r="ET30" s="23">
        <f t="shared" si="226"/>
        <v>3.1215460000000004</v>
      </c>
      <c r="EU30" s="23">
        <f t="shared" si="226"/>
        <v>3.1215460000000004</v>
      </c>
      <c r="EV30" s="23">
        <f t="shared" si="226"/>
        <v>3.6734420000000001</v>
      </c>
      <c r="EW30" s="23">
        <f t="shared" ref="EW30:EZ30" si="227">(1/(10^6))*(1000*EW28)*(EW15)</f>
        <v>6.5213333333333319</v>
      </c>
      <c r="EX30" s="23">
        <f t="shared" si="227"/>
        <v>9.538666666666666</v>
      </c>
      <c r="EY30" s="23">
        <f t="shared" si="227"/>
        <v>9.538666666666666</v>
      </c>
      <c r="EZ30" s="23">
        <f t="shared" si="227"/>
        <v>9.538666666666666</v>
      </c>
      <c r="FA30" s="23">
        <f t="shared" ref="FA30:FE30" si="228">(1/(10^6))*(1000*FA28)*(FA15)</f>
        <v>3.5783329449599997</v>
      </c>
      <c r="FB30" s="23">
        <f t="shared" si="228"/>
        <v>3.5783329449599997</v>
      </c>
      <c r="FC30" s="23">
        <f t="shared" si="228"/>
        <v>3.5783329449599997</v>
      </c>
      <c r="FD30" s="23">
        <f t="shared" si="228"/>
        <v>3.5445877776799999</v>
      </c>
      <c r="FE30" s="23">
        <f t="shared" si="228"/>
        <v>3.5445877776799999</v>
      </c>
      <c r="FF30" s="23">
        <f t="shared" ref="FF30:FI30" si="229">(1/(10^6))*(1000*FF28)*(FF15)</f>
        <v>5.870145344</v>
      </c>
      <c r="FG30" s="23">
        <f t="shared" si="229"/>
        <v>6.082662656000001</v>
      </c>
      <c r="FH30" s="23">
        <f t="shared" si="229"/>
        <v>6.082662656000001</v>
      </c>
      <c r="FI30" s="23">
        <f t="shared" si="229"/>
        <v>6.2420248240000005</v>
      </c>
    </row>
    <row r="31" spans="1:165">
      <c r="A31" s="1" t="s">
        <v>2631</v>
      </c>
      <c r="B31" s="3"/>
      <c r="C31" s="23">
        <f>C25*C26</f>
        <v>5190</v>
      </c>
      <c r="D31" s="23">
        <f t="shared" ref="D31" si="230">D25*D26</f>
        <v>5190</v>
      </c>
      <c r="E31" s="23">
        <f t="shared" ref="E31:J31" si="231">E25*E26</f>
        <v>4162.1639999999998</v>
      </c>
      <c r="F31" s="23">
        <f t="shared" si="231"/>
        <v>4193.9160000000002</v>
      </c>
      <c r="G31" s="23">
        <f t="shared" si="231"/>
        <v>4193.9160000000002</v>
      </c>
      <c r="H31" s="23">
        <f t="shared" si="231"/>
        <v>4249.2539999999999</v>
      </c>
      <c r="I31" s="23">
        <f t="shared" si="231"/>
        <v>4249.2539999999999</v>
      </c>
      <c r="J31" s="23">
        <f t="shared" si="231"/>
        <v>4249.2539999999999</v>
      </c>
      <c r="K31" s="23">
        <f>K25*K26</f>
        <v>2907.5279999999998</v>
      </c>
      <c r="L31" s="23">
        <f t="shared" ref="L31:O31" si="232">L25*L26</f>
        <v>3074.45</v>
      </c>
      <c r="M31" s="23">
        <f t="shared" si="232"/>
        <v>2907.5279999999998</v>
      </c>
      <c r="N31" s="23">
        <f t="shared" si="232"/>
        <v>3097.1280000000002</v>
      </c>
      <c r="O31" s="23">
        <f t="shared" si="232"/>
        <v>3111.6439999999998</v>
      </c>
      <c r="P31" s="23">
        <f t="shared" ref="P31:AZ31" si="233">P25*P26</f>
        <v>6341.22</v>
      </c>
      <c r="Q31" s="23">
        <f t="shared" si="233"/>
        <v>9253.2839999999997</v>
      </c>
      <c r="R31" s="23">
        <f t="shared" si="233"/>
        <v>9253.2839999999997</v>
      </c>
      <c r="S31" s="23">
        <f t="shared" si="233"/>
        <v>8240</v>
      </c>
      <c r="T31" s="23">
        <f t="shared" si="233"/>
        <v>7874.3639999999996</v>
      </c>
      <c r="U31" s="23">
        <f t="shared" si="233"/>
        <v>7874.3639999999996</v>
      </c>
      <c r="V31" s="23">
        <f t="shared" si="233"/>
        <v>7874.3639999999996</v>
      </c>
      <c r="W31" s="23">
        <f t="shared" si="233"/>
        <v>7874.3639999999996</v>
      </c>
      <c r="X31" s="23">
        <f t="shared" si="233"/>
        <v>8556</v>
      </c>
      <c r="Y31" s="23">
        <f t="shared" si="233"/>
        <v>8556</v>
      </c>
      <c r="Z31" s="23">
        <f t="shared" si="233"/>
        <v>8556</v>
      </c>
      <c r="AA31" s="23">
        <f t="shared" si="233"/>
        <v>6341.22</v>
      </c>
      <c r="AB31" s="23">
        <f t="shared" si="233"/>
        <v>7520.56</v>
      </c>
      <c r="AC31" s="23">
        <f t="shared" si="233"/>
        <v>7520.56</v>
      </c>
      <c r="AD31" s="23">
        <f t="shared" si="233"/>
        <v>9253.2839999999997</v>
      </c>
      <c r="AE31" s="23">
        <f t="shared" si="233"/>
        <v>8240</v>
      </c>
      <c r="AF31" s="23">
        <f t="shared" si="233"/>
        <v>7602.2079999999996</v>
      </c>
      <c r="AG31" s="23">
        <f t="shared" si="233"/>
        <v>7874.3639999999996</v>
      </c>
      <c r="AH31" s="23">
        <f t="shared" si="233"/>
        <v>4170</v>
      </c>
      <c r="AI31" s="23">
        <f t="shared" si="233"/>
        <v>4170</v>
      </c>
      <c r="AJ31" s="23">
        <f t="shared" si="233"/>
        <v>4361.2905000000001</v>
      </c>
      <c r="AK31" s="23">
        <f t="shared" si="233"/>
        <v>4425.2460000000001</v>
      </c>
      <c r="AL31" s="23">
        <f t="shared" si="233"/>
        <v>4361.2905000000001</v>
      </c>
      <c r="AM31" s="23">
        <f t="shared" si="233"/>
        <v>4425.2460000000001</v>
      </c>
      <c r="AN31" s="23">
        <f t="shared" si="233"/>
        <v>4425.2460000000001</v>
      </c>
      <c r="AO31" s="23">
        <f t="shared" si="233"/>
        <v>4645.692</v>
      </c>
      <c r="AP31" s="23">
        <f t="shared" si="233"/>
        <v>4667.4659999999994</v>
      </c>
      <c r="AQ31" s="23">
        <f t="shared" si="233"/>
        <v>4755.915</v>
      </c>
      <c r="AR31" s="23">
        <f t="shared" si="233"/>
        <v>2907.527</v>
      </c>
      <c r="AS31" s="23">
        <f t="shared" si="233"/>
        <v>3086.2424000000001</v>
      </c>
      <c r="AT31" s="23">
        <f t="shared" si="233"/>
        <v>3086.2424000000001</v>
      </c>
      <c r="AU31" s="23">
        <f t="shared" si="233"/>
        <v>3151.56</v>
      </c>
      <c r="AV31" s="23">
        <f t="shared" si="233"/>
        <v>3151.56</v>
      </c>
      <c r="AW31" s="23">
        <f t="shared" si="233"/>
        <v>3152.4659999999999</v>
      </c>
      <c r="AX31" s="23">
        <f t="shared" si="233"/>
        <v>3152.4659999999999</v>
      </c>
      <c r="AY31" s="23">
        <f t="shared" si="233"/>
        <v>3152.4659999999999</v>
      </c>
      <c r="AZ31" s="23">
        <f t="shared" si="233"/>
        <v>3152.4659999999999</v>
      </c>
      <c r="BA31" s="23">
        <f t="shared" ref="BA31:CM31" si="234">BA25*BA26</f>
        <v>3932</v>
      </c>
      <c r="BB31" s="23">
        <f t="shared" si="234"/>
        <v>3932</v>
      </c>
      <c r="BC31" s="23">
        <f t="shared" si="234"/>
        <v>3932</v>
      </c>
      <c r="BD31" s="23">
        <f t="shared" si="234"/>
        <v>3932</v>
      </c>
      <c r="BE31" s="23">
        <f t="shared" si="234"/>
        <v>3932</v>
      </c>
      <c r="BF31" s="23">
        <f t="shared" si="234"/>
        <v>4772</v>
      </c>
      <c r="BG31" s="23">
        <f t="shared" si="234"/>
        <v>4772</v>
      </c>
      <c r="BH31" s="23">
        <f t="shared" si="234"/>
        <v>4772</v>
      </c>
      <c r="BI31" s="23">
        <f t="shared" si="234"/>
        <v>4772</v>
      </c>
      <c r="BJ31" s="23">
        <f t="shared" si="234"/>
        <v>4772</v>
      </c>
      <c r="BK31" s="23">
        <f t="shared" si="234"/>
        <v>4772</v>
      </c>
      <c r="BL31" s="23">
        <f t="shared" si="234"/>
        <v>4772</v>
      </c>
      <c r="BM31" s="23">
        <f t="shared" si="234"/>
        <v>5560</v>
      </c>
      <c r="BN31" s="23">
        <f t="shared" si="234"/>
        <v>5560</v>
      </c>
      <c r="BO31" s="23">
        <f t="shared" si="234"/>
        <v>5560</v>
      </c>
      <c r="BP31" s="23">
        <f t="shared" si="234"/>
        <v>5560</v>
      </c>
      <c r="BQ31" s="23">
        <f t="shared" si="234"/>
        <v>5560</v>
      </c>
      <c r="BR31" s="23">
        <f t="shared" si="234"/>
        <v>5560</v>
      </c>
      <c r="BS31" s="23">
        <f t="shared" si="234"/>
        <v>5560</v>
      </c>
      <c r="BT31" s="23">
        <f t="shared" si="234"/>
        <v>6442</v>
      </c>
      <c r="BU31" s="23">
        <f t="shared" si="234"/>
        <v>6442</v>
      </c>
      <c r="BV31" s="23">
        <f t="shared" si="234"/>
        <v>6968</v>
      </c>
      <c r="BW31" s="23">
        <f t="shared" si="234"/>
        <v>6898</v>
      </c>
      <c r="BX31" s="23">
        <f t="shared" si="234"/>
        <v>6442</v>
      </c>
      <c r="BY31" s="23">
        <f t="shared" si="234"/>
        <v>6442</v>
      </c>
      <c r="BZ31" s="23">
        <f t="shared" si="234"/>
        <v>6442</v>
      </c>
      <c r="CA31" s="23">
        <f t="shared" si="234"/>
        <v>6442</v>
      </c>
      <c r="CB31" s="23">
        <f t="shared" si="234"/>
        <v>6898</v>
      </c>
      <c r="CC31" s="23">
        <f t="shared" si="234"/>
        <v>6898</v>
      </c>
      <c r="CD31" s="23">
        <f t="shared" si="234"/>
        <v>8105.6956600000003</v>
      </c>
      <c r="CE31" s="23">
        <f t="shared" si="234"/>
        <v>7961.4531999999999</v>
      </c>
      <c r="CF31" s="23">
        <f t="shared" si="234"/>
        <v>8087.5519999999997</v>
      </c>
      <c r="CG31" s="23">
        <f t="shared" si="234"/>
        <v>7961.4531999999999</v>
      </c>
      <c r="CH31" s="23">
        <f t="shared" si="234"/>
        <v>8545.6802599999992</v>
      </c>
      <c r="CI31" s="23">
        <f t="shared" si="234"/>
        <v>8772.4760000000006</v>
      </c>
      <c r="CJ31" s="23">
        <f t="shared" si="234"/>
        <v>8772.4760000000006</v>
      </c>
      <c r="CK31" s="23">
        <f t="shared" si="234"/>
        <v>8545.68</v>
      </c>
      <c r="CL31" s="23">
        <f t="shared" si="234"/>
        <v>11550</v>
      </c>
      <c r="CM31" s="23">
        <f t="shared" si="234"/>
        <v>11550</v>
      </c>
      <c r="CN31" s="23">
        <f t="shared" ref="CN31:CV31" si="235">CN25*CN26</f>
        <v>7946.9380000000001</v>
      </c>
      <c r="CO31" s="23">
        <f t="shared" si="235"/>
        <v>8087.5519999999997</v>
      </c>
      <c r="CP31" s="23">
        <f t="shared" si="235"/>
        <v>7946.9380000000001</v>
      </c>
      <c r="CQ31" s="23">
        <f t="shared" si="235"/>
        <v>7946.9380000000001</v>
      </c>
      <c r="CR31" s="23">
        <f t="shared" si="235"/>
        <v>8105.6959999999999</v>
      </c>
      <c r="CS31" s="23">
        <f t="shared" si="235"/>
        <v>8600.1119999999992</v>
      </c>
      <c r="CT31" s="23">
        <f t="shared" si="235"/>
        <v>8105.6959999999999</v>
      </c>
      <c r="CU31" s="23">
        <f t="shared" si="235"/>
        <v>8545.68</v>
      </c>
      <c r="CV31" s="23">
        <f t="shared" si="235"/>
        <v>8600.1119999999992</v>
      </c>
      <c r="CW31" s="23">
        <f t="shared" ref="CW31:CZ31" si="236">CW25*CW26</f>
        <v>4910.3999999999996</v>
      </c>
      <c r="CX31" s="23">
        <f t="shared" si="236"/>
        <v>4898.7979999999998</v>
      </c>
      <c r="CY31" s="23">
        <f t="shared" si="236"/>
        <v>4910.3999999999996</v>
      </c>
      <c r="CZ31" s="23">
        <f t="shared" si="236"/>
        <v>4898.7979999999998</v>
      </c>
      <c r="DA31" s="23">
        <f t="shared" ref="DA31:DH31" si="237">DA25*DA26</f>
        <v>4910.3999999999996</v>
      </c>
      <c r="DB31" s="23">
        <f t="shared" si="237"/>
        <v>4662</v>
      </c>
      <c r="DC31" s="23">
        <f t="shared" si="237"/>
        <v>4910.3999999999996</v>
      </c>
      <c r="DD31" s="23">
        <f t="shared" si="237"/>
        <v>4808</v>
      </c>
      <c r="DE31" s="23">
        <f t="shared" si="237"/>
        <v>4808</v>
      </c>
      <c r="DF31" s="23">
        <f t="shared" si="237"/>
        <v>5980</v>
      </c>
      <c r="DG31" s="23">
        <f t="shared" si="237"/>
        <v>5980</v>
      </c>
      <c r="DH31" s="23">
        <f t="shared" si="237"/>
        <v>5715.2640000000001</v>
      </c>
      <c r="DI31" s="23">
        <f t="shared" ref="DI31:DS31" si="238">DI25*DI26</f>
        <v>4662</v>
      </c>
      <c r="DJ31" s="23">
        <f t="shared" si="238"/>
        <v>4662</v>
      </c>
      <c r="DK31" s="23">
        <f t="shared" si="238"/>
        <v>4910.3999999999996</v>
      </c>
      <c r="DL31" s="23">
        <f t="shared" si="238"/>
        <v>4808</v>
      </c>
      <c r="DM31" s="23">
        <f t="shared" si="238"/>
        <v>4808</v>
      </c>
      <c r="DN31" s="23">
        <f t="shared" si="238"/>
        <v>5980</v>
      </c>
      <c r="DO31" s="23">
        <f t="shared" si="238"/>
        <v>5980</v>
      </c>
      <c r="DP31" s="23">
        <f t="shared" si="238"/>
        <v>5715.2640000000001</v>
      </c>
      <c r="DQ31" s="23">
        <f t="shared" si="238"/>
        <v>5715.2640000000001</v>
      </c>
      <c r="DR31" s="23">
        <f t="shared" si="238"/>
        <v>5980</v>
      </c>
      <c r="DS31" s="23">
        <f t="shared" si="238"/>
        <v>5715.2640000000001</v>
      </c>
      <c r="DT31" s="23">
        <f t="shared" ref="DT31:ED31" si="239">DT25*DT26</f>
        <v>4910.3999999999996</v>
      </c>
      <c r="DU31" s="23">
        <f t="shared" si="239"/>
        <v>4808</v>
      </c>
      <c r="DV31" s="23">
        <f t="shared" si="239"/>
        <v>4910.3999999999996</v>
      </c>
      <c r="DW31" s="23">
        <f t="shared" si="239"/>
        <v>4910.3999999999996</v>
      </c>
      <c r="DX31" s="23">
        <f t="shared" si="239"/>
        <v>4808</v>
      </c>
      <c r="DY31" s="23">
        <f t="shared" si="239"/>
        <v>5980</v>
      </c>
      <c r="DZ31" s="23">
        <f t="shared" si="239"/>
        <v>5980</v>
      </c>
      <c r="EA31" s="23">
        <f t="shared" si="239"/>
        <v>5715.2640000000001</v>
      </c>
      <c r="EB31" s="23">
        <f t="shared" si="239"/>
        <v>5980</v>
      </c>
      <c r="EC31" s="23">
        <f t="shared" si="239"/>
        <v>5980</v>
      </c>
      <c r="ED31" s="23">
        <f t="shared" si="239"/>
        <v>5715.2640000000001</v>
      </c>
      <c r="EE31" s="23">
        <f>EE25*EE26</f>
        <v>2855.4546799999998</v>
      </c>
      <c r="EF31" s="23">
        <f t="shared" ref="EF31:EG31" si="240">EF25*EF26</f>
        <v>2855.4546799999998</v>
      </c>
      <c r="EG31" s="23">
        <f t="shared" si="240"/>
        <v>2855.4546799999998</v>
      </c>
      <c r="EH31" s="23">
        <f>EH25*EH26</f>
        <v>2855.4546799999998</v>
      </c>
      <c r="EI31" s="23">
        <f t="shared" ref="EI31:EJ31" si="241">EI25*EI26</f>
        <v>2855.4546799999998</v>
      </c>
      <c r="EJ31" s="23">
        <f t="shared" si="241"/>
        <v>2855.4546799999998</v>
      </c>
      <c r="EK31" s="23">
        <f t="shared" ref="EK31:EP31" si="242">EK25*EK26</f>
        <v>4158.7162799999996</v>
      </c>
      <c r="EL31" s="23">
        <f t="shared" si="242"/>
        <v>4158.7162799999996</v>
      </c>
      <c r="EM31" s="23">
        <f t="shared" si="242"/>
        <v>4158.7162799999996</v>
      </c>
      <c r="EN31" s="23">
        <f t="shared" si="242"/>
        <v>4158.7162799999996</v>
      </c>
      <c r="EO31" s="23">
        <f t="shared" si="242"/>
        <v>4158.7162799999996</v>
      </c>
      <c r="EP31" s="23">
        <f t="shared" si="242"/>
        <v>4158.7162799999996</v>
      </c>
      <c r="EQ31" s="23">
        <f t="shared" ref="EQ31:EV31" si="243">EQ25*EQ26</f>
        <v>1503.2</v>
      </c>
      <c r="ER31" s="23">
        <f t="shared" si="243"/>
        <v>1503.2</v>
      </c>
      <c r="ES31" s="23">
        <f t="shared" si="243"/>
        <v>1503.2</v>
      </c>
      <c r="ET31" s="23">
        <f t="shared" si="243"/>
        <v>1503.2</v>
      </c>
      <c r="EU31" s="23">
        <f t="shared" si="243"/>
        <v>1503.2</v>
      </c>
      <c r="EV31" s="23">
        <f t="shared" si="243"/>
        <v>1503.2</v>
      </c>
      <c r="EW31" s="23">
        <f t="shared" ref="EW31:EZ31" si="244">EW25*EW26</f>
        <v>3448</v>
      </c>
      <c r="EX31" s="23">
        <f t="shared" si="244"/>
        <v>4354</v>
      </c>
      <c r="EY31" s="23">
        <f t="shared" si="244"/>
        <v>4354</v>
      </c>
      <c r="EZ31" s="23">
        <f t="shared" si="244"/>
        <v>4354</v>
      </c>
      <c r="FA31" s="23">
        <f t="shared" ref="FA31:FE31" si="245">FA25*FA26</f>
        <v>1501.3907999999999</v>
      </c>
      <c r="FB31" s="23">
        <f t="shared" si="245"/>
        <v>1501.3907999999999</v>
      </c>
      <c r="FC31" s="23">
        <f t="shared" si="245"/>
        <v>1501.3907999999999</v>
      </c>
      <c r="FD31" s="23">
        <f t="shared" si="245"/>
        <v>1514.9985999999999</v>
      </c>
      <c r="FE31" s="23">
        <f t="shared" si="245"/>
        <v>1514.9985999999999</v>
      </c>
      <c r="FF31" s="23">
        <f t="shared" ref="FF31:FI31" si="246">FF25*FF26</f>
        <v>2522</v>
      </c>
      <c r="FG31" s="23">
        <f t="shared" si="246"/>
        <v>2522</v>
      </c>
      <c r="FH31" s="23">
        <f t="shared" si="246"/>
        <v>2522</v>
      </c>
      <c r="FI31" s="23">
        <f t="shared" si="246"/>
        <v>2522</v>
      </c>
    </row>
    <row r="32" spans="1:165">
      <c r="A32" s="1" t="s">
        <v>2632</v>
      </c>
      <c r="B32" s="3"/>
      <c r="C32" s="23">
        <f t="shared" ref="C32:D32" si="247">100*(C31/C19)</f>
        <v>7.334652345958169</v>
      </c>
      <c r="D32" s="23">
        <f t="shared" si="247"/>
        <v>6.8106661067660488</v>
      </c>
      <c r="E32" s="23">
        <f t="shared" ref="E32:J32" si="248">100*(E31/E19)</f>
        <v>6.5541761148904003</v>
      </c>
      <c r="F32" s="23">
        <f t="shared" si="248"/>
        <v>6.1846221907626973</v>
      </c>
      <c r="G32" s="23">
        <f t="shared" si="248"/>
        <v>6.1846221907626973</v>
      </c>
      <c r="H32" s="23">
        <f t="shared" si="248"/>
        <v>5.8549831209094041</v>
      </c>
      <c r="I32" s="23">
        <f t="shared" si="248"/>
        <v>6.6914224524825592</v>
      </c>
      <c r="J32" s="23">
        <f t="shared" si="248"/>
        <v>6.2662272164218731</v>
      </c>
      <c r="K32" s="23">
        <f>100*(K31/K19)</f>
        <v>7.0672273401229919</v>
      </c>
      <c r="L32" s="23">
        <f t="shared" ref="L32:O32" si="249">100*(L31/L19)</f>
        <v>6.7780374346877128</v>
      </c>
      <c r="M32" s="23">
        <f t="shared" si="249"/>
        <v>5.9351841267249119</v>
      </c>
      <c r="N32" s="23">
        <f t="shared" si="249"/>
        <v>5.9894179075614007</v>
      </c>
      <c r="O32" s="23">
        <f t="shared" si="249"/>
        <v>5.6693887218730064</v>
      </c>
      <c r="P32" s="23">
        <f t="shared" ref="P32:AZ32" si="250">100*(P31/P19)</f>
        <v>5.1221486268174479</v>
      </c>
      <c r="Q32" s="23">
        <f t="shared" si="250"/>
        <v>7.3908019169329071</v>
      </c>
      <c r="R32" s="23">
        <f t="shared" si="250"/>
        <v>6.4760812967162167</v>
      </c>
      <c r="S32" s="23">
        <f t="shared" si="250"/>
        <v>5.766915819825873</v>
      </c>
      <c r="T32" s="23">
        <f t="shared" si="250"/>
        <v>5.3414489214489214</v>
      </c>
      <c r="U32" s="23">
        <f t="shared" si="250"/>
        <v>5.3414489214489214</v>
      </c>
      <c r="V32" s="23">
        <f t="shared" si="250"/>
        <v>4.9599168556311408</v>
      </c>
      <c r="W32" s="23">
        <f t="shared" si="250"/>
        <v>4.8900588717490123</v>
      </c>
      <c r="X32" s="23">
        <f t="shared" si="250"/>
        <v>5.8038258038258039</v>
      </c>
      <c r="Y32" s="23">
        <f t="shared" si="250"/>
        <v>5.630577272368317</v>
      </c>
      <c r="Z32" s="23">
        <f t="shared" si="250"/>
        <v>5.3133616513898208</v>
      </c>
      <c r="AA32" s="23">
        <f t="shared" si="250"/>
        <v>6.0973269230769231</v>
      </c>
      <c r="AB32" s="23">
        <f t="shared" si="250"/>
        <v>7.0815065913371003</v>
      </c>
      <c r="AC32" s="23">
        <f t="shared" si="250"/>
        <v>6.4278290598290599</v>
      </c>
      <c r="AD32" s="23">
        <f t="shared" si="250"/>
        <v>6.5301933662667606</v>
      </c>
      <c r="AE32" s="23">
        <f t="shared" si="250"/>
        <v>5.8151023288637971</v>
      </c>
      <c r="AF32" s="23">
        <f t="shared" si="250"/>
        <v>5.1193319865319866</v>
      </c>
      <c r="AG32" s="23">
        <f t="shared" si="250"/>
        <v>5.1975999999999996</v>
      </c>
      <c r="AH32" s="23">
        <f t="shared" si="250"/>
        <v>7.7908975412898887</v>
      </c>
      <c r="AI32" s="23">
        <f t="shared" si="250"/>
        <v>7.5978427228336125</v>
      </c>
      <c r="AJ32" s="23">
        <f t="shared" si="250"/>
        <v>6.0072871900826446</v>
      </c>
      <c r="AK32" s="23">
        <f t="shared" si="250"/>
        <v>5.7695514993481103</v>
      </c>
      <c r="AL32" s="23">
        <f t="shared" si="250"/>
        <v>6.0072871900826446</v>
      </c>
      <c r="AM32" s="23">
        <f t="shared" si="250"/>
        <v>5.7695514993481103</v>
      </c>
      <c r="AN32" s="23">
        <f t="shared" si="250"/>
        <v>5.6372560509554148</v>
      </c>
      <c r="AO32" s="23">
        <f t="shared" si="250"/>
        <v>5.5371775923718713</v>
      </c>
      <c r="AP32" s="23">
        <f t="shared" si="250"/>
        <v>5.3959144508670516</v>
      </c>
      <c r="AQ32" s="23">
        <f t="shared" si="250"/>
        <v>5.0009621451104103</v>
      </c>
      <c r="AR32" s="23">
        <f t="shared" si="250"/>
        <v>6.223302654109589</v>
      </c>
      <c r="AS32" s="23">
        <f t="shared" si="250"/>
        <v>6.1854742960216456</v>
      </c>
      <c r="AT32" s="23">
        <f t="shared" si="250"/>
        <v>5.8908997900362667</v>
      </c>
      <c r="AU32" s="23">
        <f t="shared" si="250"/>
        <v>6.015575491506012</v>
      </c>
      <c r="AV32" s="23">
        <f t="shared" si="250"/>
        <v>5.9384963256076881</v>
      </c>
      <c r="AW32" s="23">
        <f t="shared" si="250"/>
        <v>5.5823523161920949</v>
      </c>
      <c r="AX32" s="23">
        <f t="shared" si="250"/>
        <v>5.4254642457619822</v>
      </c>
      <c r="AY32" s="23">
        <f t="shared" si="250"/>
        <v>6.0173048291658713</v>
      </c>
      <c r="AZ32" s="23">
        <f t="shared" si="250"/>
        <v>5.4254642457619822</v>
      </c>
      <c r="BA32" s="23">
        <f t="shared" ref="BA32:CM32" si="251">100*(BA31/BA19)</f>
        <v>6.9627425981017135</v>
      </c>
      <c r="BB32" s="23">
        <f t="shared" si="251"/>
        <v>6.3274435969231755</v>
      </c>
      <c r="BC32" s="23">
        <f t="shared" si="251"/>
        <v>6.2588542412810586</v>
      </c>
      <c r="BD32" s="23">
        <f t="shared" si="251"/>
        <v>6.0832031189566349</v>
      </c>
      <c r="BE32" s="23">
        <f t="shared" si="251"/>
        <v>7.5052490933384233</v>
      </c>
      <c r="BF32" s="23">
        <f t="shared" si="251"/>
        <v>8.4843097164192383</v>
      </c>
      <c r="BG32" s="23">
        <f t="shared" si="251"/>
        <v>6.8093607305936068</v>
      </c>
      <c r="BH32" s="23">
        <f t="shared" si="251"/>
        <v>6.7655315167153427</v>
      </c>
      <c r="BI32" s="23">
        <f t="shared" si="251"/>
        <v>6.0392831831527793</v>
      </c>
      <c r="BJ32" s="23">
        <f t="shared" si="251"/>
        <v>5.6049519021834877</v>
      </c>
      <c r="BK32" s="23">
        <f t="shared" si="251"/>
        <v>6.1523387138363157</v>
      </c>
      <c r="BL32" s="23">
        <f t="shared" si="251"/>
        <v>6.0393596152629252</v>
      </c>
      <c r="BM32" s="23">
        <f t="shared" si="251"/>
        <v>6.9253285171576264</v>
      </c>
      <c r="BN32" s="23">
        <f t="shared" si="251"/>
        <v>6.7276511301485886</v>
      </c>
      <c r="BO32" s="23">
        <f t="shared" si="251"/>
        <v>6.7276511301485886</v>
      </c>
      <c r="BP32" s="23">
        <f t="shared" si="251"/>
        <v>6.2957175532758116</v>
      </c>
      <c r="BQ32" s="23">
        <f t="shared" si="251"/>
        <v>6.1939508717206033</v>
      </c>
      <c r="BR32" s="23">
        <f t="shared" si="251"/>
        <v>6.7276511301485886</v>
      </c>
      <c r="BS32" s="23">
        <f t="shared" si="251"/>
        <v>6.2957175532758116</v>
      </c>
      <c r="BT32" s="23">
        <f t="shared" si="251"/>
        <v>5.6807760141093473</v>
      </c>
      <c r="BU32" s="23">
        <f t="shared" si="251"/>
        <v>5.5702550799827062</v>
      </c>
      <c r="BV32" s="23">
        <f t="shared" si="251"/>
        <v>6.4014699127239325</v>
      </c>
      <c r="BW32" s="23">
        <f t="shared" si="251"/>
        <v>5.9645482057933421</v>
      </c>
      <c r="BX32" s="23">
        <f t="shared" si="251"/>
        <v>5.6807760141093473</v>
      </c>
      <c r="BY32" s="23">
        <f t="shared" si="251"/>
        <v>5.5225032147449635</v>
      </c>
      <c r="BZ32" s="23">
        <f t="shared" si="251"/>
        <v>5.2600636890667101</v>
      </c>
      <c r="CA32" s="23">
        <f t="shared" si="251"/>
        <v>5.2600636890667101</v>
      </c>
      <c r="CB32" s="23">
        <f t="shared" si="251"/>
        <v>5.6323997713725804</v>
      </c>
      <c r="CC32" s="23">
        <f t="shared" si="251"/>
        <v>5.6323997713725804</v>
      </c>
      <c r="CD32" s="23">
        <f t="shared" si="251"/>
        <v>6.3368818337463741</v>
      </c>
      <c r="CE32" s="23">
        <f t="shared" si="251"/>
        <v>5.8506541836299766</v>
      </c>
      <c r="CF32" s="23">
        <f t="shared" si="251"/>
        <v>5.7515979916651254</v>
      </c>
      <c r="CG32" s="23">
        <f t="shared" si="251"/>
        <v>5.5720477036995568</v>
      </c>
      <c r="CH32" s="23">
        <f t="shared" si="251"/>
        <v>6.0774035729017015</v>
      </c>
      <c r="CI32" s="23">
        <f t="shared" si="251"/>
        <v>6.1396648983076947</v>
      </c>
      <c r="CJ32" s="23">
        <f t="shared" si="251"/>
        <v>5.7731129157508203</v>
      </c>
      <c r="CK32" s="23">
        <f t="shared" si="251"/>
        <v>5.3675185759777904</v>
      </c>
      <c r="CL32" s="23">
        <f t="shared" si="251"/>
        <v>6.7008963536680888</v>
      </c>
      <c r="CM32" s="23">
        <f t="shared" si="251"/>
        <v>6.5796969351714711</v>
      </c>
      <c r="CN32" s="23">
        <f t="shared" ref="CN32:CV32" si="252">100*(CN31/CN19)</f>
        <v>6.0204075757575763</v>
      </c>
      <c r="CO32" s="23">
        <f t="shared" si="252"/>
        <v>6.1269333333333327</v>
      </c>
      <c r="CP32" s="23">
        <f t="shared" si="252"/>
        <v>5.7337215007215008</v>
      </c>
      <c r="CQ32" s="23">
        <f t="shared" si="252"/>
        <v>5.5964352112676057</v>
      </c>
      <c r="CR32" s="23">
        <f t="shared" si="252"/>
        <v>5.7082366197183099</v>
      </c>
      <c r="CS32" s="23">
        <f t="shared" si="252"/>
        <v>5.7334079999999998</v>
      </c>
      <c r="CT32" s="23">
        <f t="shared" si="252"/>
        <v>5.2978405228758172</v>
      </c>
      <c r="CU32" s="23">
        <f t="shared" si="252"/>
        <v>5.3410500000000001</v>
      </c>
      <c r="CV32" s="23">
        <f t="shared" si="252"/>
        <v>5.243970731707317</v>
      </c>
      <c r="CW32" s="23">
        <f t="shared" ref="CW32:CZ32" si="253">100*(CW31/CW19)</f>
        <v>8.322711864406779</v>
      </c>
      <c r="CX32" s="23">
        <f t="shared" si="253"/>
        <v>8.3030474576271178</v>
      </c>
      <c r="CY32" s="23">
        <f t="shared" si="253"/>
        <v>7.2211764705882349</v>
      </c>
      <c r="CZ32" s="23">
        <f t="shared" si="253"/>
        <v>7.2041147058823531</v>
      </c>
      <c r="DA32" s="23">
        <f t="shared" ref="DA32:DH32" si="254">100*(DA31/DA19)</f>
        <v>7.6724999999999985</v>
      </c>
      <c r="DB32" s="23">
        <f t="shared" si="254"/>
        <v>6.1748344370860933</v>
      </c>
      <c r="DC32" s="23">
        <f t="shared" si="254"/>
        <v>6.5038410596026486</v>
      </c>
      <c r="DD32" s="23">
        <f t="shared" si="254"/>
        <v>6.3682119205298013</v>
      </c>
      <c r="DE32" s="23">
        <f t="shared" si="254"/>
        <v>6.3682119205298013</v>
      </c>
      <c r="DF32" s="23">
        <f t="shared" si="254"/>
        <v>9.34375</v>
      </c>
      <c r="DG32" s="23">
        <f t="shared" si="254"/>
        <v>7.9205298013245038</v>
      </c>
      <c r="DH32" s="23">
        <f t="shared" si="254"/>
        <v>8.9301000000000013</v>
      </c>
      <c r="DI32" s="23">
        <f t="shared" ref="DI32:DS32" si="255">100*(DI31/DI19)</f>
        <v>6.3428571428571434</v>
      </c>
      <c r="DJ32" s="23">
        <f t="shared" si="255"/>
        <v>6.3428571428571434</v>
      </c>
      <c r="DK32" s="23">
        <f t="shared" si="255"/>
        <v>6.2953846153846156</v>
      </c>
      <c r="DL32" s="23">
        <f t="shared" si="255"/>
        <v>6.5414965986394558</v>
      </c>
      <c r="DM32" s="23">
        <f t="shared" si="255"/>
        <v>6.1641025641025644</v>
      </c>
      <c r="DN32" s="23">
        <f t="shared" si="255"/>
        <v>8.1360544217687067</v>
      </c>
      <c r="DO32" s="23">
        <f t="shared" si="255"/>
        <v>7.5696202531645564</v>
      </c>
      <c r="DP32" s="23">
        <f t="shared" si="255"/>
        <v>7.2345113924050626</v>
      </c>
      <c r="DQ32" s="23">
        <f t="shared" si="255"/>
        <v>7.7758693877551019</v>
      </c>
      <c r="DR32" s="23">
        <f t="shared" si="255"/>
        <v>7.5696202531645564</v>
      </c>
      <c r="DS32" s="23">
        <f t="shared" si="255"/>
        <v>7.2345113924050626</v>
      </c>
      <c r="DT32" s="23">
        <f t="shared" ref="DT32:EC32" si="256">100*(DT31/DT19)</f>
        <v>5.9161445783132525</v>
      </c>
      <c r="DU32" s="23">
        <f t="shared" si="256"/>
        <v>5.7927710843373497</v>
      </c>
      <c r="DV32" s="23">
        <f t="shared" si="256"/>
        <v>5.5173033707865162</v>
      </c>
      <c r="DW32" s="23">
        <f t="shared" si="256"/>
        <v>5.2517647058823522</v>
      </c>
      <c r="DX32" s="23">
        <f t="shared" si="256"/>
        <v>5.1422459893048122</v>
      </c>
      <c r="DY32" s="23">
        <f t="shared" si="256"/>
        <v>6.7191011235955056</v>
      </c>
      <c r="DZ32" s="23">
        <f t="shared" si="256"/>
        <v>6.3957219251336905</v>
      </c>
      <c r="EA32" s="23">
        <f t="shared" si="256"/>
        <v>6.1125818181818188</v>
      </c>
      <c r="EB32" s="23">
        <f t="shared" si="256"/>
        <v>6.1649484536082477</v>
      </c>
      <c r="EC32" s="23">
        <f t="shared" si="256"/>
        <v>5.9207920792079207</v>
      </c>
      <c r="ED32" s="23">
        <f>100*(ED31/ED19)</f>
        <v>5.658677227722773</v>
      </c>
      <c r="EE32" s="23">
        <f>100*(EE31/EE19)</f>
        <v>7.9340224506807449</v>
      </c>
      <c r="EF32" s="23">
        <f t="shared" ref="EF32:EG32" si="257">100*(EF31/EF19)</f>
        <v>7.6759534408602139</v>
      </c>
      <c r="EG32" s="23">
        <f t="shared" si="257"/>
        <v>7.3975509844559584</v>
      </c>
      <c r="EH32" s="23">
        <f>100*(EH31/EH19)</f>
        <v>7.6145458133333328</v>
      </c>
      <c r="EI32" s="23">
        <f t="shared" ref="EI32" si="258">100*(EI31/EI19)</f>
        <v>7.3613165248775454</v>
      </c>
      <c r="EJ32" s="23">
        <f t="shared" ref="EJ32" si="259">100*(EJ31/EJ19)</f>
        <v>7.0732095120138716</v>
      </c>
      <c r="EK32" s="23">
        <f t="shared" ref="EK32:EP32" si="260">100*(EK31/EK19)</f>
        <v>8.7020637790332707</v>
      </c>
      <c r="EL32" s="23">
        <f t="shared" si="260"/>
        <v>8.2678256063618285</v>
      </c>
      <c r="EM32" s="23">
        <f t="shared" si="260"/>
        <v>8.0284098069498064</v>
      </c>
      <c r="EN32" s="23">
        <f t="shared" si="260"/>
        <v>8.5237062512809985</v>
      </c>
      <c r="EO32" s="23">
        <f t="shared" si="260"/>
        <v>8.1880611931482559</v>
      </c>
      <c r="EP32" s="23">
        <f t="shared" si="260"/>
        <v>7.9531770510613873</v>
      </c>
      <c r="EQ32" s="23">
        <f t="shared" ref="EQ32:EV32" si="261">100*(EQ31/EQ19)</f>
        <v>7.9115789473684206</v>
      </c>
      <c r="ER32" s="23">
        <f t="shared" si="261"/>
        <v>7.516</v>
      </c>
      <c r="ES32" s="23">
        <f t="shared" si="261"/>
        <v>7.1241706161137435</v>
      </c>
      <c r="ET32" s="23">
        <f t="shared" si="261"/>
        <v>7.1615054787994277</v>
      </c>
      <c r="EU32" s="23">
        <f t="shared" si="261"/>
        <v>6.8327272727272721</v>
      </c>
      <c r="EV32" s="23">
        <f t="shared" si="261"/>
        <v>6.237344398340249</v>
      </c>
      <c r="EW32" s="23">
        <f t="shared" ref="EW32" si="262">100*(EW31/EW19)</f>
        <v>7.7309417040358746</v>
      </c>
      <c r="EX32" s="23">
        <f t="shared" ref="EX32" si="263">100*(EX31/EX19)</f>
        <v>7.7198581560283683</v>
      </c>
      <c r="EY32" s="23">
        <f t="shared" ref="EY32" si="264">100*(EY31/EY19)</f>
        <v>7.7198581560283683</v>
      </c>
      <c r="EZ32" s="23">
        <f t="shared" ref="EZ32:FE32" si="265">100*(EZ31/EZ19)</f>
        <v>7.079674796747967</v>
      </c>
      <c r="FA32" s="23">
        <f t="shared" si="265"/>
        <v>6.9757505923895362</v>
      </c>
      <c r="FB32" s="23">
        <f t="shared" si="265"/>
        <v>6.4902554791855787</v>
      </c>
      <c r="FC32" s="23">
        <f t="shared" si="265"/>
        <v>6.245126242668773</v>
      </c>
      <c r="FD32" s="23">
        <f t="shared" si="265"/>
        <v>6.5490796697358746</v>
      </c>
      <c r="FE32" s="23">
        <f t="shared" si="265"/>
        <v>6.3017287134478597</v>
      </c>
      <c r="FF32" s="23">
        <f t="shared" ref="FF32:FI32" si="266">100*(FF31/FF19)</f>
        <v>7.6426558380556981</v>
      </c>
      <c r="FG32" s="23">
        <f t="shared" si="266"/>
        <v>6.5798742466539686</v>
      </c>
      <c r="FH32" s="23">
        <f t="shared" si="266"/>
        <v>6.5798742466539686</v>
      </c>
      <c r="FI32" s="23">
        <f t="shared" si="266"/>
        <v>6.0566762728146015</v>
      </c>
    </row>
    <row r="33" spans="1:165">
      <c r="A33" s="52" t="s">
        <v>2633</v>
      </c>
      <c r="C33" s="23">
        <v>1208.8</v>
      </c>
      <c r="D33" s="23">
        <v>1208.8</v>
      </c>
      <c r="E33" s="23">
        <v>1209</v>
      </c>
      <c r="F33" s="23">
        <v>1209</v>
      </c>
      <c r="G33" s="23">
        <v>1209</v>
      </c>
      <c r="H33" s="23">
        <v>1209</v>
      </c>
      <c r="I33" s="23">
        <v>1209</v>
      </c>
      <c r="J33" s="23">
        <v>1209</v>
      </c>
      <c r="K33" s="23">
        <v>1000.7</v>
      </c>
      <c r="L33" s="23">
        <v>1000.7</v>
      </c>
      <c r="M33" s="23">
        <v>1000.7</v>
      </c>
      <c r="N33" s="23">
        <v>1000.7</v>
      </c>
      <c r="O33" s="23">
        <v>1000.7</v>
      </c>
      <c r="P33" s="23">
        <v>2773</v>
      </c>
      <c r="Q33" s="23">
        <v>2773</v>
      </c>
      <c r="R33" s="23">
        <v>2773</v>
      </c>
      <c r="S33" s="23">
        <v>2773</v>
      </c>
      <c r="T33" s="23">
        <v>2773</v>
      </c>
      <c r="U33" s="23">
        <v>2884</v>
      </c>
      <c r="V33" s="23">
        <v>2927</v>
      </c>
      <c r="W33" s="23">
        <v>2927</v>
      </c>
      <c r="X33" s="23">
        <v>2884</v>
      </c>
      <c r="Y33" s="23">
        <v>2927</v>
      </c>
      <c r="Z33" s="23">
        <v>2927</v>
      </c>
      <c r="AA33" s="60">
        <v>2433.5810000000001</v>
      </c>
      <c r="AB33" s="60">
        <v>2521.5500000000002</v>
      </c>
      <c r="AC33" s="60">
        <v>2521.5500000000002</v>
      </c>
      <c r="AD33" s="23">
        <v>3050</v>
      </c>
      <c r="AE33" s="23">
        <v>3050</v>
      </c>
      <c r="AF33" s="23">
        <v>3050</v>
      </c>
      <c r="AG33" s="23">
        <v>3050</v>
      </c>
      <c r="AH33" s="23">
        <v>1000.7</v>
      </c>
      <c r="AI33" s="23">
        <v>1000.7</v>
      </c>
      <c r="AJ33" s="23">
        <v>1700</v>
      </c>
      <c r="AK33" s="23">
        <v>1700</v>
      </c>
      <c r="AL33" s="23">
        <v>1700</v>
      </c>
      <c r="AM33" s="23">
        <v>1700</v>
      </c>
      <c r="AN33" s="23">
        <v>1700</v>
      </c>
      <c r="AO33" s="23">
        <v>1700</v>
      </c>
      <c r="AP33" s="23">
        <v>1700</v>
      </c>
      <c r="AQ33" s="23">
        <v>1700</v>
      </c>
      <c r="AR33" s="61">
        <v>1098</v>
      </c>
      <c r="AS33" s="61">
        <v>1098</v>
      </c>
      <c r="AT33" s="61">
        <v>1098</v>
      </c>
      <c r="AU33" s="61">
        <v>1098</v>
      </c>
      <c r="AV33" s="61">
        <v>1098</v>
      </c>
      <c r="AW33" s="61">
        <v>1098</v>
      </c>
      <c r="AX33" s="61">
        <v>1098</v>
      </c>
      <c r="AY33" s="61">
        <v>1098</v>
      </c>
      <c r="AZ33" s="61">
        <v>1098</v>
      </c>
      <c r="BA33" s="61">
        <v>1134</v>
      </c>
      <c r="BB33" s="61">
        <v>1134</v>
      </c>
      <c r="BC33" s="61">
        <v>1134</v>
      </c>
      <c r="BD33" s="61">
        <v>1134</v>
      </c>
      <c r="BE33" s="61">
        <v>1134</v>
      </c>
      <c r="BF33" s="23">
        <v>1345.5</v>
      </c>
      <c r="BG33" s="23">
        <v>1345.5</v>
      </c>
      <c r="BH33" s="23">
        <v>1345.5</v>
      </c>
      <c r="BI33" s="23">
        <v>1345.5</v>
      </c>
      <c r="BJ33" s="23">
        <v>1345.5</v>
      </c>
      <c r="BK33" s="23">
        <v>1345.5</v>
      </c>
      <c r="BL33" s="23">
        <v>1345.5</v>
      </c>
      <c r="BM33" s="61">
        <v>1370</v>
      </c>
      <c r="BN33" s="61">
        <v>1370</v>
      </c>
      <c r="BO33" s="61">
        <v>1370</v>
      </c>
      <c r="BP33" s="61">
        <v>1370</v>
      </c>
      <c r="BQ33" s="61">
        <v>1370</v>
      </c>
      <c r="BR33" s="61">
        <v>1370</v>
      </c>
      <c r="BS33" s="61">
        <v>1370</v>
      </c>
      <c r="BT33" s="23">
        <v>1994</v>
      </c>
      <c r="BU33" s="23">
        <v>1994</v>
      </c>
      <c r="BV33" s="23">
        <v>1994</v>
      </c>
      <c r="BW33" s="23">
        <v>1994</v>
      </c>
      <c r="BX33" s="23">
        <v>1994</v>
      </c>
      <c r="BY33" s="23">
        <v>1994</v>
      </c>
      <c r="BZ33" s="23">
        <v>1994</v>
      </c>
      <c r="CA33" s="23">
        <v>1994</v>
      </c>
      <c r="CB33" s="23">
        <v>1994</v>
      </c>
      <c r="CC33" s="23">
        <v>1994</v>
      </c>
      <c r="CD33" s="23">
        <v>3050</v>
      </c>
      <c r="CE33" s="23">
        <v>3050</v>
      </c>
      <c r="CF33" s="23">
        <v>3050</v>
      </c>
      <c r="CG33" s="23">
        <v>3050</v>
      </c>
      <c r="CH33" s="23">
        <v>3050</v>
      </c>
      <c r="CI33" s="23">
        <v>3050</v>
      </c>
      <c r="CJ33" s="23">
        <v>3050</v>
      </c>
      <c r="CK33" s="23">
        <v>3050</v>
      </c>
      <c r="CL33" s="23">
        <v>3050</v>
      </c>
      <c r="CM33" s="23">
        <v>3050</v>
      </c>
      <c r="CN33" s="23">
        <v>2357.3000000000002</v>
      </c>
      <c r="CO33" s="23">
        <v>2357.3000000000002</v>
      </c>
      <c r="CP33" s="23">
        <v>2357.3000000000002</v>
      </c>
      <c r="CQ33" s="23">
        <v>2357.3000000000002</v>
      </c>
      <c r="CR33" s="23">
        <v>2357.3000000000002</v>
      </c>
      <c r="CS33" s="23">
        <v>2357.3000000000002</v>
      </c>
      <c r="CT33" s="23">
        <v>2357.3000000000002</v>
      </c>
      <c r="CU33" s="23">
        <v>2357.3000000000002</v>
      </c>
      <c r="CV33" s="23">
        <v>2357.3000000000002</v>
      </c>
      <c r="CW33" s="23">
        <v>1317.5</v>
      </c>
      <c r="CX33" s="23">
        <v>1317.5</v>
      </c>
      <c r="CY33" s="23">
        <v>1317.5</v>
      </c>
      <c r="CZ33" s="23">
        <v>1317.5</v>
      </c>
      <c r="DA33" s="23">
        <v>1317.5</v>
      </c>
      <c r="DB33" s="23">
        <v>1317.5</v>
      </c>
      <c r="DC33" s="23">
        <v>1317.5</v>
      </c>
      <c r="DD33" s="23">
        <v>1317.5</v>
      </c>
      <c r="DE33" s="23">
        <v>1317.5</v>
      </c>
      <c r="DF33" s="23">
        <v>1317.5</v>
      </c>
      <c r="DG33" s="23">
        <v>1317.5</v>
      </c>
      <c r="DH33" s="23">
        <v>1317.5</v>
      </c>
      <c r="DI33" s="23">
        <v>1317.5</v>
      </c>
      <c r="DJ33" s="23">
        <v>1317.5</v>
      </c>
      <c r="DK33" s="23">
        <v>1317.5</v>
      </c>
      <c r="DL33" s="23">
        <v>1317.5</v>
      </c>
      <c r="DM33" s="23">
        <v>1317.5</v>
      </c>
      <c r="DN33" s="23">
        <v>1317.5</v>
      </c>
      <c r="DO33" s="23">
        <v>1317.5</v>
      </c>
      <c r="DP33" s="23">
        <v>1317.5</v>
      </c>
      <c r="DQ33" s="23">
        <v>1317.5</v>
      </c>
      <c r="DR33" s="23">
        <v>1317.5</v>
      </c>
      <c r="DS33" s="23">
        <v>1317.5</v>
      </c>
      <c r="DT33" s="23">
        <v>1317.5</v>
      </c>
      <c r="DU33" s="23">
        <v>1317.5</v>
      </c>
      <c r="DV33" s="23">
        <v>1317.5</v>
      </c>
      <c r="DW33" s="23">
        <v>1317.5</v>
      </c>
      <c r="DX33" s="23">
        <v>1317.5</v>
      </c>
      <c r="DY33" s="23">
        <v>1317.5</v>
      </c>
      <c r="DZ33" s="23">
        <v>1317.5</v>
      </c>
      <c r="EA33" s="23">
        <v>1317.5</v>
      </c>
      <c r="EB33" s="23">
        <v>1317.5</v>
      </c>
      <c r="EC33" s="23">
        <v>1317.5</v>
      </c>
      <c r="ED33" s="23">
        <v>1317.5</v>
      </c>
      <c r="EE33" s="23">
        <v>782.8</v>
      </c>
      <c r="EF33" s="23">
        <v>782.8</v>
      </c>
      <c r="EG33" s="23">
        <v>782.8</v>
      </c>
      <c r="EH33" s="23">
        <v>782.8</v>
      </c>
      <c r="EI33" s="23">
        <v>782.8</v>
      </c>
      <c r="EJ33" s="23">
        <v>782.8</v>
      </c>
      <c r="EK33" s="23">
        <v>996</v>
      </c>
      <c r="EL33" s="23">
        <v>996</v>
      </c>
      <c r="EM33" s="23">
        <v>996</v>
      </c>
      <c r="EN33" s="23">
        <v>996</v>
      </c>
      <c r="EO33" s="23">
        <v>996</v>
      </c>
      <c r="EP33" s="23">
        <v>996</v>
      </c>
      <c r="EQ33" s="23">
        <v>551</v>
      </c>
      <c r="ER33" s="23">
        <v>551</v>
      </c>
      <c r="ES33" s="23">
        <v>551</v>
      </c>
      <c r="ET33" s="23">
        <v>551</v>
      </c>
      <c r="EU33" s="23">
        <v>551</v>
      </c>
      <c r="EV33" s="23">
        <v>551</v>
      </c>
      <c r="EW33" s="60">
        <f xml:space="preserve"> (101.71^2)/11</f>
        <v>940.4476454545453</v>
      </c>
      <c r="EX33" s="23">
        <v>1110</v>
      </c>
      <c r="EY33" s="23">
        <v>1110</v>
      </c>
      <c r="EZ33" s="23">
        <v>1110</v>
      </c>
      <c r="FA33" s="23">
        <v>521</v>
      </c>
      <c r="FB33" s="23">
        <v>521</v>
      </c>
      <c r="FC33" s="23">
        <v>521</v>
      </c>
      <c r="FD33" s="23">
        <v>521</v>
      </c>
      <c r="FE33" s="23">
        <v>521</v>
      </c>
      <c r="FF33" s="23">
        <v>760</v>
      </c>
      <c r="FG33" s="23">
        <v>765</v>
      </c>
      <c r="FH33" s="23">
        <v>765</v>
      </c>
      <c r="FI33" s="23">
        <v>833</v>
      </c>
    </row>
    <row r="34" spans="1:165">
      <c r="A34" s="52" t="s">
        <v>2634</v>
      </c>
      <c r="C34" s="32"/>
      <c r="D34" s="32"/>
      <c r="E34" s="32"/>
      <c r="F34" s="32"/>
      <c r="G34" s="32"/>
      <c r="H34" s="32"/>
      <c r="I34" s="32"/>
      <c r="J34" s="32"/>
      <c r="K34" s="32"/>
      <c r="L34" s="32"/>
      <c r="M34" s="32"/>
      <c r="N34" s="32"/>
      <c r="O34" s="32"/>
      <c r="P34" s="59"/>
      <c r="Q34" s="59"/>
      <c r="R34" s="59"/>
      <c r="S34" s="59"/>
      <c r="T34" s="59"/>
      <c r="U34" s="59"/>
      <c r="V34" s="59"/>
      <c r="W34" s="59"/>
      <c r="X34" s="59"/>
      <c r="Y34" s="59"/>
      <c r="Z34" s="59"/>
      <c r="AA34" s="23">
        <v>4.7699999999999996</v>
      </c>
      <c r="AB34" s="23">
        <v>3.25</v>
      </c>
      <c r="AC34" s="32"/>
      <c r="AD34" s="32"/>
      <c r="AE34" s="32"/>
      <c r="AF34" s="32"/>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2"/>
      <c r="BK34" s="32"/>
      <c r="BL34" s="32"/>
      <c r="BM34" s="32"/>
      <c r="BN34" s="32"/>
      <c r="BO34" s="32"/>
      <c r="BP34" s="32"/>
      <c r="BQ34" s="32"/>
      <c r="BR34" s="32"/>
      <c r="BS34" s="32"/>
      <c r="BT34" s="32"/>
      <c r="BU34" s="32"/>
      <c r="BV34" s="32"/>
      <c r="BW34" s="32"/>
      <c r="BX34" s="32"/>
      <c r="BY34" s="32"/>
      <c r="BZ34" s="32"/>
      <c r="CA34" s="32"/>
      <c r="CB34" s="32"/>
      <c r="CC34" s="32"/>
      <c r="CD34" s="32"/>
      <c r="CE34" s="32"/>
      <c r="CF34" s="32"/>
      <c r="CG34" s="32"/>
      <c r="CH34" s="32"/>
      <c r="CI34" s="32"/>
      <c r="CJ34" s="32"/>
      <c r="CK34" s="32"/>
      <c r="CL34" s="32"/>
      <c r="CM34" s="32"/>
      <c r="CN34" s="32"/>
      <c r="CO34" s="32"/>
      <c r="CP34" s="32"/>
      <c r="CQ34" s="32"/>
      <c r="CR34" s="32"/>
      <c r="CS34" s="32"/>
      <c r="CT34" s="32"/>
      <c r="CU34" s="32"/>
      <c r="CV34" s="32"/>
      <c r="CW34" s="32"/>
      <c r="CX34" s="32"/>
      <c r="CY34" s="32"/>
      <c r="CZ34" s="32"/>
      <c r="DA34" s="32"/>
      <c r="DB34" s="32"/>
      <c r="DC34" s="32"/>
      <c r="DD34" s="32"/>
      <c r="DE34" s="32"/>
      <c r="DF34" s="32"/>
      <c r="DG34" s="32"/>
      <c r="DH34" s="32"/>
      <c r="DI34" s="32"/>
      <c r="DJ34" s="32"/>
      <c r="DK34" s="32"/>
      <c r="DL34" s="32"/>
      <c r="DM34" s="32"/>
      <c r="DN34" s="32"/>
      <c r="DO34" s="32"/>
      <c r="DP34" s="32"/>
      <c r="DQ34" s="32"/>
      <c r="DR34" s="32"/>
      <c r="DS34" s="32"/>
      <c r="DT34" s="32"/>
      <c r="DU34" s="32"/>
      <c r="DV34" s="32"/>
      <c r="DW34" s="32"/>
      <c r="DX34" s="32"/>
      <c r="DY34" s="32"/>
      <c r="DZ34" s="32"/>
      <c r="EA34" s="32"/>
      <c r="EB34" s="32"/>
      <c r="EC34" s="32"/>
      <c r="ED34" s="32"/>
      <c r="EE34" s="32"/>
      <c r="EF34" s="32"/>
      <c r="EG34" s="32"/>
      <c r="EH34" s="32"/>
      <c r="EI34" s="32"/>
      <c r="EJ34" s="32"/>
      <c r="EK34" s="32"/>
      <c r="EL34" s="32"/>
      <c r="EM34" s="32"/>
      <c r="EN34" s="32"/>
      <c r="EO34" s="32"/>
      <c r="EP34" s="32"/>
      <c r="EQ34" s="32"/>
      <c r="ER34" s="32"/>
      <c r="ES34" s="32"/>
      <c r="ET34" s="32"/>
      <c r="EU34" s="32"/>
      <c r="EV34" s="32"/>
      <c r="EW34" s="32"/>
      <c r="EX34" s="32"/>
      <c r="EY34" s="32"/>
      <c r="EZ34" s="32"/>
      <c r="FA34" s="32"/>
      <c r="FB34" s="32"/>
      <c r="FC34" s="32"/>
      <c r="FD34" s="32"/>
      <c r="FE34" s="32"/>
      <c r="FF34" s="32"/>
      <c r="FG34" s="32"/>
      <c r="FH34" s="32"/>
      <c r="FI34" s="32"/>
    </row>
    <row r="35" spans="1:165">
      <c r="A35" s="6" t="s">
        <v>2635</v>
      </c>
      <c r="C35" s="23">
        <v>129.03</v>
      </c>
      <c r="D35" s="23">
        <v>129.03</v>
      </c>
      <c r="E35" s="23">
        <v>112.99</v>
      </c>
      <c r="F35" s="23">
        <v>120.66</v>
      </c>
      <c r="G35" s="23">
        <v>129.13999999999999</v>
      </c>
      <c r="H35" s="23">
        <v>129.13999999999999</v>
      </c>
      <c r="I35" s="23">
        <v>112.99</v>
      </c>
      <c r="J35" s="23">
        <v>120.66</v>
      </c>
      <c r="K35" s="32"/>
      <c r="L35" s="32"/>
      <c r="M35" s="32"/>
      <c r="N35" s="32"/>
      <c r="O35" s="32"/>
      <c r="P35" s="23">
        <v>98.5</v>
      </c>
      <c r="Q35" s="23">
        <v>99.6</v>
      </c>
      <c r="R35" s="23">
        <v>109.2</v>
      </c>
      <c r="S35" s="23">
        <v>109.2</v>
      </c>
      <c r="T35" s="23">
        <v>109.2</v>
      </c>
      <c r="U35" s="32"/>
      <c r="V35" s="32"/>
      <c r="W35" s="32"/>
      <c r="X35" s="32"/>
      <c r="Y35" s="32"/>
      <c r="Z35" s="32"/>
      <c r="AA35" s="23">
        <v>94.1</v>
      </c>
      <c r="AB35" s="23">
        <v>92.8</v>
      </c>
      <c r="AC35" s="64">
        <f t="shared" ref="AC35:AQ35" si="267">2.20462*AC19/AC33</f>
        <v>102.29443794491482</v>
      </c>
      <c r="AD35" s="64">
        <f t="shared" si="267"/>
        <v>102.42447672131146</v>
      </c>
      <c r="AE35" s="64">
        <f t="shared" si="267"/>
        <v>102.42447672131146</v>
      </c>
      <c r="AF35" s="64">
        <f t="shared" si="267"/>
        <v>107.33969508196719</v>
      </c>
      <c r="AG35" s="64">
        <f t="shared" si="267"/>
        <v>109.50817377049179</v>
      </c>
      <c r="AH35" s="64">
        <f t="shared" si="267"/>
        <v>117.9175386029779</v>
      </c>
      <c r="AI35" s="64">
        <f t="shared" si="267"/>
        <v>120.91372447286898</v>
      </c>
      <c r="AJ35" s="64">
        <f t="shared" si="267"/>
        <v>94.150242352941163</v>
      </c>
      <c r="AK35" s="64">
        <f t="shared" si="267"/>
        <v>99.467267058823523</v>
      </c>
      <c r="AL35" s="64">
        <f t="shared" si="267"/>
        <v>94.150242352941163</v>
      </c>
      <c r="AM35" s="64">
        <f t="shared" si="267"/>
        <v>99.467267058823523</v>
      </c>
      <c r="AN35" s="64">
        <f t="shared" si="267"/>
        <v>101.80157058823528</v>
      </c>
      <c r="AO35" s="64">
        <f t="shared" si="267"/>
        <v>108.80448117647057</v>
      </c>
      <c r="AP35" s="64">
        <f t="shared" si="267"/>
        <v>112.17625294117646</v>
      </c>
      <c r="AQ35" s="64">
        <f t="shared" si="267"/>
        <v>123.32903647058824</v>
      </c>
      <c r="AR35" s="64">
        <f t="shared" ref="AR35:DC35" si="268">2.20462*AR19/AR33</f>
        <v>93.806781785063748</v>
      </c>
      <c r="AS35" s="64">
        <f t="shared" si="268"/>
        <v>100.18170755919854</v>
      </c>
      <c r="AT35" s="64">
        <f t="shared" si="268"/>
        <v>105.19129489981785</v>
      </c>
      <c r="AU35" s="64">
        <f t="shared" si="268"/>
        <v>105.19129489981785</v>
      </c>
      <c r="AV35" s="64">
        <f t="shared" si="268"/>
        <v>106.55663333333332</v>
      </c>
      <c r="AW35" s="64">
        <f t="shared" si="268"/>
        <v>113.38734120218578</v>
      </c>
      <c r="AX35" s="64">
        <f t="shared" si="268"/>
        <v>116.66616129326046</v>
      </c>
      <c r="AY35" s="64">
        <f t="shared" si="268"/>
        <v>105.19129489981785</v>
      </c>
      <c r="AZ35" s="64">
        <f t="shared" si="268"/>
        <v>116.66616129326046</v>
      </c>
      <c r="BA35" s="64">
        <f t="shared" si="268"/>
        <v>109.78774306878306</v>
      </c>
      <c r="BB35" s="64">
        <f t="shared" si="268"/>
        <v>120.81084306878307</v>
      </c>
      <c r="BC35" s="64">
        <f t="shared" si="268"/>
        <v>122.13478153439151</v>
      </c>
      <c r="BD35" s="64">
        <f t="shared" si="268"/>
        <v>125.66139589065256</v>
      </c>
      <c r="BE35" s="64">
        <f t="shared" si="268"/>
        <v>101.85188871252204</v>
      </c>
      <c r="BF35" s="64">
        <f t="shared" si="268"/>
        <v>92.15819539204756</v>
      </c>
      <c r="BG35" s="64">
        <f t="shared" si="268"/>
        <v>114.82703054626533</v>
      </c>
      <c r="BH35" s="64">
        <f t="shared" si="268"/>
        <v>115.57091570419917</v>
      </c>
      <c r="BI35" s="64">
        <f t="shared" si="268"/>
        <v>129.46878775176512</v>
      </c>
      <c r="BJ35" s="64">
        <f t="shared" si="268"/>
        <v>139.50140630248978</v>
      </c>
      <c r="BK35" s="64">
        <f t="shared" si="268"/>
        <v>127.08966605722779</v>
      </c>
      <c r="BL35" s="64">
        <f t="shared" si="268"/>
        <v>129.46714923820139</v>
      </c>
      <c r="BM35" s="64">
        <f t="shared" si="268"/>
        <v>129.19555963503649</v>
      </c>
      <c r="BN35" s="64">
        <f t="shared" si="268"/>
        <v>132.99168998540145</v>
      </c>
      <c r="BO35" s="64">
        <f t="shared" si="268"/>
        <v>132.99168998540145</v>
      </c>
      <c r="BP35" s="64">
        <f t="shared" si="268"/>
        <v>142.11592020437956</v>
      </c>
      <c r="BQ35" s="64">
        <f t="shared" si="268"/>
        <v>144.45088635036495</v>
      </c>
      <c r="BR35" s="64">
        <f t="shared" si="268"/>
        <v>132.99168998540145</v>
      </c>
      <c r="BS35" s="64">
        <f t="shared" si="268"/>
        <v>142.11592020437956</v>
      </c>
      <c r="BT35" s="64">
        <f t="shared" si="268"/>
        <v>125.37808826479437</v>
      </c>
      <c r="BU35" s="64">
        <f t="shared" si="268"/>
        <v>127.86574874623871</v>
      </c>
      <c r="BV35" s="64">
        <f t="shared" si="268"/>
        <v>120.34748595787362</v>
      </c>
      <c r="BW35" s="64">
        <f t="shared" si="268"/>
        <v>127.86574874623871</v>
      </c>
      <c r="BX35" s="64">
        <f t="shared" si="268"/>
        <v>125.37808826479437</v>
      </c>
      <c r="BY35" s="64">
        <f t="shared" si="268"/>
        <v>128.97137562688064</v>
      </c>
      <c r="BZ35" s="64">
        <f t="shared" si="268"/>
        <v>135.40612407221661</v>
      </c>
      <c r="CA35" s="64">
        <f t="shared" si="268"/>
        <v>135.40612407221661</v>
      </c>
      <c r="CB35" s="64">
        <f t="shared" si="268"/>
        <v>135.40612407221661</v>
      </c>
      <c r="CC35" s="64">
        <f t="shared" si="268"/>
        <v>135.40612407221661</v>
      </c>
      <c r="CD35" s="64">
        <f t="shared" si="268"/>
        <v>92.458871495081951</v>
      </c>
      <c r="CE35" s="64">
        <f t="shared" si="268"/>
        <v>98.360747659016383</v>
      </c>
      <c r="CF35" s="64">
        <f t="shared" si="268"/>
        <v>101.63948743606556</v>
      </c>
      <c r="CG35" s="64">
        <f t="shared" si="268"/>
        <v>103.27885732459015</v>
      </c>
      <c r="CH35" s="64">
        <f t="shared" si="268"/>
        <v>101.63948743606556</v>
      </c>
      <c r="CI35" s="64">
        <f t="shared" si="268"/>
        <v>103.27885732459015</v>
      </c>
      <c r="CJ35" s="64">
        <f t="shared" si="268"/>
        <v>109.83633687868851</v>
      </c>
      <c r="CK35" s="64">
        <f t="shared" si="268"/>
        <v>115.08188682622949</v>
      </c>
      <c r="CL35" s="64">
        <f t="shared" si="268"/>
        <v>124.58994304918032</v>
      </c>
      <c r="CM35" s="64">
        <f t="shared" si="268"/>
        <v>126.88491632786885</v>
      </c>
      <c r="CN35" s="64">
        <f t="shared" si="268"/>
        <v>123.45048996733549</v>
      </c>
      <c r="CO35" s="64">
        <f t="shared" si="268"/>
        <v>123.45048996733549</v>
      </c>
      <c r="CP35" s="64">
        <f t="shared" si="268"/>
        <v>129.62301446570228</v>
      </c>
      <c r="CQ35" s="64">
        <f t="shared" si="268"/>
        <v>132.80279981334576</v>
      </c>
      <c r="CR35" s="64">
        <f t="shared" si="268"/>
        <v>132.80279981334576</v>
      </c>
      <c r="CS35" s="64">
        <f t="shared" si="268"/>
        <v>140.28464769015395</v>
      </c>
      <c r="CT35" s="64">
        <f t="shared" si="268"/>
        <v>143.09034064395706</v>
      </c>
      <c r="CU35" s="64">
        <f t="shared" si="268"/>
        <v>149.63695753616423</v>
      </c>
      <c r="CV35" s="64">
        <f t="shared" si="268"/>
        <v>153.37788147456834</v>
      </c>
      <c r="CW35" s="64">
        <f t="shared" si="268"/>
        <v>98.726815939278922</v>
      </c>
      <c r="CX35" s="64">
        <f t="shared" si="268"/>
        <v>98.726815939278922</v>
      </c>
      <c r="CY35" s="64">
        <f t="shared" si="268"/>
        <v>113.7868387096774</v>
      </c>
      <c r="CZ35" s="64">
        <f t="shared" si="268"/>
        <v>113.7868387096774</v>
      </c>
      <c r="DA35" s="64">
        <f t="shared" si="268"/>
        <v>107.09349525616697</v>
      </c>
      <c r="DB35" s="64">
        <f t="shared" si="268"/>
        <v>126.33685768500949</v>
      </c>
      <c r="DC35" s="64">
        <f t="shared" si="268"/>
        <v>126.33685768500949</v>
      </c>
      <c r="DD35" s="64">
        <f t="shared" ref="DD35:FI35" si="269">2.20462*DD19/DD33</f>
        <v>126.33685768500949</v>
      </c>
      <c r="DE35" s="64">
        <f t="shared" si="269"/>
        <v>126.33685768500949</v>
      </c>
      <c r="DF35" s="64">
        <f t="shared" si="269"/>
        <v>107.09349525616697</v>
      </c>
      <c r="DG35" s="64">
        <f t="shared" si="269"/>
        <v>126.33685768500949</v>
      </c>
      <c r="DH35" s="64">
        <f t="shared" si="269"/>
        <v>107.09349525616697</v>
      </c>
      <c r="DI35" s="64">
        <f t="shared" si="269"/>
        <v>122.99018595825426</v>
      </c>
      <c r="DJ35" s="64">
        <f t="shared" si="269"/>
        <v>122.99018595825426</v>
      </c>
      <c r="DK35" s="64">
        <f t="shared" si="269"/>
        <v>130.5201973434535</v>
      </c>
      <c r="DL35" s="64">
        <f t="shared" si="269"/>
        <v>122.99018595825426</v>
      </c>
      <c r="DM35" s="64">
        <f t="shared" si="269"/>
        <v>130.5201973434535</v>
      </c>
      <c r="DN35" s="64">
        <f t="shared" si="269"/>
        <v>122.99018595825426</v>
      </c>
      <c r="DO35" s="64">
        <f t="shared" si="269"/>
        <v>132.19353320683109</v>
      </c>
      <c r="DP35" s="64">
        <f t="shared" si="269"/>
        <v>132.19353320683109</v>
      </c>
      <c r="DQ35" s="64">
        <f t="shared" si="269"/>
        <v>122.99018595825426</v>
      </c>
      <c r="DR35" s="64">
        <f t="shared" si="269"/>
        <v>132.19353320683109</v>
      </c>
      <c r="DS35" s="64">
        <f t="shared" si="269"/>
        <v>132.19353320683109</v>
      </c>
      <c r="DT35" s="64">
        <f t="shared" si="269"/>
        <v>138.88687666034156</v>
      </c>
      <c r="DU35" s="64">
        <f t="shared" si="269"/>
        <v>138.88687666034156</v>
      </c>
      <c r="DV35" s="64">
        <f t="shared" si="269"/>
        <v>148.9268918406072</v>
      </c>
      <c r="DW35" s="64">
        <f t="shared" si="269"/>
        <v>156.45690322580643</v>
      </c>
      <c r="DX35" s="64">
        <f t="shared" si="269"/>
        <v>156.45690322580643</v>
      </c>
      <c r="DY35" s="64">
        <f t="shared" si="269"/>
        <v>148.9268918406072</v>
      </c>
      <c r="DZ35" s="64">
        <f t="shared" si="269"/>
        <v>156.45690322580643</v>
      </c>
      <c r="EA35" s="64">
        <f t="shared" si="269"/>
        <v>156.45690322580643</v>
      </c>
      <c r="EB35" s="64">
        <f t="shared" si="269"/>
        <v>162.31357874762807</v>
      </c>
      <c r="EC35" s="64">
        <f t="shared" si="269"/>
        <v>169.00692220113851</v>
      </c>
      <c r="ED35" s="64">
        <f t="shared" si="269"/>
        <v>169.00692220113851</v>
      </c>
      <c r="EE35" s="64">
        <f t="shared" si="269"/>
        <v>101.35957307102709</v>
      </c>
      <c r="EF35" s="64">
        <f t="shared" si="269"/>
        <v>104.76732754215635</v>
      </c>
      <c r="EG35" s="64">
        <f t="shared" si="269"/>
        <v>108.71018395503322</v>
      </c>
      <c r="EH35" s="64">
        <f t="shared" si="269"/>
        <v>105.61222534491567</v>
      </c>
      <c r="EI35" s="64">
        <f t="shared" si="269"/>
        <v>109.24528589678079</v>
      </c>
      <c r="EJ35" s="64">
        <f t="shared" si="269"/>
        <v>113.69508099131323</v>
      </c>
      <c r="EK35" s="64">
        <f t="shared" si="269"/>
        <v>105.7819174698795</v>
      </c>
      <c r="EL35" s="64">
        <f t="shared" si="269"/>
        <v>111.33773694779114</v>
      </c>
      <c r="EM35" s="64">
        <f t="shared" si="269"/>
        <v>114.65794779116464</v>
      </c>
      <c r="EN35" s="64">
        <f t="shared" si="269"/>
        <v>107.99539136546184</v>
      </c>
      <c r="EO35" s="64">
        <f t="shared" si="269"/>
        <v>112.42233915662649</v>
      </c>
      <c r="EP35" s="64">
        <f t="shared" si="269"/>
        <v>115.74254999999999</v>
      </c>
      <c r="EQ35" s="64">
        <f t="shared" si="269"/>
        <v>76.021379310344827</v>
      </c>
      <c r="ER35" s="64">
        <f t="shared" si="269"/>
        <v>80.022504537205066</v>
      </c>
      <c r="ES35" s="64">
        <f t="shared" si="269"/>
        <v>84.423742286751349</v>
      </c>
      <c r="ET35" s="64">
        <f t="shared" si="269"/>
        <v>83.98361851179672</v>
      </c>
      <c r="EU35" s="64">
        <f t="shared" si="269"/>
        <v>88.024754990925572</v>
      </c>
      <c r="EV35" s="64">
        <f t="shared" si="269"/>
        <v>96.427117967332123</v>
      </c>
      <c r="EW35" s="64">
        <f t="shared" si="269"/>
        <v>104.55239318768903</v>
      </c>
      <c r="EX35" s="64">
        <f t="shared" si="269"/>
        <v>112.01852972972972</v>
      </c>
      <c r="EY35" s="64">
        <f t="shared" si="269"/>
        <v>112.01852972972972</v>
      </c>
      <c r="EZ35" s="64">
        <f t="shared" si="269"/>
        <v>122.14786486486484</v>
      </c>
      <c r="FA35" s="64">
        <f t="shared" si="269"/>
        <v>91.074925642994231</v>
      </c>
      <c r="FB35" s="64">
        <f t="shared" si="269"/>
        <v>97.887666909788862</v>
      </c>
      <c r="FC35" s="64">
        <f t="shared" si="269"/>
        <v>101.72988372360844</v>
      </c>
      <c r="FD35" s="64">
        <f t="shared" si="269"/>
        <v>97.887666909788862</v>
      </c>
      <c r="FE35" s="64">
        <f t="shared" si="269"/>
        <v>101.72988372360844</v>
      </c>
      <c r="FF35" s="64">
        <f t="shared" si="269"/>
        <v>95.724020236842094</v>
      </c>
      <c r="FG35" s="64">
        <f t="shared" si="269"/>
        <v>110.45866664052288</v>
      </c>
      <c r="FH35" s="64">
        <f t="shared" si="269"/>
        <v>110.45866664052288</v>
      </c>
      <c r="FI35" s="64">
        <f t="shared" si="269"/>
        <v>110.20453397358943</v>
      </c>
    </row>
    <row r="36" spans="1:165">
      <c r="A36" s="6" t="s">
        <v>2636</v>
      </c>
      <c r="C36" s="23">
        <v>0.84</v>
      </c>
      <c r="D36" s="23">
        <v>0.84</v>
      </c>
      <c r="E36" s="23">
        <v>0.84</v>
      </c>
      <c r="F36" s="23">
        <v>0.84</v>
      </c>
      <c r="G36" s="23">
        <v>0.84</v>
      </c>
      <c r="H36" s="23">
        <v>0.84</v>
      </c>
      <c r="I36" s="23">
        <v>0.82</v>
      </c>
      <c r="J36" s="23">
        <v>0.82</v>
      </c>
      <c r="K36" s="23">
        <v>0.84</v>
      </c>
      <c r="L36" s="23">
        <v>0.84</v>
      </c>
      <c r="M36" s="23">
        <v>0.84</v>
      </c>
      <c r="N36" s="23">
        <v>0.84</v>
      </c>
      <c r="O36" s="23">
        <v>0.84</v>
      </c>
      <c r="P36" s="23">
        <v>0.85</v>
      </c>
      <c r="Q36" s="23">
        <v>0.85</v>
      </c>
      <c r="R36" s="23">
        <v>0.84699999999999998</v>
      </c>
      <c r="S36" s="23">
        <v>0.84699999999999998</v>
      </c>
      <c r="T36" s="23">
        <v>0.85</v>
      </c>
      <c r="U36" s="23">
        <v>0.84699999999999998</v>
      </c>
      <c r="V36" s="23">
        <v>0.84699999999999998</v>
      </c>
      <c r="W36" s="23">
        <v>0.84699999999999998</v>
      </c>
      <c r="X36" s="23">
        <v>0.86299999999999999</v>
      </c>
      <c r="Y36" s="23">
        <v>0.86299999999999999</v>
      </c>
      <c r="Z36" s="23">
        <v>0.86299999999999999</v>
      </c>
      <c r="AA36" s="23">
        <v>0.90600000000000003</v>
      </c>
      <c r="AB36" s="23">
        <v>0.90600000000000003</v>
      </c>
      <c r="AC36" s="23">
        <v>0.88400000000000001</v>
      </c>
      <c r="AD36" s="23">
        <v>0.88700000000000001</v>
      </c>
      <c r="AE36" s="23">
        <v>0.85199999999999998</v>
      </c>
      <c r="AF36" s="23">
        <v>0.88700000000000001</v>
      </c>
      <c r="AG36" s="23">
        <v>0.88700000000000001</v>
      </c>
      <c r="AH36" s="23">
        <v>0.82</v>
      </c>
      <c r="AI36" s="23">
        <v>0.82</v>
      </c>
      <c r="AJ36" s="23">
        <v>0.88</v>
      </c>
      <c r="AK36" s="23">
        <v>0.88</v>
      </c>
      <c r="AL36" s="23">
        <v>0.88</v>
      </c>
      <c r="AM36" s="23">
        <v>0.88</v>
      </c>
      <c r="AN36" s="23">
        <v>0.9</v>
      </c>
      <c r="AO36" s="23">
        <v>0.9</v>
      </c>
      <c r="AP36" s="23">
        <v>0.9</v>
      </c>
      <c r="AQ36" s="23">
        <v>0.88</v>
      </c>
      <c r="AR36" s="23">
        <v>0.84</v>
      </c>
      <c r="AS36" s="23">
        <v>0.84</v>
      </c>
      <c r="AT36" s="23">
        <v>0.84</v>
      </c>
      <c r="AU36" s="23">
        <v>0.84</v>
      </c>
      <c r="AV36" s="23">
        <v>0.84</v>
      </c>
      <c r="AW36" s="23">
        <v>0.84</v>
      </c>
      <c r="AX36" s="23">
        <v>0.84</v>
      </c>
      <c r="AY36" s="23">
        <v>0.84</v>
      </c>
      <c r="AZ36" s="23">
        <v>0.84</v>
      </c>
      <c r="BA36" s="23">
        <v>0.82</v>
      </c>
      <c r="BB36" s="23">
        <v>0.82</v>
      </c>
      <c r="BC36" s="23">
        <v>0.82</v>
      </c>
      <c r="BD36" s="23">
        <v>0.82</v>
      </c>
      <c r="BE36" s="23">
        <v>0.82</v>
      </c>
      <c r="BF36" s="23">
        <v>0.82</v>
      </c>
      <c r="BG36" s="23">
        <v>0.82</v>
      </c>
      <c r="BH36" s="23">
        <v>0.82</v>
      </c>
      <c r="BI36" s="23">
        <v>0.82</v>
      </c>
      <c r="BJ36" s="23">
        <v>0.82</v>
      </c>
      <c r="BK36" s="23">
        <v>0.82</v>
      </c>
      <c r="BL36" s="23">
        <v>0.82</v>
      </c>
      <c r="BM36" s="23">
        <v>0.82</v>
      </c>
      <c r="BN36" s="23">
        <v>0.82</v>
      </c>
      <c r="BO36" s="23">
        <v>0.82</v>
      </c>
      <c r="BP36" s="23">
        <v>0.82</v>
      </c>
      <c r="BQ36" s="23">
        <v>0.82</v>
      </c>
      <c r="BR36" s="23">
        <v>0.82</v>
      </c>
      <c r="BS36" s="23">
        <v>0.82</v>
      </c>
      <c r="BT36" s="23">
        <v>0.86</v>
      </c>
      <c r="BU36" s="23">
        <v>0.86</v>
      </c>
      <c r="BV36" s="23">
        <v>0.86</v>
      </c>
      <c r="BW36" s="23">
        <v>0.86</v>
      </c>
      <c r="BX36" s="23">
        <v>0.86</v>
      </c>
      <c r="BY36" s="23">
        <v>0.86</v>
      </c>
      <c r="BZ36" s="23">
        <v>0.86</v>
      </c>
      <c r="CA36" s="23">
        <v>0.86</v>
      </c>
      <c r="CB36" s="23">
        <v>0.86</v>
      </c>
      <c r="CC36" s="23">
        <v>0.86</v>
      </c>
      <c r="CD36" s="23">
        <v>0.86</v>
      </c>
      <c r="CE36" s="23">
        <v>0.86</v>
      </c>
      <c r="CF36" s="23">
        <v>0.86</v>
      </c>
      <c r="CG36" s="23">
        <v>0.86</v>
      </c>
      <c r="CH36" s="23">
        <v>0.86</v>
      </c>
      <c r="CI36" s="23">
        <v>0.86</v>
      </c>
      <c r="CJ36" s="23">
        <v>0.86</v>
      </c>
      <c r="CK36" s="23">
        <v>0.86</v>
      </c>
      <c r="CL36" s="23">
        <v>0.86</v>
      </c>
      <c r="CM36" s="23">
        <v>0.86</v>
      </c>
      <c r="CN36" s="23">
        <v>0.84</v>
      </c>
      <c r="CO36" s="23">
        <v>0.84</v>
      </c>
      <c r="CP36" s="23">
        <v>0.84</v>
      </c>
      <c r="CQ36" s="23">
        <v>0.84</v>
      </c>
      <c r="CR36" s="23">
        <v>0.84</v>
      </c>
      <c r="CS36" s="23">
        <v>0.84</v>
      </c>
      <c r="CT36" s="23">
        <v>0.84</v>
      </c>
      <c r="CU36" s="23">
        <v>0.84</v>
      </c>
      <c r="CV36" s="23">
        <v>0.84</v>
      </c>
      <c r="CW36" s="23">
        <v>0.82</v>
      </c>
      <c r="CX36" s="23">
        <v>0.82</v>
      </c>
      <c r="CY36" s="23">
        <v>0.82</v>
      </c>
      <c r="CZ36" s="23">
        <v>0.82</v>
      </c>
      <c r="DA36" s="23">
        <v>0.82</v>
      </c>
      <c r="DB36" s="23">
        <v>0.82</v>
      </c>
      <c r="DC36" s="23">
        <v>0.82</v>
      </c>
      <c r="DD36" s="23">
        <v>0.82</v>
      </c>
      <c r="DE36" s="23">
        <v>0.82</v>
      </c>
      <c r="DF36" s="23">
        <v>0.82</v>
      </c>
      <c r="DG36" s="23">
        <v>0.82</v>
      </c>
      <c r="DH36" s="23">
        <v>0.82</v>
      </c>
      <c r="DI36" s="23">
        <v>0.82</v>
      </c>
      <c r="DJ36" s="23">
        <v>0.82</v>
      </c>
      <c r="DK36" s="23">
        <v>0.82</v>
      </c>
      <c r="DL36" s="23">
        <v>0.82</v>
      </c>
      <c r="DM36" s="23">
        <v>0.82</v>
      </c>
      <c r="DN36" s="23">
        <v>0.82</v>
      </c>
      <c r="DO36" s="23">
        <v>0.82</v>
      </c>
      <c r="DP36" s="23">
        <v>0.82</v>
      </c>
      <c r="DQ36" s="23">
        <v>0.82</v>
      </c>
      <c r="DR36" s="23">
        <v>0.82</v>
      </c>
      <c r="DS36" s="23">
        <v>0.82</v>
      </c>
      <c r="DT36" s="23">
        <v>0.82</v>
      </c>
      <c r="DU36" s="23">
        <v>0.82</v>
      </c>
      <c r="DV36" s="23">
        <v>0.82</v>
      </c>
      <c r="DW36" s="23">
        <v>0.82</v>
      </c>
      <c r="DX36" s="23">
        <v>0.82</v>
      </c>
      <c r="DY36" s="23">
        <v>0.82</v>
      </c>
      <c r="DZ36" s="23">
        <v>0.82</v>
      </c>
      <c r="EA36" s="23">
        <v>0.82</v>
      </c>
      <c r="EB36" s="23">
        <v>0.82</v>
      </c>
      <c r="EC36" s="23">
        <v>0.82</v>
      </c>
      <c r="ED36" s="23">
        <v>0.82</v>
      </c>
      <c r="EE36" s="23">
        <v>0.82</v>
      </c>
      <c r="EF36" s="23">
        <v>0.82</v>
      </c>
      <c r="EG36" s="23">
        <v>0.82</v>
      </c>
      <c r="EH36" s="23">
        <v>0.82</v>
      </c>
      <c r="EI36" s="23">
        <v>0.82</v>
      </c>
      <c r="EJ36" s="23">
        <v>0.82</v>
      </c>
      <c r="EK36" s="23">
        <v>0.82</v>
      </c>
      <c r="EL36" s="23">
        <v>0.82</v>
      </c>
      <c r="EM36" s="23">
        <v>0.82</v>
      </c>
      <c r="EN36" s="23">
        <v>0.82</v>
      </c>
      <c r="EO36" s="23">
        <v>0.82</v>
      </c>
      <c r="EP36" s="23">
        <v>0.82</v>
      </c>
      <c r="EQ36" s="23">
        <v>0.78</v>
      </c>
      <c r="ER36" s="23">
        <v>0.78</v>
      </c>
      <c r="ES36" s="23">
        <v>0.78</v>
      </c>
      <c r="ET36" s="23">
        <v>0.78</v>
      </c>
      <c r="EU36" s="23">
        <v>0.78</v>
      </c>
      <c r="EV36" s="23">
        <v>0.8</v>
      </c>
      <c r="EW36" s="60">
        <v>0.82</v>
      </c>
      <c r="EX36" s="60">
        <v>0.82</v>
      </c>
      <c r="EY36" s="60">
        <v>0.82</v>
      </c>
      <c r="EZ36" s="60">
        <v>0.82</v>
      </c>
      <c r="FA36" s="23">
        <v>0.85</v>
      </c>
      <c r="FB36" s="23">
        <v>0.85</v>
      </c>
      <c r="FC36" s="23">
        <v>0.85</v>
      </c>
      <c r="FD36" s="23">
        <v>0.85</v>
      </c>
      <c r="FE36" s="23">
        <v>0.85</v>
      </c>
      <c r="FF36" s="23">
        <v>0.85</v>
      </c>
      <c r="FG36" s="23">
        <v>0.85</v>
      </c>
      <c r="FH36" s="23">
        <v>0.85</v>
      </c>
      <c r="FI36" s="23">
        <v>0.85</v>
      </c>
    </row>
    <row r="37" spans="1:165">
      <c r="A37" s="6" t="s">
        <v>2637</v>
      </c>
      <c r="C37" s="23">
        <v>4.8</v>
      </c>
      <c r="D37" s="23">
        <v>4.7</v>
      </c>
      <c r="E37" s="23">
        <v>1.78</v>
      </c>
      <c r="F37" s="23">
        <v>1.74</v>
      </c>
      <c r="G37" s="23">
        <v>1.74</v>
      </c>
      <c r="H37" s="23">
        <v>1.74</v>
      </c>
      <c r="I37" s="23">
        <v>1.74</v>
      </c>
      <c r="J37" s="23">
        <v>1.74</v>
      </c>
      <c r="K37" s="58">
        <v>1.07</v>
      </c>
      <c r="L37" s="32"/>
      <c r="M37" s="23">
        <v>1.07</v>
      </c>
      <c r="N37" s="23">
        <v>1.03</v>
      </c>
      <c r="O37" s="23">
        <v>1.02</v>
      </c>
      <c r="P37" s="32"/>
      <c r="Q37" s="32"/>
      <c r="R37" s="32"/>
      <c r="S37" s="23">
        <v>0.3</v>
      </c>
      <c r="T37" s="23">
        <v>1.36</v>
      </c>
      <c r="U37" s="23">
        <v>1.36</v>
      </c>
      <c r="V37" s="23">
        <v>1.36</v>
      </c>
      <c r="W37" s="23">
        <v>1.36</v>
      </c>
      <c r="X37" s="23">
        <v>6</v>
      </c>
      <c r="Y37" s="23">
        <v>6</v>
      </c>
      <c r="Z37" s="23">
        <v>6</v>
      </c>
      <c r="AA37" s="32"/>
      <c r="AB37" s="23">
        <v>1.42</v>
      </c>
      <c r="AC37" s="23">
        <v>1.42</v>
      </c>
      <c r="AD37" s="32"/>
      <c r="AE37" s="23">
        <v>0.3</v>
      </c>
      <c r="AF37" s="23">
        <v>1.36</v>
      </c>
      <c r="AG37" s="23">
        <v>1.4</v>
      </c>
      <c r="AH37" s="23">
        <v>4.68</v>
      </c>
      <c r="AI37" s="23">
        <v>4.55</v>
      </c>
      <c r="AJ37" s="23">
        <v>1.07</v>
      </c>
      <c r="AK37" s="23">
        <v>1.04</v>
      </c>
      <c r="AL37" s="23">
        <v>1.07</v>
      </c>
      <c r="AM37" s="23">
        <v>1.04</v>
      </c>
      <c r="AN37" s="23">
        <v>1.04</v>
      </c>
      <c r="AO37" s="23">
        <v>1.03</v>
      </c>
      <c r="AP37" s="23">
        <v>1.02</v>
      </c>
      <c r="AQ37" s="23">
        <v>0.97</v>
      </c>
      <c r="AR37" s="23">
        <v>1.07</v>
      </c>
      <c r="AS37" s="23">
        <v>1.04</v>
      </c>
      <c r="AT37" s="23">
        <v>1.04</v>
      </c>
      <c r="AU37" s="23">
        <v>1.03</v>
      </c>
      <c r="AV37" s="23">
        <v>1.03</v>
      </c>
      <c r="AW37" s="23">
        <v>1.02</v>
      </c>
      <c r="AX37" s="23">
        <v>1.02</v>
      </c>
      <c r="AY37" s="23">
        <v>1.02</v>
      </c>
      <c r="AZ37" s="23">
        <v>1.02</v>
      </c>
      <c r="BA37" s="23">
        <v>5</v>
      </c>
      <c r="BB37" s="23">
        <v>4.9000000000000004</v>
      </c>
      <c r="BC37" s="23">
        <v>4.9000000000000004</v>
      </c>
      <c r="BD37" s="23">
        <v>5</v>
      </c>
      <c r="BE37" s="23">
        <v>5</v>
      </c>
      <c r="BF37" s="23">
        <v>5.5</v>
      </c>
      <c r="BG37" s="23">
        <v>5.4</v>
      </c>
      <c r="BH37" s="23">
        <v>5.3</v>
      </c>
      <c r="BI37" s="23">
        <v>5.0999999999999996</v>
      </c>
      <c r="BJ37" s="23">
        <v>5.0999999999999996</v>
      </c>
      <c r="BK37" s="23">
        <v>5.4</v>
      </c>
      <c r="BL37" s="23">
        <v>5.3</v>
      </c>
      <c r="BM37" s="23">
        <v>9</v>
      </c>
      <c r="BN37" s="23">
        <v>9</v>
      </c>
      <c r="BO37" s="23">
        <v>9</v>
      </c>
      <c r="BP37" s="23">
        <v>9</v>
      </c>
      <c r="BQ37" s="23">
        <v>9</v>
      </c>
      <c r="BR37" s="23">
        <v>9</v>
      </c>
      <c r="BS37" s="23">
        <v>9</v>
      </c>
      <c r="BT37" s="23">
        <v>5.77</v>
      </c>
      <c r="BU37" s="23">
        <v>5.5</v>
      </c>
      <c r="BV37" s="23">
        <v>4.4000000000000004</v>
      </c>
      <c r="BW37" s="23">
        <v>4.4000000000000004</v>
      </c>
      <c r="BX37" s="23">
        <v>5.77</v>
      </c>
      <c r="BY37" s="23">
        <v>5.5</v>
      </c>
      <c r="BZ37" s="23">
        <v>5.5</v>
      </c>
      <c r="CA37" s="23">
        <v>5.3</v>
      </c>
      <c r="CB37" s="23">
        <v>4.4000000000000004</v>
      </c>
      <c r="CC37" s="23">
        <v>4.4000000000000004</v>
      </c>
      <c r="CD37" s="23">
        <v>5</v>
      </c>
      <c r="CE37" s="23">
        <v>4.7</v>
      </c>
      <c r="CF37" s="23">
        <v>5</v>
      </c>
      <c r="CG37" s="23">
        <v>4.5999999999999996</v>
      </c>
      <c r="CH37" s="23">
        <v>5.0999999999999996</v>
      </c>
      <c r="CI37" s="23">
        <v>5.3</v>
      </c>
      <c r="CJ37" s="23">
        <v>5.3</v>
      </c>
      <c r="CK37" s="23">
        <v>4.9000000000000004</v>
      </c>
      <c r="CL37" s="23">
        <v>4.3</v>
      </c>
      <c r="CM37" s="23">
        <v>4.3</v>
      </c>
      <c r="CN37" s="23">
        <v>4.5999999999999996</v>
      </c>
      <c r="CO37" s="23">
        <v>5</v>
      </c>
      <c r="CP37" s="23">
        <v>4.5999999999999996</v>
      </c>
      <c r="CQ37" s="23">
        <v>4.5999999999999996</v>
      </c>
      <c r="CR37" s="23">
        <v>5</v>
      </c>
      <c r="CS37" s="23">
        <v>5.3</v>
      </c>
      <c r="CT37" s="23">
        <v>5</v>
      </c>
      <c r="CU37" s="23">
        <v>4.9000000000000004</v>
      </c>
      <c r="CV37" s="23">
        <v>5.3</v>
      </c>
      <c r="CW37" s="138">
        <v>5.5</v>
      </c>
      <c r="CX37" s="23">
        <v>5</v>
      </c>
      <c r="CY37" s="138">
        <v>5.5</v>
      </c>
      <c r="CZ37" s="23">
        <v>4.8</v>
      </c>
      <c r="DA37" s="23">
        <v>6</v>
      </c>
      <c r="DB37" s="23">
        <v>6</v>
      </c>
      <c r="DC37" s="23">
        <v>5.7</v>
      </c>
      <c r="DD37" s="23">
        <v>4.9000000000000004</v>
      </c>
      <c r="DE37" s="23">
        <v>4.8</v>
      </c>
      <c r="DF37" s="23">
        <v>11</v>
      </c>
      <c r="DG37" s="23">
        <v>11</v>
      </c>
      <c r="DH37" s="23">
        <v>11</v>
      </c>
      <c r="DI37" s="23">
        <v>6</v>
      </c>
      <c r="DJ37" s="23">
        <v>6</v>
      </c>
      <c r="DK37" s="23">
        <v>5.7</v>
      </c>
      <c r="DL37" s="23">
        <v>4.5999999999999996</v>
      </c>
      <c r="DM37" s="23">
        <v>4.8</v>
      </c>
      <c r="DN37" s="23">
        <v>11</v>
      </c>
      <c r="DO37" s="23">
        <v>11</v>
      </c>
      <c r="DP37" s="23">
        <v>12.5</v>
      </c>
      <c r="DQ37" s="23">
        <v>12.5</v>
      </c>
      <c r="DR37" s="23">
        <v>11</v>
      </c>
      <c r="DS37" s="23">
        <v>12.5</v>
      </c>
      <c r="DT37" s="23">
        <v>5.5</v>
      </c>
      <c r="DU37" s="23">
        <v>4.5999999999999996</v>
      </c>
      <c r="DV37" s="23">
        <v>5.5</v>
      </c>
      <c r="DW37" s="23">
        <v>5.4</v>
      </c>
      <c r="DX37" s="23">
        <v>4.5999999999999996</v>
      </c>
      <c r="DY37" s="23">
        <v>11</v>
      </c>
      <c r="DZ37" s="23">
        <v>11</v>
      </c>
      <c r="EA37" s="23">
        <v>12.5</v>
      </c>
      <c r="EB37" s="23">
        <v>11</v>
      </c>
      <c r="EC37" s="23">
        <v>11</v>
      </c>
      <c r="ED37" s="23">
        <v>12.5</v>
      </c>
      <c r="EQ37" s="23">
        <v>4.8</v>
      </c>
      <c r="ER37" s="23">
        <v>4.8</v>
      </c>
      <c r="ES37" s="23">
        <v>4.8</v>
      </c>
      <c r="ET37" s="23">
        <v>4.8</v>
      </c>
      <c r="EU37" s="23">
        <v>4.8</v>
      </c>
      <c r="EV37" s="23">
        <v>4.8</v>
      </c>
      <c r="EW37" s="23">
        <v>9</v>
      </c>
      <c r="EX37" s="23">
        <v>12</v>
      </c>
      <c r="EY37" s="23">
        <v>12</v>
      </c>
      <c r="EZ37" s="23">
        <v>12</v>
      </c>
    </row>
    <row r="38" spans="1:165" ht="25.5">
      <c r="A38" s="6" t="s">
        <v>2638</v>
      </c>
      <c r="C38" s="23">
        <v>0.57499999999999996</v>
      </c>
      <c r="D38" s="23">
        <v>0.57499999999999996</v>
      </c>
      <c r="E38" s="23">
        <v>0.72399999999999998</v>
      </c>
      <c r="F38" s="23">
        <v>0.753</v>
      </c>
      <c r="G38" s="23">
        <v>0.753</v>
      </c>
      <c r="H38" s="23">
        <v>0.73699999999999999</v>
      </c>
      <c r="I38" s="23">
        <v>0.73599999999999999</v>
      </c>
      <c r="J38" s="23">
        <v>0.73599999999999999</v>
      </c>
      <c r="K38" s="58">
        <v>0.58499999999999996</v>
      </c>
      <c r="L38" s="23">
        <v>0.62</v>
      </c>
      <c r="M38" s="23">
        <v>0.58499999999999996</v>
      </c>
      <c r="N38" s="23">
        <v>0.63</v>
      </c>
      <c r="O38" s="23">
        <v>0.64500000000000002</v>
      </c>
      <c r="P38" s="32"/>
      <c r="Q38" s="23">
        <v>0.8</v>
      </c>
      <c r="R38" s="23">
        <v>0.8</v>
      </c>
      <c r="S38" s="61">
        <v>0.9</v>
      </c>
      <c r="T38" s="23">
        <v>0.53500000000000003</v>
      </c>
      <c r="U38" s="23">
        <v>0.53500000000000003</v>
      </c>
      <c r="V38" s="23">
        <v>0.53500000000000003</v>
      </c>
      <c r="W38" s="23">
        <v>0.53500000000000003</v>
      </c>
      <c r="X38" s="61">
        <v>0.65100000000000002</v>
      </c>
      <c r="Y38" s="61">
        <v>0.65100000000000002</v>
      </c>
      <c r="Z38" s="61">
        <v>0.65100000000000002</v>
      </c>
      <c r="AA38" s="32"/>
      <c r="AB38" s="61">
        <v>0.78</v>
      </c>
      <c r="AC38" s="61">
        <v>0.78</v>
      </c>
      <c r="AD38" s="23">
        <v>0.8</v>
      </c>
      <c r="AE38" s="61">
        <v>0.9</v>
      </c>
      <c r="AF38" s="23">
        <v>0.53500000000000003</v>
      </c>
      <c r="AG38" s="23">
        <v>0.55000000000000004</v>
      </c>
      <c r="AH38" s="61">
        <v>0.62</v>
      </c>
      <c r="AI38" s="61">
        <v>0.62</v>
      </c>
      <c r="AJ38" s="23">
        <v>0.58499999999999996</v>
      </c>
      <c r="AK38" s="23">
        <v>0.59499999999999997</v>
      </c>
      <c r="AL38" s="23">
        <v>0.58499999999999996</v>
      </c>
      <c r="AM38" s="23">
        <v>0.59499999999999997</v>
      </c>
      <c r="AN38" s="23">
        <v>0.59499999999999997</v>
      </c>
      <c r="AO38" s="23">
        <v>0.63</v>
      </c>
      <c r="AP38" s="23">
        <v>0.64500000000000002</v>
      </c>
      <c r="AQ38" s="23">
        <v>0.65500000000000003</v>
      </c>
      <c r="AR38" s="23">
        <v>0.58499999999999996</v>
      </c>
      <c r="AS38" s="23">
        <v>0.59499999999999997</v>
      </c>
      <c r="AT38" s="23">
        <v>0.59499999999999997</v>
      </c>
      <c r="AU38" s="23">
        <v>0.63</v>
      </c>
      <c r="AV38" s="23">
        <v>0.63</v>
      </c>
      <c r="AW38" s="23">
        <v>0.64500000000000002</v>
      </c>
      <c r="AX38" s="23">
        <v>0.64500000000000002</v>
      </c>
      <c r="AY38" s="23">
        <v>0.64500000000000002</v>
      </c>
      <c r="AZ38" s="23">
        <v>0.64500000000000002</v>
      </c>
      <c r="BA38" s="23">
        <v>0.65500000000000003</v>
      </c>
      <c r="BB38" s="23">
        <v>0.65500000000000003</v>
      </c>
      <c r="BC38" s="23">
        <v>0.65500000000000003</v>
      </c>
      <c r="BD38" s="23">
        <v>0.65500000000000003</v>
      </c>
      <c r="BE38" s="23">
        <v>0.65500000000000003</v>
      </c>
      <c r="BF38" s="23">
        <v>0.60299999999999998</v>
      </c>
      <c r="BG38" s="23">
        <v>0.60299999999999998</v>
      </c>
      <c r="BH38" s="23">
        <v>0.60299999999999998</v>
      </c>
      <c r="BI38" s="23">
        <v>0.60299999999999998</v>
      </c>
      <c r="BJ38" s="23">
        <v>0.60299999999999998</v>
      </c>
      <c r="BK38" s="23">
        <v>0.60299999999999998</v>
      </c>
      <c r="BL38" s="23">
        <v>0.60299999999999998</v>
      </c>
      <c r="BM38" s="61">
        <v>0.53</v>
      </c>
      <c r="BN38" s="61">
        <v>0.53</v>
      </c>
      <c r="BO38" s="61">
        <v>0.53</v>
      </c>
      <c r="BP38" s="61">
        <v>0.53</v>
      </c>
      <c r="BQ38" s="61">
        <v>0.53</v>
      </c>
      <c r="BR38" s="61">
        <v>0.53</v>
      </c>
      <c r="BS38" s="61">
        <v>0.53</v>
      </c>
      <c r="BT38" s="23">
        <v>0.34200000000000003</v>
      </c>
      <c r="BU38" s="23">
        <v>0.35199999999999998</v>
      </c>
      <c r="BV38" s="23">
        <v>0.38100000000000001</v>
      </c>
      <c r="BW38" s="23">
        <v>0.38100000000000001</v>
      </c>
      <c r="BX38" s="23">
        <v>0.34200000000000003</v>
      </c>
      <c r="BY38" s="23">
        <v>0.35199999999999998</v>
      </c>
      <c r="BZ38" s="23">
        <v>0.35199999999999998</v>
      </c>
      <c r="CA38" s="23">
        <v>0.35199999999999998</v>
      </c>
      <c r="CB38" s="23">
        <v>0.38100000000000001</v>
      </c>
      <c r="CC38" s="23">
        <v>0.38100000000000001</v>
      </c>
      <c r="CD38" s="61">
        <v>0.61499999999999999</v>
      </c>
      <c r="CE38" s="23">
        <v>0.34399999999999997</v>
      </c>
      <c r="CF38" s="61">
        <v>0.61499999999999999</v>
      </c>
      <c r="CG38" s="23">
        <v>0.34899999999999998</v>
      </c>
      <c r="CH38" s="23">
        <v>0.35099999999999998</v>
      </c>
      <c r="CI38" s="23">
        <v>0.318</v>
      </c>
      <c r="CJ38" s="23">
        <v>0.32600000000000001</v>
      </c>
      <c r="CK38" s="23">
        <v>0.35899999999999999</v>
      </c>
      <c r="CL38" s="61">
        <v>0.57199999999999995</v>
      </c>
      <c r="CM38" s="61">
        <v>0.57199999999999995</v>
      </c>
      <c r="CN38" s="23">
        <v>0.35699999999999998</v>
      </c>
      <c r="CO38" s="61">
        <v>0.61499999999999999</v>
      </c>
      <c r="CP38" s="23">
        <v>0.35699999999999998</v>
      </c>
      <c r="CQ38" s="23">
        <v>0.35699999999999998</v>
      </c>
      <c r="CR38" s="61">
        <v>0.61499999999999999</v>
      </c>
      <c r="CS38" s="23">
        <v>0.317</v>
      </c>
      <c r="CT38" s="61">
        <v>0.61499999999999999</v>
      </c>
      <c r="CU38" s="23">
        <v>0.35899999999999999</v>
      </c>
      <c r="CV38" s="23">
        <v>0.317</v>
      </c>
      <c r="CW38" s="61">
        <v>0.6</v>
      </c>
      <c r="CX38" s="23">
        <v>0.36</v>
      </c>
      <c r="CY38" s="61">
        <v>0.6</v>
      </c>
      <c r="CZ38" s="23">
        <v>0.37</v>
      </c>
      <c r="DA38" s="61">
        <v>0.6</v>
      </c>
      <c r="DB38" s="61">
        <v>0.59599999999999997</v>
      </c>
      <c r="DC38" s="61">
        <v>0.6</v>
      </c>
      <c r="DD38" s="61">
        <v>0.57499999999999996</v>
      </c>
      <c r="DE38" s="61">
        <v>0.57499999999999996</v>
      </c>
      <c r="DF38" s="61">
        <v>0.51</v>
      </c>
      <c r="DG38" s="61">
        <v>0.51</v>
      </c>
      <c r="DH38" s="61">
        <v>0.51</v>
      </c>
      <c r="DI38" s="61">
        <v>0.59599999999999997</v>
      </c>
      <c r="DJ38" s="61">
        <v>0.59599999999999997</v>
      </c>
      <c r="DK38" s="61">
        <v>0.6</v>
      </c>
      <c r="DL38" s="61">
        <v>0.57499999999999996</v>
      </c>
      <c r="DM38" s="61">
        <v>0.57499999999999996</v>
      </c>
      <c r="DN38" s="61">
        <v>0.51</v>
      </c>
      <c r="DO38" s="61">
        <v>0.51</v>
      </c>
      <c r="DP38" s="61">
        <v>0.51</v>
      </c>
      <c r="DQ38" s="61">
        <v>0.51</v>
      </c>
      <c r="DR38" s="61">
        <v>0.51</v>
      </c>
      <c r="DS38" s="61">
        <v>0.51</v>
      </c>
      <c r="DT38" s="61">
        <v>0.6</v>
      </c>
      <c r="DU38" s="61">
        <v>0.57499999999999996</v>
      </c>
      <c r="DV38" s="61">
        <v>0.6</v>
      </c>
      <c r="DW38" s="61">
        <v>0.6</v>
      </c>
      <c r="DX38" s="61">
        <v>0.57499999999999996</v>
      </c>
      <c r="DY38" s="61">
        <v>0.51</v>
      </c>
      <c r="DZ38" s="61">
        <v>0.51</v>
      </c>
      <c r="EA38" s="61">
        <v>0.51</v>
      </c>
      <c r="EB38" s="61">
        <v>0.51</v>
      </c>
      <c r="EC38" s="61">
        <v>0.51</v>
      </c>
      <c r="ED38" s="61">
        <v>0.51</v>
      </c>
      <c r="EQ38" s="23">
        <v>0.33</v>
      </c>
      <c r="ER38" s="23">
        <v>0.33</v>
      </c>
      <c r="ES38" s="23">
        <v>0.33</v>
      </c>
      <c r="ET38" s="23">
        <v>0.33</v>
      </c>
      <c r="EU38" s="23">
        <v>0.33</v>
      </c>
      <c r="EV38" s="23">
        <v>0.33</v>
      </c>
      <c r="EW38" s="32"/>
      <c r="EX38" s="32"/>
      <c r="EY38" s="32"/>
      <c r="EZ38" s="32"/>
    </row>
    <row r="39" spans="1:165">
      <c r="A39" s="6" t="s">
        <v>2639</v>
      </c>
      <c r="C39" s="60">
        <v>7107</v>
      </c>
      <c r="D39" s="60">
        <v>7107</v>
      </c>
      <c r="E39" s="60">
        <v>7250</v>
      </c>
      <c r="F39" s="60">
        <v>7450</v>
      </c>
      <c r="G39" s="60">
        <v>7450</v>
      </c>
      <c r="H39" s="60">
        <v>8375</v>
      </c>
      <c r="I39" s="60">
        <v>6100</v>
      </c>
      <c r="J39" s="60">
        <v>6100</v>
      </c>
      <c r="K39" s="60">
        <v>6561.68</v>
      </c>
      <c r="L39" s="60">
        <v>5100</v>
      </c>
      <c r="M39" s="60">
        <v>7400</v>
      </c>
      <c r="N39" s="60">
        <v>7400</v>
      </c>
      <c r="O39" s="60">
        <v>8020</v>
      </c>
      <c r="P39" s="63">
        <v>9380</v>
      </c>
      <c r="Q39" s="63">
        <v>8240</v>
      </c>
      <c r="R39" s="63">
        <v>9900</v>
      </c>
      <c r="S39" s="63">
        <v>9650</v>
      </c>
      <c r="T39" s="63">
        <v>10560</v>
      </c>
      <c r="U39" s="63">
        <v>9980</v>
      </c>
      <c r="V39" s="63">
        <v>9780</v>
      </c>
      <c r="W39" s="63">
        <v>11500</v>
      </c>
      <c r="X39" s="60">
        <v>9100</v>
      </c>
      <c r="Y39" s="60">
        <v>9750</v>
      </c>
      <c r="Z39" s="60">
        <v>10000</v>
      </c>
      <c r="AA39" s="60">
        <v>9400</v>
      </c>
      <c r="AB39" s="60">
        <v>6450</v>
      </c>
      <c r="AC39" s="60">
        <v>7545.9319999999998</v>
      </c>
      <c r="AD39" s="60">
        <v>10498.69</v>
      </c>
      <c r="AE39" s="60">
        <v>10498.69</v>
      </c>
      <c r="AF39" s="60">
        <v>11318.9</v>
      </c>
      <c r="AG39" s="60">
        <v>9924.5409999999993</v>
      </c>
      <c r="AH39" s="60">
        <v>7545.9319999999998</v>
      </c>
      <c r="AI39" s="60">
        <v>5577.4279999999999</v>
      </c>
      <c r="AJ39" s="60">
        <v>7400</v>
      </c>
      <c r="AK39" s="60">
        <v>7750</v>
      </c>
      <c r="AL39" s="60">
        <v>7400</v>
      </c>
      <c r="AM39" s="60">
        <v>7750</v>
      </c>
      <c r="AN39" s="60">
        <v>8000</v>
      </c>
      <c r="AO39" s="60">
        <v>7400</v>
      </c>
      <c r="AP39" s="60">
        <v>7600</v>
      </c>
      <c r="AQ39" s="60">
        <v>9550</v>
      </c>
      <c r="AR39" s="60">
        <v>6700</v>
      </c>
      <c r="AS39" s="60">
        <v>7000</v>
      </c>
      <c r="AT39" s="60">
        <v>8750</v>
      </c>
      <c r="AU39" s="60">
        <v>6700</v>
      </c>
      <c r="AV39" s="60">
        <v>6950</v>
      </c>
      <c r="AW39" s="60">
        <v>7500</v>
      </c>
      <c r="AX39" s="60">
        <v>8490</v>
      </c>
      <c r="AY39" s="60">
        <v>5290</v>
      </c>
      <c r="AZ39" s="60">
        <v>7100</v>
      </c>
      <c r="BA39" s="60">
        <v>6250</v>
      </c>
      <c r="BB39" s="60">
        <v>6850</v>
      </c>
      <c r="BC39" s="60">
        <v>7200</v>
      </c>
      <c r="BD39" s="60">
        <v>6600</v>
      </c>
      <c r="BE39" s="60">
        <v>5200</v>
      </c>
      <c r="BF39" s="60">
        <v>4593.1760000000004</v>
      </c>
      <c r="BG39" s="60">
        <v>9350.3940000000002</v>
      </c>
      <c r="BH39" s="60">
        <v>5249.3440000000001</v>
      </c>
      <c r="BI39" s="60">
        <v>9186.3520000000008</v>
      </c>
      <c r="BJ39" s="60">
        <v>9842.52</v>
      </c>
      <c r="BK39" s="60">
        <v>6889.7640000000001</v>
      </c>
      <c r="BL39" s="60">
        <v>7709.9740000000002</v>
      </c>
      <c r="BM39" s="60">
        <v>7874.0159999999996</v>
      </c>
      <c r="BN39" s="60">
        <v>6233.5959999999995</v>
      </c>
      <c r="BO39" s="60">
        <v>6233.5959999999995</v>
      </c>
      <c r="BP39" s="60">
        <v>8530.1839999999993</v>
      </c>
      <c r="BQ39" s="60">
        <v>8530.1839999999993</v>
      </c>
      <c r="BR39" s="60">
        <v>6233.5959999999995</v>
      </c>
      <c r="BS39" s="60">
        <v>8530.1839999999993</v>
      </c>
      <c r="BT39" s="60">
        <v>7700</v>
      </c>
      <c r="BU39" s="60">
        <v>7500</v>
      </c>
      <c r="BV39" s="60">
        <v>7500</v>
      </c>
      <c r="BW39" s="60">
        <v>6500</v>
      </c>
      <c r="BX39" s="60">
        <v>7700</v>
      </c>
      <c r="BY39" s="60">
        <v>7500</v>
      </c>
      <c r="BZ39" s="60">
        <v>9900</v>
      </c>
      <c r="CA39" s="60">
        <v>8000</v>
      </c>
      <c r="CB39" s="60">
        <v>9050</v>
      </c>
      <c r="CC39" s="60">
        <v>7750</v>
      </c>
      <c r="CD39" s="60">
        <v>4921.26</v>
      </c>
      <c r="CE39" s="60">
        <v>5413.3860000000004</v>
      </c>
      <c r="CF39" s="60">
        <v>5741.47</v>
      </c>
      <c r="CG39" s="60">
        <v>6000</v>
      </c>
      <c r="CH39" s="60">
        <v>5741.47</v>
      </c>
      <c r="CI39" s="60">
        <v>5800</v>
      </c>
      <c r="CJ39" s="60">
        <v>5910</v>
      </c>
      <c r="CK39" s="60">
        <v>6725.7219999999998</v>
      </c>
      <c r="CL39" s="60">
        <v>8000</v>
      </c>
      <c r="CM39" s="60">
        <v>8500</v>
      </c>
      <c r="CN39" s="60">
        <v>5000</v>
      </c>
      <c r="CO39" s="60">
        <v>4750</v>
      </c>
      <c r="CP39" s="60">
        <v>5150</v>
      </c>
      <c r="CQ39" s="60">
        <v>5750</v>
      </c>
      <c r="CR39" s="60">
        <v>5400</v>
      </c>
      <c r="CS39" s="60">
        <v>6200</v>
      </c>
      <c r="CT39" s="60">
        <v>6500</v>
      </c>
      <c r="CU39" s="60">
        <v>7500</v>
      </c>
      <c r="CV39" s="60">
        <v>8000</v>
      </c>
      <c r="CW39" s="60">
        <v>4300</v>
      </c>
      <c r="CX39" s="60">
        <v>4100</v>
      </c>
      <c r="CY39" s="60">
        <v>6000</v>
      </c>
      <c r="CZ39" s="60">
        <v>6000</v>
      </c>
      <c r="DA39" s="60">
        <v>5200</v>
      </c>
      <c r="DB39" s="60">
        <v>8000</v>
      </c>
      <c r="DC39" s="60">
        <v>8000</v>
      </c>
      <c r="DD39" s="60">
        <v>7800</v>
      </c>
      <c r="DE39" s="60">
        <v>7800</v>
      </c>
      <c r="DF39" s="60">
        <v>5000</v>
      </c>
      <c r="DG39" s="60">
        <v>5900</v>
      </c>
      <c r="DH39" s="60">
        <v>5000</v>
      </c>
      <c r="DI39" s="60">
        <v>5850</v>
      </c>
      <c r="DJ39" s="60">
        <v>5850</v>
      </c>
      <c r="DK39" s="60">
        <v>6500</v>
      </c>
      <c r="DL39" s="60">
        <v>6100</v>
      </c>
      <c r="DM39" s="60">
        <v>7150</v>
      </c>
      <c r="DN39" s="60">
        <v>5790</v>
      </c>
      <c r="DO39" s="60">
        <v>6490</v>
      </c>
      <c r="DP39" s="60">
        <v>5900</v>
      </c>
      <c r="DQ39" s="60">
        <v>5500</v>
      </c>
      <c r="DR39" s="60">
        <v>6490</v>
      </c>
      <c r="DS39" s="60">
        <v>5900</v>
      </c>
      <c r="DT39" s="60">
        <v>5500</v>
      </c>
      <c r="DU39" s="60">
        <v>5500</v>
      </c>
      <c r="DV39" s="60">
        <v>7250</v>
      </c>
      <c r="DW39" s="60">
        <v>8050</v>
      </c>
      <c r="DX39" s="60">
        <v>8800</v>
      </c>
      <c r="DY39" s="60">
        <v>6450</v>
      </c>
      <c r="DZ39" s="60">
        <v>7250</v>
      </c>
      <c r="EA39" s="60">
        <v>7250</v>
      </c>
      <c r="EB39" s="60">
        <v>8800</v>
      </c>
      <c r="EC39" s="60">
        <v>9000</v>
      </c>
      <c r="ED39" s="60">
        <v>9000</v>
      </c>
      <c r="EE39" s="23">
        <v>4866</v>
      </c>
      <c r="EF39" s="23">
        <v>5191</v>
      </c>
      <c r="EG39" s="23">
        <v>5394</v>
      </c>
      <c r="EH39" s="23">
        <v>5289</v>
      </c>
      <c r="EI39" s="23">
        <v>5657</v>
      </c>
      <c r="EJ39" s="23">
        <v>7363</v>
      </c>
      <c r="EK39" s="23">
        <v>5243</v>
      </c>
      <c r="EL39" s="23">
        <v>6004</v>
      </c>
      <c r="EM39" s="23">
        <v>6890</v>
      </c>
      <c r="EN39" s="23">
        <v>5716</v>
      </c>
      <c r="EO39" s="23">
        <v>6536</v>
      </c>
      <c r="EP39" s="23">
        <v>7149</v>
      </c>
      <c r="EQ39" s="60">
        <v>5381</v>
      </c>
      <c r="ER39" s="60">
        <v>5774</v>
      </c>
      <c r="ES39" s="60">
        <v>6070</v>
      </c>
      <c r="ET39" s="60">
        <v>6660</v>
      </c>
      <c r="EU39" s="60">
        <v>7448</v>
      </c>
      <c r="EV39" s="60">
        <v>6791</v>
      </c>
      <c r="EW39" s="63">
        <v>5676</v>
      </c>
      <c r="EX39" s="60">
        <v>5299</v>
      </c>
      <c r="EY39" s="60">
        <v>5299</v>
      </c>
      <c r="EZ39" s="23">
        <v>5922</v>
      </c>
      <c r="FA39" s="60">
        <v>5200</v>
      </c>
      <c r="FB39" s="60">
        <v>6000</v>
      </c>
      <c r="FC39" s="60">
        <v>7000</v>
      </c>
      <c r="FD39" s="60">
        <v>5500</v>
      </c>
      <c r="FE39" s="60">
        <v>6000</v>
      </c>
      <c r="FF39" s="60">
        <v>5270</v>
      </c>
      <c r="FG39" s="60">
        <v>6105</v>
      </c>
      <c r="FH39" s="60">
        <v>6105</v>
      </c>
      <c r="FI39" s="60">
        <v>6736</v>
      </c>
    </row>
    <row r="40" spans="1:165">
      <c r="A40" s="6" t="s">
        <v>2640</v>
      </c>
      <c r="C40" s="60">
        <v>5250</v>
      </c>
      <c r="D40" s="60">
        <v>5250</v>
      </c>
      <c r="E40" s="60">
        <v>4850</v>
      </c>
      <c r="F40" s="60">
        <v>4920</v>
      </c>
      <c r="G40" s="60">
        <v>4920</v>
      </c>
      <c r="H40" s="60">
        <v>5200</v>
      </c>
      <c r="I40" s="60">
        <v>4690</v>
      </c>
      <c r="J40" s="60">
        <v>4690</v>
      </c>
      <c r="K40" s="60">
        <v>5000</v>
      </c>
      <c r="L40" s="60">
        <v>4450</v>
      </c>
      <c r="M40" s="60">
        <v>4680</v>
      </c>
      <c r="N40" s="60">
        <v>4720</v>
      </c>
      <c r="O40" s="60">
        <v>4880</v>
      </c>
      <c r="P40" s="63">
        <v>6400</v>
      </c>
      <c r="Q40" s="63">
        <v>6400</v>
      </c>
      <c r="R40" s="63">
        <v>6800</v>
      </c>
      <c r="S40" s="63">
        <v>6800</v>
      </c>
      <c r="T40" s="63">
        <v>5620</v>
      </c>
      <c r="U40" s="63">
        <v>6140</v>
      </c>
      <c r="V40" s="63">
        <v>6140</v>
      </c>
      <c r="W40" s="60">
        <v>6250</v>
      </c>
      <c r="X40" s="60">
        <v>6400</v>
      </c>
      <c r="Y40" s="60">
        <v>6200</v>
      </c>
      <c r="Z40" s="60">
        <v>6900</v>
      </c>
      <c r="AA40" s="60">
        <v>6200</v>
      </c>
      <c r="AB40" s="60">
        <v>6350</v>
      </c>
      <c r="AC40" s="60">
        <v>6528.8710000000001</v>
      </c>
      <c r="AD40" s="60">
        <v>7217.848</v>
      </c>
      <c r="AE40" s="60">
        <v>7217.848</v>
      </c>
      <c r="AF40" s="60">
        <v>6069.5540000000001</v>
      </c>
      <c r="AG40" s="60">
        <v>6233.5959999999995</v>
      </c>
      <c r="AH40" s="60">
        <v>4757.2179999999998</v>
      </c>
      <c r="AI40" s="60">
        <v>5000</v>
      </c>
      <c r="AJ40" s="60">
        <v>4593.1760000000004</v>
      </c>
      <c r="AK40" s="60">
        <v>4757.2179999999998</v>
      </c>
      <c r="AL40" s="60">
        <v>4593.1760000000004</v>
      </c>
      <c r="AM40" s="60">
        <v>4757.2179999999998</v>
      </c>
      <c r="AN40" s="60">
        <v>5150.9189999999999</v>
      </c>
      <c r="AO40" s="60">
        <v>4429.134</v>
      </c>
      <c r="AP40" s="60">
        <v>4429.134</v>
      </c>
      <c r="AQ40" s="60">
        <v>4429.134</v>
      </c>
      <c r="AR40" s="60">
        <v>4757.2179999999998</v>
      </c>
      <c r="AS40" s="60">
        <v>4527.5590000000002</v>
      </c>
      <c r="AT40" s="60">
        <v>4576.7719999999999</v>
      </c>
      <c r="AU40" s="60">
        <v>4101.05</v>
      </c>
      <c r="AV40" s="60">
        <v>4265.0919999999996</v>
      </c>
      <c r="AW40" s="60">
        <v>4500</v>
      </c>
      <c r="AX40" s="60">
        <v>4500</v>
      </c>
      <c r="AY40" s="60">
        <v>4101.05</v>
      </c>
      <c r="AZ40" s="60">
        <v>4500</v>
      </c>
      <c r="BA40" s="60">
        <v>4593.1760000000004</v>
      </c>
      <c r="BB40" s="60">
        <v>4593.1760000000004</v>
      </c>
      <c r="BC40" s="60">
        <v>4921.26</v>
      </c>
      <c r="BD40" s="60">
        <v>5085.3019999999997</v>
      </c>
      <c r="BE40" s="60">
        <v>4429.134</v>
      </c>
      <c r="BF40" s="60">
        <v>4429.134</v>
      </c>
      <c r="BG40" s="60">
        <v>4757.2179999999998</v>
      </c>
      <c r="BH40" s="60">
        <v>5577.4279999999999</v>
      </c>
      <c r="BI40" s="60">
        <v>5905.5119999999997</v>
      </c>
      <c r="BJ40" s="60">
        <v>5577.4279999999999</v>
      </c>
      <c r="BK40" s="60">
        <v>4970.4719999999998</v>
      </c>
      <c r="BL40" s="60">
        <v>5741.47</v>
      </c>
      <c r="BM40" s="60">
        <v>4921.26</v>
      </c>
      <c r="BN40" s="60">
        <v>5000</v>
      </c>
      <c r="BO40" s="60">
        <v>5000</v>
      </c>
      <c r="BP40" s="60">
        <v>5249.3440000000001</v>
      </c>
      <c r="BQ40" s="60">
        <v>5380.5770000000002</v>
      </c>
      <c r="BR40" s="60">
        <v>5000</v>
      </c>
      <c r="BS40" s="60">
        <v>5249.3440000000001</v>
      </c>
      <c r="BT40" s="60">
        <v>4757.2179999999998</v>
      </c>
      <c r="BU40" s="60">
        <v>5052.4930000000004</v>
      </c>
      <c r="BV40" s="60">
        <v>4625.9840000000004</v>
      </c>
      <c r="BW40" s="60">
        <v>4921.26</v>
      </c>
      <c r="BX40" s="60">
        <v>4921.26</v>
      </c>
      <c r="BY40" s="60">
        <v>4921.26</v>
      </c>
      <c r="BZ40" s="60">
        <v>5610.2359999999999</v>
      </c>
      <c r="CA40" s="60">
        <v>5610.2359999999999</v>
      </c>
      <c r="CB40" s="60">
        <v>5577.4279999999999</v>
      </c>
      <c r="CC40" s="60">
        <v>5577.4279999999999</v>
      </c>
      <c r="CD40" s="60">
        <v>4593.1760000000004</v>
      </c>
      <c r="CE40" s="60">
        <v>4757.2179999999998</v>
      </c>
      <c r="CF40" s="60">
        <v>4757.2179999999998</v>
      </c>
      <c r="CG40" s="60">
        <v>4855.643</v>
      </c>
      <c r="CH40" s="60">
        <v>4757.2179999999998</v>
      </c>
      <c r="CI40" s="60">
        <v>4855.643</v>
      </c>
      <c r="CJ40" s="60">
        <v>4921.26</v>
      </c>
      <c r="CK40" s="60">
        <v>4921.26</v>
      </c>
      <c r="CL40" s="60">
        <v>5000</v>
      </c>
      <c r="CM40" s="60">
        <v>5000</v>
      </c>
      <c r="CN40" s="60">
        <v>4822.835</v>
      </c>
      <c r="CO40" s="60">
        <v>4700</v>
      </c>
      <c r="CP40" s="60">
        <v>4950</v>
      </c>
      <c r="CQ40" s="60">
        <v>4950</v>
      </c>
      <c r="CR40" s="60">
        <v>4750</v>
      </c>
      <c r="CS40" s="60">
        <v>5040</v>
      </c>
      <c r="CT40" s="60">
        <v>4900</v>
      </c>
      <c r="CU40" s="60">
        <v>4900</v>
      </c>
      <c r="CV40" s="60">
        <v>5100</v>
      </c>
      <c r="CW40" s="60">
        <v>4265.0919999999996</v>
      </c>
      <c r="CX40" s="60">
        <v>4101.05</v>
      </c>
      <c r="CY40" s="60">
        <v>4429.134</v>
      </c>
      <c r="CZ40" s="60">
        <v>4265.0919999999996</v>
      </c>
      <c r="DA40" s="60">
        <v>4350</v>
      </c>
      <c r="DB40" s="60">
        <v>4500</v>
      </c>
      <c r="DC40" s="60">
        <v>4500</v>
      </c>
      <c r="DD40" s="60">
        <v>4290</v>
      </c>
      <c r="DE40" s="60">
        <v>4290</v>
      </c>
      <c r="DF40" s="60">
        <v>4480</v>
      </c>
      <c r="DG40" s="60">
        <v>4480</v>
      </c>
      <c r="DH40" s="60">
        <v>4500</v>
      </c>
      <c r="DI40" s="60">
        <v>4800</v>
      </c>
      <c r="DJ40" s="60">
        <v>4800</v>
      </c>
      <c r="DK40" s="60">
        <v>4800</v>
      </c>
      <c r="DL40" s="60">
        <v>4750</v>
      </c>
      <c r="DM40" s="60">
        <v>4750</v>
      </c>
      <c r="DN40" s="60">
        <v>4500</v>
      </c>
      <c r="DO40" s="60">
        <v>4550</v>
      </c>
      <c r="DP40" s="60">
        <v>4550</v>
      </c>
      <c r="DQ40" s="60">
        <v>4700</v>
      </c>
      <c r="DR40" s="60">
        <v>4550</v>
      </c>
      <c r="DS40" s="60">
        <v>4700</v>
      </c>
      <c r="DT40" s="60">
        <v>5250</v>
      </c>
      <c r="DU40" s="60">
        <v>5250</v>
      </c>
      <c r="DV40" s="60">
        <v>5450</v>
      </c>
      <c r="DW40" s="60">
        <v>5600</v>
      </c>
      <c r="DX40" s="60">
        <v>5600</v>
      </c>
      <c r="DY40" s="60">
        <v>5200</v>
      </c>
      <c r="DZ40" s="60">
        <v>5200</v>
      </c>
      <c r="EA40" s="60">
        <v>5250</v>
      </c>
      <c r="EB40" s="60">
        <v>5200</v>
      </c>
      <c r="EC40" s="60">
        <v>5200</v>
      </c>
      <c r="ED40" s="60">
        <v>5250</v>
      </c>
      <c r="EE40" s="23">
        <v>4029</v>
      </c>
      <c r="EF40" s="23">
        <v>4029</v>
      </c>
      <c r="EG40" s="23">
        <v>4072</v>
      </c>
      <c r="EH40" s="23">
        <v>4131</v>
      </c>
      <c r="EI40" s="23">
        <v>4131</v>
      </c>
      <c r="EJ40" s="23">
        <v>4138</v>
      </c>
      <c r="EK40" s="23">
        <v>4157</v>
      </c>
      <c r="EL40" s="23">
        <v>4157</v>
      </c>
      <c r="EM40" s="23">
        <v>4082</v>
      </c>
      <c r="EN40" s="23">
        <v>4134</v>
      </c>
      <c r="EO40" s="23">
        <v>4134</v>
      </c>
      <c r="EP40" s="23">
        <v>4184</v>
      </c>
      <c r="EQ40" s="60">
        <v>4462</v>
      </c>
      <c r="ER40" s="60">
        <v>4462</v>
      </c>
      <c r="ES40" s="60">
        <v>4528</v>
      </c>
      <c r="ET40" s="60">
        <v>4593</v>
      </c>
      <c r="EU40" s="60">
        <v>4593</v>
      </c>
      <c r="EV40" s="60">
        <v>4692</v>
      </c>
      <c r="EW40" s="63">
        <v>4413</v>
      </c>
      <c r="EX40" s="60">
        <v>3987</v>
      </c>
      <c r="EY40" s="60">
        <v>3987</v>
      </c>
      <c r="EZ40" s="23">
        <v>4232</v>
      </c>
      <c r="FA40" s="60">
        <v>4700</v>
      </c>
      <c r="FB40" s="60">
        <v>4900</v>
      </c>
      <c r="FC40" s="60">
        <v>4900</v>
      </c>
      <c r="FD40" s="60">
        <v>4900</v>
      </c>
      <c r="FE40" s="60">
        <v>4900</v>
      </c>
      <c r="FF40" s="60">
        <v>5090</v>
      </c>
      <c r="FG40" s="60">
        <v>5350</v>
      </c>
      <c r="FH40" s="60">
        <v>5350</v>
      </c>
      <c r="FI40" s="60">
        <v>5732</v>
      </c>
    </row>
    <row r="41" spans="1:165">
      <c r="A41" s="6" t="s">
        <v>2641</v>
      </c>
      <c r="C41" s="23">
        <v>9.6</v>
      </c>
      <c r="D41" s="23">
        <v>9.6</v>
      </c>
      <c r="E41" s="23">
        <v>9.6</v>
      </c>
      <c r="F41" s="23">
        <v>9.6</v>
      </c>
      <c r="G41" s="23">
        <v>9.6</v>
      </c>
      <c r="H41" s="23">
        <v>9.6</v>
      </c>
      <c r="I41" s="23">
        <v>9.6</v>
      </c>
      <c r="J41" s="23">
        <v>9.6</v>
      </c>
      <c r="K41" s="23">
        <v>8.7100000000000009</v>
      </c>
      <c r="L41" s="23">
        <v>8.7100000000000009</v>
      </c>
      <c r="M41" s="23">
        <v>8.7100000000000009</v>
      </c>
      <c r="N41" s="23">
        <v>8.7100000000000009</v>
      </c>
      <c r="O41" s="23">
        <v>8.7100000000000009</v>
      </c>
      <c r="P41" s="60">
        <v>7.31</v>
      </c>
      <c r="Q41" s="60">
        <v>7.31</v>
      </c>
      <c r="R41" s="60">
        <v>7.31</v>
      </c>
      <c r="S41" s="60">
        <v>7.31</v>
      </c>
      <c r="T41" s="60">
        <v>7.31</v>
      </c>
      <c r="U41" s="60">
        <v>7.03</v>
      </c>
      <c r="V41" s="60">
        <v>7.53</v>
      </c>
      <c r="W41" s="60">
        <v>7.53</v>
      </c>
      <c r="X41" s="60">
        <v>7.03</v>
      </c>
      <c r="Y41" s="60">
        <v>7.53</v>
      </c>
      <c r="Z41" s="60">
        <v>7.53</v>
      </c>
      <c r="AA41" s="64">
        <f>(130.8333^2)/AA33</f>
        <v>7.0338124717812969</v>
      </c>
      <c r="AB41" s="64">
        <f>(130.8333^2)/AB33</f>
        <v>6.7884247343459378</v>
      </c>
      <c r="AC41" s="64">
        <f>(130.8333^2)/AC33</f>
        <v>6.7884247343459378</v>
      </c>
      <c r="AD41" s="64">
        <f>(142.41667^2)/AD33</f>
        <v>6.6500025881602953</v>
      </c>
      <c r="AE41" s="64">
        <f>(142.41667^2)/AE33</f>
        <v>6.6500025881602953</v>
      </c>
      <c r="AF41" s="23">
        <v>7.056</v>
      </c>
      <c r="AG41" s="23">
        <v>7.056</v>
      </c>
      <c r="AH41" s="23">
        <v>8.6999999999999993</v>
      </c>
      <c r="AI41" s="23">
        <v>8.6999999999999993</v>
      </c>
      <c r="AJ41" s="64">
        <f>(108^2)/AJ33</f>
        <v>6.8611764705882354</v>
      </c>
      <c r="AK41" s="64">
        <f>(108^2)/AK33</f>
        <v>6.8611764705882354</v>
      </c>
      <c r="AL41" s="64">
        <f>(108^2)/AL33</f>
        <v>6.8611764705882354</v>
      </c>
      <c r="AM41" s="64">
        <f>(108^2)/AM33</f>
        <v>6.8611764705882354</v>
      </c>
      <c r="AN41" s="23">
        <v>7.07</v>
      </c>
      <c r="AO41" s="23">
        <v>7.07</v>
      </c>
      <c r="AP41" s="23">
        <v>7.07</v>
      </c>
      <c r="AQ41" s="23">
        <v>7.07</v>
      </c>
      <c r="AR41" s="64">
        <f>(93^2)/AR33</f>
        <v>7.8770491803278686</v>
      </c>
      <c r="AS41" s="64">
        <f t="shared" ref="AS41:AZ41" si="270">(93^2)/AS33</f>
        <v>7.8770491803278686</v>
      </c>
      <c r="AT41" s="64">
        <f t="shared" si="270"/>
        <v>7.8770491803278686</v>
      </c>
      <c r="AU41" s="64">
        <f t="shared" si="270"/>
        <v>7.8770491803278686</v>
      </c>
      <c r="AV41" s="64">
        <f t="shared" si="270"/>
        <v>7.8770491803278686</v>
      </c>
      <c r="AW41" s="64">
        <f t="shared" si="270"/>
        <v>7.8770491803278686</v>
      </c>
      <c r="AX41" s="64">
        <f t="shared" si="270"/>
        <v>7.8770491803278686</v>
      </c>
      <c r="AY41" s="64">
        <f t="shared" si="270"/>
        <v>7.8770491803278686</v>
      </c>
      <c r="AZ41" s="64">
        <f t="shared" si="270"/>
        <v>7.8770491803278686</v>
      </c>
      <c r="BA41" s="64">
        <f>(94.75^2)/BA33</f>
        <v>7.9167217813051147</v>
      </c>
      <c r="BB41" s="64">
        <f t="shared" ref="BB41:BE41" si="271">(94.75^2)/BB33</f>
        <v>7.9167217813051147</v>
      </c>
      <c r="BC41" s="64">
        <f t="shared" si="271"/>
        <v>7.9167217813051147</v>
      </c>
      <c r="BD41" s="64">
        <f t="shared" si="271"/>
        <v>7.9167217813051147</v>
      </c>
      <c r="BE41" s="64">
        <f t="shared" si="271"/>
        <v>7.9167217813051147</v>
      </c>
      <c r="BF41" s="23">
        <v>9.4</v>
      </c>
      <c r="BG41" s="23">
        <v>9.4</v>
      </c>
      <c r="BH41" s="23">
        <v>9.4</v>
      </c>
      <c r="BI41" s="23">
        <v>9.4</v>
      </c>
      <c r="BJ41" s="23">
        <v>9.4</v>
      </c>
      <c r="BK41" s="23">
        <v>9.4</v>
      </c>
      <c r="BL41" s="23">
        <v>9.4</v>
      </c>
      <c r="BM41" s="64">
        <f>(117.833^2)/BM33</f>
        <v>10.134756123357663</v>
      </c>
      <c r="BN41" s="64">
        <f t="shared" ref="BN41:BS41" si="272">(117.833^2)/BN33</f>
        <v>10.134756123357663</v>
      </c>
      <c r="BO41" s="64">
        <f t="shared" si="272"/>
        <v>10.134756123357663</v>
      </c>
      <c r="BP41" s="64">
        <f t="shared" si="272"/>
        <v>10.134756123357663</v>
      </c>
      <c r="BQ41" s="64">
        <f t="shared" si="272"/>
        <v>10.134756123357663</v>
      </c>
      <c r="BR41" s="64">
        <f t="shared" si="272"/>
        <v>10.134756123357663</v>
      </c>
      <c r="BS41" s="64">
        <f t="shared" si="272"/>
        <v>10.134756123357663</v>
      </c>
      <c r="BT41" s="64">
        <f>(124.833^2)/BT33</f>
        <v>7.8150841970912737</v>
      </c>
      <c r="BU41" s="64">
        <f t="shared" ref="BU41:CC41" si="273">(124.833^2)/BU33</f>
        <v>7.8150841970912737</v>
      </c>
      <c r="BV41" s="64">
        <f t="shared" si="273"/>
        <v>7.8150841970912737</v>
      </c>
      <c r="BW41" s="64">
        <f t="shared" si="273"/>
        <v>7.8150841970912737</v>
      </c>
      <c r="BX41" s="64">
        <f t="shared" si="273"/>
        <v>7.8150841970912737</v>
      </c>
      <c r="BY41" s="64">
        <f t="shared" si="273"/>
        <v>7.8150841970912737</v>
      </c>
      <c r="BZ41" s="64">
        <f t="shared" si="273"/>
        <v>7.8150841970912737</v>
      </c>
      <c r="CA41" s="64">
        <f t="shared" si="273"/>
        <v>7.8150841970912737</v>
      </c>
      <c r="CB41" s="64">
        <f t="shared" si="273"/>
        <v>7.8150841970912737</v>
      </c>
      <c r="CC41" s="64">
        <f t="shared" si="273"/>
        <v>7.8150841970912737</v>
      </c>
      <c r="CD41" s="64">
        <f>(156.083^2)/CD33</f>
        <v>7.9875091439344263</v>
      </c>
      <c r="CE41" s="64">
        <f t="shared" ref="CE41:CM41" si="274">(156.083^2)/CE33</f>
        <v>7.9875091439344263</v>
      </c>
      <c r="CF41" s="64">
        <f t="shared" si="274"/>
        <v>7.9875091439344263</v>
      </c>
      <c r="CG41" s="64">
        <f t="shared" si="274"/>
        <v>7.9875091439344263</v>
      </c>
      <c r="CH41" s="64">
        <f t="shared" si="274"/>
        <v>7.9875091439344263</v>
      </c>
      <c r="CI41" s="64">
        <f t="shared" si="274"/>
        <v>7.9875091439344263</v>
      </c>
      <c r="CJ41" s="64">
        <f t="shared" si="274"/>
        <v>7.9875091439344263</v>
      </c>
      <c r="CK41" s="64">
        <f t="shared" si="274"/>
        <v>7.9875091439344263</v>
      </c>
      <c r="CL41" s="64">
        <f t="shared" si="274"/>
        <v>7.9875091439344263</v>
      </c>
      <c r="CM41" s="64">
        <f t="shared" si="274"/>
        <v>7.9875091439344263</v>
      </c>
      <c r="CN41" s="23">
        <v>8.8000000000000007</v>
      </c>
      <c r="CO41" s="23">
        <v>8.8000000000000007</v>
      </c>
      <c r="CP41" s="23">
        <v>8.8000000000000007</v>
      </c>
      <c r="CQ41" s="23">
        <v>8.8000000000000007</v>
      </c>
      <c r="CR41" s="23">
        <v>8.8000000000000007</v>
      </c>
      <c r="CS41" s="23">
        <v>8.8000000000000007</v>
      </c>
      <c r="CT41" s="23">
        <v>8.8000000000000007</v>
      </c>
      <c r="CU41" s="23">
        <v>8.8000000000000007</v>
      </c>
      <c r="CV41" s="23">
        <v>8.8000000000000007</v>
      </c>
      <c r="CW41" s="23">
        <v>9.5</v>
      </c>
      <c r="CX41" s="23">
        <v>9.5</v>
      </c>
      <c r="CY41" s="23">
        <v>9.5</v>
      </c>
      <c r="CZ41" s="23">
        <v>9.5</v>
      </c>
      <c r="DA41" s="23">
        <v>9.5</v>
      </c>
      <c r="DB41" s="23">
        <v>9.5</v>
      </c>
      <c r="DC41" s="23">
        <v>9.5</v>
      </c>
      <c r="DD41" s="23">
        <v>9.5</v>
      </c>
      <c r="DE41" s="23">
        <v>9.5</v>
      </c>
      <c r="DF41" s="23">
        <v>9.5</v>
      </c>
      <c r="DG41" s="23">
        <v>9.5</v>
      </c>
      <c r="DH41" s="23">
        <v>9.5</v>
      </c>
      <c r="DI41" s="23">
        <v>9.5</v>
      </c>
      <c r="DJ41" s="23">
        <v>9.5</v>
      </c>
      <c r="DK41" s="23">
        <v>9.5</v>
      </c>
      <c r="DL41" s="23">
        <v>9.5</v>
      </c>
      <c r="DM41" s="23">
        <v>9.5</v>
      </c>
      <c r="DN41" s="23">
        <v>9.5</v>
      </c>
      <c r="DO41" s="23">
        <v>9.5</v>
      </c>
      <c r="DP41" s="23">
        <v>9.5</v>
      </c>
      <c r="DQ41" s="23">
        <v>9.5</v>
      </c>
      <c r="DR41" s="23">
        <v>9.5</v>
      </c>
      <c r="DS41" s="23">
        <v>9.5</v>
      </c>
      <c r="DT41" s="23">
        <v>9.5</v>
      </c>
      <c r="DU41" s="23">
        <v>9.5</v>
      </c>
      <c r="DV41" s="23">
        <v>9.5</v>
      </c>
      <c r="DW41" s="23">
        <v>9.5</v>
      </c>
      <c r="DX41" s="23">
        <v>9.5</v>
      </c>
      <c r="DY41" s="23">
        <v>9.5</v>
      </c>
      <c r="DZ41" s="23">
        <v>9.5</v>
      </c>
      <c r="EA41" s="23">
        <v>9.5</v>
      </c>
      <c r="EB41" s="23">
        <v>9.5</v>
      </c>
      <c r="EC41" s="23">
        <v>9.5</v>
      </c>
      <c r="ED41" s="23">
        <v>9.5</v>
      </c>
      <c r="EE41" s="64">
        <f>(85.29^2)/EE33</f>
        <v>9.2927747828308647</v>
      </c>
      <c r="EF41" s="64">
        <f t="shared" ref="EF41:EJ41" si="275">(85.29^2)/EF33</f>
        <v>9.2927747828308647</v>
      </c>
      <c r="EG41" s="64">
        <f t="shared" si="275"/>
        <v>9.2927747828308647</v>
      </c>
      <c r="EH41" s="64">
        <f t="shared" si="275"/>
        <v>9.2927747828308647</v>
      </c>
      <c r="EI41" s="64">
        <f t="shared" si="275"/>
        <v>9.2927747828308647</v>
      </c>
      <c r="EJ41" s="64">
        <f t="shared" si="275"/>
        <v>9.2927747828308647</v>
      </c>
      <c r="EK41" s="64">
        <f>(94.229^2)/EK33</f>
        <v>8.914763494979919</v>
      </c>
      <c r="EL41" s="64">
        <f t="shared" ref="EL41:EP41" si="276">(94.229^2)/EL33</f>
        <v>8.914763494979919</v>
      </c>
      <c r="EM41" s="64">
        <f t="shared" si="276"/>
        <v>8.914763494979919</v>
      </c>
      <c r="EN41" s="64">
        <f t="shared" si="276"/>
        <v>8.914763494979919</v>
      </c>
      <c r="EO41" s="64">
        <f t="shared" si="276"/>
        <v>8.914763494979919</v>
      </c>
      <c r="EP41" s="64">
        <f t="shared" si="276"/>
        <v>8.914763494979919</v>
      </c>
      <c r="EQ41" s="23">
        <v>7.8</v>
      </c>
      <c r="ER41" s="23">
        <v>7.8</v>
      </c>
      <c r="ES41" s="23">
        <v>7.8</v>
      </c>
      <c r="ET41" s="23">
        <v>7.8</v>
      </c>
      <c r="EU41" s="23">
        <v>7.8</v>
      </c>
      <c r="EV41" s="23">
        <v>7.8</v>
      </c>
      <c r="EW41" s="23">
        <v>11</v>
      </c>
      <c r="EX41" s="23">
        <v>11</v>
      </c>
      <c r="EY41" s="23">
        <v>11</v>
      </c>
      <c r="EZ41" s="23">
        <v>11.5</v>
      </c>
      <c r="FA41" s="23">
        <v>8.9</v>
      </c>
      <c r="FB41" s="23">
        <v>8.9</v>
      </c>
      <c r="FC41" s="23">
        <v>8.9</v>
      </c>
      <c r="FD41" s="23">
        <v>8.9</v>
      </c>
      <c r="FE41" s="23">
        <v>8.9</v>
      </c>
      <c r="FF41" s="23">
        <v>7.4</v>
      </c>
      <c r="FG41" s="23">
        <v>9</v>
      </c>
      <c r="FH41" s="23">
        <v>9</v>
      </c>
      <c r="FI41" s="64">
        <f t="shared" ref="FI41" si="277">(94.229^2)/FI33</f>
        <v>10.65918900480192</v>
      </c>
    </row>
    <row r="42" spans="1:165">
      <c r="A42" s="23" t="s">
        <v>2642</v>
      </c>
      <c r="C42" s="23">
        <v>1.7</v>
      </c>
      <c r="D42" s="23">
        <v>1.7</v>
      </c>
      <c r="E42" s="23">
        <v>1.79</v>
      </c>
      <c r="F42" s="23">
        <v>1.88</v>
      </c>
      <c r="G42" s="23">
        <v>1.88</v>
      </c>
      <c r="H42" s="23">
        <v>1.91</v>
      </c>
      <c r="I42" s="23">
        <v>1.91</v>
      </c>
      <c r="J42" s="23">
        <v>1.91</v>
      </c>
      <c r="K42" s="58">
        <v>1.93</v>
      </c>
      <c r="L42" s="32"/>
      <c r="M42" s="23">
        <v>1.93</v>
      </c>
      <c r="N42" s="23">
        <v>2.02</v>
      </c>
      <c r="O42" s="23">
        <v>2.09</v>
      </c>
      <c r="P42" s="32"/>
      <c r="Q42" s="32"/>
      <c r="R42" s="32"/>
      <c r="S42" s="32"/>
      <c r="T42" s="32"/>
      <c r="U42" s="32"/>
      <c r="V42" s="32"/>
      <c r="W42" s="32"/>
      <c r="X42" s="32"/>
      <c r="Y42" s="32"/>
      <c r="Z42" s="32"/>
      <c r="AA42" s="32"/>
      <c r="AB42" s="32"/>
      <c r="AC42" s="32"/>
      <c r="AD42" s="32"/>
      <c r="AE42" s="32"/>
      <c r="AF42" s="32"/>
      <c r="AG42" s="32"/>
      <c r="AH42" s="32"/>
      <c r="AI42" s="32"/>
      <c r="AJ42" s="23">
        <v>1.93</v>
      </c>
      <c r="AK42" s="23">
        <v>1.96</v>
      </c>
      <c r="AL42" s="23">
        <v>1.93</v>
      </c>
      <c r="AM42" s="23">
        <v>1.96</v>
      </c>
      <c r="AN42" s="23">
        <v>1.96</v>
      </c>
      <c r="AO42" s="23">
        <v>2.02</v>
      </c>
      <c r="AP42" s="23">
        <v>2.09</v>
      </c>
      <c r="AQ42" s="23">
        <v>2.21</v>
      </c>
      <c r="AR42" s="23">
        <v>1.93</v>
      </c>
      <c r="AS42" s="23">
        <v>1.96</v>
      </c>
      <c r="AT42" s="23">
        <v>1.96</v>
      </c>
      <c r="AU42" s="23">
        <v>2.02</v>
      </c>
      <c r="AV42" s="23">
        <v>2.02</v>
      </c>
      <c r="AW42" s="23">
        <v>2.09</v>
      </c>
      <c r="AX42" s="23">
        <v>2.09</v>
      </c>
      <c r="AY42" s="23">
        <v>2.09</v>
      </c>
      <c r="AZ42" s="23">
        <v>2.09</v>
      </c>
      <c r="BA42" s="32"/>
      <c r="BB42" s="32"/>
      <c r="BC42" s="32"/>
      <c r="BD42" s="32"/>
      <c r="BE42" s="32"/>
      <c r="BF42" s="32"/>
      <c r="BG42" s="32"/>
      <c r="BH42" s="32"/>
      <c r="BI42" s="32"/>
      <c r="BJ42" s="32"/>
      <c r="BK42" s="32"/>
      <c r="BL42" s="32"/>
      <c r="BM42" s="32"/>
      <c r="BN42" s="32"/>
      <c r="BO42" s="32"/>
      <c r="BP42" s="32"/>
      <c r="BQ42" s="32"/>
      <c r="BR42" s="32"/>
      <c r="BS42" s="32"/>
      <c r="BT42" s="23">
        <v>1.65</v>
      </c>
      <c r="BU42" s="23">
        <v>1.71</v>
      </c>
      <c r="BV42" s="32"/>
      <c r="BW42" s="32"/>
      <c r="BX42" s="23">
        <v>1.65</v>
      </c>
      <c r="BY42" s="23">
        <v>1.71</v>
      </c>
      <c r="BZ42" s="23">
        <v>1.71</v>
      </c>
      <c r="CA42" s="23">
        <v>1.74</v>
      </c>
      <c r="CB42" s="32"/>
      <c r="CC42" s="32"/>
      <c r="CD42" s="23">
        <v>1.6</v>
      </c>
      <c r="CE42" s="32"/>
      <c r="CF42" s="23">
        <v>1.6</v>
      </c>
      <c r="CG42" s="32"/>
      <c r="CH42" s="23">
        <v>1.65</v>
      </c>
      <c r="CI42" s="32"/>
      <c r="CJ42" s="32"/>
      <c r="CK42" s="23">
        <v>1.71</v>
      </c>
      <c r="CL42" s="32"/>
      <c r="CM42" s="32"/>
      <c r="CN42" s="32"/>
      <c r="CO42" s="23">
        <v>1.6</v>
      </c>
      <c r="CP42" s="32"/>
      <c r="CQ42" s="32"/>
      <c r="CR42" s="23">
        <v>1.6</v>
      </c>
      <c r="CS42" s="32"/>
      <c r="CT42" s="23">
        <v>1.6</v>
      </c>
      <c r="CU42" s="23">
        <v>1.73</v>
      </c>
      <c r="CV42" s="32"/>
      <c r="CW42" s="32"/>
      <c r="CX42" s="32"/>
      <c r="CY42" s="32"/>
      <c r="CZ42" s="32"/>
      <c r="DA42" s="32"/>
      <c r="DB42" s="32"/>
      <c r="DC42" s="32"/>
      <c r="DD42" s="23">
        <v>1.7</v>
      </c>
      <c r="DE42" s="23">
        <v>1.7</v>
      </c>
      <c r="DF42" s="32"/>
      <c r="DG42" s="32"/>
      <c r="DH42" s="32"/>
      <c r="DI42" s="32"/>
      <c r="DJ42" s="32"/>
      <c r="DK42" s="32"/>
      <c r="DL42" s="23">
        <v>1.76</v>
      </c>
      <c r="DM42" s="23">
        <v>1.7</v>
      </c>
      <c r="DN42" s="32"/>
      <c r="DO42" s="32"/>
      <c r="DP42" s="32"/>
      <c r="DQ42" s="32"/>
      <c r="DR42" s="32"/>
      <c r="DS42" s="32"/>
      <c r="DT42" s="32"/>
      <c r="DU42" s="23">
        <v>1.7</v>
      </c>
      <c r="DV42" s="32"/>
      <c r="DW42" s="32"/>
      <c r="DX42" s="23">
        <v>1.7</v>
      </c>
      <c r="DY42" s="32"/>
      <c r="DZ42" s="32"/>
      <c r="EA42" s="32"/>
      <c r="EB42" s="32"/>
      <c r="EC42" s="32"/>
      <c r="ED42" s="32"/>
    </row>
    <row r="43" spans="1:165">
      <c r="A43" s="23" t="s">
        <v>2643</v>
      </c>
      <c r="C43" s="60">
        <f t="shared" ref="C43:N43" si="278">C19/C27</f>
        <v>318.14961736618517</v>
      </c>
      <c r="D43" s="60">
        <f t="shared" si="278"/>
        <v>305.91681105289274</v>
      </c>
      <c r="E43" s="60">
        <f t="shared" si="278"/>
        <v>370.81328537394307</v>
      </c>
      <c r="F43" s="60">
        <f t="shared" si="278"/>
        <v>365.58147358251728</v>
      </c>
      <c r="G43" s="60">
        <f t="shared" si="278"/>
        <v>365.58147358251728</v>
      </c>
      <c r="H43" s="60">
        <f t="shared" si="278"/>
        <v>375.93342339505051</v>
      </c>
      <c r="I43" s="60">
        <f t="shared" si="278"/>
        <v>342.35121094954576</v>
      </c>
      <c r="J43" s="60">
        <f t="shared" si="278"/>
        <v>365.58147358251728</v>
      </c>
      <c r="K43" s="60">
        <f t="shared" si="278"/>
        <v>330.31661129408059</v>
      </c>
      <c r="L43" s="60">
        <f t="shared" si="278"/>
        <v>339.90375176287745</v>
      </c>
      <c r="M43" s="60">
        <f t="shared" si="278"/>
        <v>393.31932024195868</v>
      </c>
      <c r="N43" s="60">
        <f t="shared" si="278"/>
        <v>374.99601145220851</v>
      </c>
      <c r="O43" s="60">
        <f t="shared" ref="O43:AQ43" si="279">O19/O27</f>
        <v>385.58271218113993</v>
      </c>
      <c r="P43" s="60">
        <f t="shared" si="279"/>
        <v>579.81972571061169</v>
      </c>
      <c r="Q43" s="60">
        <f t="shared" si="279"/>
        <v>402.08674025838889</v>
      </c>
      <c r="R43" s="60">
        <f t="shared" si="279"/>
        <v>458.87988654216963</v>
      </c>
      <c r="S43" s="60">
        <f t="shared" si="279"/>
        <v>458.88006338842098</v>
      </c>
      <c r="T43" s="60">
        <f t="shared" si="279"/>
        <v>460.29631257579439</v>
      </c>
      <c r="U43" s="60">
        <f t="shared" si="279"/>
        <v>460.29631257579439</v>
      </c>
      <c r="V43" s="60">
        <f t="shared" si="279"/>
        <v>495.70372123547088</v>
      </c>
      <c r="W43" s="60">
        <f t="shared" si="279"/>
        <v>502.78520296740618</v>
      </c>
      <c r="X43" s="60">
        <f t="shared" si="279"/>
        <v>345.22326404825913</v>
      </c>
      <c r="Y43" s="60">
        <f t="shared" si="279"/>
        <v>355.8455183266671</v>
      </c>
      <c r="Z43" s="60">
        <f t="shared" si="279"/>
        <v>377.09002688348301</v>
      </c>
      <c r="AA43" s="60">
        <f t="shared" si="279"/>
        <v>487.08603775366407</v>
      </c>
      <c r="AB43" s="60">
        <f t="shared" si="279"/>
        <v>337.21351140238903</v>
      </c>
      <c r="AC43" s="60">
        <f t="shared" si="279"/>
        <v>371.50641086703877</v>
      </c>
      <c r="AD43" s="60">
        <f t="shared" si="279"/>
        <v>455.07740490905513</v>
      </c>
      <c r="AE43" s="60">
        <f t="shared" si="279"/>
        <v>455.07758028988025</v>
      </c>
      <c r="AF43" s="60">
        <f t="shared" si="279"/>
        <v>463.66843978473798</v>
      </c>
      <c r="AG43" s="60">
        <f t="shared" si="279"/>
        <v>441.51615774279452</v>
      </c>
      <c r="AH43" s="60">
        <f t="shared" si="279"/>
        <v>321.54271296407546</v>
      </c>
      <c r="AI43" s="60">
        <f t="shared" si="279"/>
        <v>287.86321200041959</v>
      </c>
      <c r="AJ43" s="60">
        <f t="shared" si="279"/>
        <v>388.59895624247292</v>
      </c>
      <c r="AK43" s="60">
        <f t="shared" si="279"/>
        <v>396.38734537275911</v>
      </c>
      <c r="AL43" s="60">
        <f t="shared" si="279"/>
        <v>388.59895624247292</v>
      </c>
      <c r="AM43" s="60">
        <f t="shared" si="279"/>
        <v>396.38734537275911</v>
      </c>
      <c r="AN43" s="60">
        <f t="shared" si="279"/>
        <v>405.68978633326719</v>
      </c>
      <c r="AO43" s="60">
        <f t="shared" si="279"/>
        <v>405.62322388758196</v>
      </c>
      <c r="AP43" s="60">
        <f t="shared" si="279"/>
        <v>405.12471049975528</v>
      </c>
      <c r="AQ43" s="60">
        <f t="shared" si="279"/>
        <v>409.5660150647941</v>
      </c>
      <c r="AR43" s="60">
        <f t="shared" ref="AR43:DC43" si="280">AR19/AR27</f>
        <v>375.11039743075071</v>
      </c>
      <c r="AS43" s="60">
        <f t="shared" si="280"/>
        <v>386.78766394626348</v>
      </c>
      <c r="AT43" s="60">
        <f t="shared" si="280"/>
        <v>406.12898515171344</v>
      </c>
      <c r="AU43" s="60">
        <f t="shared" si="280"/>
        <v>379.92703138404681</v>
      </c>
      <c r="AV43" s="60">
        <f t="shared" si="280"/>
        <v>384.85832325923582</v>
      </c>
      <c r="AW43" s="60">
        <f t="shared" si="280"/>
        <v>396.73158369627987</v>
      </c>
      <c r="AX43" s="60">
        <f t="shared" si="280"/>
        <v>408.20386511319487</v>
      </c>
      <c r="AY43" s="60">
        <f t="shared" si="280"/>
        <v>368.05439279374031</v>
      </c>
      <c r="AZ43" s="60">
        <f t="shared" si="280"/>
        <v>408.20386511319487</v>
      </c>
      <c r="BA43" s="60">
        <f t="shared" si="280"/>
        <v>315.80623634327605</v>
      </c>
      <c r="BB43" s="60">
        <f t="shared" si="280"/>
        <v>316.06509932193012</v>
      </c>
      <c r="BC43" s="60">
        <f t="shared" si="280"/>
        <v>319.52878463360713</v>
      </c>
      <c r="BD43" s="60">
        <f t="shared" si="280"/>
        <v>309.16969585079488</v>
      </c>
      <c r="BE43" s="60">
        <f t="shared" si="280"/>
        <v>292.97863476094477</v>
      </c>
      <c r="BF43" s="60">
        <f t="shared" si="280"/>
        <v>341.74038788703638</v>
      </c>
      <c r="BG43" s="60">
        <f t="shared" si="280"/>
        <v>382.39498870494253</v>
      </c>
      <c r="BH43" s="60">
        <f t="shared" si="280"/>
        <v>327.61724065407884</v>
      </c>
      <c r="BI43" s="60">
        <f t="shared" si="280"/>
        <v>337.70927324294246</v>
      </c>
      <c r="BJ43" s="60">
        <f t="shared" si="280"/>
        <v>363.87857920713367</v>
      </c>
      <c r="BK43" s="60">
        <f t="shared" si="280"/>
        <v>423.23180513570441</v>
      </c>
      <c r="BL43" s="60">
        <f t="shared" si="280"/>
        <v>367.00989976865111</v>
      </c>
      <c r="BM43" s="60">
        <f t="shared" si="280"/>
        <v>321.88677732339028</v>
      </c>
      <c r="BN43" s="60">
        <f t="shared" si="280"/>
        <v>316.86220381872556</v>
      </c>
      <c r="BO43" s="60">
        <f t="shared" si="280"/>
        <v>316.86220381872556</v>
      </c>
      <c r="BP43" s="60">
        <f t="shared" si="280"/>
        <v>338.60133425350818</v>
      </c>
      <c r="BQ43" s="60">
        <f t="shared" si="280"/>
        <v>344.16455793267386</v>
      </c>
      <c r="BR43" s="60">
        <f t="shared" si="280"/>
        <v>316.86220381872556</v>
      </c>
      <c r="BS43" s="60">
        <f t="shared" si="280"/>
        <v>338.60133425350818</v>
      </c>
      <c r="BT43" s="60">
        <f t="shared" si="280"/>
        <v>339.6394047840397</v>
      </c>
      <c r="BU43" s="60">
        <f t="shared" si="280"/>
        <v>317.83807885418452</v>
      </c>
      <c r="BV43" s="60">
        <f t="shared" si="280"/>
        <v>333.2033437244819</v>
      </c>
      <c r="BW43" s="60">
        <f t="shared" si="280"/>
        <v>328.18938215830281</v>
      </c>
      <c r="BX43" s="60">
        <f t="shared" si="280"/>
        <v>339.6394047840397</v>
      </c>
      <c r="BY43" s="60">
        <f t="shared" si="280"/>
        <v>320.58635450359378</v>
      </c>
      <c r="BZ43" s="60">
        <f t="shared" si="280"/>
        <v>336.58131878315584</v>
      </c>
      <c r="CA43" s="60">
        <f t="shared" si="280"/>
        <v>320.14366862111058</v>
      </c>
      <c r="CB43" s="60">
        <f t="shared" si="280"/>
        <v>347.54304913901723</v>
      </c>
      <c r="CC43" s="60">
        <f t="shared" si="280"/>
        <v>323.60552626391643</v>
      </c>
      <c r="CD43" s="60">
        <f t="shared" si="280"/>
        <v>299.54157701627895</v>
      </c>
      <c r="CE43" s="60">
        <f t="shared" si="280"/>
        <v>325.92752269406719</v>
      </c>
      <c r="CF43" s="60">
        <f t="shared" si="280"/>
        <v>316.11284833471427</v>
      </c>
      <c r="CG43" s="60">
        <f t="shared" si="280"/>
        <v>329.98929766936772</v>
      </c>
      <c r="CH43" s="60">
        <f t="shared" si="280"/>
        <v>302.7900813778221</v>
      </c>
      <c r="CI43" s="60">
        <f t="shared" si="280"/>
        <v>309.1544929052331</v>
      </c>
      <c r="CJ43" s="60">
        <f t="shared" si="280"/>
        <v>298.71124754098508</v>
      </c>
      <c r="CK43" s="60">
        <f t="shared" si="280"/>
        <v>315.34851248578951</v>
      </c>
      <c r="CL43" s="60">
        <f t="shared" si="280"/>
        <v>340.68220482431224</v>
      </c>
      <c r="CM43" s="60">
        <f t="shared" si="280"/>
        <v>331.90044257299871</v>
      </c>
      <c r="CN43" s="60">
        <f t="shared" si="280"/>
        <v>302.9894036342202</v>
      </c>
      <c r="CO43" s="60">
        <f t="shared" si="280"/>
        <v>309.11235109917544</v>
      </c>
      <c r="CP43" s="60">
        <f t="shared" si="280"/>
        <v>318.13887381593122</v>
      </c>
      <c r="CQ43" s="60">
        <f t="shared" si="280"/>
        <v>325.94314633378229</v>
      </c>
      <c r="CR43" s="60">
        <f t="shared" si="280"/>
        <v>319.22870029676579</v>
      </c>
      <c r="CS43" s="60">
        <f t="shared" si="280"/>
        <v>321.40051775480742</v>
      </c>
      <c r="CT43" s="60">
        <f t="shared" si="280"/>
        <v>343.95768412257161</v>
      </c>
      <c r="CU43" s="60">
        <f t="shared" si="280"/>
        <v>321.15564647828745</v>
      </c>
      <c r="CV43" s="60">
        <f t="shared" si="280"/>
        <v>351.39789941192277</v>
      </c>
      <c r="CW43" s="60">
        <f t="shared" si="280"/>
        <v>307.0307544900906</v>
      </c>
      <c r="CX43" s="60">
        <f t="shared" si="280"/>
        <v>300.08433794025183</v>
      </c>
      <c r="CY43" s="60">
        <f t="shared" si="280"/>
        <v>328.04739628781567</v>
      </c>
      <c r="CZ43" s="60">
        <f t="shared" si="280"/>
        <v>321.15564647828745</v>
      </c>
      <c r="DA43" s="60">
        <f t="shared" si="280"/>
        <v>326.99482744867174</v>
      </c>
      <c r="DB43" s="60">
        <f t="shared" si="280"/>
        <v>361.12926089909826</v>
      </c>
      <c r="DC43" s="60">
        <f t="shared" si="280"/>
        <v>314.31620908374174</v>
      </c>
      <c r="DD43" s="60">
        <f t="shared" ref="DD43:FI43" si="281">DD19/DD27</f>
        <v>368.33939914330603</v>
      </c>
      <c r="DE43" s="60">
        <f t="shared" si="281"/>
        <v>342.19911564870665</v>
      </c>
      <c r="DF43" s="60">
        <f t="shared" si="281"/>
        <v>299.62041838246171</v>
      </c>
      <c r="DG43" s="60">
        <f t="shared" si="281"/>
        <v>312.92545427657603</v>
      </c>
      <c r="DH43" s="60">
        <f t="shared" si="281"/>
        <v>296.77748801784077</v>
      </c>
      <c r="DI43" s="60">
        <f t="shared" si="281"/>
        <v>330.4691474903139</v>
      </c>
      <c r="DJ43" s="60">
        <f t="shared" si="281"/>
        <v>311.76335303649444</v>
      </c>
      <c r="DK43" s="60">
        <f t="shared" si="281"/>
        <v>324.7240305765809</v>
      </c>
      <c r="DL43" s="60">
        <f t="shared" si="281"/>
        <v>333.13422126039706</v>
      </c>
      <c r="DM43" s="60">
        <f t="shared" si="281"/>
        <v>353.53019399062543</v>
      </c>
      <c r="DN43" s="60">
        <f t="shared" si="281"/>
        <v>344.09532423610835</v>
      </c>
      <c r="DO43" s="60">
        <f t="shared" si="281"/>
        <v>327.43190786142378</v>
      </c>
      <c r="DP43" s="60">
        <f t="shared" si="281"/>
        <v>327.97611386529979</v>
      </c>
      <c r="DQ43" s="60">
        <f t="shared" si="281"/>
        <v>340.830396395489</v>
      </c>
      <c r="DR43" s="60">
        <f t="shared" si="281"/>
        <v>303.17355166127209</v>
      </c>
      <c r="DS43" s="60">
        <f t="shared" si="281"/>
        <v>303.64005232140886</v>
      </c>
      <c r="DT43" s="60">
        <f t="shared" si="281"/>
        <v>310.98570801857613</v>
      </c>
      <c r="DU43" s="60">
        <f t="shared" si="281"/>
        <v>312.02579175420613</v>
      </c>
      <c r="DV43" s="60">
        <f t="shared" si="281"/>
        <v>322.70961297605811</v>
      </c>
      <c r="DW43" s="60">
        <f t="shared" si="281"/>
        <v>328.4318164364833</v>
      </c>
      <c r="DX43" s="60">
        <f t="shared" si="281"/>
        <v>332.58918725873946</v>
      </c>
      <c r="DY43" s="60">
        <f t="shared" si="281"/>
        <v>311.06960409577312</v>
      </c>
      <c r="DZ43" s="60">
        <f t="shared" si="281"/>
        <v>326.79784250510994</v>
      </c>
      <c r="EA43" s="60">
        <f t="shared" si="281"/>
        <v>317.42130328094811</v>
      </c>
      <c r="EB43" s="60">
        <f t="shared" si="281"/>
        <v>339.03091682348304</v>
      </c>
      <c r="EC43" s="60">
        <f t="shared" si="281"/>
        <v>353.011573187338</v>
      </c>
      <c r="ED43" s="60">
        <f t="shared" si="281"/>
        <v>342.88290514840384</v>
      </c>
      <c r="EE43" s="60">
        <f t="shared" si="281"/>
        <v>278.80337498496175</v>
      </c>
      <c r="EF43" s="60">
        <f t="shared" si="281"/>
        <v>288.17686994833502</v>
      </c>
      <c r="EG43" s="60">
        <f t="shared" si="281"/>
        <v>299.02223602165941</v>
      </c>
      <c r="EH43" s="60">
        <f t="shared" si="281"/>
        <v>290.50087696404739</v>
      </c>
      <c r="EI43" s="60">
        <f t="shared" si="281"/>
        <v>300.49410713161063</v>
      </c>
      <c r="EJ43" s="60">
        <f t="shared" si="281"/>
        <v>312.7338774143625</v>
      </c>
      <c r="EK43" s="60">
        <f t="shared" si="281"/>
        <v>285.43101337267291</v>
      </c>
      <c r="EL43" s="60">
        <f t="shared" si="281"/>
        <v>300.42226349959088</v>
      </c>
      <c r="EM43" s="60">
        <f t="shared" si="281"/>
        <v>309.38117791806769</v>
      </c>
      <c r="EN43" s="60">
        <f t="shared" si="281"/>
        <v>291.40362298499082</v>
      </c>
      <c r="EO43" s="60">
        <f t="shared" si="281"/>
        <v>303.34884220962664</v>
      </c>
      <c r="EP43" s="60">
        <f t="shared" si="281"/>
        <v>312.3077566281035</v>
      </c>
      <c r="EQ43" s="60">
        <f t="shared" si="281"/>
        <v>281.81548501928211</v>
      </c>
      <c r="ER43" s="60">
        <f t="shared" si="281"/>
        <v>296.64787896766535</v>
      </c>
      <c r="ES43" s="60">
        <f t="shared" si="281"/>
        <v>312.96351231088698</v>
      </c>
      <c r="ET43" s="60">
        <f t="shared" si="281"/>
        <v>311.33194897656483</v>
      </c>
      <c r="EU43" s="60">
        <f t="shared" si="281"/>
        <v>326.31266686443189</v>
      </c>
      <c r="EV43" s="60">
        <f t="shared" si="281"/>
        <v>303.75598689185779</v>
      </c>
      <c r="EW43" s="60">
        <f t="shared" si="281"/>
        <v>332.83582089552237</v>
      </c>
      <c r="EX43" s="60">
        <f t="shared" si="281"/>
        <v>287.75510204081633</v>
      </c>
      <c r="EY43" s="60">
        <f t="shared" si="281"/>
        <v>287.75510204081633</v>
      </c>
      <c r="EZ43" s="60">
        <f t="shared" si="281"/>
        <v>313.77551020408163</v>
      </c>
      <c r="FA43" s="60">
        <f t="shared" si="281"/>
        <v>262.39497130150249</v>
      </c>
      <c r="FB43" s="60">
        <f t="shared" si="281"/>
        <v>282.02308558833141</v>
      </c>
      <c r="FC43" s="60">
        <f t="shared" si="281"/>
        <v>293.09285439108959</v>
      </c>
      <c r="FD43" s="60">
        <f t="shared" si="281"/>
        <v>282.02308558833141</v>
      </c>
      <c r="FE43" s="60">
        <f t="shared" si="281"/>
        <v>293.09285439108959</v>
      </c>
      <c r="FF43" s="60">
        <f t="shared" si="281"/>
        <v>255.64766036566468</v>
      </c>
      <c r="FG43" s="60">
        <f t="shared" si="281"/>
        <v>296.93988224356985</v>
      </c>
      <c r="FH43" s="60">
        <f t="shared" si="281"/>
        <v>296.93988224356985</v>
      </c>
      <c r="FI43" s="60">
        <f t="shared" si="281"/>
        <v>322.59064146265877</v>
      </c>
    </row>
    <row r="44" spans="1:165">
      <c r="A44" s="23" t="s">
        <v>2644</v>
      </c>
      <c r="C44" s="23">
        <f>C8*95</f>
        <v>15485</v>
      </c>
      <c r="D44" s="23">
        <f>D8*95</f>
        <v>15485</v>
      </c>
      <c r="E44" s="23">
        <f t="shared" ref="E44:BP44" si="282">E8*95</f>
        <v>14725</v>
      </c>
      <c r="F44" s="23">
        <f t="shared" si="282"/>
        <v>16340</v>
      </c>
      <c r="G44" s="23">
        <f t="shared" si="282"/>
        <v>16340</v>
      </c>
      <c r="H44" s="23">
        <f t="shared" si="282"/>
        <v>16340</v>
      </c>
      <c r="I44" s="23">
        <f t="shared" si="282"/>
        <v>13205</v>
      </c>
      <c r="J44" s="23">
        <f t="shared" si="282"/>
        <v>13205</v>
      </c>
      <c r="K44" s="23">
        <f t="shared" si="282"/>
        <v>8550</v>
      </c>
      <c r="L44" s="23">
        <f t="shared" si="282"/>
        <v>8550</v>
      </c>
      <c r="M44" s="23">
        <f t="shared" si="282"/>
        <v>10925</v>
      </c>
      <c r="N44" s="23">
        <f t="shared" si="282"/>
        <v>11875</v>
      </c>
      <c r="O44" s="23">
        <f t="shared" si="282"/>
        <v>12825</v>
      </c>
      <c r="P44" s="23">
        <f t="shared" si="282"/>
        <v>16815</v>
      </c>
      <c r="Q44" s="23">
        <f t="shared" si="282"/>
        <v>16815</v>
      </c>
      <c r="R44" s="23">
        <f t="shared" si="282"/>
        <v>16815</v>
      </c>
      <c r="S44" s="23">
        <f t="shared" si="282"/>
        <v>16815</v>
      </c>
      <c r="T44" s="23">
        <f t="shared" si="282"/>
        <v>17955</v>
      </c>
      <c r="U44" s="23">
        <f t="shared" si="282"/>
        <v>24605</v>
      </c>
      <c r="V44" s="23">
        <f t="shared" si="282"/>
        <v>17955</v>
      </c>
      <c r="W44" s="23">
        <f t="shared" si="282"/>
        <v>24605</v>
      </c>
      <c r="X44" s="23">
        <f t="shared" si="282"/>
        <v>24605</v>
      </c>
      <c r="Y44" s="23">
        <f t="shared" si="282"/>
        <v>17955</v>
      </c>
      <c r="Z44" s="23">
        <f t="shared" si="282"/>
        <v>24605</v>
      </c>
      <c r="AA44" s="23">
        <f t="shared" si="282"/>
        <v>14155</v>
      </c>
      <c r="AB44" s="23">
        <f t="shared" si="282"/>
        <v>14820</v>
      </c>
      <c r="AC44" s="23">
        <f t="shared" si="282"/>
        <v>16530</v>
      </c>
      <c r="AD44" s="23">
        <f t="shared" si="282"/>
        <v>17955</v>
      </c>
      <c r="AE44" s="23">
        <f t="shared" si="282"/>
        <v>17955</v>
      </c>
      <c r="AF44" s="23">
        <f t="shared" si="282"/>
        <v>17955</v>
      </c>
      <c r="AG44" s="23">
        <f t="shared" si="282"/>
        <v>18430</v>
      </c>
      <c r="AH44" s="23">
        <f t="shared" si="282"/>
        <v>11115</v>
      </c>
      <c r="AI44" s="23">
        <f t="shared" si="282"/>
        <v>11115</v>
      </c>
      <c r="AJ44" s="23">
        <f t="shared" si="282"/>
        <v>11875</v>
      </c>
      <c r="AK44" s="23">
        <f t="shared" si="282"/>
        <v>11875</v>
      </c>
      <c r="AL44" s="23">
        <f t="shared" si="282"/>
        <v>11875</v>
      </c>
      <c r="AM44" s="23">
        <f t="shared" si="282"/>
        <v>11875</v>
      </c>
      <c r="AN44" s="23">
        <f t="shared" si="282"/>
        <v>14725</v>
      </c>
      <c r="AO44" s="23">
        <f t="shared" si="282"/>
        <v>14725</v>
      </c>
      <c r="AP44" s="23">
        <f t="shared" si="282"/>
        <v>14725</v>
      </c>
      <c r="AQ44" s="23">
        <f t="shared" si="282"/>
        <v>14725</v>
      </c>
      <c r="AR44" s="23">
        <f t="shared" si="282"/>
        <v>9120</v>
      </c>
      <c r="AS44" s="23">
        <f t="shared" si="282"/>
        <v>8550</v>
      </c>
      <c r="AT44" s="23">
        <f t="shared" si="282"/>
        <v>11780</v>
      </c>
      <c r="AU44" s="23">
        <f t="shared" si="282"/>
        <v>8550</v>
      </c>
      <c r="AV44" s="23">
        <f t="shared" si="282"/>
        <v>12350</v>
      </c>
      <c r="AW44" s="23">
        <f t="shared" si="282"/>
        <v>8835</v>
      </c>
      <c r="AX44" s="23">
        <f t="shared" si="282"/>
        <v>12350</v>
      </c>
      <c r="AY44" s="23">
        <f t="shared" si="282"/>
        <v>8835</v>
      </c>
      <c r="AZ44" s="23">
        <f t="shared" si="282"/>
        <v>12350</v>
      </c>
      <c r="BA44" s="23">
        <f t="shared" si="282"/>
        <v>12730</v>
      </c>
      <c r="BB44" s="23">
        <f t="shared" si="282"/>
        <v>12730</v>
      </c>
      <c r="BC44" s="23">
        <f t="shared" si="282"/>
        <v>15105</v>
      </c>
      <c r="BD44" s="23">
        <f t="shared" si="282"/>
        <v>15105</v>
      </c>
      <c r="BE44" s="23">
        <f t="shared" si="282"/>
        <v>11590</v>
      </c>
      <c r="BF44" s="23">
        <f t="shared" si="282"/>
        <v>12350</v>
      </c>
      <c r="BG44" s="23">
        <f t="shared" si="282"/>
        <v>14060</v>
      </c>
      <c r="BH44" s="23">
        <f t="shared" si="282"/>
        <v>17480</v>
      </c>
      <c r="BI44" s="23">
        <f t="shared" si="282"/>
        <v>17955</v>
      </c>
      <c r="BJ44" s="23">
        <f t="shared" si="282"/>
        <v>17670</v>
      </c>
      <c r="BK44" s="23">
        <f t="shared" si="282"/>
        <v>0</v>
      </c>
      <c r="BL44" s="23">
        <f t="shared" si="282"/>
        <v>0</v>
      </c>
      <c r="BM44" s="23">
        <f t="shared" si="282"/>
        <v>16340</v>
      </c>
      <c r="BN44" s="23">
        <f t="shared" si="282"/>
        <v>17955</v>
      </c>
      <c r="BO44" s="23">
        <f t="shared" si="282"/>
        <v>19190</v>
      </c>
      <c r="BP44" s="23">
        <f t="shared" si="282"/>
        <v>20900</v>
      </c>
      <c r="BQ44" s="23">
        <f t="shared" ref="BQ44:EB44" si="283">BQ8*95</f>
        <v>21850</v>
      </c>
      <c r="BR44" s="23">
        <f t="shared" si="283"/>
        <v>0</v>
      </c>
      <c r="BS44" s="23">
        <f t="shared" si="283"/>
        <v>0</v>
      </c>
      <c r="BT44" s="23">
        <f t="shared" si="283"/>
        <v>21280</v>
      </c>
      <c r="BU44" s="23">
        <f t="shared" si="283"/>
        <v>22705</v>
      </c>
      <c r="BV44" s="23">
        <f t="shared" si="283"/>
        <v>21280</v>
      </c>
      <c r="BW44" s="23">
        <f t="shared" si="283"/>
        <v>22705</v>
      </c>
      <c r="BX44" s="23">
        <f t="shared" si="283"/>
        <v>0</v>
      </c>
      <c r="BY44" s="23">
        <f t="shared" si="283"/>
        <v>0</v>
      </c>
      <c r="BZ44" s="23">
        <f t="shared" si="283"/>
        <v>26505</v>
      </c>
      <c r="CA44" s="23">
        <f t="shared" si="283"/>
        <v>26505</v>
      </c>
      <c r="CB44" s="23">
        <f t="shared" si="283"/>
        <v>26505</v>
      </c>
      <c r="CC44" s="23">
        <f t="shared" si="283"/>
        <v>26505</v>
      </c>
      <c r="CD44" s="23">
        <f t="shared" si="283"/>
        <v>22990</v>
      </c>
      <c r="CE44" s="23">
        <f t="shared" si="283"/>
        <v>22990</v>
      </c>
      <c r="CF44" s="23">
        <f t="shared" si="283"/>
        <v>22990</v>
      </c>
      <c r="CG44" s="23">
        <f t="shared" si="283"/>
        <v>22990</v>
      </c>
      <c r="CH44" s="23">
        <f t="shared" si="283"/>
        <v>22990</v>
      </c>
      <c r="CI44" s="23">
        <f t="shared" si="283"/>
        <v>22990</v>
      </c>
      <c r="CJ44" s="23">
        <f t="shared" si="283"/>
        <v>23275</v>
      </c>
      <c r="CK44" s="23">
        <f t="shared" si="283"/>
        <v>23275</v>
      </c>
      <c r="CL44" s="23">
        <f t="shared" si="283"/>
        <v>23275</v>
      </c>
      <c r="CM44" s="23">
        <f t="shared" si="283"/>
        <v>23275</v>
      </c>
      <c r="CN44" s="23">
        <f t="shared" si="283"/>
        <v>22515</v>
      </c>
      <c r="CO44" s="23">
        <f t="shared" si="283"/>
        <v>22515</v>
      </c>
      <c r="CP44" s="23">
        <f t="shared" si="283"/>
        <v>22515</v>
      </c>
      <c r="CQ44" s="23">
        <f t="shared" si="283"/>
        <v>22515</v>
      </c>
      <c r="CR44" s="23">
        <f t="shared" si="283"/>
        <v>22515</v>
      </c>
      <c r="CS44" s="23">
        <f t="shared" si="283"/>
        <v>23085</v>
      </c>
      <c r="CT44" s="23">
        <f t="shared" si="283"/>
        <v>23085</v>
      </c>
      <c r="CU44" s="23">
        <f t="shared" si="283"/>
        <v>22800</v>
      </c>
      <c r="CV44" s="23">
        <f t="shared" si="283"/>
        <v>22800</v>
      </c>
      <c r="CW44" s="23">
        <f t="shared" si="283"/>
        <v>12540</v>
      </c>
      <c r="CX44" s="23">
        <f t="shared" si="283"/>
        <v>12540</v>
      </c>
      <c r="CY44" s="23">
        <f t="shared" si="283"/>
        <v>12540</v>
      </c>
      <c r="CZ44" s="23">
        <f t="shared" si="283"/>
        <v>12540</v>
      </c>
      <c r="DA44" s="23">
        <f t="shared" si="283"/>
        <v>14820</v>
      </c>
      <c r="DB44" s="23">
        <f t="shared" si="283"/>
        <v>14820</v>
      </c>
      <c r="DC44" s="23">
        <f t="shared" si="283"/>
        <v>14820</v>
      </c>
      <c r="DD44" s="23">
        <f t="shared" si="283"/>
        <v>14820</v>
      </c>
      <c r="DE44" s="23">
        <f t="shared" si="283"/>
        <v>14820</v>
      </c>
      <c r="DF44" s="23">
        <f t="shared" si="283"/>
        <v>14820</v>
      </c>
      <c r="DG44" s="23">
        <f t="shared" si="283"/>
        <v>14820</v>
      </c>
      <c r="DH44" s="23">
        <f t="shared" si="283"/>
        <v>14820</v>
      </c>
      <c r="DI44" s="23">
        <f t="shared" si="283"/>
        <v>17100</v>
      </c>
      <c r="DJ44" s="23">
        <f t="shared" si="283"/>
        <v>17100</v>
      </c>
      <c r="DK44" s="23">
        <f t="shared" si="283"/>
        <v>17100</v>
      </c>
      <c r="DL44" s="23">
        <f t="shared" si="283"/>
        <v>17100</v>
      </c>
      <c r="DM44" s="23">
        <f t="shared" si="283"/>
        <v>17100</v>
      </c>
      <c r="DN44" s="23">
        <f t="shared" si="283"/>
        <v>17100</v>
      </c>
      <c r="DO44" s="23">
        <f t="shared" si="283"/>
        <v>17100</v>
      </c>
      <c r="DP44" s="23">
        <f t="shared" si="283"/>
        <v>17100</v>
      </c>
      <c r="DQ44" s="23">
        <f t="shared" si="283"/>
        <v>17100</v>
      </c>
      <c r="DR44" s="23">
        <f t="shared" si="283"/>
        <v>17100</v>
      </c>
      <c r="DS44" s="23">
        <f t="shared" si="283"/>
        <v>17100</v>
      </c>
      <c r="DT44" s="23">
        <f t="shared" si="283"/>
        <v>23180</v>
      </c>
      <c r="DU44" s="23">
        <f t="shared" si="283"/>
        <v>23180</v>
      </c>
      <c r="DV44" s="23">
        <f t="shared" si="283"/>
        <v>23180</v>
      </c>
      <c r="DW44" s="23">
        <f t="shared" si="283"/>
        <v>23180</v>
      </c>
      <c r="DX44" s="23">
        <f t="shared" si="283"/>
        <v>23180</v>
      </c>
      <c r="DY44" s="23">
        <f t="shared" si="283"/>
        <v>23180</v>
      </c>
      <c r="DZ44" s="23">
        <f t="shared" si="283"/>
        <v>23180</v>
      </c>
      <c r="EA44" s="23">
        <f t="shared" si="283"/>
        <v>23180</v>
      </c>
      <c r="EB44" s="23">
        <f t="shared" si="283"/>
        <v>23180</v>
      </c>
      <c r="EC44" s="23">
        <f t="shared" ref="EC44:FI44" si="284">EC8*95</f>
        <v>23180</v>
      </c>
      <c r="ED44" s="23">
        <f t="shared" si="284"/>
        <v>23180</v>
      </c>
      <c r="EE44" s="23">
        <f t="shared" si="284"/>
        <v>7410</v>
      </c>
      <c r="EF44" s="23">
        <f t="shared" si="284"/>
        <v>7410</v>
      </c>
      <c r="EG44" s="23">
        <f t="shared" si="284"/>
        <v>7410</v>
      </c>
      <c r="EH44" s="23">
        <f t="shared" si="284"/>
        <v>7410</v>
      </c>
      <c r="EI44" s="23">
        <f t="shared" si="284"/>
        <v>7410</v>
      </c>
      <c r="EJ44" s="23">
        <f t="shared" si="284"/>
        <v>7410</v>
      </c>
      <c r="EK44" s="23">
        <f t="shared" si="284"/>
        <v>9500</v>
      </c>
      <c r="EL44" s="23">
        <f t="shared" si="284"/>
        <v>9500</v>
      </c>
      <c r="EM44" s="23">
        <f t="shared" si="284"/>
        <v>9500</v>
      </c>
      <c r="EN44" s="23">
        <f t="shared" si="284"/>
        <v>11780</v>
      </c>
      <c r="EO44" s="23">
        <f t="shared" si="284"/>
        <v>11780</v>
      </c>
      <c r="EP44" s="23">
        <f t="shared" si="284"/>
        <v>11780</v>
      </c>
      <c r="EQ44" s="23">
        <f t="shared" si="284"/>
        <v>2850</v>
      </c>
      <c r="ER44" s="23">
        <f t="shared" si="284"/>
        <v>3515</v>
      </c>
      <c r="ES44" s="23">
        <f t="shared" si="284"/>
        <v>4180</v>
      </c>
      <c r="ET44" s="23">
        <f t="shared" si="284"/>
        <v>4750</v>
      </c>
      <c r="EU44" s="23">
        <f t="shared" si="284"/>
        <v>4750</v>
      </c>
      <c r="EV44" s="23">
        <f t="shared" si="284"/>
        <v>4750</v>
      </c>
      <c r="EW44" s="23">
        <f t="shared" si="284"/>
        <v>8360</v>
      </c>
      <c r="EX44" s="23">
        <f t="shared" si="284"/>
        <v>10070</v>
      </c>
      <c r="EY44" s="23">
        <f t="shared" si="284"/>
        <v>10070</v>
      </c>
      <c r="EZ44" s="23">
        <f t="shared" si="284"/>
        <v>12540</v>
      </c>
      <c r="FA44" s="23">
        <f t="shared" si="284"/>
        <v>4750</v>
      </c>
      <c r="FB44" s="23">
        <f t="shared" si="284"/>
        <v>4750</v>
      </c>
      <c r="FC44" s="23">
        <f t="shared" si="284"/>
        <v>4750</v>
      </c>
      <c r="FD44" s="23">
        <f t="shared" si="284"/>
        <v>4750</v>
      </c>
      <c r="FE44" s="23">
        <f t="shared" si="284"/>
        <v>4750</v>
      </c>
      <c r="FF44" s="23">
        <f t="shared" si="284"/>
        <v>6650</v>
      </c>
      <c r="FG44" s="23">
        <f t="shared" si="284"/>
        <v>8170</v>
      </c>
      <c r="FH44" s="23">
        <f t="shared" si="284"/>
        <v>7125</v>
      </c>
      <c r="FI44" s="23">
        <f t="shared" si="284"/>
        <v>9880</v>
      </c>
    </row>
    <row r="45" spans="1:165" ht="25.5">
      <c r="A45" s="23" t="s">
        <v>2645</v>
      </c>
      <c r="C45" s="40">
        <f>C19-C21-C44</f>
        <v>37527</v>
      </c>
      <c r="D45" s="40">
        <f t="shared" ref="D45:BO45" si="285">D19-D21-D44</f>
        <v>41262</v>
      </c>
      <c r="E45" s="40">
        <f t="shared" si="285"/>
        <v>31013</v>
      </c>
      <c r="F45" s="40">
        <f t="shared" si="285"/>
        <v>33706</v>
      </c>
      <c r="G45" s="40">
        <f t="shared" si="285"/>
        <v>33706</v>
      </c>
      <c r="H45" s="40">
        <f t="shared" si="285"/>
        <v>35019</v>
      </c>
      <c r="I45" s="40">
        <f t="shared" si="285"/>
        <v>32534</v>
      </c>
      <c r="J45" s="40">
        <f t="shared" si="285"/>
        <v>33394</v>
      </c>
      <c r="K45" s="40">
        <f t="shared" si="285"/>
        <v>21368</v>
      </c>
      <c r="L45" s="40">
        <f t="shared" si="285"/>
        <v>25628</v>
      </c>
      <c r="M45" s="40">
        <f t="shared" si="285"/>
        <v>26882</v>
      </c>
      <c r="N45" s="40">
        <f t="shared" si="285"/>
        <v>28654</v>
      </c>
      <c r="O45" s="40">
        <f t="shared" si="285"/>
        <v>30879</v>
      </c>
      <c r="P45" s="40">
        <f t="shared" si="285"/>
        <v>53801.06</v>
      </c>
      <c r="Q45" s="40">
        <f t="shared" si="285"/>
        <v>55201.06</v>
      </c>
      <c r="R45" s="40">
        <f t="shared" si="285"/>
        <v>54976.17</v>
      </c>
      <c r="S45" s="40">
        <f t="shared" si="285"/>
        <v>54976.17</v>
      </c>
      <c r="T45" s="40">
        <f t="shared" si="285"/>
        <v>58372.17</v>
      </c>
      <c r="U45" s="40">
        <f t="shared" si="285"/>
        <v>51722.17</v>
      </c>
      <c r="V45" s="40">
        <f t="shared" si="285"/>
        <v>67031.5</v>
      </c>
      <c r="W45" s="40">
        <f t="shared" si="285"/>
        <v>62649.5</v>
      </c>
      <c r="X45" s="40">
        <f t="shared" si="285"/>
        <v>51722.17</v>
      </c>
      <c r="Y45" s="40">
        <f t="shared" si="285"/>
        <v>60227.5</v>
      </c>
      <c r="Z45" s="40">
        <f t="shared" si="285"/>
        <v>62649.5</v>
      </c>
      <c r="AA45" s="40">
        <f t="shared" si="285"/>
        <v>40952.22</v>
      </c>
      <c r="AB45" s="40">
        <f t="shared" si="285"/>
        <v>42487.22</v>
      </c>
      <c r="AC45" s="40">
        <f t="shared" si="285"/>
        <v>47811.92</v>
      </c>
      <c r="AD45" s="40">
        <f t="shared" si="285"/>
        <v>51361.210000000006</v>
      </c>
      <c r="AE45" s="40">
        <f t="shared" si="285"/>
        <v>51361.210000000006</v>
      </c>
      <c r="AF45" s="40">
        <f t="shared" si="285"/>
        <v>58056.84</v>
      </c>
      <c r="AG45" s="40">
        <f t="shared" si="285"/>
        <v>60581.84</v>
      </c>
      <c r="AH45" s="40">
        <f t="shared" si="285"/>
        <v>31246</v>
      </c>
      <c r="AI45" s="40">
        <f t="shared" si="285"/>
        <v>30387</v>
      </c>
      <c r="AJ45" s="40">
        <f t="shared" si="285"/>
        <v>37365</v>
      </c>
      <c r="AK45" s="40">
        <f t="shared" si="285"/>
        <v>41465</v>
      </c>
      <c r="AL45" s="40">
        <f t="shared" si="285"/>
        <v>37365</v>
      </c>
      <c r="AM45" s="40">
        <f t="shared" si="285"/>
        <v>41465</v>
      </c>
      <c r="AN45" s="40">
        <f t="shared" si="285"/>
        <v>39175</v>
      </c>
      <c r="AO45" s="40">
        <f t="shared" si="285"/>
        <v>44575</v>
      </c>
      <c r="AP45" s="40">
        <f t="shared" si="285"/>
        <v>44669.61</v>
      </c>
      <c r="AQ45" s="40">
        <f t="shared" si="285"/>
        <v>48210.14</v>
      </c>
      <c r="AR45" s="40">
        <f t="shared" si="285"/>
        <v>26842</v>
      </c>
      <c r="AS45" s="40">
        <f t="shared" si="285"/>
        <v>26818</v>
      </c>
      <c r="AT45" s="40">
        <f t="shared" si="285"/>
        <v>26083</v>
      </c>
      <c r="AU45" s="40">
        <f t="shared" si="285"/>
        <v>28158</v>
      </c>
      <c r="AV45" s="40">
        <f t="shared" si="285"/>
        <v>25038</v>
      </c>
      <c r="AW45" s="40">
        <f t="shared" si="285"/>
        <v>30770</v>
      </c>
      <c r="AX45" s="40">
        <f t="shared" si="285"/>
        <v>27612</v>
      </c>
      <c r="AY45" s="40">
        <f t="shared" si="285"/>
        <v>27873</v>
      </c>
      <c r="AZ45" s="40">
        <f t="shared" si="285"/>
        <v>30073</v>
      </c>
      <c r="BA45" s="40">
        <f t="shared" si="285"/>
        <v>27601</v>
      </c>
      <c r="BB45" s="40">
        <f t="shared" si="285"/>
        <v>31776</v>
      </c>
      <c r="BC45" s="40">
        <f t="shared" si="285"/>
        <v>31577</v>
      </c>
      <c r="BD45" s="40">
        <f t="shared" si="285"/>
        <v>31896</v>
      </c>
      <c r="BE45" s="40">
        <f t="shared" si="285"/>
        <v>24659</v>
      </c>
      <c r="BF45" s="40">
        <f t="shared" si="285"/>
        <v>23001</v>
      </c>
      <c r="BG45" s="40">
        <f t="shared" si="285"/>
        <v>35126</v>
      </c>
      <c r="BH45" s="40">
        <f t="shared" si="285"/>
        <v>32160</v>
      </c>
      <c r="BI45" s="40">
        <f t="shared" si="285"/>
        <v>40167</v>
      </c>
      <c r="BJ45" s="40">
        <f t="shared" si="285"/>
        <v>43652</v>
      </c>
      <c r="BK45" s="40">
        <f t="shared" si="285"/>
        <v>50469</v>
      </c>
      <c r="BL45" s="40">
        <f t="shared" si="285"/>
        <v>48801</v>
      </c>
      <c r="BM45" s="40">
        <f t="shared" si="285"/>
        <v>43215</v>
      </c>
      <c r="BN45" s="40">
        <f t="shared" si="285"/>
        <v>43959</v>
      </c>
      <c r="BO45" s="40">
        <f t="shared" si="285"/>
        <v>42724</v>
      </c>
      <c r="BP45" s="40">
        <f t="shared" ref="BP45:EA45" si="286">BP19-BP21-BP44</f>
        <v>46684</v>
      </c>
      <c r="BQ45" s="40">
        <f t="shared" si="286"/>
        <v>47185</v>
      </c>
      <c r="BR45" s="40">
        <f t="shared" si="286"/>
        <v>54297</v>
      </c>
      <c r="BS45" s="40">
        <f t="shared" si="286"/>
        <v>59972</v>
      </c>
      <c r="BT45" s="40">
        <f t="shared" si="286"/>
        <v>57860</v>
      </c>
      <c r="BU45" s="40">
        <f t="shared" si="286"/>
        <v>58685</v>
      </c>
      <c r="BV45" s="40">
        <f t="shared" si="286"/>
        <v>53310</v>
      </c>
      <c r="BW45" s="40">
        <f t="shared" si="286"/>
        <v>58685</v>
      </c>
      <c r="BX45" s="40">
        <f t="shared" si="286"/>
        <v>79140</v>
      </c>
      <c r="BY45" s="40">
        <f t="shared" si="286"/>
        <v>82390</v>
      </c>
      <c r="BZ45" s="40">
        <f t="shared" si="286"/>
        <v>61035</v>
      </c>
      <c r="CA45" s="40">
        <f t="shared" si="286"/>
        <v>61035</v>
      </c>
      <c r="CB45" s="40">
        <f t="shared" si="286"/>
        <v>61035</v>
      </c>
      <c r="CC45" s="40">
        <f t="shared" si="286"/>
        <v>61035</v>
      </c>
      <c r="CD45" s="40">
        <f t="shared" si="286"/>
        <v>68029</v>
      </c>
      <c r="CE45" s="40">
        <f t="shared" si="286"/>
        <v>62335</v>
      </c>
      <c r="CF45" s="40">
        <f t="shared" si="286"/>
        <v>66871</v>
      </c>
      <c r="CG45" s="40">
        <f t="shared" si="286"/>
        <v>69139</v>
      </c>
      <c r="CH45" s="40">
        <f t="shared" si="286"/>
        <v>66871</v>
      </c>
      <c r="CI45" s="40">
        <f t="shared" si="286"/>
        <v>69139</v>
      </c>
      <c r="CJ45" s="40">
        <f t="shared" si="286"/>
        <v>77927</v>
      </c>
      <c r="CK45" s="40">
        <f t="shared" si="286"/>
        <v>73514</v>
      </c>
      <c r="CL45" s="40">
        <f t="shared" si="286"/>
        <v>75727</v>
      </c>
      <c r="CM45" s="40">
        <f t="shared" si="286"/>
        <v>78902</v>
      </c>
      <c r="CN45" s="40">
        <f t="shared" si="286"/>
        <v>61545</v>
      </c>
      <c r="CO45" s="40">
        <f t="shared" si="286"/>
        <v>61545</v>
      </c>
      <c r="CP45" s="40">
        <f t="shared" si="286"/>
        <v>68145</v>
      </c>
      <c r="CQ45" s="40">
        <f t="shared" si="286"/>
        <v>71545</v>
      </c>
      <c r="CR45" s="40">
        <f t="shared" si="286"/>
        <v>71545</v>
      </c>
      <c r="CS45" s="40">
        <f t="shared" si="286"/>
        <v>78975</v>
      </c>
      <c r="CT45" s="40">
        <f t="shared" si="286"/>
        <v>81975</v>
      </c>
      <c r="CU45" s="40">
        <f t="shared" si="286"/>
        <v>89260</v>
      </c>
      <c r="CV45" s="40">
        <f t="shared" si="286"/>
        <v>93260</v>
      </c>
      <c r="CW45" s="40">
        <f t="shared" si="286"/>
        <v>26983.979999999996</v>
      </c>
      <c r="CX45" s="40">
        <f t="shared" si="286"/>
        <v>26983.979999999996</v>
      </c>
      <c r="CY45" s="40">
        <f t="shared" si="286"/>
        <v>35983.979999999996</v>
      </c>
      <c r="CZ45" s="40">
        <f t="shared" si="286"/>
        <v>35983.979999999996</v>
      </c>
      <c r="DA45" s="40">
        <f t="shared" si="286"/>
        <v>29744.119999999995</v>
      </c>
      <c r="DB45" s="40">
        <f t="shared" si="286"/>
        <v>41244.119999999995</v>
      </c>
      <c r="DC45" s="40">
        <f t="shared" si="286"/>
        <v>41244.119999999995</v>
      </c>
      <c r="DD45" s="40">
        <f t="shared" si="286"/>
        <v>41244.119999999995</v>
      </c>
      <c r="DE45" s="40">
        <f t="shared" si="286"/>
        <v>41244.119999999995</v>
      </c>
      <c r="DF45" s="40">
        <f t="shared" si="286"/>
        <v>30120.65</v>
      </c>
      <c r="DG45" s="40">
        <f t="shared" si="286"/>
        <v>41620.65</v>
      </c>
      <c r="DH45" s="40">
        <f t="shared" si="286"/>
        <v>30120.65</v>
      </c>
      <c r="DI45" s="40">
        <f t="shared" si="286"/>
        <v>36964.119999999995</v>
      </c>
      <c r="DJ45" s="40">
        <f t="shared" si="286"/>
        <v>36964.119999999995</v>
      </c>
      <c r="DK45" s="40">
        <f t="shared" si="286"/>
        <v>41464.119999999995</v>
      </c>
      <c r="DL45" s="40">
        <f t="shared" si="286"/>
        <v>37245.11</v>
      </c>
      <c r="DM45" s="40">
        <f t="shared" si="286"/>
        <v>41745.11</v>
      </c>
      <c r="DN45" s="40">
        <f t="shared" si="286"/>
        <v>37340.65</v>
      </c>
      <c r="DO45" s="40">
        <f t="shared" si="286"/>
        <v>42840.65</v>
      </c>
      <c r="DP45" s="40">
        <f t="shared" si="286"/>
        <v>42840.65</v>
      </c>
      <c r="DQ45" s="40">
        <f t="shared" si="286"/>
        <v>37340.65</v>
      </c>
      <c r="DR45" s="40">
        <f t="shared" si="286"/>
        <v>42840.65</v>
      </c>
      <c r="DS45" s="40">
        <f t="shared" si="286"/>
        <v>42840.65</v>
      </c>
      <c r="DT45" s="40">
        <f t="shared" si="286"/>
        <v>40511.770000000004</v>
      </c>
      <c r="DU45" s="40">
        <f t="shared" si="286"/>
        <v>40792.759999999995</v>
      </c>
      <c r="DV45" s="40">
        <f t="shared" si="286"/>
        <v>46511.770000000004</v>
      </c>
      <c r="DW45" s="40">
        <f t="shared" si="286"/>
        <v>51011.770000000004</v>
      </c>
      <c r="DX45" s="40">
        <f t="shared" si="286"/>
        <v>51292.759999999995</v>
      </c>
      <c r="DY45" s="40">
        <f t="shared" si="286"/>
        <v>46961.36</v>
      </c>
      <c r="DZ45" s="40">
        <f t="shared" si="286"/>
        <v>51461.36</v>
      </c>
      <c r="EA45" s="40">
        <f t="shared" si="286"/>
        <v>51461.36</v>
      </c>
      <c r="EB45" s="40">
        <f t="shared" ref="EB45:FI45" si="287">EB19-EB21-EB44</f>
        <v>47372.14</v>
      </c>
      <c r="EC45" s="40">
        <f t="shared" si="287"/>
        <v>45908.83</v>
      </c>
      <c r="ED45" s="40">
        <f t="shared" si="287"/>
        <v>45908.83</v>
      </c>
      <c r="EE45" s="40">
        <f t="shared" si="287"/>
        <v>19245</v>
      </c>
      <c r="EF45" s="40">
        <f t="shared" si="287"/>
        <v>20455</v>
      </c>
      <c r="EG45" s="40">
        <f t="shared" si="287"/>
        <v>21855</v>
      </c>
      <c r="EH45" s="40">
        <f t="shared" si="287"/>
        <v>20755</v>
      </c>
      <c r="EI45" s="40">
        <f t="shared" si="287"/>
        <v>22045</v>
      </c>
      <c r="EJ45" s="40">
        <f t="shared" si="287"/>
        <v>23625</v>
      </c>
      <c r="EK45" s="40">
        <f t="shared" si="287"/>
        <v>25319</v>
      </c>
      <c r="EL45" s="40">
        <f t="shared" si="287"/>
        <v>27829</v>
      </c>
      <c r="EM45" s="40">
        <f t="shared" si="287"/>
        <v>29329</v>
      </c>
      <c r="EN45" s="40">
        <f t="shared" si="287"/>
        <v>24039</v>
      </c>
      <c r="EO45" s="40">
        <f t="shared" si="287"/>
        <v>26039</v>
      </c>
      <c r="EP45" s="40">
        <f t="shared" si="287"/>
        <v>27539</v>
      </c>
      <c r="EQ45" s="40">
        <f t="shared" si="287"/>
        <v>12018</v>
      </c>
      <c r="ER45" s="40">
        <f t="shared" si="287"/>
        <v>12353</v>
      </c>
      <c r="ES45" s="40">
        <f t="shared" si="287"/>
        <v>11784</v>
      </c>
      <c r="ET45" s="40">
        <f t="shared" si="287"/>
        <v>12108</v>
      </c>
      <c r="EU45" s="40">
        <f t="shared" si="287"/>
        <v>12114</v>
      </c>
      <c r="EV45" s="40">
        <f t="shared" si="287"/>
        <v>13377</v>
      </c>
      <c r="EW45" s="40">
        <f t="shared" si="287"/>
        <v>27718</v>
      </c>
      <c r="EX45" s="40">
        <f t="shared" si="287"/>
        <v>32640</v>
      </c>
      <c r="EY45" s="40">
        <f t="shared" si="287"/>
        <v>32640</v>
      </c>
      <c r="EZ45" s="40">
        <f t="shared" si="287"/>
        <v>35270</v>
      </c>
      <c r="FA45" s="40">
        <f t="shared" si="287"/>
        <v>12517.96</v>
      </c>
      <c r="FB45" s="40">
        <f t="shared" si="287"/>
        <v>11895.27</v>
      </c>
      <c r="FC45" s="40">
        <f t="shared" si="287"/>
        <v>12803.27</v>
      </c>
      <c r="FD45" s="40">
        <f t="shared" si="287"/>
        <v>11895.27</v>
      </c>
      <c r="FE45" s="40">
        <f t="shared" si="287"/>
        <v>12803.27</v>
      </c>
      <c r="FF45" s="40">
        <f t="shared" si="287"/>
        <v>17564.5</v>
      </c>
      <c r="FG45" s="40">
        <f t="shared" si="287"/>
        <v>21374.5</v>
      </c>
      <c r="FH45" s="40">
        <f t="shared" si="287"/>
        <v>22419.5</v>
      </c>
      <c r="FI45" s="40">
        <f t="shared" si="287"/>
        <v>23041.5</v>
      </c>
    </row>
    <row r="46" spans="1:165">
      <c r="A46" s="23" t="s">
        <v>2646</v>
      </c>
      <c r="C46" s="23">
        <f>C45/C19</f>
        <v>0.53034200113058227</v>
      </c>
      <c r="CD46" s="40">
        <v>35000</v>
      </c>
      <c r="CE46" s="40">
        <v>35000</v>
      </c>
      <c r="CF46" s="40">
        <v>35000</v>
      </c>
      <c r="CG46" s="40">
        <v>35000</v>
      </c>
      <c r="CH46" s="40">
        <v>35000</v>
      </c>
    </row>
    <row r="47" spans="1:165">
      <c r="CD47" s="40">
        <v>39000</v>
      </c>
      <c r="CE47" s="40">
        <v>39000</v>
      </c>
      <c r="CF47" s="40">
        <v>39000</v>
      </c>
      <c r="CG47" s="40">
        <v>39000</v>
      </c>
      <c r="CH47" s="40">
        <v>39000</v>
      </c>
    </row>
  </sheetData>
  <hyperlinks>
    <hyperlink ref="A21" r:id="rId1" xr:uid="{90A5F3CF-3A09-4455-B2DA-C6C80104212E}"/>
  </hyperlinks>
  <pageMargins left="0.7" right="0.7" top="0.75" bottom="0.75" header="0.3" footer="0.3"/>
  <ignoredErrors>
    <ignoredError sqref="H32" evalError="1"/>
  </ignoredErrors>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BE4F5-EE24-46AA-B630-522D980A3907}">
  <dimension ref="A1:FH61"/>
  <sheetViews>
    <sheetView workbookViewId="0">
      <pane xSplit="1" ySplit="1" topLeftCell="EX16" activePane="bottomRight" state="frozen"/>
      <selection pane="topRight"/>
      <selection pane="bottomLeft"/>
      <selection pane="bottomRight" activeCell="EX16" sqref="EX16"/>
    </sheetView>
  </sheetViews>
  <sheetFormatPr defaultColWidth="8.7109375" defaultRowHeight="15"/>
  <cols>
    <col min="1" max="1" width="29.28515625" customWidth="1"/>
    <col min="2" max="2" width="17" customWidth="1"/>
    <col min="6" max="6" width="12.140625" customWidth="1"/>
    <col min="7" max="7" width="11.42578125" customWidth="1"/>
    <col min="8" max="8" width="11" customWidth="1"/>
    <col min="9" max="9" width="11.140625" customWidth="1"/>
    <col min="10" max="10" width="13.7109375" customWidth="1"/>
    <col min="23" max="23" width="12.7109375" customWidth="1"/>
    <col min="24" max="24" width="13.42578125" customWidth="1"/>
    <col min="52" max="52" width="12.28515625" customWidth="1"/>
    <col min="53" max="53" width="12" customWidth="1"/>
    <col min="54" max="55" width="12.42578125" customWidth="1"/>
    <col min="56" max="56" width="13.140625" customWidth="1"/>
    <col min="81" max="88" width="12.7109375" bestFit="1" customWidth="1"/>
    <col min="89" max="89" width="12.140625" customWidth="1"/>
    <col min="90" max="90" width="11.7109375" customWidth="1"/>
  </cols>
  <sheetData>
    <row r="1" spans="1:164" s="23" customFormat="1" ht="63" customHeight="1">
      <c r="A1" s="169" t="s">
        <v>2023</v>
      </c>
      <c r="B1" s="170" t="s">
        <v>2581</v>
      </c>
      <c r="C1" s="170" t="s">
        <v>2582</v>
      </c>
      <c r="D1" s="170" t="s">
        <v>2583</v>
      </c>
      <c r="E1" s="170" t="s">
        <v>2584</v>
      </c>
      <c r="F1" s="170" t="s">
        <v>2585</v>
      </c>
      <c r="G1" s="234" t="s">
        <v>2586</v>
      </c>
      <c r="H1" s="170" t="s">
        <v>2587</v>
      </c>
      <c r="I1" s="170" t="s">
        <v>2588</v>
      </c>
      <c r="J1" s="170" t="s">
        <v>2589</v>
      </c>
      <c r="K1" s="170" t="s">
        <v>2590</v>
      </c>
      <c r="L1" s="170" t="s">
        <v>2591</v>
      </c>
      <c r="M1" s="170" t="s">
        <v>2592</v>
      </c>
      <c r="N1" s="170" t="s">
        <v>2593</v>
      </c>
      <c r="O1" s="170" t="s">
        <v>2135</v>
      </c>
      <c r="P1" s="170" t="s">
        <v>2136</v>
      </c>
      <c r="Q1" s="170" t="s">
        <v>2137</v>
      </c>
      <c r="R1" s="170" t="s">
        <v>2138</v>
      </c>
      <c r="S1" s="170" t="s">
        <v>2139</v>
      </c>
      <c r="T1" s="170" t="s">
        <v>2140</v>
      </c>
      <c r="U1" s="170" t="s">
        <v>2141</v>
      </c>
      <c r="V1" s="170" t="s">
        <v>2142</v>
      </c>
      <c r="W1" s="170" t="s">
        <v>2143</v>
      </c>
      <c r="X1" s="170" t="s">
        <v>2144</v>
      </c>
      <c r="Y1" s="170" t="s">
        <v>2145</v>
      </c>
      <c r="Z1" s="170" t="s">
        <v>2146</v>
      </c>
      <c r="AA1" s="170" t="s">
        <v>2147</v>
      </c>
      <c r="AB1" s="170" t="s">
        <v>2148</v>
      </c>
      <c r="AC1" s="170" t="s">
        <v>2149</v>
      </c>
      <c r="AD1" s="170" t="s">
        <v>2150</v>
      </c>
      <c r="AE1" s="170" t="s">
        <v>2151</v>
      </c>
      <c r="AF1" s="170" t="s">
        <v>2152</v>
      </c>
      <c r="AG1" s="170" t="s">
        <v>2153</v>
      </c>
      <c r="AH1" s="170" t="s">
        <v>2154</v>
      </c>
      <c r="AI1" s="170" t="s">
        <v>2155</v>
      </c>
      <c r="AJ1" s="170" t="s">
        <v>2156</v>
      </c>
      <c r="AK1" s="170" t="s">
        <v>2157</v>
      </c>
      <c r="AL1" s="170" t="s">
        <v>2158</v>
      </c>
      <c r="AM1" s="170" t="s">
        <v>2159</v>
      </c>
      <c r="AN1" s="170" t="s">
        <v>2160</v>
      </c>
      <c r="AO1" s="170" t="s">
        <v>2161</v>
      </c>
      <c r="AP1" s="170" t="s">
        <v>2162</v>
      </c>
      <c r="AQ1" s="170" t="s">
        <v>2163</v>
      </c>
      <c r="AR1" s="171" t="s">
        <v>2164</v>
      </c>
      <c r="AS1" s="171" t="s">
        <v>2165</v>
      </c>
      <c r="AT1" s="171" t="s">
        <v>2166</v>
      </c>
      <c r="AU1" s="171" t="s">
        <v>2167</v>
      </c>
      <c r="AV1" s="171" t="s">
        <v>2168</v>
      </c>
      <c r="AW1" s="171" t="s">
        <v>2169</v>
      </c>
      <c r="AX1" s="172" t="s">
        <v>2170</v>
      </c>
      <c r="AY1" s="171" t="s">
        <v>2171</v>
      </c>
      <c r="AZ1" s="170" t="s">
        <v>2172</v>
      </c>
      <c r="BA1" s="170" t="s">
        <v>2173</v>
      </c>
      <c r="BB1" s="170" t="s">
        <v>2174</v>
      </c>
      <c r="BC1" s="170" t="s">
        <v>2175</v>
      </c>
      <c r="BD1" s="170" t="s">
        <v>2176</v>
      </c>
      <c r="BE1" s="170" t="s">
        <v>2177</v>
      </c>
      <c r="BF1" s="170" t="s">
        <v>2178</v>
      </c>
      <c r="BG1" s="170" t="s">
        <v>2179</v>
      </c>
      <c r="BH1" s="170" t="s">
        <v>2180</v>
      </c>
      <c r="BI1" s="173" t="s">
        <v>2181</v>
      </c>
      <c r="BJ1" s="170" t="s">
        <v>2182</v>
      </c>
      <c r="BK1" s="170" t="s">
        <v>2183</v>
      </c>
      <c r="BL1" s="170" t="s">
        <v>2184</v>
      </c>
      <c r="BM1" s="170" t="s">
        <v>2185</v>
      </c>
      <c r="BN1" s="170" t="s">
        <v>2186</v>
      </c>
      <c r="BO1" s="170" t="s">
        <v>2187</v>
      </c>
      <c r="BP1" s="170" t="s">
        <v>2188</v>
      </c>
      <c r="BQ1" s="170" t="s">
        <v>2189</v>
      </c>
      <c r="BR1" s="170" t="s">
        <v>2190</v>
      </c>
      <c r="BS1" s="170" t="s">
        <v>2191</v>
      </c>
      <c r="BT1" s="170" t="s">
        <v>2192</v>
      </c>
      <c r="BU1" s="170" t="s">
        <v>2193</v>
      </c>
      <c r="BV1" s="170" t="s">
        <v>2194</v>
      </c>
      <c r="BW1" s="170" t="s">
        <v>2195</v>
      </c>
      <c r="BX1" s="170" t="s">
        <v>2196</v>
      </c>
      <c r="BY1" s="170" t="s">
        <v>2197</v>
      </c>
      <c r="BZ1" s="170" t="s">
        <v>2198</v>
      </c>
      <c r="CA1" s="170" t="s">
        <v>2199</v>
      </c>
      <c r="CB1" s="170" t="s">
        <v>2200</v>
      </c>
      <c r="CC1" s="170" t="s">
        <v>2201</v>
      </c>
      <c r="CD1" s="170" t="s">
        <v>2202</v>
      </c>
      <c r="CE1" s="170" t="s">
        <v>2203</v>
      </c>
      <c r="CF1" s="170" t="s">
        <v>2204</v>
      </c>
      <c r="CG1" s="170" t="s">
        <v>2205</v>
      </c>
      <c r="CH1" s="170" t="s">
        <v>2206</v>
      </c>
      <c r="CI1" s="170" t="s">
        <v>2207</v>
      </c>
      <c r="CJ1" s="170" t="s">
        <v>2208</v>
      </c>
      <c r="CK1" s="170" t="s">
        <v>2209</v>
      </c>
      <c r="CL1" s="174" t="s">
        <v>2210</v>
      </c>
      <c r="CM1" s="170" t="s">
        <v>2211</v>
      </c>
      <c r="CN1" s="170" t="s">
        <v>2212</v>
      </c>
      <c r="CO1" s="170" t="s">
        <v>2213</v>
      </c>
      <c r="CP1" s="170" t="s">
        <v>2214</v>
      </c>
      <c r="CQ1" s="170" t="s">
        <v>2215</v>
      </c>
      <c r="CR1" s="174" t="s">
        <v>2216</v>
      </c>
      <c r="CS1" s="175" t="s">
        <v>2217</v>
      </c>
      <c r="CT1" s="170" t="s">
        <v>2218</v>
      </c>
      <c r="CU1" s="170" t="s">
        <v>2219</v>
      </c>
      <c r="CV1" s="170" t="s">
        <v>2220</v>
      </c>
      <c r="CW1" s="174" t="s">
        <v>2221</v>
      </c>
      <c r="CX1" s="170" t="s">
        <v>2222</v>
      </c>
      <c r="CY1" s="170" t="s">
        <v>2223</v>
      </c>
      <c r="CZ1" s="170" t="s">
        <v>2224</v>
      </c>
      <c r="DA1" s="170" t="s">
        <v>2225</v>
      </c>
      <c r="DB1" s="170" t="s">
        <v>2226</v>
      </c>
      <c r="DC1" s="170" t="s">
        <v>2227</v>
      </c>
      <c r="DD1" s="170" t="s">
        <v>2228</v>
      </c>
      <c r="DE1" s="170" t="s">
        <v>2229</v>
      </c>
      <c r="DF1" s="170" t="s">
        <v>2230</v>
      </c>
      <c r="DG1" s="170" t="s">
        <v>2231</v>
      </c>
      <c r="DH1" s="170" t="s">
        <v>2232</v>
      </c>
      <c r="DI1" s="175" t="s">
        <v>2233</v>
      </c>
      <c r="DJ1" s="175" t="s">
        <v>2234</v>
      </c>
      <c r="DK1" s="170" t="s">
        <v>2235</v>
      </c>
      <c r="DL1" s="170" t="s">
        <v>2236</v>
      </c>
      <c r="DM1" s="170" t="s">
        <v>2237</v>
      </c>
      <c r="DN1" s="170" t="s">
        <v>2238</v>
      </c>
      <c r="DO1" s="170" t="s">
        <v>2239</v>
      </c>
      <c r="DP1" s="170" t="s">
        <v>2240</v>
      </c>
      <c r="DQ1" s="170" t="s">
        <v>2241</v>
      </c>
      <c r="DR1" s="170" t="s">
        <v>2242</v>
      </c>
      <c r="DS1" s="170" t="s">
        <v>2243</v>
      </c>
      <c r="DT1" s="170" t="s">
        <v>2244</v>
      </c>
      <c r="DU1" s="170" t="s">
        <v>2245</v>
      </c>
      <c r="DV1" s="170" t="s">
        <v>2246</v>
      </c>
      <c r="DW1" s="170" t="s">
        <v>2247</v>
      </c>
      <c r="DX1" s="170" t="s">
        <v>2248</v>
      </c>
      <c r="DY1" s="170" t="s">
        <v>2249</v>
      </c>
      <c r="DZ1" s="170" t="s">
        <v>2250</v>
      </c>
      <c r="EA1" s="170" t="s">
        <v>2251</v>
      </c>
      <c r="EB1" s="170" t="s">
        <v>2252</v>
      </c>
      <c r="EC1" s="170" t="s">
        <v>2253</v>
      </c>
      <c r="ED1" s="170" t="s">
        <v>2254</v>
      </c>
      <c r="EE1" s="170" t="s">
        <v>2255</v>
      </c>
      <c r="EF1" s="170" t="s">
        <v>2256</v>
      </c>
      <c r="EG1" s="170" t="s">
        <v>2257</v>
      </c>
      <c r="EH1" s="170" t="s">
        <v>2258</v>
      </c>
      <c r="EI1" s="170" t="s">
        <v>2259</v>
      </c>
      <c r="EJ1" s="170" t="s">
        <v>2260</v>
      </c>
      <c r="EK1" s="170" t="s">
        <v>2261</v>
      </c>
      <c r="EL1" s="170" t="s">
        <v>2262</v>
      </c>
      <c r="EM1" s="170" t="s">
        <v>2263</v>
      </c>
      <c r="EN1" s="170" t="s">
        <v>2264</v>
      </c>
      <c r="EO1" s="170" t="s">
        <v>2265</v>
      </c>
      <c r="EP1" s="170" t="s">
        <v>2266</v>
      </c>
      <c r="EQ1" s="176" t="s">
        <v>2267</v>
      </c>
      <c r="ER1" s="170" t="s">
        <v>2268</v>
      </c>
      <c r="ES1" s="170" t="s">
        <v>2269</v>
      </c>
      <c r="ET1" s="170" t="s">
        <v>2270</v>
      </c>
      <c r="EU1" s="170" t="s">
        <v>2271</v>
      </c>
      <c r="EV1" s="170" t="s">
        <v>2272</v>
      </c>
      <c r="EW1" s="170" t="s">
        <v>2273</v>
      </c>
      <c r="EX1" s="170" t="s">
        <v>2274</v>
      </c>
      <c r="EY1" s="170" t="s">
        <v>2275</v>
      </c>
      <c r="EZ1" s="170" t="s">
        <v>248</v>
      </c>
      <c r="FA1" s="170" t="s">
        <v>2276</v>
      </c>
      <c r="FB1" s="170" t="s">
        <v>2277</v>
      </c>
      <c r="FC1" s="170" t="s">
        <v>2278</v>
      </c>
      <c r="FD1" s="170" t="s">
        <v>2279</v>
      </c>
      <c r="FE1" s="170" t="s">
        <v>2280</v>
      </c>
      <c r="FF1" s="170" t="s">
        <v>2281</v>
      </c>
      <c r="FG1" s="170" t="s">
        <v>2282</v>
      </c>
      <c r="FH1" s="170" t="s">
        <v>2283</v>
      </c>
    </row>
    <row r="2" spans="1:164" s="23" customFormat="1" ht="12.75">
      <c r="A2" s="177" t="s">
        <v>1332</v>
      </c>
      <c r="B2" s="170" t="s">
        <v>2286</v>
      </c>
      <c r="C2" s="170" t="s">
        <v>2286</v>
      </c>
      <c r="D2" s="170" t="s">
        <v>2286</v>
      </c>
      <c r="E2" s="170" t="s">
        <v>2286</v>
      </c>
      <c r="F2" s="170" t="s">
        <v>2286</v>
      </c>
      <c r="G2" s="170" t="s">
        <v>2286</v>
      </c>
      <c r="H2" s="170" t="s">
        <v>2286</v>
      </c>
      <c r="I2" s="170" t="s">
        <v>2286</v>
      </c>
      <c r="J2" s="178" t="s">
        <v>2286</v>
      </c>
      <c r="K2" s="178" t="s">
        <v>2286</v>
      </c>
      <c r="L2" s="178" t="s">
        <v>2286</v>
      </c>
      <c r="M2" s="178" t="s">
        <v>2286</v>
      </c>
      <c r="N2" s="178" t="s">
        <v>2286</v>
      </c>
      <c r="O2" s="178" t="s">
        <v>2286</v>
      </c>
      <c r="P2" s="178" t="s">
        <v>2286</v>
      </c>
      <c r="Q2" s="178" t="s">
        <v>2286</v>
      </c>
      <c r="R2" s="178" t="s">
        <v>2286</v>
      </c>
      <c r="S2" s="178" t="s">
        <v>2286</v>
      </c>
      <c r="T2" s="178" t="s">
        <v>2286</v>
      </c>
      <c r="U2" s="178" t="s">
        <v>2286</v>
      </c>
      <c r="V2" s="178" t="s">
        <v>2286</v>
      </c>
      <c r="W2" s="178" t="s">
        <v>2286</v>
      </c>
      <c r="X2" s="178" t="s">
        <v>2286</v>
      </c>
      <c r="Y2" s="178" t="s">
        <v>2286</v>
      </c>
      <c r="Z2" s="179" t="s">
        <v>2286</v>
      </c>
      <c r="AA2" s="179" t="s">
        <v>2286</v>
      </c>
      <c r="AB2" s="179" t="s">
        <v>2286</v>
      </c>
      <c r="AC2" s="179" t="s">
        <v>2286</v>
      </c>
      <c r="AD2" s="179" t="s">
        <v>2286</v>
      </c>
      <c r="AE2" s="179" t="s">
        <v>2286</v>
      </c>
      <c r="AF2" s="179" t="s">
        <v>2286</v>
      </c>
      <c r="AG2" s="179" t="s">
        <v>2286</v>
      </c>
      <c r="AH2" s="179" t="s">
        <v>2286</v>
      </c>
      <c r="AI2" s="179" t="s">
        <v>2286</v>
      </c>
      <c r="AJ2" s="179" t="s">
        <v>2286</v>
      </c>
      <c r="AK2" s="179" t="s">
        <v>2286</v>
      </c>
      <c r="AL2" s="179" t="s">
        <v>2286</v>
      </c>
      <c r="AM2" s="179" t="s">
        <v>2286</v>
      </c>
      <c r="AN2" s="179" t="s">
        <v>2286</v>
      </c>
      <c r="AO2" s="179" t="s">
        <v>2286</v>
      </c>
      <c r="AP2" s="179" t="s">
        <v>2286</v>
      </c>
      <c r="AQ2" s="179" t="s">
        <v>2286</v>
      </c>
      <c r="AR2" s="179" t="s">
        <v>2286</v>
      </c>
      <c r="AS2" s="179" t="s">
        <v>2286</v>
      </c>
      <c r="AT2" s="179" t="s">
        <v>2286</v>
      </c>
      <c r="AU2" s="179" t="s">
        <v>2286</v>
      </c>
      <c r="AV2" s="179" t="s">
        <v>2286</v>
      </c>
      <c r="AW2" s="179" t="s">
        <v>2286</v>
      </c>
      <c r="AX2" s="179" t="s">
        <v>2286</v>
      </c>
      <c r="AY2" s="179" t="s">
        <v>2286</v>
      </c>
      <c r="AZ2" s="179" t="s">
        <v>2286</v>
      </c>
      <c r="BA2" s="179" t="s">
        <v>2286</v>
      </c>
      <c r="BB2" s="179" t="s">
        <v>2286</v>
      </c>
      <c r="BC2" s="179" t="s">
        <v>2286</v>
      </c>
      <c r="BD2" s="179" t="s">
        <v>2286</v>
      </c>
      <c r="BE2" s="179" t="s">
        <v>2286</v>
      </c>
      <c r="BF2" s="179" t="s">
        <v>2286</v>
      </c>
      <c r="BG2" s="179" t="s">
        <v>2286</v>
      </c>
      <c r="BH2" s="179" t="s">
        <v>2286</v>
      </c>
      <c r="BI2" s="179" t="s">
        <v>2286</v>
      </c>
      <c r="BJ2" s="179" t="s">
        <v>2286</v>
      </c>
      <c r="BK2" s="179" t="s">
        <v>2286</v>
      </c>
      <c r="BL2" s="179" t="s">
        <v>2286</v>
      </c>
      <c r="BM2" s="179" t="s">
        <v>2286</v>
      </c>
      <c r="BN2" s="179" t="s">
        <v>2286</v>
      </c>
      <c r="BO2" s="179" t="s">
        <v>2286</v>
      </c>
      <c r="BP2" s="179" t="s">
        <v>2286</v>
      </c>
      <c r="BQ2" s="179" t="s">
        <v>2286</v>
      </c>
      <c r="BR2" s="179" t="s">
        <v>2286</v>
      </c>
      <c r="BS2" s="179" t="s">
        <v>2286</v>
      </c>
      <c r="BT2" s="179" t="s">
        <v>2286</v>
      </c>
      <c r="BU2" s="179" t="s">
        <v>2286</v>
      </c>
      <c r="BV2" s="179" t="s">
        <v>2286</v>
      </c>
      <c r="BW2" s="179" t="s">
        <v>2286</v>
      </c>
      <c r="BX2" s="179" t="s">
        <v>2286</v>
      </c>
      <c r="BY2" s="179" t="s">
        <v>2286</v>
      </c>
      <c r="BZ2" s="179" t="s">
        <v>2286</v>
      </c>
      <c r="CA2" s="179" t="s">
        <v>2286</v>
      </c>
      <c r="CB2" s="179" t="s">
        <v>2286</v>
      </c>
      <c r="CC2" s="179" t="s">
        <v>2286</v>
      </c>
      <c r="CD2" s="179" t="s">
        <v>2286</v>
      </c>
      <c r="CE2" s="179" t="s">
        <v>2286</v>
      </c>
      <c r="CF2" s="179" t="s">
        <v>2286</v>
      </c>
      <c r="CG2" s="179" t="s">
        <v>2286</v>
      </c>
      <c r="CH2" s="179" t="s">
        <v>2286</v>
      </c>
      <c r="CI2" s="179" t="s">
        <v>2286</v>
      </c>
      <c r="CJ2" s="179" t="s">
        <v>2286</v>
      </c>
      <c r="CK2" s="179" t="s">
        <v>2286</v>
      </c>
      <c r="CL2" s="179" t="s">
        <v>2286</v>
      </c>
      <c r="CM2" s="180" t="s">
        <v>2286</v>
      </c>
      <c r="CN2" s="180" t="s">
        <v>2286</v>
      </c>
      <c r="CO2" s="180" t="s">
        <v>2286</v>
      </c>
      <c r="CP2" s="180" t="s">
        <v>2286</v>
      </c>
      <c r="CQ2" s="180" t="s">
        <v>2286</v>
      </c>
      <c r="CR2" s="180" t="s">
        <v>2286</v>
      </c>
      <c r="CS2" s="180" t="s">
        <v>2286</v>
      </c>
      <c r="CT2" s="180" t="s">
        <v>2286</v>
      </c>
      <c r="CU2" s="180" t="s">
        <v>2286</v>
      </c>
      <c r="CV2" s="180" t="s">
        <v>2286</v>
      </c>
      <c r="CW2" s="180" t="s">
        <v>2286</v>
      </c>
      <c r="CX2" s="180" t="s">
        <v>2286</v>
      </c>
      <c r="CY2" s="180" t="s">
        <v>2286</v>
      </c>
      <c r="CZ2" s="180" t="s">
        <v>2286</v>
      </c>
      <c r="DA2" s="180" t="s">
        <v>2286</v>
      </c>
      <c r="DB2" s="180" t="s">
        <v>2286</v>
      </c>
      <c r="DC2" s="180" t="s">
        <v>2286</v>
      </c>
      <c r="DD2" s="180" t="s">
        <v>2286</v>
      </c>
      <c r="DE2" s="180" t="s">
        <v>2286</v>
      </c>
      <c r="DF2" s="180" t="s">
        <v>2286</v>
      </c>
      <c r="DG2" s="180" t="s">
        <v>2286</v>
      </c>
      <c r="DH2" s="180" t="s">
        <v>2286</v>
      </c>
      <c r="DI2" s="180" t="s">
        <v>2286</v>
      </c>
      <c r="DJ2" s="180" t="s">
        <v>2286</v>
      </c>
      <c r="DK2" s="180" t="s">
        <v>2286</v>
      </c>
      <c r="DL2" s="180" t="s">
        <v>2286</v>
      </c>
      <c r="DM2" s="180" t="s">
        <v>2286</v>
      </c>
      <c r="DN2" s="180" t="s">
        <v>2286</v>
      </c>
      <c r="DO2" s="180" t="s">
        <v>2286</v>
      </c>
      <c r="DP2" s="180" t="s">
        <v>2286</v>
      </c>
      <c r="DQ2" s="180" t="s">
        <v>2286</v>
      </c>
      <c r="DR2" s="180" t="s">
        <v>2286</v>
      </c>
      <c r="DS2" s="180" t="s">
        <v>2286</v>
      </c>
      <c r="DT2" s="180" t="s">
        <v>2286</v>
      </c>
      <c r="DU2" s="180" t="s">
        <v>2286</v>
      </c>
      <c r="DV2" s="180" t="s">
        <v>2286</v>
      </c>
      <c r="DW2" s="180" t="s">
        <v>2286</v>
      </c>
      <c r="DX2" s="180" t="s">
        <v>2286</v>
      </c>
      <c r="DY2" s="180" t="s">
        <v>2286</v>
      </c>
      <c r="DZ2" s="180" t="s">
        <v>2286</v>
      </c>
      <c r="EA2" s="180" t="s">
        <v>2286</v>
      </c>
      <c r="EB2" s="180" t="s">
        <v>2286</v>
      </c>
      <c r="EC2" s="180" t="s">
        <v>2286</v>
      </c>
      <c r="ED2" s="170" t="s">
        <v>2286</v>
      </c>
      <c r="EE2" s="170" t="s">
        <v>2286</v>
      </c>
      <c r="EF2" s="170" t="s">
        <v>2286</v>
      </c>
      <c r="EG2" s="170" t="s">
        <v>2286</v>
      </c>
      <c r="EH2" s="170" t="s">
        <v>2286</v>
      </c>
      <c r="EI2" s="170" t="s">
        <v>2286</v>
      </c>
      <c r="EJ2" s="170" t="s">
        <v>2286</v>
      </c>
      <c r="EK2" s="170" t="s">
        <v>2286</v>
      </c>
      <c r="EL2" s="170" t="s">
        <v>2286</v>
      </c>
      <c r="EM2" s="170" t="s">
        <v>2286</v>
      </c>
      <c r="EN2" s="170" t="s">
        <v>2286</v>
      </c>
      <c r="EO2" s="170" t="s">
        <v>2286</v>
      </c>
      <c r="EP2" s="170" t="s">
        <v>2286</v>
      </c>
      <c r="EQ2" s="170" t="s">
        <v>2286</v>
      </c>
      <c r="ER2" s="170" t="s">
        <v>2286</v>
      </c>
      <c r="ES2" s="170" t="s">
        <v>2286</v>
      </c>
      <c r="ET2" s="170" t="s">
        <v>2286</v>
      </c>
      <c r="EU2" s="170" t="s">
        <v>2286</v>
      </c>
      <c r="EV2" s="170" t="s">
        <v>2286</v>
      </c>
      <c r="EW2" s="170" t="s">
        <v>2286</v>
      </c>
      <c r="EX2" s="170" t="s">
        <v>2286</v>
      </c>
      <c r="EY2" s="170" t="s">
        <v>2286</v>
      </c>
      <c r="EZ2" s="170" t="s">
        <v>2286</v>
      </c>
      <c r="FA2" s="170" t="s">
        <v>2286</v>
      </c>
      <c r="FB2" s="170" t="s">
        <v>2286</v>
      </c>
      <c r="FC2" s="170" t="s">
        <v>2286</v>
      </c>
      <c r="FD2" s="170" t="s">
        <v>2286</v>
      </c>
      <c r="FE2" s="170" t="s">
        <v>2286</v>
      </c>
      <c r="FF2" s="170" t="s">
        <v>2286</v>
      </c>
      <c r="FG2" s="170" t="s">
        <v>2286</v>
      </c>
      <c r="FH2" s="170" t="s">
        <v>2286</v>
      </c>
    </row>
    <row r="3" spans="1:164" s="23" customFormat="1" ht="12.75">
      <c r="A3" s="177" t="s">
        <v>2599</v>
      </c>
      <c r="B3" s="177">
        <v>2002</v>
      </c>
      <c r="C3" s="177">
        <v>2002</v>
      </c>
      <c r="D3" s="177">
        <v>1989</v>
      </c>
      <c r="E3" s="177">
        <v>1989</v>
      </c>
      <c r="F3" s="177">
        <v>1989</v>
      </c>
      <c r="G3" s="177">
        <v>1989</v>
      </c>
      <c r="H3" s="177">
        <v>1989</v>
      </c>
      <c r="I3" s="177">
        <v>1989</v>
      </c>
      <c r="J3" s="177">
        <v>1984</v>
      </c>
      <c r="K3" s="177">
        <v>1984</v>
      </c>
      <c r="L3" s="177">
        <v>1984</v>
      </c>
      <c r="M3" s="177">
        <v>1984</v>
      </c>
      <c r="N3" s="177">
        <v>1984</v>
      </c>
      <c r="O3" s="177">
        <v>1989</v>
      </c>
      <c r="P3" s="177">
        <v>1989</v>
      </c>
      <c r="Q3" s="177">
        <v>1989</v>
      </c>
      <c r="R3" s="177">
        <v>1989</v>
      </c>
      <c r="S3" s="177">
        <v>1989</v>
      </c>
      <c r="T3" s="177">
        <v>1989</v>
      </c>
      <c r="U3" s="177">
        <v>1989</v>
      </c>
      <c r="V3" s="177">
        <v>1989</v>
      </c>
      <c r="W3" s="177">
        <v>1989</v>
      </c>
      <c r="X3" s="177">
        <v>1989</v>
      </c>
      <c r="Y3" s="177">
        <v>1989</v>
      </c>
      <c r="Z3" s="177">
        <v>2011</v>
      </c>
      <c r="AA3" s="177">
        <v>2011</v>
      </c>
      <c r="AB3" s="177">
        <v>2011</v>
      </c>
      <c r="AC3" s="177">
        <v>2011</v>
      </c>
      <c r="AD3" s="177">
        <v>2011</v>
      </c>
      <c r="AE3" s="177">
        <v>2011</v>
      </c>
      <c r="AF3" s="177">
        <v>2011</v>
      </c>
      <c r="AG3" s="177">
        <v>2014</v>
      </c>
      <c r="AH3" s="177">
        <v>2014</v>
      </c>
      <c r="AI3" s="177">
        <v>1985</v>
      </c>
      <c r="AJ3" s="177">
        <v>1985</v>
      </c>
      <c r="AK3" s="177">
        <v>1985</v>
      </c>
      <c r="AL3" s="177">
        <v>1985</v>
      </c>
      <c r="AM3" s="177">
        <v>1985</v>
      </c>
      <c r="AN3" s="177">
        <v>1985</v>
      </c>
      <c r="AO3" s="177">
        <v>1985</v>
      </c>
      <c r="AP3" s="177">
        <v>1985</v>
      </c>
      <c r="AQ3" s="170">
        <v>2021</v>
      </c>
      <c r="AR3" s="170">
        <v>2021</v>
      </c>
      <c r="AS3" s="170">
        <v>2021</v>
      </c>
      <c r="AT3" s="170">
        <v>2021</v>
      </c>
      <c r="AU3" s="170">
        <v>2021</v>
      </c>
      <c r="AV3" s="170">
        <v>2021</v>
      </c>
      <c r="AW3" s="170">
        <v>2021</v>
      </c>
      <c r="AX3" s="170">
        <v>2021</v>
      </c>
      <c r="AY3" s="170">
        <v>2021</v>
      </c>
      <c r="AZ3" s="170">
        <v>2021</v>
      </c>
      <c r="BA3" s="170">
        <v>2021</v>
      </c>
      <c r="BB3" s="170">
        <v>2021</v>
      </c>
      <c r="BC3" s="170">
        <v>2021</v>
      </c>
      <c r="BD3" s="170">
        <v>2021</v>
      </c>
      <c r="BE3" s="170">
        <v>2021</v>
      </c>
      <c r="BF3" s="170">
        <v>2021</v>
      </c>
      <c r="BG3" s="170">
        <v>2021</v>
      </c>
      <c r="BH3" s="170">
        <v>2021</v>
      </c>
      <c r="BI3" s="170">
        <v>2021</v>
      </c>
      <c r="BJ3" s="170">
        <v>2021</v>
      </c>
      <c r="BK3" s="170">
        <v>2021</v>
      </c>
      <c r="BL3" s="181">
        <v>2022</v>
      </c>
      <c r="BM3" s="181">
        <v>2022</v>
      </c>
      <c r="BN3" s="181">
        <v>2022</v>
      </c>
      <c r="BO3" s="181">
        <v>2022</v>
      </c>
      <c r="BP3" s="181">
        <v>2022</v>
      </c>
      <c r="BQ3" s="181">
        <v>2022</v>
      </c>
      <c r="BR3" s="181">
        <v>2022</v>
      </c>
      <c r="BS3" s="170" t="s">
        <v>2368</v>
      </c>
      <c r="BT3" s="170" t="s">
        <v>2368</v>
      </c>
      <c r="BU3" s="170" t="s">
        <v>2368</v>
      </c>
      <c r="BV3" s="170" t="s">
        <v>2368</v>
      </c>
      <c r="BW3" s="170" t="s">
        <v>2368</v>
      </c>
      <c r="BX3" s="170" t="s">
        <v>2368</v>
      </c>
      <c r="BY3" s="170" t="s">
        <v>2368</v>
      </c>
      <c r="BZ3" s="170" t="s">
        <v>2368</v>
      </c>
      <c r="CA3" s="170" t="s">
        <v>2368</v>
      </c>
      <c r="CB3" s="170" t="s">
        <v>2368</v>
      </c>
      <c r="CC3" s="170">
        <v>2021</v>
      </c>
      <c r="CD3" s="170">
        <v>2021</v>
      </c>
      <c r="CE3" s="170">
        <v>2021</v>
      </c>
      <c r="CF3" s="170">
        <v>2021</v>
      </c>
      <c r="CG3" s="170">
        <v>2021</v>
      </c>
      <c r="CH3" s="170">
        <v>2021</v>
      </c>
      <c r="CI3" s="170">
        <v>2021</v>
      </c>
      <c r="CJ3" s="170">
        <v>2021</v>
      </c>
      <c r="CK3" s="170">
        <v>2021</v>
      </c>
      <c r="CL3" s="170">
        <v>2021</v>
      </c>
      <c r="CM3" s="177">
        <v>2009</v>
      </c>
      <c r="CN3" s="177">
        <v>2009</v>
      </c>
      <c r="CO3" s="177">
        <v>2009</v>
      </c>
      <c r="CP3" s="177">
        <v>2009</v>
      </c>
      <c r="CQ3" s="177">
        <v>2009</v>
      </c>
      <c r="CR3" s="177">
        <v>2009</v>
      </c>
      <c r="CS3" s="177">
        <v>2009</v>
      </c>
      <c r="CT3" s="177">
        <v>2009</v>
      </c>
      <c r="CU3" s="177">
        <v>2009</v>
      </c>
      <c r="CV3" s="177">
        <v>2022</v>
      </c>
      <c r="CW3" s="177">
        <v>2022</v>
      </c>
      <c r="CX3" s="177">
        <v>2022</v>
      </c>
      <c r="CY3" s="177">
        <v>2022</v>
      </c>
      <c r="CZ3" s="177">
        <v>2022</v>
      </c>
      <c r="DA3" s="177">
        <v>2022</v>
      </c>
      <c r="DB3" s="177">
        <v>2022</v>
      </c>
      <c r="DC3" s="177">
        <v>2022</v>
      </c>
      <c r="DD3" s="177">
        <v>2022</v>
      </c>
      <c r="DE3" s="177">
        <v>2022</v>
      </c>
      <c r="DF3" s="177">
        <v>2022</v>
      </c>
      <c r="DG3" s="177">
        <v>2022</v>
      </c>
      <c r="DH3" s="177">
        <v>2022</v>
      </c>
      <c r="DI3" s="177">
        <v>2022</v>
      </c>
      <c r="DJ3" s="177">
        <v>2022</v>
      </c>
      <c r="DK3" s="177">
        <v>2022</v>
      </c>
      <c r="DL3" s="177">
        <v>2022</v>
      </c>
      <c r="DM3" s="177">
        <v>2022</v>
      </c>
      <c r="DN3" s="177">
        <v>2022</v>
      </c>
      <c r="DO3" s="177">
        <v>2022</v>
      </c>
      <c r="DP3" s="177">
        <v>2022</v>
      </c>
      <c r="DQ3" s="177">
        <v>2022</v>
      </c>
      <c r="DR3" s="177">
        <v>2022</v>
      </c>
      <c r="DS3" s="170">
        <v>2022</v>
      </c>
      <c r="DT3" s="170">
        <v>2022</v>
      </c>
      <c r="DU3" s="170">
        <v>2022</v>
      </c>
      <c r="DV3" s="170">
        <v>2022</v>
      </c>
      <c r="DW3" s="170">
        <v>2022</v>
      </c>
      <c r="DX3" s="170">
        <v>2022</v>
      </c>
      <c r="DY3" s="170">
        <v>2022</v>
      </c>
      <c r="DZ3" s="170">
        <v>2022</v>
      </c>
      <c r="EA3" s="170">
        <v>2022</v>
      </c>
      <c r="EB3" s="170">
        <v>2022</v>
      </c>
      <c r="EC3" s="170">
        <v>2022</v>
      </c>
      <c r="ED3" s="170">
        <v>2015</v>
      </c>
      <c r="EE3" s="170">
        <v>2015</v>
      </c>
      <c r="EF3" s="170">
        <v>2015</v>
      </c>
      <c r="EG3" s="170">
        <v>2015</v>
      </c>
      <c r="EH3" s="170">
        <v>2015</v>
      </c>
      <c r="EI3" s="170">
        <v>2015</v>
      </c>
      <c r="EJ3" s="170">
        <v>2015</v>
      </c>
      <c r="EK3" s="170">
        <v>2015</v>
      </c>
      <c r="EL3" s="170">
        <v>2015</v>
      </c>
      <c r="EM3" s="170">
        <v>2015</v>
      </c>
      <c r="EN3" s="170">
        <v>2015</v>
      </c>
      <c r="EO3" s="170">
        <v>2015</v>
      </c>
      <c r="EP3" s="170">
        <v>2005</v>
      </c>
      <c r="EQ3" s="170">
        <v>2005</v>
      </c>
      <c r="ER3" s="170">
        <v>2005</v>
      </c>
      <c r="ES3" s="170">
        <v>2005</v>
      </c>
      <c r="ET3" s="170">
        <v>2005</v>
      </c>
      <c r="EU3" s="170">
        <v>2005</v>
      </c>
      <c r="EV3" s="170">
        <v>2022</v>
      </c>
      <c r="EW3" s="170">
        <v>2022</v>
      </c>
      <c r="EX3" s="170">
        <v>2022</v>
      </c>
      <c r="EY3" s="170">
        <v>2022</v>
      </c>
      <c r="EZ3" s="170">
        <v>2016</v>
      </c>
      <c r="FA3" s="170">
        <v>2016</v>
      </c>
      <c r="FB3" s="170">
        <v>2016</v>
      </c>
      <c r="FC3" s="170">
        <v>2016</v>
      </c>
      <c r="FD3" s="170">
        <v>2016</v>
      </c>
      <c r="FE3" s="170">
        <v>2015</v>
      </c>
      <c r="FF3" s="170">
        <v>2015</v>
      </c>
      <c r="FG3" s="170">
        <v>2015</v>
      </c>
      <c r="FH3" s="170">
        <v>2010</v>
      </c>
    </row>
    <row r="4" spans="1:164" s="23" customFormat="1" ht="12.75">
      <c r="A4" s="177" t="s">
        <v>2647</v>
      </c>
      <c r="B4" s="177">
        <v>1992</v>
      </c>
      <c r="C4" s="177">
        <v>1992</v>
      </c>
      <c r="D4" s="177">
        <v>1980</v>
      </c>
      <c r="E4" s="177">
        <v>1986</v>
      </c>
      <c r="F4" s="177">
        <v>1980</v>
      </c>
      <c r="G4" s="177">
        <v>1985</v>
      </c>
      <c r="H4" s="177">
        <v>1987</v>
      </c>
      <c r="I4" s="177">
        <v>1987</v>
      </c>
      <c r="J4" s="177">
        <v>1964</v>
      </c>
      <c r="K4" s="177">
        <v>1968</v>
      </c>
      <c r="L4" s="177">
        <v>1966</v>
      </c>
      <c r="M4" s="177">
        <v>1971</v>
      </c>
      <c r="N4" s="177">
        <v>1974</v>
      </c>
      <c r="O4" s="177">
        <v>1959</v>
      </c>
      <c r="P4" s="177"/>
      <c r="Q4" s="177">
        <v>1960</v>
      </c>
      <c r="R4" s="177"/>
      <c r="S4" s="177"/>
      <c r="T4" s="177">
        <v>1966</v>
      </c>
      <c r="U4" s="177">
        <v>1967</v>
      </c>
      <c r="V4" s="177"/>
      <c r="W4" s="177"/>
      <c r="X4" s="177"/>
      <c r="Y4" s="177"/>
      <c r="Z4" s="177">
        <v>1960</v>
      </c>
      <c r="AA4" s="177">
        <v>1960</v>
      </c>
      <c r="AB4" s="177"/>
      <c r="AC4" s="177"/>
      <c r="AD4" s="177"/>
      <c r="AE4" s="177"/>
      <c r="AF4" s="177"/>
      <c r="AG4" s="177"/>
      <c r="AH4" s="177"/>
      <c r="AI4" s="177">
        <v>1966</v>
      </c>
      <c r="AJ4" s="177">
        <v>1967</v>
      </c>
      <c r="AK4" s="177">
        <v>1966</v>
      </c>
      <c r="AL4" s="177">
        <v>1967</v>
      </c>
      <c r="AM4" s="177">
        <v>1967</v>
      </c>
      <c r="AN4" s="177">
        <v>1971</v>
      </c>
      <c r="AO4" s="177">
        <v>1974</v>
      </c>
      <c r="AP4" s="177">
        <v>1974</v>
      </c>
      <c r="AQ4" s="177">
        <v>1966</v>
      </c>
      <c r="AR4" s="177">
        <v>1967</v>
      </c>
      <c r="AS4" s="177">
        <v>1967</v>
      </c>
      <c r="AT4" s="177">
        <v>1971</v>
      </c>
      <c r="AU4" s="177">
        <v>1971</v>
      </c>
      <c r="AV4" s="177">
        <v>1974</v>
      </c>
      <c r="AW4" s="177">
        <v>1974</v>
      </c>
      <c r="AX4" s="177">
        <v>1974</v>
      </c>
      <c r="AY4" s="177">
        <v>1974</v>
      </c>
      <c r="AZ4" s="177">
        <v>1984</v>
      </c>
      <c r="BA4" s="177">
        <v>1984</v>
      </c>
      <c r="BB4" s="177">
        <v>1984</v>
      </c>
      <c r="BC4" s="177">
        <v>1986</v>
      </c>
      <c r="BD4" s="177">
        <v>1984</v>
      </c>
      <c r="BE4" s="177"/>
      <c r="BF4" s="177">
        <v>1996</v>
      </c>
      <c r="BG4" s="177">
        <v>1996</v>
      </c>
      <c r="BH4" s="177">
        <v>1996</v>
      </c>
      <c r="BI4" s="177">
        <v>1996</v>
      </c>
      <c r="BJ4" s="177">
        <v>1996</v>
      </c>
      <c r="BK4" s="177">
        <v>1996</v>
      </c>
      <c r="BL4" s="177">
        <v>2017</v>
      </c>
      <c r="BM4" s="177">
        <v>2017</v>
      </c>
      <c r="BN4" s="177">
        <v>2017</v>
      </c>
      <c r="BO4" s="177">
        <v>2017</v>
      </c>
      <c r="BP4" s="177">
        <v>2017</v>
      </c>
      <c r="BQ4" s="177">
        <v>2018</v>
      </c>
      <c r="BR4" s="177">
        <v>2018</v>
      </c>
      <c r="BS4" s="177"/>
      <c r="BT4" s="177"/>
      <c r="BU4" s="177"/>
      <c r="BV4" s="177"/>
      <c r="BW4" s="177"/>
      <c r="BX4" s="177"/>
      <c r="BY4" s="177"/>
      <c r="BZ4" s="177"/>
      <c r="CA4" s="177">
        <v>1989</v>
      </c>
      <c r="CB4" s="177">
        <v>1989</v>
      </c>
      <c r="CC4" s="177">
        <v>1980</v>
      </c>
      <c r="CD4" s="177">
        <v>1993</v>
      </c>
      <c r="CE4" s="177">
        <v>1981</v>
      </c>
      <c r="CF4" s="177">
        <v>1993</v>
      </c>
      <c r="CG4" s="177">
        <v>2004</v>
      </c>
      <c r="CH4" s="177">
        <v>1987</v>
      </c>
      <c r="CI4" s="177">
        <v>1987</v>
      </c>
      <c r="CJ4" s="177">
        <v>1987</v>
      </c>
      <c r="CK4" s="177">
        <v>1989</v>
      </c>
      <c r="CL4" s="177">
        <v>1989</v>
      </c>
      <c r="CM4" s="177">
        <v>1982</v>
      </c>
      <c r="CN4" s="177">
        <v>1981</v>
      </c>
      <c r="CO4" s="177">
        <v>1982</v>
      </c>
      <c r="CP4" s="177">
        <v>1982</v>
      </c>
      <c r="CQ4" s="177">
        <v>1981</v>
      </c>
      <c r="CR4" s="177">
        <v>1986</v>
      </c>
      <c r="CS4" s="177">
        <v>1981</v>
      </c>
      <c r="CT4" s="177">
        <v>1991</v>
      </c>
      <c r="CU4" s="177">
        <v>1986</v>
      </c>
      <c r="CV4" s="177">
        <v>2002</v>
      </c>
      <c r="CW4" s="177">
        <v>2004</v>
      </c>
      <c r="CX4" s="177">
        <v>2002</v>
      </c>
      <c r="CY4" s="177">
        <v>2004</v>
      </c>
      <c r="CZ4" s="177">
        <v>1996</v>
      </c>
      <c r="DA4" s="177">
        <v>1996</v>
      </c>
      <c r="DB4" s="177">
        <v>1999</v>
      </c>
      <c r="DC4" s="177">
        <v>1996</v>
      </c>
      <c r="DD4" s="177">
        <v>1999</v>
      </c>
      <c r="DE4" s="177">
        <v>2016</v>
      </c>
      <c r="DF4" s="177">
        <v>2016</v>
      </c>
      <c r="DG4" s="177"/>
      <c r="DH4" s="177"/>
      <c r="DI4" s="177">
        <v>1990</v>
      </c>
      <c r="DJ4" s="177">
        <v>1994</v>
      </c>
      <c r="DK4" s="177">
        <v>1998</v>
      </c>
      <c r="DL4" s="177">
        <v>1992</v>
      </c>
      <c r="DM4" s="177">
        <v>2016</v>
      </c>
      <c r="DN4" s="177">
        <v>2016</v>
      </c>
      <c r="DO4" s="177"/>
      <c r="DP4" s="177"/>
      <c r="DQ4" s="177">
        <v>2018</v>
      </c>
      <c r="DR4" s="177"/>
      <c r="DS4" s="177">
        <v>1994</v>
      </c>
      <c r="DT4" s="177">
        <v>1992</v>
      </c>
      <c r="DU4" s="177">
        <v>1993</v>
      </c>
      <c r="DV4" s="177">
        <v>1996</v>
      </c>
      <c r="DW4" s="177">
        <v>1996</v>
      </c>
      <c r="DX4" s="177">
        <v>2016</v>
      </c>
      <c r="DY4" s="177">
        <v>2016</v>
      </c>
      <c r="DZ4" s="177">
        <v>2016</v>
      </c>
      <c r="EA4" s="177">
        <v>2016</v>
      </c>
      <c r="EB4" s="177"/>
      <c r="EC4" s="177">
        <v>2016</v>
      </c>
      <c r="ED4" s="177">
        <v>2002</v>
      </c>
      <c r="EE4" s="177">
        <v>2002</v>
      </c>
      <c r="EF4" s="177">
        <v>2002</v>
      </c>
      <c r="EG4" s="177">
        <v>2002</v>
      </c>
      <c r="EH4" s="177">
        <v>2002</v>
      </c>
      <c r="EI4" s="177">
        <v>2006</v>
      </c>
      <c r="EJ4" s="177">
        <v>2006</v>
      </c>
      <c r="EK4" s="177">
        <v>2006</v>
      </c>
      <c r="EL4" s="177">
        <v>2006</v>
      </c>
      <c r="EM4" s="177">
        <v>2006</v>
      </c>
      <c r="EN4" s="177">
        <v>2006</v>
      </c>
      <c r="EO4" s="177">
        <v>2006</v>
      </c>
      <c r="EP4" s="177">
        <v>1999</v>
      </c>
      <c r="EQ4" s="177">
        <v>1999</v>
      </c>
      <c r="ER4" s="177">
        <v>1999</v>
      </c>
      <c r="ES4" s="177">
        <v>1998</v>
      </c>
      <c r="ET4" s="177">
        <v>1998</v>
      </c>
      <c r="EU4" s="177">
        <v>2003</v>
      </c>
      <c r="EV4" s="177"/>
      <c r="EW4" s="177">
        <v>2018</v>
      </c>
      <c r="EX4" s="177">
        <v>2018</v>
      </c>
      <c r="EY4" s="177">
        <v>2018</v>
      </c>
      <c r="EZ4" s="177">
        <v>1992</v>
      </c>
      <c r="FA4" s="177">
        <v>1992</v>
      </c>
      <c r="FB4" s="177">
        <v>1992</v>
      </c>
      <c r="FC4" s="177">
        <v>1995</v>
      </c>
      <c r="FD4" s="177">
        <v>1995</v>
      </c>
      <c r="FE4" s="177">
        <v>2002</v>
      </c>
      <c r="FF4" s="177">
        <v>2002</v>
      </c>
      <c r="FG4" s="177">
        <v>2002</v>
      </c>
      <c r="FH4" s="177">
        <v>2002</v>
      </c>
    </row>
    <row r="5" spans="1:164" s="23" customFormat="1" ht="25.5">
      <c r="A5" s="177" t="s">
        <v>2370</v>
      </c>
      <c r="B5" s="182" t="s">
        <v>2375</v>
      </c>
      <c r="C5" s="182" t="s">
        <v>2375</v>
      </c>
      <c r="D5" s="182" t="s">
        <v>2375</v>
      </c>
      <c r="E5" s="182" t="s">
        <v>2375</v>
      </c>
      <c r="F5" s="182" t="s">
        <v>2375</v>
      </c>
      <c r="G5" s="182" t="s">
        <v>2375</v>
      </c>
      <c r="H5" s="182" t="s">
        <v>2375</v>
      </c>
      <c r="I5" s="182" t="s">
        <v>2375</v>
      </c>
      <c r="J5" s="178" t="s">
        <v>2376</v>
      </c>
      <c r="K5" s="178" t="s">
        <v>2376</v>
      </c>
      <c r="L5" s="182" t="s">
        <v>2375</v>
      </c>
      <c r="M5" s="182" t="s">
        <v>2375</v>
      </c>
      <c r="N5" s="182" t="s">
        <v>2375</v>
      </c>
      <c r="O5" s="182" t="s">
        <v>2375</v>
      </c>
      <c r="P5" s="182" t="s">
        <v>2375</v>
      </c>
      <c r="Q5" s="182" t="s">
        <v>2375</v>
      </c>
      <c r="R5" s="182" t="s">
        <v>2375</v>
      </c>
      <c r="S5" s="182" t="s">
        <v>2375</v>
      </c>
      <c r="T5" s="182" t="s">
        <v>2375</v>
      </c>
      <c r="U5" s="182" t="s">
        <v>2375</v>
      </c>
      <c r="V5" s="182" t="s">
        <v>2375</v>
      </c>
      <c r="W5" s="182" t="s">
        <v>2375</v>
      </c>
      <c r="X5" s="182" t="s">
        <v>2375</v>
      </c>
      <c r="Y5" s="182" t="s">
        <v>2375</v>
      </c>
      <c r="Z5" s="182" t="s">
        <v>2375</v>
      </c>
      <c r="AA5" s="182" t="s">
        <v>2375</v>
      </c>
      <c r="AB5" s="182" t="s">
        <v>2375</v>
      </c>
      <c r="AC5" s="182" t="s">
        <v>2375</v>
      </c>
      <c r="AD5" s="182" t="s">
        <v>2375</v>
      </c>
      <c r="AE5" s="182" t="s">
        <v>2375</v>
      </c>
      <c r="AF5" s="182" t="s">
        <v>2375</v>
      </c>
      <c r="AG5" s="182" t="s">
        <v>2375</v>
      </c>
      <c r="AH5" s="182" t="s">
        <v>2375</v>
      </c>
      <c r="AI5" s="182" t="s">
        <v>2375</v>
      </c>
      <c r="AJ5" s="182" t="s">
        <v>2375</v>
      </c>
      <c r="AK5" s="182" t="s">
        <v>2375</v>
      </c>
      <c r="AL5" s="182" t="s">
        <v>2375</v>
      </c>
      <c r="AM5" s="182" t="s">
        <v>2375</v>
      </c>
      <c r="AN5" s="182" t="s">
        <v>2375</v>
      </c>
      <c r="AO5" s="182" t="s">
        <v>2375</v>
      </c>
      <c r="AP5" s="182" t="s">
        <v>2375</v>
      </c>
      <c r="AQ5" s="178" t="s">
        <v>2376</v>
      </c>
      <c r="AR5" s="178" t="s">
        <v>2376</v>
      </c>
      <c r="AS5" s="182" t="s">
        <v>2375</v>
      </c>
      <c r="AT5" s="183" t="s">
        <v>2376</v>
      </c>
      <c r="AU5" s="182" t="s">
        <v>2375</v>
      </c>
      <c r="AV5" s="183" t="s">
        <v>2376</v>
      </c>
      <c r="AW5" s="182" t="s">
        <v>2375</v>
      </c>
      <c r="AX5" s="183" t="s">
        <v>2376</v>
      </c>
      <c r="AY5" s="182" t="s">
        <v>2375</v>
      </c>
      <c r="AZ5" s="182" t="s">
        <v>2375</v>
      </c>
      <c r="BA5" s="182" t="s">
        <v>2375</v>
      </c>
      <c r="BB5" s="182" t="s">
        <v>2375</v>
      </c>
      <c r="BC5" s="182" t="s">
        <v>2375</v>
      </c>
      <c r="BD5" s="182" t="s">
        <v>2375</v>
      </c>
      <c r="BE5" s="182" t="s">
        <v>2375</v>
      </c>
      <c r="BF5" s="182" t="s">
        <v>2375</v>
      </c>
      <c r="BG5" s="182" t="s">
        <v>2375</v>
      </c>
      <c r="BH5" s="182" t="s">
        <v>2375</v>
      </c>
      <c r="BI5" s="182" t="s">
        <v>2375</v>
      </c>
      <c r="BJ5" s="184" t="s">
        <v>2375</v>
      </c>
      <c r="BK5" s="184" t="s">
        <v>2375</v>
      </c>
      <c r="BL5" s="182" t="s">
        <v>2375</v>
      </c>
      <c r="BM5" s="182" t="s">
        <v>2375</v>
      </c>
      <c r="BN5" s="182" t="s">
        <v>2375</v>
      </c>
      <c r="BO5" s="182" t="s">
        <v>2375</v>
      </c>
      <c r="BP5" s="182" t="s">
        <v>2375</v>
      </c>
      <c r="BQ5" s="184" t="s">
        <v>2375</v>
      </c>
      <c r="BR5" s="184" t="s">
        <v>2375</v>
      </c>
      <c r="BS5" s="182" t="s">
        <v>2375</v>
      </c>
      <c r="BT5" s="182" t="s">
        <v>2375</v>
      </c>
      <c r="BU5" s="182" t="s">
        <v>2375</v>
      </c>
      <c r="BV5" s="182" t="s">
        <v>2375</v>
      </c>
      <c r="BW5" s="182" t="s">
        <v>2375</v>
      </c>
      <c r="BX5" s="182" t="s">
        <v>2375</v>
      </c>
      <c r="BY5" s="182" t="s">
        <v>2375</v>
      </c>
      <c r="BZ5" s="182" t="s">
        <v>2375</v>
      </c>
      <c r="CA5" s="182" t="s">
        <v>2375</v>
      </c>
      <c r="CB5" s="182" t="s">
        <v>2375</v>
      </c>
      <c r="CC5" s="182" t="s">
        <v>2375</v>
      </c>
      <c r="CD5" s="182" t="s">
        <v>2375</v>
      </c>
      <c r="CE5" s="182" t="s">
        <v>2375</v>
      </c>
      <c r="CF5" s="182" t="s">
        <v>2375</v>
      </c>
      <c r="CG5" s="182" t="s">
        <v>2375</v>
      </c>
      <c r="CH5" s="182" t="s">
        <v>2375</v>
      </c>
      <c r="CI5" s="182" t="s">
        <v>2375</v>
      </c>
      <c r="CJ5" s="182" t="s">
        <v>2375</v>
      </c>
      <c r="CK5" s="182" t="s">
        <v>2375</v>
      </c>
      <c r="CL5" s="182" t="s">
        <v>2375</v>
      </c>
      <c r="CM5" s="182" t="s">
        <v>2375</v>
      </c>
      <c r="CN5" s="182" t="s">
        <v>2375</v>
      </c>
      <c r="CO5" s="182" t="s">
        <v>2375</v>
      </c>
      <c r="CP5" s="182" t="s">
        <v>2375</v>
      </c>
      <c r="CQ5" s="182" t="s">
        <v>2375</v>
      </c>
      <c r="CR5" s="182" t="s">
        <v>2375</v>
      </c>
      <c r="CS5" s="182" t="s">
        <v>2375</v>
      </c>
      <c r="CT5" s="182" t="s">
        <v>2375</v>
      </c>
      <c r="CU5" s="182" t="s">
        <v>2375</v>
      </c>
      <c r="CV5" s="182" t="s">
        <v>2375</v>
      </c>
      <c r="CW5" s="182" t="s">
        <v>2375</v>
      </c>
      <c r="CX5" s="182" t="s">
        <v>2375</v>
      </c>
      <c r="CY5" s="182" t="s">
        <v>2375</v>
      </c>
      <c r="CZ5" s="182" t="s">
        <v>2375</v>
      </c>
      <c r="DA5" s="182" t="s">
        <v>2375</v>
      </c>
      <c r="DB5" s="182" t="s">
        <v>2375</v>
      </c>
      <c r="DC5" s="182" t="s">
        <v>2375</v>
      </c>
      <c r="DD5" s="182" t="s">
        <v>2375</v>
      </c>
      <c r="DE5" s="182" t="s">
        <v>2375</v>
      </c>
      <c r="DF5" s="182" t="s">
        <v>2375</v>
      </c>
      <c r="DG5" s="182" t="s">
        <v>2375</v>
      </c>
      <c r="DH5" s="182" t="s">
        <v>2375</v>
      </c>
      <c r="DI5" s="182" t="s">
        <v>2375</v>
      </c>
      <c r="DJ5" s="182" t="s">
        <v>2375</v>
      </c>
      <c r="DK5" s="182" t="s">
        <v>2375</v>
      </c>
      <c r="DL5" s="182" t="s">
        <v>2375</v>
      </c>
      <c r="DM5" s="182" t="s">
        <v>2375</v>
      </c>
      <c r="DN5" s="182" t="s">
        <v>2375</v>
      </c>
      <c r="DO5" s="182" t="s">
        <v>2375</v>
      </c>
      <c r="DP5" s="182" t="s">
        <v>2375</v>
      </c>
      <c r="DQ5" s="182" t="s">
        <v>2375</v>
      </c>
      <c r="DR5" s="182" t="s">
        <v>2375</v>
      </c>
      <c r="DS5" s="182" t="s">
        <v>2375</v>
      </c>
      <c r="DT5" s="182" t="s">
        <v>2375</v>
      </c>
      <c r="DU5" s="182" t="s">
        <v>2375</v>
      </c>
      <c r="DV5" s="182" t="s">
        <v>2375</v>
      </c>
      <c r="DW5" s="182" t="s">
        <v>2375</v>
      </c>
      <c r="DX5" s="182" t="s">
        <v>2375</v>
      </c>
      <c r="DY5" s="182" t="s">
        <v>2375</v>
      </c>
      <c r="DZ5" s="182" t="s">
        <v>2375</v>
      </c>
      <c r="EA5" s="182" t="s">
        <v>2375</v>
      </c>
      <c r="EB5" s="182" t="s">
        <v>2375</v>
      </c>
      <c r="EC5" s="182" t="s">
        <v>2375</v>
      </c>
      <c r="ED5" s="178" t="s">
        <v>2376</v>
      </c>
      <c r="EE5" s="178" t="s">
        <v>2376</v>
      </c>
      <c r="EF5" s="178" t="s">
        <v>2376</v>
      </c>
      <c r="EG5" s="178" t="s">
        <v>2376</v>
      </c>
      <c r="EH5" s="178" t="s">
        <v>2376</v>
      </c>
      <c r="EI5" s="178" t="s">
        <v>2376</v>
      </c>
      <c r="EJ5" s="178" t="s">
        <v>2376</v>
      </c>
      <c r="EK5" s="178" t="s">
        <v>2376</v>
      </c>
      <c r="EL5" s="178" t="s">
        <v>2376</v>
      </c>
      <c r="EM5" s="182" t="s">
        <v>2375</v>
      </c>
      <c r="EN5" s="182" t="s">
        <v>2375</v>
      </c>
      <c r="EO5" s="182" t="s">
        <v>2375</v>
      </c>
      <c r="EP5" s="178" t="s">
        <v>2376</v>
      </c>
      <c r="EQ5" s="178" t="s">
        <v>2376</v>
      </c>
      <c r="ER5" s="178" t="s">
        <v>2376</v>
      </c>
      <c r="ES5" s="178" t="s">
        <v>2376</v>
      </c>
      <c r="ET5" s="178" t="s">
        <v>2376</v>
      </c>
      <c r="EU5" s="178" t="s">
        <v>2376</v>
      </c>
      <c r="EV5" s="178" t="s">
        <v>2376</v>
      </c>
      <c r="EW5" s="178" t="s">
        <v>2376</v>
      </c>
      <c r="EX5" s="182" t="s">
        <v>2375</v>
      </c>
      <c r="EY5" s="182" t="s">
        <v>2375</v>
      </c>
      <c r="EZ5" s="178" t="s">
        <v>2376</v>
      </c>
      <c r="FA5" s="178" t="s">
        <v>2376</v>
      </c>
      <c r="FB5" s="178" t="s">
        <v>2376</v>
      </c>
      <c r="FC5" s="178" t="s">
        <v>2376</v>
      </c>
      <c r="FD5" s="178" t="s">
        <v>2376</v>
      </c>
      <c r="FE5" s="178" t="s">
        <v>2376</v>
      </c>
      <c r="FF5" s="178" t="s">
        <v>2376</v>
      </c>
      <c r="FG5" s="178" t="s">
        <v>2376</v>
      </c>
      <c r="FH5" s="182" t="s">
        <v>2375</v>
      </c>
    </row>
    <row r="6" spans="1:164" s="23" customFormat="1" ht="12.75">
      <c r="A6" s="177" t="s">
        <v>2603</v>
      </c>
      <c r="B6" s="177">
        <v>158</v>
      </c>
      <c r="C6" s="177">
        <v>158</v>
      </c>
      <c r="D6" s="177">
        <v>137</v>
      </c>
      <c r="E6" s="177">
        <v>155</v>
      </c>
      <c r="F6" s="177">
        <v>155</v>
      </c>
      <c r="G6" s="177">
        <v>155</v>
      </c>
      <c r="H6" s="177">
        <v>130</v>
      </c>
      <c r="I6" s="177">
        <v>130</v>
      </c>
      <c r="J6" s="177"/>
      <c r="K6" s="177"/>
      <c r="L6" s="177"/>
      <c r="M6" s="177"/>
      <c r="N6" s="177"/>
      <c r="O6" s="177"/>
      <c r="P6" s="177"/>
      <c r="Q6" s="177"/>
      <c r="R6" s="170"/>
      <c r="S6" s="170"/>
      <c r="T6" s="170"/>
      <c r="U6" s="170"/>
      <c r="V6" s="170"/>
      <c r="W6" s="170"/>
      <c r="X6" s="170"/>
      <c r="Y6" s="170"/>
      <c r="Z6" s="177">
        <v>131</v>
      </c>
      <c r="AA6" s="177">
        <v>131</v>
      </c>
      <c r="AB6" s="177">
        <v>137</v>
      </c>
      <c r="AC6" s="177">
        <v>141</v>
      </c>
      <c r="AD6" s="177">
        <v>141</v>
      </c>
      <c r="AE6" s="177">
        <v>141</v>
      </c>
      <c r="AF6" s="177"/>
      <c r="AG6" s="177">
        <v>106</v>
      </c>
      <c r="AH6" s="177">
        <v>106</v>
      </c>
      <c r="AI6" s="177">
        <v>106</v>
      </c>
      <c r="AJ6" s="177">
        <v>106</v>
      </c>
      <c r="AK6" s="177">
        <v>106</v>
      </c>
      <c r="AL6" s="177">
        <v>106</v>
      </c>
      <c r="AM6" s="177">
        <v>134</v>
      </c>
      <c r="AN6" s="177">
        <v>134</v>
      </c>
      <c r="AO6" s="177">
        <v>134</v>
      </c>
      <c r="AP6" s="177">
        <v>134</v>
      </c>
      <c r="AQ6" s="170">
        <v>85</v>
      </c>
      <c r="AR6" s="170"/>
      <c r="AS6" s="170">
        <v>97</v>
      </c>
      <c r="AT6" s="170"/>
      <c r="AU6" s="170">
        <v>102</v>
      </c>
      <c r="AV6" s="170"/>
      <c r="AW6" s="170">
        <v>102</v>
      </c>
      <c r="AX6" s="170"/>
      <c r="AY6" s="170">
        <v>102</v>
      </c>
      <c r="AZ6" s="170">
        <v>128</v>
      </c>
      <c r="BA6" s="170">
        <v>128</v>
      </c>
      <c r="BB6" s="170">
        <v>146</v>
      </c>
      <c r="BC6" s="170">
        <v>146</v>
      </c>
      <c r="BD6" s="170">
        <v>108</v>
      </c>
      <c r="BE6" s="170">
        <v>108</v>
      </c>
      <c r="BF6" s="170">
        <v>128</v>
      </c>
      <c r="BG6" s="170">
        <v>160</v>
      </c>
      <c r="BH6" s="170">
        <v>177</v>
      </c>
      <c r="BI6" s="170">
        <v>177</v>
      </c>
      <c r="BJ6" s="185"/>
      <c r="BK6" s="185"/>
      <c r="BL6" s="170">
        <v>153</v>
      </c>
      <c r="BM6" s="170">
        <v>178</v>
      </c>
      <c r="BN6" s="170"/>
      <c r="BO6" s="170">
        <v>193</v>
      </c>
      <c r="BP6" s="170">
        <v>204</v>
      </c>
      <c r="BQ6" s="185"/>
      <c r="BR6" s="185"/>
      <c r="BS6" s="170">
        <v>186</v>
      </c>
      <c r="BT6" s="170">
        <v>186</v>
      </c>
      <c r="BU6" s="170">
        <v>186</v>
      </c>
      <c r="BV6" s="170">
        <v>186</v>
      </c>
      <c r="BW6" s="185"/>
      <c r="BX6" s="185"/>
      <c r="BY6" s="170">
        <v>243</v>
      </c>
      <c r="BZ6" s="170">
        <v>243</v>
      </c>
      <c r="CA6" s="170">
        <v>243</v>
      </c>
      <c r="CB6" s="170">
        <v>243</v>
      </c>
      <c r="CC6" s="170">
        <v>216</v>
      </c>
      <c r="CD6" s="170">
        <v>216</v>
      </c>
      <c r="CE6" s="170">
        <v>216</v>
      </c>
      <c r="CF6" s="170">
        <v>216</v>
      </c>
      <c r="CG6" s="170">
        <v>216</v>
      </c>
      <c r="CH6" s="170">
        <v>216</v>
      </c>
      <c r="CI6" s="170">
        <v>216</v>
      </c>
      <c r="CJ6" s="170">
        <v>216</v>
      </c>
      <c r="CK6" s="170">
        <v>216</v>
      </c>
      <c r="CL6" s="170">
        <v>216</v>
      </c>
      <c r="CM6" s="177"/>
      <c r="CN6" s="177"/>
      <c r="CO6" s="177"/>
      <c r="CP6" s="177"/>
      <c r="CQ6" s="177"/>
      <c r="CR6" s="177"/>
      <c r="CS6" s="177"/>
      <c r="CT6" s="177"/>
      <c r="CU6" s="177"/>
      <c r="CV6" s="177">
        <v>107</v>
      </c>
      <c r="CW6" s="177">
        <v>107</v>
      </c>
      <c r="CX6" s="177">
        <v>107</v>
      </c>
      <c r="CY6" s="177">
        <v>107</v>
      </c>
      <c r="CZ6" s="177">
        <v>124</v>
      </c>
      <c r="DA6" s="177">
        <v>124</v>
      </c>
      <c r="DB6" s="177">
        <v>124</v>
      </c>
      <c r="DC6" s="177">
        <v>124</v>
      </c>
      <c r="DD6" s="177">
        <v>124</v>
      </c>
      <c r="DE6" s="177">
        <v>140</v>
      </c>
      <c r="DF6" s="177">
        <v>140</v>
      </c>
      <c r="DG6" s="177">
        <v>140</v>
      </c>
      <c r="DH6" s="177">
        <v>150</v>
      </c>
      <c r="DI6" s="177">
        <v>150</v>
      </c>
      <c r="DJ6" s="177">
        <v>150</v>
      </c>
      <c r="DK6" s="177">
        <v>150</v>
      </c>
      <c r="DL6" s="177">
        <v>150</v>
      </c>
      <c r="DM6" s="177">
        <v>165</v>
      </c>
      <c r="DN6" s="177">
        <v>165</v>
      </c>
      <c r="DO6" s="177">
        <v>165</v>
      </c>
      <c r="DP6" s="177">
        <v>165</v>
      </c>
      <c r="DQ6" s="177">
        <v>165</v>
      </c>
      <c r="DR6" s="177">
        <v>165</v>
      </c>
      <c r="DS6" s="177">
        <v>185</v>
      </c>
      <c r="DT6" s="177">
        <v>185</v>
      </c>
      <c r="DU6" s="177">
        <v>185</v>
      </c>
      <c r="DV6" s="177">
        <v>185</v>
      </c>
      <c r="DW6" s="177">
        <v>185</v>
      </c>
      <c r="DX6" s="177">
        <v>190</v>
      </c>
      <c r="DY6" s="177">
        <v>190</v>
      </c>
      <c r="DZ6" s="177">
        <v>190</v>
      </c>
      <c r="EA6" s="177">
        <v>190</v>
      </c>
      <c r="EB6" s="177">
        <v>206</v>
      </c>
      <c r="EC6" s="177">
        <v>206</v>
      </c>
      <c r="ED6" s="170">
        <v>66</v>
      </c>
      <c r="EE6" s="170">
        <v>66</v>
      </c>
      <c r="EF6" s="170">
        <v>66</v>
      </c>
      <c r="EG6" s="170">
        <v>76</v>
      </c>
      <c r="EH6" s="170">
        <v>76</v>
      </c>
      <c r="EI6" s="170">
        <v>76</v>
      </c>
      <c r="EJ6" s="170">
        <v>96</v>
      </c>
      <c r="EK6" s="170">
        <v>96</v>
      </c>
      <c r="EL6" s="170">
        <v>96</v>
      </c>
      <c r="EM6" s="170">
        <v>100</v>
      </c>
      <c r="EN6" s="170">
        <v>100</v>
      </c>
      <c r="EO6" s="170">
        <v>100</v>
      </c>
      <c r="EP6" s="170"/>
      <c r="EQ6" s="170"/>
      <c r="ER6" s="170"/>
      <c r="ES6" s="170"/>
      <c r="ET6" s="170"/>
      <c r="EU6" s="170"/>
      <c r="EV6" s="170">
        <v>80</v>
      </c>
      <c r="EW6" s="170">
        <v>97</v>
      </c>
      <c r="EX6" s="170">
        <v>97</v>
      </c>
      <c r="EY6" s="170">
        <v>120</v>
      </c>
      <c r="EZ6" s="170"/>
      <c r="FA6" s="170"/>
      <c r="FB6" s="170"/>
      <c r="FC6" s="170"/>
      <c r="FD6" s="170"/>
      <c r="FE6" s="170"/>
      <c r="FF6" s="170"/>
      <c r="FG6" s="170"/>
      <c r="FH6" s="170"/>
    </row>
    <row r="7" spans="1:164" s="23" customFormat="1" ht="12.75">
      <c r="A7" s="177" t="s">
        <v>2604</v>
      </c>
      <c r="B7" s="177">
        <v>163</v>
      </c>
      <c r="C7" s="177">
        <v>163</v>
      </c>
      <c r="D7" s="177">
        <v>155</v>
      </c>
      <c r="E7" s="177">
        <v>172</v>
      </c>
      <c r="F7" s="177">
        <v>172</v>
      </c>
      <c r="G7" s="177">
        <v>172</v>
      </c>
      <c r="H7" s="177">
        <v>139</v>
      </c>
      <c r="I7" s="177">
        <v>139</v>
      </c>
      <c r="J7" s="177">
        <v>90</v>
      </c>
      <c r="K7" s="177">
        <v>90</v>
      </c>
      <c r="L7" s="177">
        <v>115</v>
      </c>
      <c r="M7" s="177">
        <v>125</v>
      </c>
      <c r="N7" s="177">
        <v>135</v>
      </c>
      <c r="O7" s="177">
        <v>177</v>
      </c>
      <c r="P7" s="177">
        <v>177</v>
      </c>
      <c r="Q7" s="177">
        <v>177</v>
      </c>
      <c r="R7" s="177">
        <v>177</v>
      </c>
      <c r="S7" s="177">
        <v>189</v>
      </c>
      <c r="T7" s="186">
        <v>259</v>
      </c>
      <c r="U7" s="177">
        <v>189</v>
      </c>
      <c r="V7" s="186">
        <v>259</v>
      </c>
      <c r="W7" s="186">
        <v>259</v>
      </c>
      <c r="X7" s="177">
        <v>189</v>
      </c>
      <c r="Y7" s="186">
        <v>259</v>
      </c>
      <c r="Z7" s="177">
        <v>149</v>
      </c>
      <c r="AA7" s="177">
        <v>156</v>
      </c>
      <c r="AB7" s="177">
        <v>174</v>
      </c>
      <c r="AC7" s="177">
        <v>189</v>
      </c>
      <c r="AD7" s="177">
        <v>189</v>
      </c>
      <c r="AE7" s="177">
        <v>189</v>
      </c>
      <c r="AF7" s="177">
        <v>194</v>
      </c>
      <c r="AG7" s="177">
        <v>117</v>
      </c>
      <c r="AH7" s="177">
        <v>117</v>
      </c>
      <c r="AI7" s="177">
        <v>125</v>
      </c>
      <c r="AJ7" s="177">
        <v>125</v>
      </c>
      <c r="AK7" s="177">
        <v>125</v>
      </c>
      <c r="AL7" s="177">
        <v>125</v>
      </c>
      <c r="AM7" s="177">
        <v>155</v>
      </c>
      <c r="AN7" s="177">
        <v>155</v>
      </c>
      <c r="AO7" s="177">
        <v>155</v>
      </c>
      <c r="AP7" s="177">
        <v>155</v>
      </c>
      <c r="AQ7" s="170">
        <v>96</v>
      </c>
      <c r="AR7" s="170">
        <v>90</v>
      </c>
      <c r="AS7" s="170">
        <v>124</v>
      </c>
      <c r="AT7" s="170">
        <v>90</v>
      </c>
      <c r="AU7" s="170">
        <v>130</v>
      </c>
      <c r="AV7" s="170">
        <v>93</v>
      </c>
      <c r="AW7" s="170">
        <v>130</v>
      </c>
      <c r="AX7" s="170">
        <v>93</v>
      </c>
      <c r="AY7" s="170">
        <v>130</v>
      </c>
      <c r="AZ7" s="170">
        <v>134</v>
      </c>
      <c r="BA7" s="170">
        <v>134</v>
      </c>
      <c r="BB7" s="170">
        <v>159</v>
      </c>
      <c r="BC7" s="170">
        <v>159</v>
      </c>
      <c r="BD7" s="170">
        <v>122</v>
      </c>
      <c r="BE7" s="170">
        <v>130</v>
      </c>
      <c r="BF7" s="170">
        <v>148</v>
      </c>
      <c r="BG7" s="170">
        <v>184</v>
      </c>
      <c r="BH7" s="170">
        <v>189</v>
      </c>
      <c r="BI7" s="170">
        <v>186</v>
      </c>
      <c r="BJ7" s="185"/>
      <c r="BK7" s="185"/>
      <c r="BL7" s="170">
        <v>172</v>
      </c>
      <c r="BM7" s="170">
        <v>189</v>
      </c>
      <c r="BN7" s="170">
        <v>202</v>
      </c>
      <c r="BO7" s="170">
        <v>220</v>
      </c>
      <c r="BP7" s="170">
        <v>230</v>
      </c>
      <c r="BQ7" s="185"/>
      <c r="BR7" s="185"/>
      <c r="BS7" s="170">
        <v>224</v>
      </c>
      <c r="BT7" s="170">
        <v>239</v>
      </c>
      <c r="BU7" s="170">
        <v>224</v>
      </c>
      <c r="BV7" s="170">
        <v>239</v>
      </c>
      <c r="BW7" s="185"/>
      <c r="BX7" s="185"/>
      <c r="BY7" s="171">
        <v>279</v>
      </c>
      <c r="BZ7" s="171">
        <v>279</v>
      </c>
      <c r="CA7" s="171">
        <v>279</v>
      </c>
      <c r="CB7" s="171">
        <v>279</v>
      </c>
      <c r="CC7" s="170">
        <v>242</v>
      </c>
      <c r="CD7" s="170">
        <v>242</v>
      </c>
      <c r="CE7" s="170">
        <v>242</v>
      </c>
      <c r="CF7" s="170">
        <v>242</v>
      </c>
      <c r="CG7" s="170">
        <v>242</v>
      </c>
      <c r="CH7" s="170">
        <v>242</v>
      </c>
      <c r="CI7" s="170">
        <v>245</v>
      </c>
      <c r="CJ7" s="170">
        <v>245</v>
      </c>
      <c r="CK7" s="170">
        <v>245</v>
      </c>
      <c r="CL7" s="170">
        <v>245</v>
      </c>
      <c r="CM7" s="177">
        <v>237</v>
      </c>
      <c r="CN7" s="177">
        <v>237</v>
      </c>
      <c r="CO7" s="177">
        <v>237</v>
      </c>
      <c r="CP7" s="177">
        <v>237</v>
      </c>
      <c r="CQ7" s="177">
        <v>237</v>
      </c>
      <c r="CR7" s="177">
        <v>243</v>
      </c>
      <c r="CS7" s="177">
        <v>243</v>
      </c>
      <c r="CT7" s="177">
        <v>240</v>
      </c>
      <c r="CU7" s="177">
        <v>240</v>
      </c>
      <c r="CV7" s="177">
        <v>132</v>
      </c>
      <c r="CW7" s="177">
        <v>132</v>
      </c>
      <c r="CX7" s="177">
        <v>132</v>
      </c>
      <c r="CY7" s="177">
        <v>132</v>
      </c>
      <c r="CZ7" s="177">
        <v>156</v>
      </c>
      <c r="DA7" s="177">
        <v>156</v>
      </c>
      <c r="DB7" s="177">
        <v>156</v>
      </c>
      <c r="DC7" s="177">
        <v>156</v>
      </c>
      <c r="DD7" s="177">
        <v>156</v>
      </c>
      <c r="DE7" s="177">
        <v>156</v>
      </c>
      <c r="DF7" s="177">
        <v>156</v>
      </c>
      <c r="DG7" s="177">
        <v>156</v>
      </c>
      <c r="DH7" s="177">
        <v>180</v>
      </c>
      <c r="DI7" s="177">
        <v>180</v>
      </c>
      <c r="DJ7" s="177">
        <v>180</v>
      </c>
      <c r="DK7" s="177">
        <v>180</v>
      </c>
      <c r="DL7" s="177">
        <v>180</v>
      </c>
      <c r="DM7" s="177">
        <v>180</v>
      </c>
      <c r="DN7" s="177">
        <v>180</v>
      </c>
      <c r="DO7" s="177">
        <v>180</v>
      </c>
      <c r="DP7" s="177">
        <v>180</v>
      </c>
      <c r="DQ7" s="177">
        <v>180</v>
      </c>
      <c r="DR7" s="177">
        <v>180</v>
      </c>
      <c r="DS7" s="177">
        <v>244</v>
      </c>
      <c r="DT7" s="177">
        <v>244</v>
      </c>
      <c r="DU7" s="177">
        <v>244</v>
      </c>
      <c r="DV7" s="177">
        <v>244</v>
      </c>
      <c r="DW7" s="177">
        <v>244</v>
      </c>
      <c r="DX7" s="177">
        <v>244</v>
      </c>
      <c r="DY7" s="177">
        <v>244</v>
      </c>
      <c r="DZ7" s="177">
        <v>244</v>
      </c>
      <c r="EA7" s="177">
        <v>244</v>
      </c>
      <c r="EB7" s="177">
        <v>244</v>
      </c>
      <c r="EC7" s="177">
        <v>244</v>
      </c>
      <c r="ED7" s="170">
        <v>78</v>
      </c>
      <c r="EE7" s="170">
        <v>78</v>
      </c>
      <c r="EF7" s="170">
        <v>78</v>
      </c>
      <c r="EG7" s="170">
        <v>78</v>
      </c>
      <c r="EH7" s="170">
        <v>78</v>
      </c>
      <c r="EI7" s="170">
        <v>78</v>
      </c>
      <c r="EJ7" s="170">
        <v>100</v>
      </c>
      <c r="EK7" s="170">
        <v>100</v>
      </c>
      <c r="EL7" s="170">
        <v>100</v>
      </c>
      <c r="EM7" s="170">
        <v>124</v>
      </c>
      <c r="EN7" s="170">
        <v>124</v>
      </c>
      <c r="EO7" s="170">
        <v>124</v>
      </c>
      <c r="EP7" s="170">
        <v>30</v>
      </c>
      <c r="EQ7" s="170">
        <v>37</v>
      </c>
      <c r="ER7" s="170">
        <v>44</v>
      </c>
      <c r="ES7" s="170">
        <v>50</v>
      </c>
      <c r="ET7" s="170">
        <v>50</v>
      </c>
      <c r="EU7" s="170">
        <v>50</v>
      </c>
      <c r="EV7" s="170">
        <v>88</v>
      </c>
      <c r="EW7" s="170">
        <v>106</v>
      </c>
      <c r="EX7" s="170">
        <v>106</v>
      </c>
      <c r="EY7" s="170">
        <v>132</v>
      </c>
      <c r="EZ7" s="170">
        <v>50</v>
      </c>
      <c r="FA7" s="170">
        <v>50</v>
      </c>
      <c r="FB7" s="170">
        <v>50</v>
      </c>
      <c r="FC7" s="170">
        <v>50</v>
      </c>
      <c r="FD7" s="170">
        <v>50</v>
      </c>
      <c r="FE7" s="170">
        <v>70</v>
      </c>
      <c r="FF7" s="170">
        <v>86</v>
      </c>
      <c r="FG7" s="170">
        <v>75</v>
      </c>
      <c r="FH7" s="170">
        <v>104</v>
      </c>
    </row>
    <row r="8" spans="1:164" s="23" customFormat="1" ht="12.75">
      <c r="A8" s="177" t="s">
        <v>2605</v>
      </c>
      <c r="B8" s="187">
        <v>3704</v>
      </c>
      <c r="C8" s="187">
        <v>4074.4</v>
      </c>
      <c r="D8" s="187">
        <v>3333.6</v>
      </c>
      <c r="E8" s="187">
        <v>3704</v>
      </c>
      <c r="F8" s="187">
        <v>3704</v>
      </c>
      <c r="G8" s="187">
        <v>4630</v>
      </c>
      <c r="H8" s="187">
        <v>4444.8</v>
      </c>
      <c r="I8" s="187">
        <v>5370.8</v>
      </c>
      <c r="J8" s="187">
        <v>2407.6</v>
      </c>
      <c r="K8" s="187">
        <v>2685.4</v>
      </c>
      <c r="L8" s="187">
        <v>2407.6</v>
      </c>
      <c r="M8" s="187">
        <v>2037.2</v>
      </c>
      <c r="N8" s="187">
        <v>1944.6</v>
      </c>
      <c r="O8" s="187">
        <v>6960</v>
      </c>
      <c r="P8" s="187">
        <v>7500</v>
      </c>
      <c r="Q8" s="187">
        <v>7417</v>
      </c>
      <c r="R8" s="187">
        <v>7408</v>
      </c>
      <c r="S8" s="187">
        <v>8334</v>
      </c>
      <c r="T8" s="187">
        <v>5833.8</v>
      </c>
      <c r="U8" s="187">
        <v>9352.6</v>
      </c>
      <c r="V8" s="187">
        <v>7408</v>
      </c>
      <c r="W8" s="187">
        <v>6482</v>
      </c>
      <c r="X8" s="187">
        <v>9445.2000000000007</v>
      </c>
      <c r="Y8" s="187">
        <v>8334</v>
      </c>
      <c r="Z8" s="187">
        <v>5185.6000000000004</v>
      </c>
      <c r="AA8" s="187">
        <v>5926.4</v>
      </c>
      <c r="AB8" s="187">
        <v>6667.2</v>
      </c>
      <c r="AC8" s="187">
        <v>7037.6</v>
      </c>
      <c r="AD8" s="187">
        <v>7037.6</v>
      </c>
      <c r="AE8" s="187">
        <v>8889.6</v>
      </c>
      <c r="AF8" s="187">
        <v>8334</v>
      </c>
      <c r="AG8" s="187">
        <v>3148.4</v>
      </c>
      <c r="AH8" s="187">
        <v>3796.6</v>
      </c>
      <c r="AI8" s="187">
        <v>3889.2</v>
      </c>
      <c r="AJ8" s="187">
        <v>4074.4</v>
      </c>
      <c r="AK8" s="187">
        <v>3518.8</v>
      </c>
      <c r="AL8" s="187">
        <v>4074.4</v>
      </c>
      <c r="AM8" s="187">
        <v>2778</v>
      </c>
      <c r="AN8" s="187">
        <v>3518.8</v>
      </c>
      <c r="AO8" s="187">
        <v>4815.2</v>
      </c>
      <c r="AP8" s="187">
        <v>3889.2</v>
      </c>
      <c r="AQ8" s="187">
        <v>2592.8000000000002</v>
      </c>
      <c r="AR8" s="187">
        <v>3704</v>
      </c>
      <c r="AS8" s="187">
        <v>3426.2</v>
      </c>
      <c r="AT8" s="187">
        <v>4167</v>
      </c>
      <c r="AU8" s="187">
        <v>3148.4</v>
      </c>
      <c r="AV8" s="187">
        <v>4074.4</v>
      </c>
      <c r="AW8" s="187">
        <v>4352.2</v>
      </c>
      <c r="AX8" s="187">
        <v>4055.88</v>
      </c>
      <c r="AY8" s="187">
        <v>3852.16</v>
      </c>
      <c r="AZ8" s="187">
        <v>3333.6</v>
      </c>
      <c r="BA8" s="187">
        <v>4537.3999999999996</v>
      </c>
      <c r="BB8" s="187">
        <v>3611.4</v>
      </c>
      <c r="BC8" s="187">
        <v>4167</v>
      </c>
      <c r="BD8" s="187">
        <v>3000.24</v>
      </c>
      <c r="BE8" s="187">
        <v>2481</v>
      </c>
      <c r="BF8" s="187">
        <v>2852</v>
      </c>
      <c r="BG8" s="187">
        <v>3685</v>
      </c>
      <c r="BH8" s="187">
        <v>3815</v>
      </c>
      <c r="BI8" s="187">
        <v>5407.84</v>
      </c>
      <c r="BJ8" s="187">
        <v>6667.2</v>
      </c>
      <c r="BK8" s="187">
        <v>8482.16</v>
      </c>
      <c r="BL8" s="187">
        <v>7222.8</v>
      </c>
      <c r="BM8" s="187">
        <v>6482</v>
      </c>
      <c r="BN8" s="187">
        <v>5296.72</v>
      </c>
      <c r="BO8" s="187">
        <v>6019</v>
      </c>
      <c r="BP8" s="187">
        <v>5954.18</v>
      </c>
      <c r="BQ8" s="187">
        <v>9723</v>
      </c>
      <c r="BR8" s="187">
        <v>8889.6</v>
      </c>
      <c r="BS8" s="187">
        <v>7408</v>
      </c>
      <c r="BT8" s="187">
        <v>7222</v>
      </c>
      <c r="BU8" s="187">
        <v>4185</v>
      </c>
      <c r="BV8" s="187">
        <v>6769</v>
      </c>
      <c r="BW8" s="187">
        <v>6769</v>
      </c>
      <c r="BX8" s="187">
        <v>6769</v>
      </c>
      <c r="BY8" s="187">
        <v>3926</v>
      </c>
      <c r="BZ8" s="187">
        <v>6287</v>
      </c>
      <c r="CA8" s="187">
        <v>3620</v>
      </c>
      <c r="CB8" s="187">
        <v>5889</v>
      </c>
      <c r="CC8" s="187">
        <v>4167</v>
      </c>
      <c r="CD8" s="187">
        <v>5926.4</v>
      </c>
      <c r="CE8" s="187">
        <v>6759.8</v>
      </c>
      <c r="CF8" s="187">
        <v>7315.4</v>
      </c>
      <c r="CG8" s="187">
        <v>6759.8</v>
      </c>
      <c r="CH8" s="187">
        <v>7315.4</v>
      </c>
      <c r="CI8" s="188">
        <v>8334</v>
      </c>
      <c r="CJ8" s="188">
        <v>9445.2000000000007</v>
      </c>
      <c r="CK8" s="188">
        <v>11297.2</v>
      </c>
      <c r="CL8" s="188">
        <v>12223.2</v>
      </c>
      <c r="CM8" s="187">
        <v>4815.2</v>
      </c>
      <c r="CN8" s="187">
        <v>4907.8</v>
      </c>
      <c r="CO8" s="187">
        <v>6111.6</v>
      </c>
      <c r="CP8" s="187">
        <v>6204.2</v>
      </c>
      <c r="CQ8" s="187">
        <v>6482</v>
      </c>
      <c r="CR8" s="187">
        <v>7871</v>
      </c>
      <c r="CS8" s="187">
        <v>7222.8</v>
      </c>
      <c r="CT8" s="187">
        <v>8704.4</v>
      </c>
      <c r="CU8" s="187">
        <v>9537.7999999999993</v>
      </c>
      <c r="CV8" s="187">
        <v>2592.8000000000002</v>
      </c>
      <c r="CW8" s="187">
        <v>2592.8000000000002</v>
      </c>
      <c r="CX8" s="187">
        <v>5741.2</v>
      </c>
      <c r="CY8" s="187">
        <v>5741.2</v>
      </c>
      <c r="CZ8" s="187">
        <v>3241</v>
      </c>
      <c r="DA8" s="187">
        <v>5833.8</v>
      </c>
      <c r="DB8" s="187">
        <v>6019</v>
      </c>
      <c r="DC8" s="187">
        <v>6019</v>
      </c>
      <c r="DD8" s="187">
        <v>6019</v>
      </c>
      <c r="DE8" s="187">
        <v>2500.1999999999998</v>
      </c>
      <c r="DF8" s="187">
        <v>6945</v>
      </c>
      <c r="DG8" s="187">
        <v>2500.1999999999998</v>
      </c>
      <c r="DH8" s="187">
        <v>4537.3999999999996</v>
      </c>
      <c r="DI8" s="187">
        <v>4537.3999999999996</v>
      </c>
      <c r="DJ8" s="187">
        <v>5000.3999999999996</v>
      </c>
      <c r="DK8" s="187">
        <v>4815.2</v>
      </c>
      <c r="DL8" s="187">
        <v>5556</v>
      </c>
      <c r="DM8" s="187">
        <v>4167</v>
      </c>
      <c r="DN8" s="187">
        <v>6019</v>
      </c>
      <c r="DO8" s="187">
        <v>6019</v>
      </c>
      <c r="DP8" s="187">
        <v>4167</v>
      </c>
      <c r="DQ8" s="187">
        <v>6019</v>
      </c>
      <c r="DR8" s="187">
        <v>6019</v>
      </c>
      <c r="DS8" s="187">
        <v>3959</v>
      </c>
      <c r="DT8" s="187">
        <v>4172</v>
      </c>
      <c r="DU8" s="187">
        <v>4167</v>
      </c>
      <c r="DV8" s="187">
        <v>5000</v>
      </c>
      <c r="DW8" s="187">
        <v>5026</v>
      </c>
      <c r="DX8" s="187">
        <v>5093</v>
      </c>
      <c r="DY8" s="187">
        <v>5093</v>
      </c>
      <c r="DZ8" s="187">
        <v>6019</v>
      </c>
      <c r="EA8" s="187">
        <v>6704.24</v>
      </c>
      <c r="EB8" s="187">
        <v>8334</v>
      </c>
      <c r="EC8" s="187">
        <v>8334</v>
      </c>
      <c r="ED8" s="177">
        <v>3333</v>
      </c>
      <c r="EE8" s="177">
        <v>3889</v>
      </c>
      <c r="EF8" s="177">
        <v>3982</v>
      </c>
      <c r="EG8" s="177">
        <v>3148</v>
      </c>
      <c r="EH8" s="177">
        <v>3518</v>
      </c>
      <c r="EI8" s="177">
        <v>4260</v>
      </c>
      <c r="EJ8" s="177">
        <v>3333</v>
      </c>
      <c r="EK8" s="177">
        <v>4259</v>
      </c>
      <c r="EL8" s="177">
        <v>4444</v>
      </c>
      <c r="EM8" s="177">
        <v>2778</v>
      </c>
      <c r="EN8" s="177">
        <v>3704</v>
      </c>
      <c r="EO8" s="177">
        <v>4074</v>
      </c>
      <c r="EP8" s="170">
        <v>2409</v>
      </c>
      <c r="EQ8" s="170">
        <v>3243</v>
      </c>
      <c r="ER8" s="189">
        <v>3058</v>
      </c>
      <c r="ES8" s="170">
        <v>2224</v>
      </c>
      <c r="ET8" s="170">
        <v>2873</v>
      </c>
      <c r="EU8" s="170">
        <v>3706</v>
      </c>
      <c r="EV8" s="170">
        <v>3704</v>
      </c>
      <c r="EW8" s="170">
        <v>5278</v>
      </c>
      <c r="EX8" s="170">
        <v>5278</v>
      </c>
      <c r="EY8" s="170">
        <v>4815</v>
      </c>
      <c r="EZ8" s="170">
        <v>1852</v>
      </c>
      <c r="FA8" s="170">
        <v>3074</v>
      </c>
      <c r="FB8" s="170">
        <v>3074</v>
      </c>
      <c r="FC8" s="170">
        <v>3333.6</v>
      </c>
      <c r="FD8" s="170">
        <v>3111.36</v>
      </c>
      <c r="FE8" s="170">
        <v>3981.8</v>
      </c>
      <c r="FF8" s="170">
        <v>3678.0720000000001</v>
      </c>
      <c r="FG8" s="170">
        <v>4000.32</v>
      </c>
      <c r="FH8" s="170">
        <v>3457</v>
      </c>
    </row>
    <row r="9" spans="1:164" s="23" customFormat="1" ht="12.75">
      <c r="A9" s="177" t="s">
        <v>2606</v>
      </c>
      <c r="B9" s="177">
        <v>161.10900000000001</v>
      </c>
      <c r="C9" s="177">
        <v>161.10900000000001</v>
      </c>
      <c r="D9" s="177">
        <v>149.601</v>
      </c>
      <c r="E9" s="177">
        <v>161.10900000000001</v>
      </c>
      <c r="F9" s="177">
        <v>161.10900000000001</v>
      </c>
      <c r="G9" s="177">
        <v>161.10900000000001</v>
      </c>
      <c r="H9" s="177">
        <v>161.10900000000001</v>
      </c>
      <c r="I9" s="177">
        <v>161.10900000000001</v>
      </c>
      <c r="J9" s="177">
        <v>132.34</v>
      </c>
      <c r="K9" s="177">
        <v>161.10900000000001</v>
      </c>
      <c r="L9" s="177">
        <v>161.10900000000001</v>
      </c>
      <c r="M9" s="177">
        <v>138.09399999999999</v>
      </c>
      <c r="N9" s="177">
        <v>161.10900000000001</v>
      </c>
      <c r="O9" s="190">
        <v>157.65700000000001</v>
      </c>
      <c r="P9" s="190">
        <v>158.80799999999999</v>
      </c>
      <c r="Q9" s="190">
        <v>172.61699999999999</v>
      </c>
      <c r="R9" s="190">
        <v>172.61699999999999</v>
      </c>
      <c r="S9" s="190">
        <v>176.06899999999999</v>
      </c>
      <c r="T9" s="190">
        <v>176.06899999999999</v>
      </c>
      <c r="U9" s="190">
        <v>184.125</v>
      </c>
      <c r="V9" s="190">
        <v>184.125</v>
      </c>
      <c r="W9" s="190">
        <v>176.06899999999999</v>
      </c>
      <c r="X9" s="190">
        <v>184.125</v>
      </c>
      <c r="Y9" s="190">
        <v>184.125</v>
      </c>
      <c r="Z9" s="190">
        <v>140.39500000000001</v>
      </c>
      <c r="AA9" s="190">
        <v>142.697</v>
      </c>
      <c r="AB9" s="190">
        <v>153.054</v>
      </c>
      <c r="AC9" s="190">
        <v>172.61699999999999</v>
      </c>
      <c r="AD9" s="190">
        <v>172.61699999999999</v>
      </c>
      <c r="AE9" s="190">
        <v>176.06899999999999</v>
      </c>
      <c r="AF9" s="190">
        <v>178.37100000000001</v>
      </c>
      <c r="AG9" s="177">
        <v>149.601</v>
      </c>
      <c r="AH9" s="177">
        <v>149.601</v>
      </c>
      <c r="AI9" s="177">
        <v>161.10900000000001</v>
      </c>
      <c r="AJ9" s="177">
        <v>161.10900000000001</v>
      </c>
      <c r="AK9" s="177">
        <v>161.10900000000001</v>
      </c>
      <c r="AL9" s="177">
        <v>161.10900000000001</v>
      </c>
      <c r="AM9" s="177">
        <v>166.863</v>
      </c>
      <c r="AN9" s="177">
        <v>166.863</v>
      </c>
      <c r="AO9" s="177">
        <v>166.863</v>
      </c>
      <c r="AP9" s="177">
        <v>166.863</v>
      </c>
      <c r="AQ9" s="170">
        <v>166.863</v>
      </c>
      <c r="AR9" s="170">
        <v>166.863</v>
      </c>
      <c r="AS9" s="170">
        <v>166.863</v>
      </c>
      <c r="AT9" s="170">
        <v>169.16499999999999</v>
      </c>
      <c r="AU9" s="170">
        <v>169.16499999999999</v>
      </c>
      <c r="AV9" s="170">
        <v>169.16499999999999</v>
      </c>
      <c r="AW9" s="170">
        <v>169.16499999999999</v>
      </c>
      <c r="AX9" s="191">
        <v>169.16499999999999</v>
      </c>
      <c r="AY9" s="191">
        <v>169.16499999999999</v>
      </c>
      <c r="AZ9" s="170">
        <v>178.3708</v>
      </c>
      <c r="BA9" s="170">
        <v>178.3708</v>
      </c>
      <c r="BB9" s="170">
        <v>192.18020000000001</v>
      </c>
      <c r="BC9" s="170">
        <v>192.18020000000001</v>
      </c>
      <c r="BD9" s="170">
        <v>166.863</v>
      </c>
      <c r="BE9" s="170">
        <v>166.863</v>
      </c>
      <c r="BF9" s="170">
        <v>172.61699999999999</v>
      </c>
      <c r="BG9" s="170">
        <v>166.863</v>
      </c>
      <c r="BH9" s="170">
        <v>171.46600000000001</v>
      </c>
      <c r="BI9" s="170">
        <v>171.46600000000001</v>
      </c>
      <c r="BJ9" s="170">
        <v>172.61699999999999</v>
      </c>
      <c r="BK9" s="170">
        <v>166.863</v>
      </c>
      <c r="BL9" s="192">
        <v>207.14</v>
      </c>
      <c r="BM9" s="193">
        <v>207.14</v>
      </c>
      <c r="BN9" s="193">
        <v>207.14</v>
      </c>
      <c r="BO9" s="193">
        <v>207.14</v>
      </c>
      <c r="BP9" s="193">
        <v>207.14</v>
      </c>
      <c r="BQ9" s="193">
        <v>207.14</v>
      </c>
      <c r="BR9" s="193">
        <v>207.14</v>
      </c>
      <c r="BS9" s="170">
        <v>166.863</v>
      </c>
      <c r="BT9" s="170">
        <v>166.863</v>
      </c>
      <c r="BU9" s="170">
        <v>166.863</v>
      </c>
      <c r="BV9" s="170">
        <v>166.863</v>
      </c>
      <c r="BW9" s="170">
        <v>166.863</v>
      </c>
      <c r="BX9" s="170">
        <v>166.863</v>
      </c>
      <c r="BY9" s="170">
        <v>166.863</v>
      </c>
      <c r="BZ9" s="170">
        <v>166.863</v>
      </c>
      <c r="CA9" s="170">
        <v>166.863</v>
      </c>
      <c r="CB9" s="170">
        <v>166.863</v>
      </c>
      <c r="CC9" s="170">
        <v>184.125</v>
      </c>
      <c r="CD9" s="170">
        <v>184.125</v>
      </c>
      <c r="CE9" s="170">
        <v>184.125</v>
      </c>
      <c r="CF9" s="170">
        <v>184.125</v>
      </c>
      <c r="CG9" s="170">
        <v>184.125</v>
      </c>
      <c r="CH9" s="170">
        <v>184.125</v>
      </c>
      <c r="CI9" s="170">
        <v>184.125</v>
      </c>
      <c r="CJ9" s="170">
        <v>184.125</v>
      </c>
      <c r="CK9" s="170">
        <v>184.125</v>
      </c>
      <c r="CL9" s="170">
        <v>184.125</v>
      </c>
      <c r="CM9" s="187">
        <v>131.70670799999999</v>
      </c>
      <c r="CN9" s="187">
        <v>128.08175</v>
      </c>
      <c r="CO9" s="187">
        <v>131.70670799999999</v>
      </c>
      <c r="CP9" s="187">
        <v>138.95661799999999</v>
      </c>
      <c r="CQ9" s="187">
        <v>138.95661799999999</v>
      </c>
      <c r="CR9" s="187">
        <v>138.95661799999999</v>
      </c>
      <c r="CS9" s="187">
        <v>138.95661799999999</v>
      </c>
      <c r="CT9" s="187">
        <v>146.20652899999999</v>
      </c>
      <c r="CU9" s="187">
        <v>146.20652899999999</v>
      </c>
      <c r="CV9" s="187">
        <v>132.91503</v>
      </c>
      <c r="CW9" s="187">
        <v>132.91503</v>
      </c>
      <c r="CX9" s="187">
        <v>132.91503</v>
      </c>
      <c r="CY9" s="187">
        <v>132.91503</v>
      </c>
      <c r="CZ9" s="187">
        <v>132.91503</v>
      </c>
      <c r="DA9" s="187">
        <v>132.91503</v>
      </c>
      <c r="DB9" s="187">
        <v>132.91503</v>
      </c>
      <c r="DC9" s="187">
        <v>132.91503</v>
      </c>
      <c r="DD9" s="187">
        <v>132.91503</v>
      </c>
      <c r="DE9" s="187">
        <v>132.91503</v>
      </c>
      <c r="DF9" s="187">
        <v>132.91503</v>
      </c>
      <c r="DG9" s="187">
        <v>132.91503</v>
      </c>
      <c r="DH9" s="187">
        <v>132.91503</v>
      </c>
      <c r="DI9" s="187">
        <v>132.91503</v>
      </c>
      <c r="DJ9" s="187">
        <v>132.91503</v>
      </c>
      <c r="DK9" s="187">
        <v>132.91503</v>
      </c>
      <c r="DL9" s="187">
        <v>132.91503</v>
      </c>
      <c r="DM9" s="187">
        <v>132.91503</v>
      </c>
      <c r="DN9" s="187">
        <v>132.91503</v>
      </c>
      <c r="DO9" s="187">
        <v>132.91503</v>
      </c>
      <c r="DP9" s="187">
        <v>132.91503</v>
      </c>
      <c r="DQ9" s="187">
        <v>132.91503</v>
      </c>
      <c r="DR9" s="187">
        <v>132.91503</v>
      </c>
      <c r="DS9" s="187">
        <v>132.91503</v>
      </c>
      <c r="DT9" s="187">
        <v>132.91503</v>
      </c>
      <c r="DU9" s="187">
        <v>132.91503</v>
      </c>
      <c r="DV9" s="187">
        <v>132.91503</v>
      </c>
      <c r="DW9" s="187">
        <v>132.91503</v>
      </c>
      <c r="DX9" s="187">
        <v>132.91503</v>
      </c>
      <c r="DY9" s="187">
        <v>132.91503</v>
      </c>
      <c r="DZ9" s="187">
        <v>132.91503</v>
      </c>
      <c r="EA9" s="187">
        <v>132.91503</v>
      </c>
      <c r="EB9" s="187">
        <v>132.91503</v>
      </c>
      <c r="EC9" s="187">
        <v>132.91503</v>
      </c>
      <c r="ED9" s="177">
        <v>158.80799999999999</v>
      </c>
      <c r="EE9" s="177">
        <v>158.80799999999999</v>
      </c>
      <c r="EF9" s="177">
        <v>158.80799999999999</v>
      </c>
      <c r="EG9" s="177">
        <v>158.80799999999999</v>
      </c>
      <c r="EH9" s="177">
        <v>158.80799999999999</v>
      </c>
      <c r="EI9" s="177">
        <v>158.80799999999999</v>
      </c>
      <c r="EJ9" s="177">
        <v>155.35499999999999</v>
      </c>
      <c r="EK9" s="177">
        <v>155.35499999999999</v>
      </c>
      <c r="EL9" s="177">
        <v>155.35499999999999</v>
      </c>
      <c r="EM9" s="177">
        <v>155.35499999999999</v>
      </c>
      <c r="EN9" s="177">
        <v>155.35499999999999</v>
      </c>
      <c r="EO9" s="177">
        <v>155.35499999999999</v>
      </c>
      <c r="EP9" s="177">
        <v>141.54599999999999</v>
      </c>
      <c r="EQ9" s="177">
        <v>141.54599999999999</v>
      </c>
      <c r="ER9" s="177">
        <v>153.054</v>
      </c>
      <c r="ES9" s="177">
        <v>153.054</v>
      </c>
      <c r="ET9" s="177">
        <v>155.35499999999999</v>
      </c>
      <c r="EU9" s="177">
        <v>155.35499999999999</v>
      </c>
      <c r="EV9" s="194">
        <v>155.35499999999999</v>
      </c>
      <c r="EW9" s="194">
        <v>155.35499999999999</v>
      </c>
      <c r="EX9" s="194">
        <v>155.35499999999999</v>
      </c>
      <c r="EY9" s="194">
        <v>155.35499999999999</v>
      </c>
      <c r="EZ9" s="177">
        <v>151.90299999999999</v>
      </c>
      <c r="FA9" s="177">
        <v>155.35499999999999</v>
      </c>
      <c r="FB9" s="177">
        <v>155.35499999999999</v>
      </c>
      <c r="FC9" s="177">
        <v>155.35499999999999</v>
      </c>
      <c r="FD9" s="177">
        <v>155.35499999999999</v>
      </c>
      <c r="FE9" s="177">
        <v>166.863</v>
      </c>
      <c r="FF9" s="177">
        <v>168.01400000000001</v>
      </c>
      <c r="FG9" s="177">
        <v>168.01400000000001</v>
      </c>
      <c r="FH9" s="195">
        <v>168.01400000000001</v>
      </c>
    </row>
    <row r="10" spans="1:164" s="23" customFormat="1" ht="12.75">
      <c r="A10" s="177" t="s">
        <v>2607</v>
      </c>
      <c r="B10" s="170">
        <f t="shared" ref="B10:AP10" si="0">B9*1.60934</f>
        <v>259.27915805999999</v>
      </c>
      <c r="C10" s="170">
        <f t="shared" si="0"/>
        <v>259.27915805999999</v>
      </c>
      <c r="D10" s="170">
        <f t="shared" si="0"/>
        <v>240.75887334000001</v>
      </c>
      <c r="E10" s="170">
        <f t="shared" si="0"/>
        <v>259.27915805999999</v>
      </c>
      <c r="F10" s="170">
        <f t="shared" si="0"/>
        <v>259.27915805999999</v>
      </c>
      <c r="G10" s="170">
        <f t="shared" si="0"/>
        <v>259.27915805999999</v>
      </c>
      <c r="H10" s="170">
        <f t="shared" si="0"/>
        <v>259.27915805999999</v>
      </c>
      <c r="I10" s="170">
        <f t="shared" si="0"/>
        <v>259.27915805999999</v>
      </c>
      <c r="J10" s="170">
        <f t="shared" si="0"/>
        <v>212.98005560000001</v>
      </c>
      <c r="K10" s="170">
        <f t="shared" si="0"/>
        <v>259.27915805999999</v>
      </c>
      <c r="L10" s="170">
        <f t="shared" si="0"/>
        <v>259.27915805999999</v>
      </c>
      <c r="M10" s="170">
        <f t="shared" si="0"/>
        <v>222.24019795999999</v>
      </c>
      <c r="N10" s="170">
        <f t="shared" si="0"/>
        <v>259.27915805999999</v>
      </c>
      <c r="O10" s="170">
        <f t="shared" si="0"/>
        <v>253.72371638000001</v>
      </c>
      <c r="P10" s="170">
        <f t="shared" si="0"/>
        <v>255.57606672</v>
      </c>
      <c r="Q10" s="170">
        <f t="shared" si="0"/>
        <v>277.79944277999999</v>
      </c>
      <c r="R10" s="170">
        <f t="shared" si="0"/>
        <v>277.79944277999999</v>
      </c>
      <c r="S10" s="170">
        <f t="shared" si="0"/>
        <v>283.35488445999999</v>
      </c>
      <c r="T10" s="170">
        <f t="shared" si="0"/>
        <v>283.35488445999999</v>
      </c>
      <c r="U10" s="170">
        <f t="shared" si="0"/>
        <v>296.3197275</v>
      </c>
      <c r="V10" s="170">
        <f t="shared" si="0"/>
        <v>296.3197275</v>
      </c>
      <c r="W10" s="170">
        <f t="shared" si="0"/>
        <v>283.35488445999999</v>
      </c>
      <c r="X10" s="170">
        <f t="shared" si="0"/>
        <v>296.3197275</v>
      </c>
      <c r="Y10" s="170">
        <f t="shared" si="0"/>
        <v>296.3197275</v>
      </c>
      <c r="Z10" s="170">
        <f t="shared" si="0"/>
        <v>225.9432893</v>
      </c>
      <c r="AA10" s="170">
        <f t="shared" si="0"/>
        <v>229.64798998000001</v>
      </c>
      <c r="AB10" s="170">
        <f t="shared" si="0"/>
        <v>246.31592436</v>
      </c>
      <c r="AC10" s="170">
        <f t="shared" si="0"/>
        <v>277.79944277999999</v>
      </c>
      <c r="AD10" s="170">
        <f t="shared" si="0"/>
        <v>277.79944277999999</v>
      </c>
      <c r="AE10" s="170">
        <f t="shared" si="0"/>
        <v>283.35488445999999</v>
      </c>
      <c r="AF10" s="170">
        <f t="shared" si="0"/>
        <v>287.05958514000002</v>
      </c>
      <c r="AG10" s="170">
        <f t="shared" si="0"/>
        <v>240.75887334000001</v>
      </c>
      <c r="AH10" s="170">
        <f t="shared" si="0"/>
        <v>240.75887334000001</v>
      </c>
      <c r="AI10" s="170">
        <f t="shared" si="0"/>
        <v>259.27915805999999</v>
      </c>
      <c r="AJ10" s="170">
        <f t="shared" si="0"/>
        <v>259.27915805999999</v>
      </c>
      <c r="AK10" s="170">
        <f t="shared" si="0"/>
        <v>259.27915805999999</v>
      </c>
      <c r="AL10" s="170">
        <f t="shared" si="0"/>
        <v>259.27915805999999</v>
      </c>
      <c r="AM10" s="170">
        <f t="shared" si="0"/>
        <v>268.53930042000002</v>
      </c>
      <c r="AN10" s="170">
        <f t="shared" si="0"/>
        <v>268.53930042000002</v>
      </c>
      <c r="AO10" s="170">
        <f t="shared" si="0"/>
        <v>268.53930042000002</v>
      </c>
      <c r="AP10" s="170">
        <f t="shared" si="0"/>
        <v>268.53930042000002</v>
      </c>
      <c r="AQ10" s="170">
        <v>268.54000000000002</v>
      </c>
      <c r="AR10" s="170">
        <v>268.54000000000002</v>
      </c>
      <c r="AS10" s="170">
        <v>268.54000000000002</v>
      </c>
      <c r="AT10" s="170">
        <f t="shared" ref="AT10:BH10" si="1">AT9*1.60934</f>
        <v>272.24400109999999</v>
      </c>
      <c r="AU10" s="170">
        <f t="shared" si="1"/>
        <v>272.24400109999999</v>
      </c>
      <c r="AV10" s="170">
        <f t="shared" si="1"/>
        <v>272.24400109999999</v>
      </c>
      <c r="AW10" s="170">
        <f t="shared" si="1"/>
        <v>272.24400109999999</v>
      </c>
      <c r="AX10" s="191">
        <f t="shared" si="1"/>
        <v>272.24400109999999</v>
      </c>
      <c r="AY10" s="191">
        <f t="shared" si="1"/>
        <v>272.24400109999999</v>
      </c>
      <c r="AZ10" s="170">
        <f t="shared" si="1"/>
        <v>287.05926327200001</v>
      </c>
      <c r="BA10" s="170">
        <f t="shared" si="1"/>
        <v>287.05926327200001</v>
      </c>
      <c r="BB10" s="170">
        <f t="shared" si="1"/>
        <v>309.283283068</v>
      </c>
      <c r="BC10" s="170">
        <f t="shared" si="1"/>
        <v>309.283283068</v>
      </c>
      <c r="BD10" s="170">
        <f t="shared" si="1"/>
        <v>268.53930042000002</v>
      </c>
      <c r="BE10" s="170">
        <f t="shared" si="1"/>
        <v>268.53930042000002</v>
      </c>
      <c r="BF10" s="170">
        <f t="shared" si="1"/>
        <v>277.79944277999999</v>
      </c>
      <c r="BG10" s="170">
        <f t="shared" si="1"/>
        <v>268.53930042000002</v>
      </c>
      <c r="BH10" s="170">
        <f t="shared" si="1"/>
        <v>275.94709244000001</v>
      </c>
      <c r="BI10" s="170">
        <v>275.94709239999997</v>
      </c>
      <c r="BJ10" s="170">
        <f t="shared" ref="BJ10:DU10" si="2">BJ9*1.60934</f>
        <v>277.79944277999999</v>
      </c>
      <c r="BK10" s="170">
        <f t="shared" si="2"/>
        <v>268.53930042000002</v>
      </c>
      <c r="BL10" s="170">
        <f t="shared" si="2"/>
        <v>333.3586876</v>
      </c>
      <c r="BM10" s="185">
        <f t="shared" si="2"/>
        <v>333.3586876</v>
      </c>
      <c r="BN10" s="185">
        <f t="shared" si="2"/>
        <v>333.3586876</v>
      </c>
      <c r="BO10" s="185">
        <f t="shared" si="2"/>
        <v>333.3586876</v>
      </c>
      <c r="BP10" s="185">
        <f t="shared" si="2"/>
        <v>333.3586876</v>
      </c>
      <c r="BQ10" s="185">
        <f t="shared" si="2"/>
        <v>333.3586876</v>
      </c>
      <c r="BR10" s="185">
        <f t="shared" si="2"/>
        <v>333.3586876</v>
      </c>
      <c r="BS10" s="170">
        <f t="shared" si="2"/>
        <v>268.53930042000002</v>
      </c>
      <c r="BT10" s="170">
        <f t="shared" si="2"/>
        <v>268.53930042000002</v>
      </c>
      <c r="BU10" s="170">
        <f t="shared" si="2"/>
        <v>268.53930042000002</v>
      </c>
      <c r="BV10" s="170">
        <f t="shared" si="2"/>
        <v>268.53930042000002</v>
      </c>
      <c r="BW10" s="170">
        <f t="shared" si="2"/>
        <v>268.53930042000002</v>
      </c>
      <c r="BX10" s="170">
        <f t="shared" si="2"/>
        <v>268.53930042000002</v>
      </c>
      <c r="BY10" s="170">
        <f t="shared" si="2"/>
        <v>268.53930042000002</v>
      </c>
      <c r="BZ10" s="170">
        <f t="shared" si="2"/>
        <v>268.53930042000002</v>
      </c>
      <c r="CA10" s="170">
        <f t="shared" si="2"/>
        <v>268.53930042000002</v>
      </c>
      <c r="CB10" s="170">
        <f t="shared" si="2"/>
        <v>268.53930042000002</v>
      </c>
      <c r="CC10" s="170">
        <f t="shared" si="2"/>
        <v>296.3197275</v>
      </c>
      <c r="CD10" s="170">
        <f t="shared" si="2"/>
        <v>296.3197275</v>
      </c>
      <c r="CE10" s="170">
        <f t="shared" si="2"/>
        <v>296.3197275</v>
      </c>
      <c r="CF10" s="170">
        <f t="shared" si="2"/>
        <v>296.3197275</v>
      </c>
      <c r="CG10" s="170">
        <f t="shared" si="2"/>
        <v>296.3197275</v>
      </c>
      <c r="CH10" s="170">
        <f t="shared" si="2"/>
        <v>296.3197275</v>
      </c>
      <c r="CI10" s="170">
        <f t="shared" si="2"/>
        <v>296.3197275</v>
      </c>
      <c r="CJ10" s="170">
        <f t="shared" si="2"/>
        <v>296.3197275</v>
      </c>
      <c r="CK10" s="170">
        <f t="shared" si="2"/>
        <v>296.3197275</v>
      </c>
      <c r="CL10" s="170">
        <f t="shared" si="2"/>
        <v>296.3197275</v>
      </c>
      <c r="CM10" s="170">
        <f t="shared" si="2"/>
        <v>211.96087345271999</v>
      </c>
      <c r="CN10" s="170">
        <f t="shared" si="2"/>
        <v>206.127083545</v>
      </c>
      <c r="CO10" s="170">
        <f t="shared" si="2"/>
        <v>211.96087345271999</v>
      </c>
      <c r="CP10" s="170">
        <f t="shared" si="2"/>
        <v>223.62844361211998</v>
      </c>
      <c r="CQ10" s="170">
        <f t="shared" si="2"/>
        <v>223.62844361211998</v>
      </c>
      <c r="CR10" s="170">
        <f t="shared" si="2"/>
        <v>223.62844361211998</v>
      </c>
      <c r="CS10" s="170">
        <f t="shared" si="2"/>
        <v>223.62844361211998</v>
      </c>
      <c r="CT10" s="170">
        <f t="shared" si="2"/>
        <v>235.29601538085998</v>
      </c>
      <c r="CU10" s="170">
        <f t="shared" si="2"/>
        <v>235.29601538085998</v>
      </c>
      <c r="CV10" s="170">
        <f t="shared" si="2"/>
        <v>213.90547438019999</v>
      </c>
      <c r="CW10" s="170">
        <f t="shared" si="2"/>
        <v>213.90547438019999</v>
      </c>
      <c r="CX10" s="170">
        <f t="shared" si="2"/>
        <v>213.90547438019999</v>
      </c>
      <c r="CY10" s="170">
        <f t="shared" si="2"/>
        <v>213.90547438019999</v>
      </c>
      <c r="CZ10" s="170">
        <f t="shared" si="2"/>
        <v>213.90547438019999</v>
      </c>
      <c r="DA10" s="170">
        <f t="shared" si="2"/>
        <v>213.90547438019999</v>
      </c>
      <c r="DB10" s="170">
        <f t="shared" si="2"/>
        <v>213.90547438019999</v>
      </c>
      <c r="DC10" s="170">
        <f t="shared" si="2"/>
        <v>213.90547438019999</v>
      </c>
      <c r="DD10" s="170">
        <f t="shared" si="2"/>
        <v>213.90547438019999</v>
      </c>
      <c r="DE10" s="170">
        <f t="shared" si="2"/>
        <v>213.90547438019999</v>
      </c>
      <c r="DF10" s="170">
        <f t="shared" si="2"/>
        <v>213.90547438019999</v>
      </c>
      <c r="DG10" s="170">
        <f t="shared" si="2"/>
        <v>213.90547438019999</v>
      </c>
      <c r="DH10" s="170">
        <f t="shared" si="2"/>
        <v>213.90547438019999</v>
      </c>
      <c r="DI10" s="170">
        <f t="shared" si="2"/>
        <v>213.90547438019999</v>
      </c>
      <c r="DJ10" s="170">
        <f t="shared" si="2"/>
        <v>213.90547438019999</v>
      </c>
      <c r="DK10" s="170">
        <f t="shared" si="2"/>
        <v>213.90547438019999</v>
      </c>
      <c r="DL10" s="170">
        <f t="shared" si="2"/>
        <v>213.90547438019999</v>
      </c>
      <c r="DM10" s="170">
        <f t="shared" si="2"/>
        <v>213.90547438019999</v>
      </c>
      <c r="DN10" s="170">
        <f t="shared" si="2"/>
        <v>213.90547438019999</v>
      </c>
      <c r="DO10" s="170">
        <f t="shared" si="2"/>
        <v>213.90547438019999</v>
      </c>
      <c r="DP10" s="170">
        <f t="shared" si="2"/>
        <v>213.90547438019999</v>
      </c>
      <c r="DQ10" s="170">
        <f t="shared" si="2"/>
        <v>213.90547438019999</v>
      </c>
      <c r="DR10" s="170">
        <f t="shared" si="2"/>
        <v>213.90547438019999</v>
      </c>
      <c r="DS10" s="170">
        <f t="shared" si="2"/>
        <v>213.90547438019999</v>
      </c>
      <c r="DT10" s="170">
        <f t="shared" si="2"/>
        <v>213.90547438019999</v>
      </c>
      <c r="DU10" s="170">
        <f t="shared" si="2"/>
        <v>213.90547438019999</v>
      </c>
      <c r="DV10" s="170">
        <f t="shared" ref="DV10:EC10" si="3">DV9*1.60934</f>
        <v>213.90547438019999</v>
      </c>
      <c r="DW10" s="170">
        <f t="shared" si="3"/>
        <v>213.90547438019999</v>
      </c>
      <c r="DX10" s="170">
        <f t="shared" si="3"/>
        <v>213.90547438019999</v>
      </c>
      <c r="DY10" s="170">
        <f t="shared" si="3"/>
        <v>213.90547438019999</v>
      </c>
      <c r="DZ10" s="170">
        <f t="shared" si="3"/>
        <v>213.90547438019999</v>
      </c>
      <c r="EA10" s="170">
        <f t="shared" si="3"/>
        <v>213.90547438019999</v>
      </c>
      <c r="EB10" s="170">
        <f t="shared" si="3"/>
        <v>213.90547438019999</v>
      </c>
      <c r="EC10" s="170">
        <f t="shared" si="3"/>
        <v>213.90547438019999</v>
      </c>
      <c r="ED10" s="170">
        <f>ED9*1.60934</f>
        <v>255.57606672</v>
      </c>
      <c r="EE10" s="170">
        <f t="shared" ref="EE10:FH10" si="4">EE9*1.60934</f>
        <v>255.57606672</v>
      </c>
      <c r="EF10" s="170">
        <f t="shared" si="4"/>
        <v>255.57606672</v>
      </c>
      <c r="EG10" s="170">
        <f t="shared" si="4"/>
        <v>255.57606672</v>
      </c>
      <c r="EH10" s="170">
        <f t="shared" si="4"/>
        <v>255.57606672</v>
      </c>
      <c r="EI10" s="170">
        <f t="shared" si="4"/>
        <v>255.57606672</v>
      </c>
      <c r="EJ10" s="170">
        <f t="shared" si="4"/>
        <v>250.01901569999998</v>
      </c>
      <c r="EK10" s="170">
        <f t="shared" si="4"/>
        <v>250.01901569999998</v>
      </c>
      <c r="EL10" s="170">
        <f t="shared" si="4"/>
        <v>250.01901569999998</v>
      </c>
      <c r="EM10" s="170">
        <f t="shared" si="4"/>
        <v>250.01901569999998</v>
      </c>
      <c r="EN10" s="170">
        <f t="shared" si="4"/>
        <v>250.01901569999998</v>
      </c>
      <c r="EO10" s="170">
        <f t="shared" si="4"/>
        <v>250.01901569999998</v>
      </c>
      <c r="EP10" s="170">
        <f t="shared" si="4"/>
        <v>227.79563963999999</v>
      </c>
      <c r="EQ10" s="170">
        <f t="shared" si="4"/>
        <v>227.79563963999999</v>
      </c>
      <c r="ER10" s="170">
        <f t="shared" si="4"/>
        <v>246.31592436</v>
      </c>
      <c r="ES10" s="170">
        <f t="shared" si="4"/>
        <v>246.31592436</v>
      </c>
      <c r="ET10" s="170">
        <f t="shared" si="4"/>
        <v>250.01901569999998</v>
      </c>
      <c r="EU10" s="170">
        <f t="shared" si="4"/>
        <v>250.01901569999998</v>
      </c>
      <c r="EV10" s="196">
        <f t="shared" si="4"/>
        <v>250.01901569999998</v>
      </c>
      <c r="EW10" s="196">
        <f t="shared" si="4"/>
        <v>250.01901569999998</v>
      </c>
      <c r="EX10" s="196">
        <f t="shared" si="4"/>
        <v>250.01901569999998</v>
      </c>
      <c r="EY10" s="196">
        <f t="shared" si="4"/>
        <v>250.01901569999998</v>
      </c>
      <c r="EZ10" s="170">
        <f t="shared" si="4"/>
        <v>244.46357401999998</v>
      </c>
      <c r="FA10" s="170">
        <f t="shared" si="4"/>
        <v>250.01901569999998</v>
      </c>
      <c r="FB10" s="170">
        <f t="shared" si="4"/>
        <v>250.01901569999998</v>
      </c>
      <c r="FC10" s="170">
        <f t="shared" si="4"/>
        <v>250.01901569999998</v>
      </c>
      <c r="FD10" s="170">
        <f t="shared" si="4"/>
        <v>250.01901569999998</v>
      </c>
      <c r="FE10" s="170">
        <f t="shared" si="4"/>
        <v>268.53930042000002</v>
      </c>
      <c r="FF10" s="170">
        <f t="shared" si="4"/>
        <v>270.39165076</v>
      </c>
      <c r="FG10" s="170">
        <f t="shared" si="4"/>
        <v>270.39165076</v>
      </c>
      <c r="FH10" s="170">
        <f t="shared" si="4"/>
        <v>270.39165076</v>
      </c>
    </row>
    <row r="11" spans="1:164" s="23" customFormat="1" ht="12.75">
      <c r="A11" s="177" t="s">
        <v>2608</v>
      </c>
      <c r="B11" s="170">
        <f t="shared" ref="B11:AP11" si="5">B9*0.44704</f>
        <v>72.022167359999997</v>
      </c>
      <c r="C11" s="170">
        <f t="shared" si="5"/>
        <v>72.022167359999997</v>
      </c>
      <c r="D11" s="170">
        <f t="shared" si="5"/>
        <v>66.877631039999997</v>
      </c>
      <c r="E11" s="170">
        <f t="shared" si="5"/>
        <v>72.022167359999997</v>
      </c>
      <c r="F11" s="170">
        <f t="shared" si="5"/>
        <v>72.022167359999997</v>
      </c>
      <c r="G11" s="170">
        <f t="shared" si="5"/>
        <v>72.022167359999997</v>
      </c>
      <c r="H11" s="170">
        <f t="shared" si="5"/>
        <v>72.022167359999997</v>
      </c>
      <c r="I11" s="170">
        <f t="shared" si="5"/>
        <v>72.022167359999997</v>
      </c>
      <c r="J11" s="170">
        <f t="shared" si="5"/>
        <v>59.161273600000001</v>
      </c>
      <c r="K11" s="170">
        <f t="shared" si="5"/>
        <v>72.022167359999997</v>
      </c>
      <c r="L11" s="170">
        <f t="shared" si="5"/>
        <v>72.022167359999997</v>
      </c>
      <c r="M11" s="170">
        <f t="shared" si="5"/>
        <v>61.733541759999994</v>
      </c>
      <c r="N11" s="170">
        <f t="shared" si="5"/>
        <v>72.022167359999997</v>
      </c>
      <c r="O11" s="170">
        <f t="shared" si="5"/>
        <v>70.478985280000003</v>
      </c>
      <c r="P11" s="170">
        <f t="shared" si="5"/>
        <v>70.993528319999996</v>
      </c>
      <c r="Q11" s="170">
        <f t="shared" si="5"/>
        <v>77.166703679999998</v>
      </c>
      <c r="R11" s="170">
        <f t="shared" si="5"/>
        <v>77.166703679999998</v>
      </c>
      <c r="S11" s="170">
        <f t="shared" si="5"/>
        <v>78.709885759999992</v>
      </c>
      <c r="T11" s="170">
        <f t="shared" si="5"/>
        <v>78.709885759999992</v>
      </c>
      <c r="U11" s="170">
        <f t="shared" si="5"/>
        <v>82.311239999999998</v>
      </c>
      <c r="V11" s="170">
        <f t="shared" si="5"/>
        <v>82.311239999999998</v>
      </c>
      <c r="W11" s="170">
        <f t="shared" si="5"/>
        <v>78.709885759999992</v>
      </c>
      <c r="X11" s="170">
        <f t="shared" si="5"/>
        <v>82.311239999999998</v>
      </c>
      <c r="Y11" s="170">
        <f t="shared" si="5"/>
        <v>82.311239999999998</v>
      </c>
      <c r="Z11" s="170">
        <f t="shared" si="5"/>
        <v>62.762180800000003</v>
      </c>
      <c r="AA11" s="170">
        <f t="shared" si="5"/>
        <v>63.791266880000002</v>
      </c>
      <c r="AB11" s="170">
        <f t="shared" si="5"/>
        <v>68.421260160000003</v>
      </c>
      <c r="AC11" s="170">
        <f t="shared" si="5"/>
        <v>77.166703679999998</v>
      </c>
      <c r="AD11" s="170">
        <f t="shared" si="5"/>
        <v>77.166703679999998</v>
      </c>
      <c r="AE11" s="170">
        <f t="shared" si="5"/>
        <v>78.709885759999992</v>
      </c>
      <c r="AF11" s="170">
        <f t="shared" si="5"/>
        <v>79.738971840000005</v>
      </c>
      <c r="AG11" s="170">
        <f t="shared" si="5"/>
        <v>66.877631039999997</v>
      </c>
      <c r="AH11" s="170">
        <f t="shared" si="5"/>
        <v>66.877631039999997</v>
      </c>
      <c r="AI11" s="170">
        <f t="shared" si="5"/>
        <v>72.022167359999997</v>
      </c>
      <c r="AJ11" s="170">
        <f t="shared" si="5"/>
        <v>72.022167359999997</v>
      </c>
      <c r="AK11" s="170">
        <f t="shared" si="5"/>
        <v>72.022167359999997</v>
      </c>
      <c r="AL11" s="170">
        <f t="shared" si="5"/>
        <v>72.022167359999997</v>
      </c>
      <c r="AM11" s="170">
        <f t="shared" si="5"/>
        <v>74.594435520000005</v>
      </c>
      <c r="AN11" s="170">
        <f t="shared" si="5"/>
        <v>74.594435520000005</v>
      </c>
      <c r="AO11" s="170">
        <f t="shared" si="5"/>
        <v>74.594435520000005</v>
      </c>
      <c r="AP11" s="170">
        <f t="shared" si="5"/>
        <v>74.594435520000005</v>
      </c>
      <c r="AQ11" s="170">
        <v>74.594399999999993</v>
      </c>
      <c r="AR11" s="170">
        <v>74.594399999999993</v>
      </c>
      <c r="AS11" s="170">
        <v>74.594399999999993</v>
      </c>
      <c r="AT11" s="170">
        <f t="shared" ref="AT11:BH11" si="6">AT9*0.44704</f>
        <v>75.623521599999989</v>
      </c>
      <c r="AU11" s="170">
        <f t="shared" si="6"/>
        <v>75.623521599999989</v>
      </c>
      <c r="AV11" s="170">
        <f t="shared" si="6"/>
        <v>75.623521599999989</v>
      </c>
      <c r="AW11" s="170">
        <f t="shared" si="6"/>
        <v>75.623521599999989</v>
      </c>
      <c r="AX11" s="191">
        <f t="shared" si="6"/>
        <v>75.623521599999989</v>
      </c>
      <c r="AY11" s="191">
        <f t="shared" si="6"/>
        <v>75.623521599999989</v>
      </c>
      <c r="AZ11" s="170">
        <f t="shared" si="6"/>
        <v>79.738882431999997</v>
      </c>
      <c r="BA11" s="170">
        <f t="shared" si="6"/>
        <v>79.738882431999997</v>
      </c>
      <c r="BB11" s="170">
        <f t="shared" si="6"/>
        <v>85.912236608000001</v>
      </c>
      <c r="BC11" s="170">
        <f t="shared" si="6"/>
        <v>85.912236608000001</v>
      </c>
      <c r="BD11" s="170">
        <f t="shared" si="6"/>
        <v>74.594435520000005</v>
      </c>
      <c r="BE11" s="170">
        <f t="shared" si="6"/>
        <v>74.594435520000005</v>
      </c>
      <c r="BF11" s="170">
        <f t="shared" si="6"/>
        <v>77.166703679999998</v>
      </c>
      <c r="BG11" s="170">
        <f t="shared" si="6"/>
        <v>74.594435520000005</v>
      </c>
      <c r="BH11" s="170">
        <f t="shared" si="6"/>
        <v>76.652160640000005</v>
      </c>
      <c r="BI11" s="170">
        <v>76.652160640000005</v>
      </c>
      <c r="BJ11" s="170">
        <f t="shared" ref="BJ11:DU11" si="7">BJ9*0.44704</f>
        <v>77.166703679999998</v>
      </c>
      <c r="BK11" s="170">
        <f t="shared" si="7"/>
        <v>74.594435520000005</v>
      </c>
      <c r="BL11" s="170">
        <f t="shared" si="7"/>
        <v>92.599865599999987</v>
      </c>
      <c r="BM11" s="185">
        <f t="shared" si="7"/>
        <v>92.599865599999987</v>
      </c>
      <c r="BN11" s="185">
        <f t="shared" si="7"/>
        <v>92.599865599999987</v>
      </c>
      <c r="BO11" s="185">
        <f t="shared" si="7"/>
        <v>92.599865599999987</v>
      </c>
      <c r="BP11" s="185">
        <f t="shared" si="7"/>
        <v>92.599865599999987</v>
      </c>
      <c r="BQ11" s="185">
        <f t="shared" si="7"/>
        <v>92.599865599999987</v>
      </c>
      <c r="BR11" s="185">
        <f t="shared" si="7"/>
        <v>92.599865599999987</v>
      </c>
      <c r="BS11" s="170">
        <f t="shared" si="7"/>
        <v>74.594435520000005</v>
      </c>
      <c r="BT11" s="170">
        <f t="shared" si="7"/>
        <v>74.594435520000005</v>
      </c>
      <c r="BU11" s="170">
        <f t="shared" si="7"/>
        <v>74.594435520000005</v>
      </c>
      <c r="BV11" s="170">
        <f t="shared" si="7"/>
        <v>74.594435520000005</v>
      </c>
      <c r="BW11" s="170">
        <f t="shared" si="7"/>
        <v>74.594435520000005</v>
      </c>
      <c r="BX11" s="170">
        <f t="shared" si="7"/>
        <v>74.594435520000005</v>
      </c>
      <c r="BY11" s="170">
        <f t="shared" si="7"/>
        <v>74.594435520000005</v>
      </c>
      <c r="BZ11" s="170">
        <f t="shared" si="7"/>
        <v>74.594435520000005</v>
      </c>
      <c r="CA11" s="170">
        <f t="shared" si="7"/>
        <v>74.594435520000005</v>
      </c>
      <c r="CB11" s="170">
        <f t="shared" si="7"/>
        <v>74.594435520000005</v>
      </c>
      <c r="CC11" s="170">
        <f t="shared" si="7"/>
        <v>82.311239999999998</v>
      </c>
      <c r="CD11" s="170">
        <f t="shared" si="7"/>
        <v>82.311239999999998</v>
      </c>
      <c r="CE11" s="170">
        <f t="shared" si="7"/>
        <v>82.311239999999998</v>
      </c>
      <c r="CF11" s="170">
        <f t="shared" si="7"/>
        <v>82.311239999999998</v>
      </c>
      <c r="CG11" s="170">
        <f t="shared" si="7"/>
        <v>82.311239999999998</v>
      </c>
      <c r="CH11" s="170">
        <f t="shared" si="7"/>
        <v>82.311239999999998</v>
      </c>
      <c r="CI11" s="170">
        <f t="shared" si="7"/>
        <v>82.311239999999998</v>
      </c>
      <c r="CJ11" s="170">
        <f t="shared" si="7"/>
        <v>82.311239999999998</v>
      </c>
      <c r="CK11" s="170">
        <f t="shared" si="7"/>
        <v>82.311239999999998</v>
      </c>
      <c r="CL11" s="170">
        <f t="shared" si="7"/>
        <v>82.311239999999998</v>
      </c>
      <c r="CM11" s="170">
        <f t="shared" si="7"/>
        <v>58.878166744319998</v>
      </c>
      <c r="CN11" s="170">
        <f t="shared" si="7"/>
        <v>57.257665519999996</v>
      </c>
      <c r="CO11" s="170">
        <f t="shared" si="7"/>
        <v>58.878166744319998</v>
      </c>
      <c r="CP11" s="170">
        <f t="shared" si="7"/>
        <v>62.119166510719992</v>
      </c>
      <c r="CQ11" s="170">
        <f t="shared" si="7"/>
        <v>62.119166510719992</v>
      </c>
      <c r="CR11" s="170">
        <f t="shared" si="7"/>
        <v>62.119166510719992</v>
      </c>
      <c r="CS11" s="170">
        <f t="shared" si="7"/>
        <v>62.119166510719992</v>
      </c>
      <c r="CT11" s="170">
        <f t="shared" si="7"/>
        <v>65.360166724159996</v>
      </c>
      <c r="CU11" s="170">
        <f t="shared" si="7"/>
        <v>65.360166724159996</v>
      </c>
      <c r="CV11" s="170">
        <f t="shared" si="7"/>
        <v>59.4183350112</v>
      </c>
      <c r="CW11" s="170">
        <f t="shared" si="7"/>
        <v>59.4183350112</v>
      </c>
      <c r="CX11" s="170">
        <f t="shared" si="7"/>
        <v>59.4183350112</v>
      </c>
      <c r="CY11" s="170">
        <f t="shared" si="7"/>
        <v>59.4183350112</v>
      </c>
      <c r="CZ11" s="170">
        <f t="shared" si="7"/>
        <v>59.4183350112</v>
      </c>
      <c r="DA11" s="170">
        <f t="shared" si="7"/>
        <v>59.4183350112</v>
      </c>
      <c r="DB11" s="170">
        <f t="shared" si="7"/>
        <v>59.4183350112</v>
      </c>
      <c r="DC11" s="170">
        <f t="shared" si="7"/>
        <v>59.4183350112</v>
      </c>
      <c r="DD11" s="170">
        <f t="shared" si="7"/>
        <v>59.4183350112</v>
      </c>
      <c r="DE11" s="170">
        <f t="shared" si="7"/>
        <v>59.4183350112</v>
      </c>
      <c r="DF11" s="170">
        <f t="shared" si="7"/>
        <v>59.4183350112</v>
      </c>
      <c r="DG11" s="170">
        <f t="shared" si="7"/>
        <v>59.4183350112</v>
      </c>
      <c r="DH11" s="170">
        <f t="shared" si="7"/>
        <v>59.4183350112</v>
      </c>
      <c r="DI11" s="170">
        <f t="shared" si="7"/>
        <v>59.4183350112</v>
      </c>
      <c r="DJ11" s="170">
        <f t="shared" si="7"/>
        <v>59.4183350112</v>
      </c>
      <c r="DK11" s="170">
        <f t="shared" si="7"/>
        <v>59.4183350112</v>
      </c>
      <c r="DL11" s="170">
        <f t="shared" si="7"/>
        <v>59.4183350112</v>
      </c>
      <c r="DM11" s="170">
        <f t="shared" si="7"/>
        <v>59.4183350112</v>
      </c>
      <c r="DN11" s="170">
        <f t="shared" si="7"/>
        <v>59.4183350112</v>
      </c>
      <c r="DO11" s="170">
        <f t="shared" si="7"/>
        <v>59.4183350112</v>
      </c>
      <c r="DP11" s="170">
        <f t="shared" si="7"/>
        <v>59.4183350112</v>
      </c>
      <c r="DQ11" s="170">
        <f t="shared" si="7"/>
        <v>59.4183350112</v>
      </c>
      <c r="DR11" s="170">
        <f t="shared" si="7"/>
        <v>59.4183350112</v>
      </c>
      <c r="DS11" s="170">
        <f t="shared" si="7"/>
        <v>59.4183350112</v>
      </c>
      <c r="DT11" s="170">
        <f t="shared" si="7"/>
        <v>59.4183350112</v>
      </c>
      <c r="DU11" s="170">
        <f t="shared" si="7"/>
        <v>59.4183350112</v>
      </c>
      <c r="DV11" s="170">
        <f t="shared" ref="DV11:EC11" si="8">DV9*0.44704</f>
        <v>59.4183350112</v>
      </c>
      <c r="DW11" s="170">
        <f t="shared" si="8"/>
        <v>59.4183350112</v>
      </c>
      <c r="DX11" s="170">
        <f t="shared" si="8"/>
        <v>59.4183350112</v>
      </c>
      <c r="DY11" s="170">
        <f t="shared" si="8"/>
        <v>59.4183350112</v>
      </c>
      <c r="DZ11" s="170">
        <f t="shared" si="8"/>
        <v>59.4183350112</v>
      </c>
      <c r="EA11" s="170">
        <f t="shared" si="8"/>
        <v>59.4183350112</v>
      </c>
      <c r="EB11" s="170">
        <f t="shared" si="8"/>
        <v>59.4183350112</v>
      </c>
      <c r="EC11" s="170">
        <f t="shared" si="8"/>
        <v>59.4183350112</v>
      </c>
      <c r="ED11" s="170">
        <f>ED9*0.44704</f>
        <v>70.993528319999996</v>
      </c>
      <c r="EE11" s="170">
        <f t="shared" ref="EE11:FH11" si="9">EE9*0.44704</f>
        <v>70.993528319999996</v>
      </c>
      <c r="EF11" s="170">
        <f t="shared" si="9"/>
        <v>70.993528319999996</v>
      </c>
      <c r="EG11" s="170">
        <f t="shared" si="9"/>
        <v>70.993528319999996</v>
      </c>
      <c r="EH11" s="170">
        <f t="shared" si="9"/>
        <v>70.993528319999996</v>
      </c>
      <c r="EI11" s="170">
        <f t="shared" si="9"/>
        <v>70.993528319999996</v>
      </c>
      <c r="EJ11" s="170">
        <f t="shared" si="9"/>
        <v>69.44989919999999</v>
      </c>
      <c r="EK11" s="170">
        <f t="shared" si="9"/>
        <v>69.44989919999999</v>
      </c>
      <c r="EL11" s="170">
        <f t="shared" si="9"/>
        <v>69.44989919999999</v>
      </c>
      <c r="EM11" s="170">
        <f t="shared" si="9"/>
        <v>69.44989919999999</v>
      </c>
      <c r="EN11" s="170">
        <f t="shared" si="9"/>
        <v>69.44989919999999</v>
      </c>
      <c r="EO11" s="170">
        <f t="shared" si="9"/>
        <v>69.44989919999999</v>
      </c>
      <c r="EP11" s="170">
        <f t="shared" si="9"/>
        <v>63.276723839999995</v>
      </c>
      <c r="EQ11" s="170">
        <f t="shared" si="9"/>
        <v>63.276723839999995</v>
      </c>
      <c r="ER11" s="170">
        <f t="shared" si="9"/>
        <v>68.421260160000003</v>
      </c>
      <c r="ES11" s="170">
        <f t="shared" si="9"/>
        <v>68.421260160000003</v>
      </c>
      <c r="ET11" s="170">
        <f t="shared" si="9"/>
        <v>69.44989919999999</v>
      </c>
      <c r="EU11" s="170">
        <f t="shared" si="9"/>
        <v>69.44989919999999</v>
      </c>
      <c r="EV11" s="196">
        <f t="shared" si="9"/>
        <v>69.44989919999999</v>
      </c>
      <c r="EW11" s="196">
        <f t="shared" si="9"/>
        <v>69.44989919999999</v>
      </c>
      <c r="EX11" s="196">
        <f t="shared" si="9"/>
        <v>69.44989919999999</v>
      </c>
      <c r="EY11" s="196">
        <f t="shared" si="9"/>
        <v>69.44989919999999</v>
      </c>
      <c r="EZ11" s="170">
        <f t="shared" si="9"/>
        <v>67.906717119999996</v>
      </c>
      <c r="FA11" s="170">
        <f t="shared" si="9"/>
        <v>69.44989919999999</v>
      </c>
      <c r="FB11" s="170">
        <f t="shared" si="9"/>
        <v>69.44989919999999</v>
      </c>
      <c r="FC11" s="170">
        <f t="shared" si="9"/>
        <v>69.44989919999999</v>
      </c>
      <c r="FD11" s="170">
        <f t="shared" si="9"/>
        <v>69.44989919999999</v>
      </c>
      <c r="FE11" s="170">
        <f t="shared" si="9"/>
        <v>74.594435520000005</v>
      </c>
      <c r="FF11" s="170">
        <f t="shared" si="9"/>
        <v>75.108978559999997</v>
      </c>
      <c r="FG11" s="170">
        <f t="shared" si="9"/>
        <v>75.108978559999997</v>
      </c>
      <c r="FH11" s="170">
        <f t="shared" si="9"/>
        <v>75.108978559999997</v>
      </c>
    </row>
    <row r="12" spans="1:164" s="23" customFormat="1" ht="12.75">
      <c r="A12" s="177" t="s">
        <v>2609</v>
      </c>
      <c r="B12" s="177">
        <v>0.76</v>
      </c>
      <c r="C12" s="177">
        <v>0.76</v>
      </c>
      <c r="D12" s="177">
        <v>0.76</v>
      </c>
      <c r="E12" s="177">
        <v>0.76</v>
      </c>
      <c r="F12" s="177">
        <v>0.76</v>
      </c>
      <c r="G12" s="177">
        <v>0.76</v>
      </c>
      <c r="H12" s="177">
        <v>0.76</v>
      </c>
      <c r="I12" s="177">
        <v>0.76</v>
      </c>
      <c r="J12" s="177">
        <v>0.74</v>
      </c>
      <c r="K12" s="177">
        <v>0.76</v>
      </c>
      <c r="L12" s="177">
        <v>0.76</v>
      </c>
      <c r="M12" s="177">
        <v>0.74</v>
      </c>
      <c r="N12" s="177">
        <v>0.76</v>
      </c>
      <c r="O12" s="177">
        <v>0.82</v>
      </c>
      <c r="P12" s="177">
        <v>0.82</v>
      </c>
      <c r="Q12" s="177">
        <v>0.82</v>
      </c>
      <c r="R12" s="177">
        <v>0.82</v>
      </c>
      <c r="S12" s="177">
        <v>0.82</v>
      </c>
      <c r="T12" s="177">
        <v>0.82</v>
      </c>
      <c r="U12" s="177">
        <v>0.82</v>
      </c>
      <c r="V12" s="177">
        <v>0.82</v>
      </c>
      <c r="W12" s="177">
        <v>0.8</v>
      </c>
      <c r="X12" s="177">
        <v>0.8</v>
      </c>
      <c r="Y12" s="177">
        <v>0.8</v>
      </c>
      <c r="Z12" s="177">
        <v>0.8</v>
      </c>
      <c r="AA12" s="177">
        <v>0.8</v>
      </c>
      <c r="AB12" s="177">
        <v>0.8</v>
      </c>
      <c r="AC12" s="177">
        <v>0.8</v>
      </c>
      <c r="AD12" s="177">
        <v>0.8</v>
      </c>
      <c r="AE12" s="177">
        <v>0.8</v>
      </c>
      <c r="AF12" s="177">
        <v>0.8</v>
      </c>
      <c r="AG12" s="177">
        <v>0.77</v>
      </c>
      <c r="AH12" s="177">
        <v>0.77</v>
      </c>
      <c r="AI12" s="177">
        <v>0.9</v>
      </c>
      <c r="AJ12" s="177">
        <v>0.9</v>
      </c>
      <c r="AK12" s="177">
        <v>0.9</v>
      </c>
      <c r="AL12" s="177">
        <v>0.9</v>
      </c>
      <c r="AM12" s="177">
        <v>0.9</v>
      </c>
      <c r="AN12" s="177">
        <v>0.9</v>
      </c>
      <c r="AO12" s="177">
        <v>0.9</v>
      </c>
      <c r="AP12" s="177">
        <v>0.9</v>
      </c>
      <c r="AQ12" s="170">
        <v>0.73</v>
      </c>
      <c r="AR12" s="170">
        <v>0.73</v>
      </c>
      <c r="AS12" s="170">
        <v>0.73</v>
      </c>
      <c r="AT12" s="170">
        <v>0.73</v>
      </c>
      <c r="AU12" s="170">
        <v>0.73</v>
      </c>
      <c r="AV12" s="170">
        <v>0.73</v>
      </c>
      <c r="AW12" s="170">
        <v>0.73</v>
      </c>
      <c r="AX12" s="191">
        <v>0.73</v>
      </c>
      <c r="AY12" s="191">
        <v>0.73</v>
      </c>
      <c r="AZ12" s="170">
        <v>0.745</v>
      </c>
      <c r="BA12" s="170">
        <v>0.745</v>
      </c>
      <c r="BB12" s="170">
        <v>0.745</v>
      </c>
      <c r="BC12" s="170">
        <v>0.745</v>
      </c>
      <c r="BD12" s="170">
        <v>0.745</v>
      </c>
      <c r="BE12" s="170">
        <v>0.78500000000000003</v>
      </c>
      <c r="BF12" s="170">
        <v>0.78500000000000003</v>
      </c>
      <c r="BG12" s="170">
        <v>0.78500000000000003</v>
      </c>
      <c r="BH12" s="170">
        <v>0.78500000000000003</v>
      </c>
      <c r="BI12" s="170">
        <v>0.78500000000000003</v>
      </c>
      <c r="BJ12" s="170">
        <v>0.78500000000000003</v>
      </c>
      <c r="BK12" s="170">
        <v>0.78500000000000003</v>
      </c>
      <c r="BL12" s="170">
        <v>0.78500000000000003</v>
      </c>
      <c r="BM12" s="170">
        <v>0.78500000000000003</v>
      </c>
      <c r="BN12" s="170">
        <v>0.78500000000000003</v>
      </c>
      <c r="BO12" s="170">
        <v>0.78500000000000003</v>
      </c>
      <c r="BP12" s="170">
        <v>0.78500000000000003</v>
      </c>
      <c r="BQ12" s="170">
        <v>0.78500000000000003</v>
      </c>
      <c r="BR12" s="170">
        <v>0.78500000000000003</v>
      </c>
      <c r="BS12" s="170">
        <v>0.8</v>
      </c>
      <c r="BT12" s="170">
        <v>0.8</v>
      </c>
      <c r="BU12" s="170">
        <v>0.8</v>
      </c>
      <c r="BV12" s="170">
        <v>0.8</v>
      </c>
      <c r="BW12" s="170">
        <v>0.8</v>
      </c>
      <c r="BX12" s="170">
        <v>0.8</v>
      </c>
      <c r="BY12" s="170">
        <v>0.8</v>
      </c>
      <c r="BZ12" s="170">
        <v>0.8</v>
      </c>
      <c r="CA12" s="170">
        <v>0.8</v>
      </c>
      <c r="CB12" s="170">
        <v>0.8</v>
      </c>
      <c r="CC12" s="170">
        <v>0.8</v>
      </c>
      <c r="CD12" s="170">
        <v>0.8</v>
      </c>
      <c r="CE12" s="170">
        <v>0.8</v>
      </c>
      <c r="CF12" s="170">
        <v>0.8</v>
      </c>
      <c r="CG12" s="170">
        <v>0.8</v>
      </c>
      <c r="CH12" s="170">
        <v>0.8</v>
      </c>
      <c r="CI12" s="170">
        <v>0.8</v>
      </c>
      <c r="CJ12" s="170">
        <v>0.8</v>
      </c>
      <c r="CK12" s="170">
        <v>0.8</v>
      </c>
      <c r="CL12" s="170">
        <v>0.8</v>
      </c>
      <c r="CM12" s="177">
        <v>0.8</v>
      </c>
      <c r="CN12" s="177">
        <v>0.8</v>
      </c>
      <c r="CO12" s="177">
        <v>0.8</v>
      </c>
      <c r="CP12" s="177">
        <v>0.8</v>
      </c>
      <c r="CQ12" s="177">
        <v>0.8</v>
      </c>
      <c r="CR12" s="177">
        <v>0.8</v>
      </c>
      <c r="CS12" s="177">
        <v>0.8</v>
      </c>
      <c r="CT12" s="177">
        <v>0.8</v>
      </c>
      <c r="CU12" s="177">
        <v>0.8</v>
      </c>
      <c r="CV12" s="177">
        <v>0.78</v>
      </c>
      <c r="CW12" s="177">
        <v>0.78</v>
      </c>
      <c r="CX12" s="177">
        <v>0.78</v>
      </c>
      <c r="CY12" s="177">
        <v>0.78</v>
      </c>
      <c r="CZ12" s="177">
        <v>0.79</v>
      </c>
      <c r="DA12" s="177">
        <v>0.79</v>
      </c>
      <c r="DB12" s="177">
        <v>0.79</v>
      </c>
      <c r="DC12" s="177">
        <v>0.79</v>
      </c>
      <c r="DD12" s="177">
        <v>0.79</v>
      </c>
      <c r="DE12" s="177">
        <v>0.79</v>
      </c>
      <c r="DF12" s="177">
        <v>0.79</v>
      </c>
      <c r="DG12" s="177">
        <v>0.79</v>
      </c>
      <c r="DH12" s="177">
        <v>0.79</v>
      </c>
      <c r="DI12" s="177">
        <v>0.79</v>
      </c>
      <c r="DJ12" s="177">
        <v>0.79</v>
      </c>
      <c r="DK12" s="177">
        <v>0.79</v>
      </c>
      <c r="DL12" s="177">
        <v>0.79</v>
      </c>
      <c r="DM12" s="177">
        <v>0.79</v>
      </c>
      <c r="DN12" s="177">
        <v>0.79</v>
      </c>
      <c r="DO12" s="177">
        <v>0.79</v>
      </c>
      <c r="DP12" s="177">
        <v>0.79</v>
      </c>
      <c r="DQ12" s="177">
        <v>0.79</v>
      </c>
      <c r="DR12" s="177">
        <v>0.79</v>
      </c>
      <c r="DS12" s="177">
        <v>0.79</v>
      </c>
      <c r="DT12" s="177">
        <v>0.79</v>
      </c>
      <c r="DU12" s="177">
        <v>0.79</v>
      </c>
      <c r="DV12" s="177">
        <v>0.79</v>
      </c>
      <c r="DW12" s="177">
        <v>0.79</v>
      </c>
      <c r="DX12" s="177">
        <v>0.79</v>
      </c>
      <c r="DY12" s="177">
        <v>0.79</v>
      </c>
      <c r="DZ12" s="177">
        <v>0.79</v>
      </c>
      <c r="EA12" s="177">
        <v>0.79</v>
      </c>
      <c r="EB12" s="177">
        <v>0.79</v>
      </c>
      <c r="EC12" s="177">
        <v>0.79</v>
      </c>
      <c r="ED12" s="170">
        <v>0.78</v>
      </c>
      <c r="EE12" s="170">
        <v>0.78</v>
      </c>
      <c r="EF12" s="170">
        <v>0.78</v>
      </c>
      <c r="EG12" s="170">
        <v>0.78</v>
      </c>
      <c r="EH12" s="170">
        <v>0.78</v>
      </c>
      <c r="EI12" s="170">
        <v>0.78</v>
      </c>
      <c r="EJ12" s="170">
        <v>0.78</v>
      </c>
      <c r="EK12" s="170">
        <v>0.78</v>
      </c>
      <c r="EL12" s="170">
        <v>0.78</v>
      </c>
      <c r="EM12" s="170">
        <v>0.78</v>
      </c>
      <c r="EN12" s="170">
        <v>0.78</v>
      </c>
      <c r="EO12" s="170">
        <v>0.78</v>
      </c>
      <c r="EP12" s="170">
        <v>0.78</v>
      </c>
      <c r="EQ12" s="170">
        <v>0.78</v>
      </c>
      <c r="ER12" s="170">
        <v>0.78</v>
      </c>
      <c r="ES12" s="170">
        <v>0.78</v>
      </c>
      <c r="ET12" s="170">
        <v>0.78</v>
      </c>
      <c r="EU12" s="170">
        <v>0.78</v>
      </c>
      <c r="EV12" s="170">
        <v>0.82</v>
      </c>
      <c r="EW12" s="170">
        <v>0.82</v>
      </c>
      <c r="EX12" s="170">
        <v>0.82</v>
      </c>
      <c r="EY12" s="170">
        <v>0.82</v>
      </c>
      <c r="EZ12" s="170">
        <v>0.74</v>
      </c>
      <c r="FA12" s="170">
        <v>0.74</v>
      </c>
      <c r="FB12" s="170">
        <v>0.74</v>
      </c>
      <c r="FC12" s="170">
        <v>0.74</v>
      </c>
      <c r="FD12" s="170">
        <v>0.74</v>
      </c>
      <c r="FE12" s="170">
        <v>0.77</v>
      </c>
      <c r="FF12" s="170">
        <v>0.8</v>
      </c>
      <c r="FG12" s="170">
        <v>0.8</v>
      </c>
      <c r="FH12" s="170">
        <v>0.82</v>
      </c>
    </row>
    <row r="13" spans="1:164" s="23" customFormat="1" ht="12.75">
      <c r="A13" s="177" t="s">
        <v>2610</v>
      </c>
      <c r="B13" s="197">
        <f t="shared" ref="B13:BH13" si="10">B14*3.6</f>
        <v>814.88160000000005</v>
      </c>
      <c r="C13" s="197">
        <f t="shared" si="10"/>
        <v>814.88160000000005</v>
      </c>
      <c r="D13" s="197">
        <f t="shared" si="10"/>
        <v>888.9588</v>
      </c>
      <c r="E13" s="197">
        <f t="shared" si="10"/>
        <v>814.88160000000005</v>
      </c>
      <c r="F13" s="197">
        <f t="shared" si="10"/>
        <v>833.4</v>
      </c>
      <c r="G13" s="197">
        <f t="shared" si="10"/>
        <v>814.88160000000005</v>
      </c>
      <c r="H13" s="197">
        <f t="shared" si="10"/>
        <v>814.88160000000005</v>
      </c>
      <c r="I13" s="197">
        <f t="shared" si="10"/>
        <v>814.88160000000005</v>
      </c>
      <c r="J13" s="197">
        <f t="shared" si="10"/>
        <v>703.7604</v>
      </c>
      <c r="K13" s="197">
        <f t="shared" si="10"/>
        <v>814.88160000000005</v>
      </c>
      <c r="L13" s="197">
        <f t="shared" si="10"/>
        <v>814.88160000000005</v>
      </c>
      <c r="M13" s="197">
        <f t="shared" si="10"/>
        <v>703.7604</v>
      </c>
      <c r="N13" s="197">
        <f t="shared" si="10"/>
        <v>814.88160000000005</v>
      </c>
      <c r="O13" s="197">
        <f t="shared" si="10"/>
        <v>944.52120000000014</v>
      </c>
      <c r="P13" s="197">
        <f t="shared" si="10"/>
        <v>944.52120000000014</v>
      </c>
      <c r="Q13" s="197">
        <f t="shared" si="10"/>
        <v>944.52120000000014</v>
      </c>
      <c r="R13" s="197">
        <f t="shared" si="10"/>
        <v>944.52120000000014</v>
      </c>
      <c r="S13" s="197">
        <f t="shared" si="10"/>
        <v>944.52120000000014</v>
      </c>
      <c r="T13" s="197">
        <f t="shared" si="10"/>
        <v>944.52120000000014</v>
      </c>
      <c r="U13" s="197">
        <f t="shared" si="10"/>
        <v>944.52120000000014</v>
      </c>
      <c r="V13" s="197">
        <f t="shared" si="10"/>
        <v>944.52120000000014</v>
      </c>
      <c r="W13" s="197">
        <f t="shared" si="10"/>
        <v>851.91840000000002</v>
      </c>
      <c r="X13" s="197">
        <f t="shared" si="10"/>
        <v>851.91840000000002</v>
      </c>
      <c r="Y13" s="197">
        <f t="shared" si="10"/>
        <v>851.91840000000002</v>
      </c>
      <c r="Z13" s="197">
        <f t="shared" si="10"/>
        <v>870.44039999999995</v>
      </c>
      <c r="AA13" s="197">
        <f t="shared" si="10"/>
        <v>870.44039999999995</v>
      </c>
      <c r="AB13" s="197">
        <f t="shared" si="10"/>
        <v>870.44039999999995</v>
      </c>
      <c r="AC13" s="197">
        <f t="shared" si="10"/>
        <v>870.44039999999995</v>
      </c>
      <c r="AD13" s="197">
        <f t="shared" si="10"/>
        <v>870.44039999999995</v>
      </c>
      <c r="AE13" s="197">
        <f t="shared" si="10"/>
        <v>870.44039999999995</v>
      </c>
      <c r="AF13" s="197">
        <f t="shared" si="10"/>
        <v>870.44039999999995</v>
      </c>
      <c r="AG13" s="197">
        <f t="shared" si="10"/>
        <v>805.61879999999996</v>
      </c>
      <c r="AH13" s="197">
        <f t="shared" si="10"/>
        <v>805.61879999999996</v>
      </c>
      <c r="AI13" s="197">
        <f t="shared" si="10"/>
        <v>870.44039999999995</v>
      </c>
      <c r="AJ13" s="197">
        <f t="shared" si="10"/>
        <v>870.44039999999995</v>
      </c>
      <c r="AK13" s="197">
        <f t="shared" si="10"/>
        <v>870.44039999999995</v>
      </c>
      <c r="AL13" s="197">
        <f t="shared" si="10"/>
        <v>870.44039999999995</v>
      </c>
      <c r="AM13" s="197">
        <f t="shared" si="10"/>
        <v>870.44039999999995</v>
      </c>
      <c r="AN13" s="197">
        <f t="shared" si="10"/>
        <v>870.44039999999995</v>
      </c>
      <c r="AO13" s="197">
        <f t="shared" si="10"/>
        <v>870.44039999999995</v>
      </c>
      <c r="AP13" s="197">
        <f t="shared" si="10"/>
        <v>870.44039999999995</v>
      </c>
      <c r="AQ13" s="197">
        <f t="shared" si="10"/>
        <v>777.84120000000007</v>
      </c>
      <c r="AR13" s="197">
        <f t="shared" si="10"/>
        <v>777.84120000000007</v>
      </c>
      <c r="AS13" s="197">
        <f t="shared" si="10"/>
        <v>777.84120000000007</v>
      </c>
      <c r="AT13" s="197">
        <f t="shared" si="10"/>
        <v>777.84120000000007</v>
      </c>
      <c r="AU13" s="197">
        <f t="shared" si="10"/>
        <v>777.84120000000007</v>
      </c>
      <c r="AV13" s="197">
        <f t="shared" si="10"/>
        <v>777.84120000000007</v>
      </c>
      <c r="AW13" s="197">
        <f t="shared" si="10"/>
        <v>777.84120000000007</v>
      </c>
      <c r="AX13" s="198">
        <f t="shared" si="10"/>
        <v>777.84120000000007</v>
      </c>
      <c r="AY13" s="198">
        <f t="shared" si="10"/>
        <v>777.84120000000007</v>
      </c>
      <c r="AZ13" s="197">
        <f t="shared" si="10"/>
        <v>810</v>
      </c>
      <c r="BA13" s="197">
        <f t="shared" si="10"/>
        <v>810</v>
      </c>
      <c r="BB13" s="197">
        <f t="shared" si="10"/>
        <v>810</v>
      </c>
      <c r="BC13" s="197">
        <f t="shared" si="10"/>
        <v>810</v>
      </c>
      <c r="BD13" s="197">
        <f t="shared" si="10"/>
        <v>810</v>
      </c>
      <c r="BE13" s="197">
        <f t="shared" si="10"/>
        <v>828</v>
      </c>
      <c r="BF13" s="197">
        <f t="shared" si="10"/>
        <v>828</v>
      </c>
      <c r="BG13" s="197">
        <f t="shared" si="10"/>
        <v>828</v>
      </c>
      <c r="BH13" s="197">
        <f t="shared" si="10"/>
        <v>828</v>
      </c>
      <c r="BI13" s="197">
        <v>828</v>
      </c>
      <c r="BJ13" s="197">
        <f t="shared" ref="BJ13:DU13" si="11">BJ14*3.6</f>
        <v>828</v>
      </c>
      <c r="BK13" s="197">
        <f t="shared" si="11"/>
        <v>828</v>
      </c>
      <c r="BL13" s="197">
        <f t="shared" si="11"/>
        <v>828</v>
      </c>
      <c r="BM13" s="197">
        <f t="shared" si="11"/>
        <v>828</v>
      </c>
      <c r="BN13" s="197">
        <f t="shared" si="11"/>
        <v>828</v>
      </c>
      <c r="BO13" s="197">
        <f t="shared" si="11"/>
        <v>828</v>
      </c>
      <c r="BP13" s="197">
        <f t="shared" si="11"/>
        <v>828</v>
      </c>
      <c r="BQ13" s="197">
        <f t="shared" si="11"/>
        <v>828</v>
      </c>
      <c r="BR13" s="197">
        <f t="shared" si="11"/>
        <v>828</v>
      </c>
      <c r="BS13" s="197">
        <f t="shared" si="11"/>
        <v>870.44039999999995</v>
      </c>
      <c r="BT13" s="197">
        <f t="shared" si="11"/>
        <v>870.44039999999995</v>
      </c>
      <c r="BU13" s="197">
        <f t="shared" si="11"/>
        <v>870.44039999999995</v>
      </c>
      <c r="BV13" s="197">
        <f t="shared" si="11"/>
        <v>870.44039999999995</v>
      </c>
      <c r="BW13" s="197">
        <f t="shared" si="11"/>
        <v>870.44039999999995</v>
      </c>
      <c r="BX13" s="197">
        <f t="shared" si="11"/>
        <v>870.44039999999995</v>
      </c>
      <c r="BY13" s="197">
        <f t="shared" si="11"/>
        <v>870.44039999999995</v>
      </c>
      <c r="BZ13" s="197">
        <f t="shared" si="11"/>
        <v>870.44039999999995</v>
      </c>
      <c r="CA13" s="197">
        <f t="shared" si="11"/>
        <v>870.44039999999995</v>
      </c>
      <c r="CB13" s="197">
        <f t="shared" si="11"/>
        <v>870.44039999999995</v>
      </c>
      <c r="CC13" s="197">
        <f t="shared" si="11"/>
        <v>851.91840000000002</v>
      </c>
      <c r="CD13" s="197">
        <f t="shared" si="11"/>
        <v>851.91840000000002</v>
      </c>
      <c r="CE13" s="197">
        <f t="shared" si="11"/>
        <v>851.91840000000002</v>
      </c>
      <c r="CF13" s="197">
        <f t="shared" si="11"/>
        <v>851.91840000000002</v>
      </c>
      <c r="CG13" s="197">
        <f t="shared" si="11"/>
        <v>851.91840000000002</v>
      </c>
      <c r="CH13" s="197">
        <f t="shared" si="11"/>
        <v>851.91840000000002</v>
      </c>
      <c r="CI13" s="197">
        <f t="shared" si="11"/>
        <v>851.91840000000002</v>
      </c>
      <c r="CJ13" s="197">
        <f t="shared" si="11"/>
        <v>851.91840000000002</v>
      </c>
      <c r="CK13" s="197">
        <f t="shared" si="11"/>
        <v>851.91840000000002</v>
      </c>
      <c r="CL13" s="197">
        <f t="shared" si="11"/>
        <v>851.91840000000002</v>
      </c>
      <c r="CM13" s="197">
        <f t="shared" si="11"/>
        <v>888.9588</v>
      </c>
      <c r="CN13" s="197">
        <f t="shared" si="11"/>
        <v>888.9588</v>
      </c>
      <c r="CO13" s="197">
        <f t="shared" si="11"/>
        <v>888.9588</v>
      </c>
      <c r="CP13" s="197">
        <f t="shared" si="11"/>
        <v>888.9588</v>
      </c>
      <c r="CQ13" s="197">
        <f t="shared" si="11"/>
        <v>888.9588</v>
      </c>
      <c r="CR13" s="197">
        <f t="shared" si="11"/>
        <v>888.9588</v>
      </c>
      <c r="CS13" s="197">
        <f t="shared" si="11"/>
        <v>888.9588</v>
      </c>
      <c r="CT13" s="197">
        <f t="shared" si="11"/>
        <v>888.9588</v>
      </c>
      <c r="CU13" s="197">
        <f t="shared" si="11"/>
        <v>888.9588</v>
      </c>
      <c r="CV13" s="197">
        <f t="shared" si="11"/>
        <v>851.91840000000002</v>
      </c>
      <c r="CW13" s="197">
        <f t="shared" si="11"/>
        <v>851.91840000000002</v>
      </c>
      <c r="CX13" s="197">
        <f t="shared" si="11"/>
        <v>851.91840000000002</v>
      </c>
      <c r="CY13" s="197">
        <f t="shared" si="11"/>
        <v>851.91840000000002</v>
      </c>
      <c r="CZ13" s="197">
        <f t="shared" si="11"/>
        <v>833.4</v>
      </c>
      <c r="DA13" s="197">
        <f t="shared" si="11"/>
        <v>833.4</v>
      </c>
      <c r="DB13" s="197">
        <f t="shared" si="11"/>
        <v>833.4</v>
      </c>
      <c r="DC13" s="197">
        <f t="shared" si="11"/>
        <v>833.4</v>
      </c>
      <c r="DD13" s="197">
        <f t="shared" si="11"/>
        <v>833.4</v>
      </c>
      <c r="DE13" s="197">
        <f t="shared" si="11"/>
        <v>833.4</v>
      </c>
      <c r="DF13" s="197">
        <f t="shared" si="11"/>
        <v>833.4</v>
      </c>
      <c r="DG13" s="197">
        <f t="shared" si="11"/>
        <v>833.4</v>
      </c>
      <c r="DH13" s="197">
        <f t="shared" si="11"/>
        <v>833.4</v>
      </c>
      <c r="DI13" s="197">
        <f t="shared" si="11"/>
        <v>833.4</v>
      </c>
      <c r="DJ13" s="197">
        <f t="shared" si="11"/>
        <v>833.4</v>
      </c>
      <c r="DK13" s="197">
        <f t="shared" si="11"/>
        <v>833.4</v>
      </c>
      <c r="DL13" s="197">
        <f t="shared" si="11"/>
        <v>833.4</v>
      </c>
      <c r="DM13" s="197">
        <f t="shared" si="11"/>
        <v>833.4</v>
      </c>
      <c r="DN13" s="197">
        <f t="shared" si="11"/>
        <v>833.4</v>
      </c>
      <c r="DO13" s="197">
        <f t="shared" si="11"/>
        <v>833.4</v>
      </c>
      <c r="DP13" s="197">
        <f t="shared" si="11"/>
        <v>833.4</v>
      </c>
      <c r="DQ13" s="197">
        <f t="shared" si="11"/>
        <v>833.4</v>
      </c>
      <c r="DR13" s="197">
        <f t="shared" si="11"/>
        <v>833.4</v>
      </c>
      <c r="DS13" s="197">
        <f t="shared" si="11"/>
        <v>833.4</v>
      </c>
      <c r="DT13" s="197">
        <f t="shared" si="11"/>
        <v>833.4</v>
      </c>
      <c r="DU13" s="197">
        <f t="shared" si="11"/>
        <v>833.4</v>
      </c>
      <c r="DV13" s="197">
        <f t="shared" ref="DV13:EC13" si="12">DV14*3.6</f>
        <v>833.4</v>
      </c>
      <c r="DW13" s="197">
        <f t="shared" si="12"/>
        <v>833.4</v>
      </c>
      <c r="DX13" s="197">
        <f t="shared" si="12"/>
        <v>833.4</v>
      </c>
      <c r="DY13" s="197">
        <f t="shared" si="12"/>
        <v>833.4</v>
      </c>
      <c r="DZ13" s="197">
        <f t="shared" si="12"/>
        <v>833.4</v>
      </c>
      <c r="EA13" s="197">
        <f t="shared" si="12"/>
        <v>833.4</v>
      </c>
      <c r="EB13" s="197">
        <f t="shared" si="12"/>
        <v>833.4</v>
      </c>
      <c r="EC13" s="197">
        <f t="shared" si="12"/>
        <v>833.4</v>
      </c>
      <c r="ED13" s="197">
        <f>ED14*3.6</f>
        <v>851.91840000000002</v>
      </c>
      <c r="EE13" s="197">
        <f t="shared" ref="EE13:EU13" si="13">EE14*3.6</f>
        <v>851.91840000000002</v>
      </c>
      <c r="EF13" s="197">
        <f t="shared" si="13"/>
        <v>851.91840000000002</v>
      </c>
      <c r="EG13" s="197">
        <f t="shared" si="13"/>
        <v>851.91840000000002</v>
      </c>
      <c r="EH13" s="197">
        <f t="shared" si="13"/>
        <v>851.91840000000002</v>
      </c>
      <c r="EI13" s="197">
        <f t="shared" si="13"/>
        <v>851.91840000000002</v>
      </c>
      <c r="EJ13" s="197">
        <f t="shared" si="13"/>
        <v>851.91840000000002</v>
      </c>
      <c r="EK13" s="197">
        <f t="shared" si="13"/>
        <v>851.91840000000002</v>
      </c>
      <c r="EL13" s="197">
        <f t="shared" si="13"/>
        <v>851.91840000000002</v>
      </c>
      <c r="EM13" s="197">
        <f t="shared" si="13"/>
        <v>851.91840000000002</v>
      </c>
      <c r="EN13" s="197">
        <f t="shared" si="13"/>
        <v>851.91840000000002</v>
      </c>
      <c r="EO13" s="197">
        <f t="shared" si="13"/>
        <v>851.91840000000002</v>
      </c>
      <c r="EP13" s="197">
        <f t="shared" si="13"/>
        <v>833.4</v>
      </c>
      <c r="EQ13" s="197">
        <f t="shared" si="13"/>
        <v>833.4</v>
      </c>
      <c r="ER13" s="197">
        <f t="shared" si="13"/>
        <v>833.4</v>
      </c>
      <c r="ES13" s="197">
        <f t="shared" si="13"/>
        <v>833.4</v>
      </c>
      <c r="ET13" s="197">
        <f t="shared" si="13"/>
        <v>833.4</v>
      </c>
      <c r="EU13" s="197">
        <f t="shared" si="13"/>
        <v>833.4</v>
      </c>
      <c r="EV13" s="170">
        <v>876</v>
      </c>
      <c r="EW13" s="170">
        <v>876</v>
      </c>
      <c r="EX13" s="170">
        <v>876</v>
      </c>
      <c r="EY13" s="170">
        <v>876</v>
      </c>
      <c r="EZ13" s="197">
        <f t="shared" ref="EZ13:FH13" si="14">EZ14*3.6</f>
        <v>785.24639999999999</v>
      </c>
      <c r="FA13" s="197">
        <f t="shared" si="14"/>
        <v>785.24639999999999</v>
      </c>
      <c r="FB13" s="197">
        <f t="shared" si="14"/>
        <v>785.24639999999999</v>
      </c>
      <c r="FC13" s="197">
        <f t="shared" si="14"/>
        <v>777.84120000000007</v>
      </c>
      <c r="FD13" s="197">
        <f t="shared" si="14"/>
        <v>777.84120000000007</v>
      </c>
      <c r="FE13" s="197">
        <f t="shared" si="14"/>
        <v>818.58240000000001</v>
      </c>
      <c r="FF13" s="197">
        <f t="shared" si="14"/>
        <v>848.21760000000006</v>
      </c>
      <c r="FG13" s="197">
        <f t="shared" si="14"/>
        <v>848.21760000000006</v>
      </c>
      <c r="FH13" s="197">
        <f t="shared" si="14"/>
        <v>870.44039999999995</v>
      </c>
    </row>
    <row r="14" spans="1:164" s="23" customFormat="1" ht="12.75">
      <c r="A14" s="177" t="s">
        <v>2611</v>
      </c>
      <c r="B14" s="177">
        <v>226.35599999999999</v>
      </c>
      <c r="C14" s="177">
        <v>226.35599999999999</v>
      </c>
      <c r="D14" s="177">
        <v>246.93299999999999</v>
      </c>
      <c r="E14" s="177">
        <v>226.35599999999999</v>
      </c>
      <c r="F14" s="177">
        <v>231.5</v>
      </c>
      <c r="G14" s="177">
        <v>226.35599999999999</v>
      </c>
      <c r="H14" s="177">
        <v>226.35599999999999</v>
      </c>
      <c r="I14" s="177">
        <v>226.35599999999999</v>
      </c>
      <c r="J14" s="177">
        <v>195.489</v>
      </c>
      <c r="K14" s="177">
        <v>226.35599999999999</v>
      </c>
      <c r="L14" s="177">
        <v>226.35599999999999</v>
      </c>
      <c r="M14" s="177">
        <v>195.489</v>
      </c>
      <c r="N14" s="177">
        <v>226.35599999999999</v>
      </c>
      <c r="O14" s="177">
        <v>262.36700000000002</v>
      </c>
      <c r="P14" s="177">
        <v>262.36700000000002</v>
      </c>
      <c r="Q14" s="177">
        <v>262.36700000000002</v>
      </c>
      <c r="R14" s="177">
        <v>262.36700000000002</v>
      </c>
      <c r="S14" s="177">
        <v>262.36700000000002</v>
      </c>
      <c r="T14" s="177">
        <v>262.36700000000002</v>
      </c>
      <c r="U14" s="177">
        <v>262.36700000000002</v>
      </c>
      <c r="V14" s="177">
        <v>262.36700000000002</v>
      </c>
      <c r="W14" s="177">
        <v>236.64400000000001</v>
      </c>
      <c r="X14" s="177">
        <v>236.64400000000001</v>
      </c>
      <c r="Y14" s="177">
        <v>236.64400000000001</v>
      </c>
      <c r="Z14" s="177">
        <v>241.78899999999999</v>
      </c>
      <c r="AA14" s="177">
        <v>241.78899999999999</v>
      </c>
      <c r="AB14" s="177">
        <v>241.78899999999999</v>
      </c>
      <c r="AC14" s="177">
        <v>241.78899999999999</v>
      </c>
      <c r="AD14" s="177">
        <v>241.78899999999999</v>
      </c>
      <c r="AE14" s="177">
        <v>241.78899999999999</v>
      </c>
      <c r="AF14" s="177">
        <v>241.78899999999999</v>
      </c>
      <c r="AG14" s="177">
        <v>223.78299999999999</v>
      </c>
      <c r="AH14" s="177">
        <v>223.78299999999999</v>
      </c>
      <c r="AI14" s="177">
        <v>241.78899999999999</v>
      </c>
      <c r="AJ14" s="177">
        <v>241.78899999999999</v>
      </c>
      <c r="AK14" s="177">
        <v>241.78899999999999</v>
      </c>
      <c r="AL14" s="177">
        <v>241.78899999999999</v>
      </c>
      <c r="AM14" s="177">
        <v>241.78899999999999</v>
      </c>
      <c r="AN14" s="177">
        <v>241.78899999999999</v>
      </c>
      <c r="AO14" s="177">
        <v>241.78899999999999</v>
      </c>
      <c r="AP14" s="177">
        <v>241.78899999999999</v>
      </c>
      <c r="AQ14" s="199">
        <v>216.06700000000001</v>
      </c>
      <c r="AR14" s="199">
        <v>216.06700000000001</v>
      </c>
      <c r="AS14" s="199">
        <v>216.06700000000001</v>
      </c>
      <c r="AT14" s="199">
        <v>216.06700000000001</v>
      </c>
      <c r="AU14" s="199">
        <v>216.06700000000001</v>
      </c>
      <c r="AV14" s="199">
        <v>216.06700000000001</v>
      </c>
      <c r="AW14" s="199">
        <v>216.06700000000001</v>
      </c>
      <c r="AX14" s="200">
        <v>216.06700000000001</v>
      </c>
      <c r="AY14" s="200">
        <v>216.06700000000001</v>
      </c>
      <c r="AZ14" s="199">
        <v>225</v>
      </c>
      <c r="BA14" s="199">
        <v>225</v>
      </c>
      <c r="BB14" s="199">
        <v>225</v>
      </c>
      <c r="BC14" s="199">
        <v>225</v>
      </c>
      <c r="BD14" s="199">
        <v>225</v>
      </c>
      <c r="BE14" s="170">
        <v>230</v>
      </c>
      <c r="BF14" s="170">
        <v>230</v>
      </c>
      <c r="BG14" s="170">
        <v>230</v>
      </c>
      <c r="BH14" s="170">
        <v>230</v>
      </c>
      <c r="BI14" s="170">
        <v>230</v>
      </c>
      <c r="BJ14" s="170">
        <v>230</v>
      </c>
      <c r="BK14" s="170">
        <v>230</v>
      </c>
      <c r="BL14" s="170">
        <v>230</v>
      </c>
      <c r="BM14" s="170">
        <v>230</v>
      </c>
      <c r="BN14" s="170">
        <v>230</v>
      </c>
      <c r="BO14" s="170">
        <v>230</v>
      </c>
      <c r="BP14" s="170">
        <v>230</v>
      </c>
      <c r="BQ14" s="170">
        <v>230</v>
      </c>
      <c r="BR14" s="170">
        <v>230</v>
      </c>
      <c r="BS14" s="170">
        <v>241.78899999999999</v>
      </c>
      <c r="BT14" s="170">
        <v>241.78899999999999</v>
      </c>
      <c r="BU14" s="170">
        <v>241.78899999999999</v>
      </c>
      <c r="BV14" s="170">
        <v>241.78899999999999</v>
      </c>
      <c r="BW14" s="170">
        <v>241.78899999999999</v>
      </c>
      <c r="BX14" s="170">
        <v>241.78899999999999</v>
      </c>
      <c r="BY14" s="170">
        <v>241.78899999999999</v>
      </c>
      <c r="BZ14" s="170">
        <v>241.78899999999999</v>
      </c>
      <c r="CA14" s="170">
        <v>241.78899999999999</v>
      </c>
      <c r="CB14" s="170">
        <v>241.78899999999999</v>
      </c>
      <c r="CC14" s="170">
        <v>236.64400000000001</v>
      </c>
      <c r="CD14" s="170">
        <v>236.64400000000001</v>
      </c>
      <c r="CE14" s="170">
        <v>236.64400000000001</v>
      </c>
      <c r="CF14" s="170">
        <v>236.64400000000001</v>
      </c>
      <c r="CG14" s="170">
        <v>236.64400000000001</v>
      </c>
      <c r="CH14" s="170">
        <v>236.64400000000001</v>
      </c>
      <c r="CI14" s="170">
        <v>236.64400000000001</v>
      </c>
      <c r="CJ14" s="170">
        <v>236.64400000000001</v>
      </c>
      <c r="CK14" s="170">
        <v>236.64400000000001</v>
      </c>
      <c r="CL14" s="170">
        <v>236.64400000000001</v>
      </c>
      <c r="CM14" s="177">
        <v>246.93299999999999</v>
      </c>
      <c r="CN14" s="177">
        <v>246.93299999999999</v>
      </c>
      <c r="CO14" s="177">
        <v>246.93299999999999</v>
      </c>
      <c r="CP14" s="177">
        <v>246.93299999999999</v>
      </c>
      <c r="CQ14" s="177">
        <v>246.93299999999999</v>
      </c>
      <c r="CR14" s="177">
        <v>246.93299999999999</v>
      </c>
      <c r="CS14" s="177">
        <v>246.93299999999999</v>
      </c>
      <c r="CT14" s="177">
        <v>246.93299999999999</v>
      </c>
      <c r="CU14" s="177">
        <v>246.93299999999999</v>
      </c>
      <c r="CV14" s="177">
        <v>236.64400000000001</v>
      </c>
      <c r="CW14" s="177">
        <v>236.64400000000001</v>
      </c>
      <c r="CX14" s="177">
        <v>236.64400000000001</v>
      </c>
      <c r="CY14" s="177">
        <v>236.64400000000001</v>
      </c>
      <c r="CZ14" s="177">
        <v>231.5</v>
      </c>
      <c r="DA14" s="177">
        <v>231.5</v>
      </c>
      <c r="DB14" s="177">
        <v>231.5</v>
      </c>
      <c r="DC14" s="177">
        <v>231.5</v>
      </c>
      <c r="DD14" s="177">
        <v>231.5</v>
      </c>
      <c r="DE14" s="177">
        <v>231.5</v>
      </c>
      <c r="DF14" s="177">
        <v>231.5</v>
      </c>
      <c r="DG14" s="177">
        <v>231.5</v>
      </c>
      <c r="DH14" s="177">
        <v>231.5</v>
      </c>
      <c r="DI14" s="177">
        <v>231.5</v>
      </c>
      <c r="DJ14" s="177">
        <v>231.5</v>
      </c>
      <c r="DK14" s="177">
        <v>231.5</v>
      </c>
      <c r="DL14" s="177">
        <v>231.5</v>
      </c>
      <c r="DM14" s="177">
        <v>231.5</v>
      </c>
      <c r="DN14" s="177">
        <v>231.5</v>
      </c>
      <c r="DO14" s="177">
        <v>231.5</v>
      </c>
      <c r="DP14" s="177">
        <v>231.5</v>
      </c>
      <c r="DQ14" s="177">
        <v>231.5</v>
      </c>
      <c r="DR14" s="177">
        <v>231.5</v>
      </c>
      <c r="DS14" s="177">
        <v>231.5</v>
      </c>
      <c r="DT14" s="177">
        <v>231.5</v>
      </c>
      <c r="DU14" s="177">
        <v>231.5</v>
      </c>
      <c r="DV14" s="177">
        <v>231.5</v>
      </c>
      <c r="DW14" s="177">
        <v>231.5</v>
      </c>
      <c r="DX14" s="177">
        <v>231.5</v>
      </c>
      <c r="DY14" s="177">
        <v>231.5</v>
      </c>
      <c r="DZ14" s="177">
        <v>231.5</v>
      </c>
      <c r="EA14" s="177">
        <v>231.5</v>
      </c>
      <c r="EB14" s="177">
        <v>231.5</v>
      </c>
      <c r="EC14" s="177">
        <v>231.5</v>
      </c>
      <c r="ED14" s="177">
        <v>236.64400000000001</v>
      </c>
      <c r="EE14" s="177">
        <v>236.64400000000001</v>
      </c>
      <c r="EF14" s="177">
        <v>236.64400000000001</v>
      </c>
      <c r="EG14" s="177">
        <v>236.64400000000001</v>
      </c>
      <c r="EH14" s="177">
        <v>236.64400000000001</v>
      </c>
      <c r="EI14" s="177">
        <v>236.64400000000001</v>
      </c>
      <c r="EJ14" s="177">
        <v>236.64400000000001</v>
      </c>
      <c r="EK14" s="177">
        <v>236.64400000000001</v>
      </c>
      <c r="EL14" s="177">
        <v>236.64400000000001</v>
      </c>
      <c r="EM14" s="177">
        <v>236.64400000000001</v>
      </c>
      <c r="EN14" s="177">
        <v>236.64400000000001</v>
      </c>
      <c r="EO14" s="177">
        <v>236.64400000000001</v>
      </c>
      <c r="EP14" s="177">
        <v>231.5</v>
      </c>
      <c r="EQ14" s="177">
        <v>231.5</v>
      </c>
      <c r="ER14" s="177">
        <v>231.5</v>
      </c>
      <c r="ES14" s="177">
        <v>231.5</v>
      </c>
      <c r="ET14" s="177">
        <v>231.5</v>
      </c>
      <c r="EU14" s="177">
        <v>231.5</v>
      </c>
      <c r="EV14" s="170">
        <f t="shared" ref="EV14:EX14" si="15">EV13/3.6</f>
        <v>243.33333333333331</v>
      </c>
      <c r="EW14" s="170">
        <f t="shared" si="15"/>
        <v>243.33333333333331</v>
      </c>
      <c r="EX14" s="170">
        <f t="shared" si="15"/>
        <v>243.33333333333331</v>
      </c>
      <c r="EY14" s="170">
        <f>EY13/3.6</f>
        <v>243.33333333333331</v>
      </c>
      <c r="EZ14" s="170">
        <v>218.124</v>
      </c>
      <c r="FA14" s="170">
        <v>218.124</v>
      </c>
      <c r="FB14" s="170">
        <v>218.124</v>
      </c>
      <c r="FC14" s="170">
        <v>216.06700000000001</v>
      </c>
      <c r="FD14" s="170">
        <v>216.06700000000001</v>
      </c>
      <c r="FE14" s="170">
        <v>227.38399999999999</v>
      </c>
      <c r="FF14" s="170">
        <v>235.61600000000001</v>
      </c>
      <c r="FG14" s="170">
        <v>235.61600000000001</v>
      </c>
      <c r="FH14" s="170">
        <v>241.78899999999999</v>
      </c>
    </row>
    <row r="15" spans="1:164" s="23" customFormat="1" ht="12.75">
      <c r="A15" s="177" t="s">
        <v>2612</v>
      </c>
      <c r="B15" s="170">
        <f t="shared" ref="B15:BH15" si="16">B11/B14</f>
        <v>0.3181809510682288</v>
      </c>
      <c r="C15" s="170">
        <f t="shared" si="16"/>
        <v>0.3181809510682288</v>
      </c>
      <c r="D15" s="170">
        <f t="shared" si="16"/>
        <v>0.27083310468831628</v>
      </c>
      <c r="E15" s="170">
        <f t="shared" si="16"/>
        <v>0.3181809510682288</v>
      </c>
      <c r="F15" s="170">
        <f t="shared" si="16"/>
        <v>0.31111087412526994</v>
      </c>
      <c r="G15" s="170">
        <f t="shared" si="16"/>
        <v>0.3181809510682288</v>
      </c>
      <c r="H15" s="170">
        <f t="shared" si="16"/>
        <v>0.3181809510682288</v>
      </c>
      <c r="I15" s="170">
        <f t="shared" si="16"/>
        <v>0.3181809510682288</v>
      </c>
      <c r="J15" s="170">
        <f t="shared" si="16"/>
        <v>0.30263223813104573</v>
      </c>
      <c r="K15" s="170">
        <f t="shared" si="16"/>
        <v>0.3181809510682288</v>
      </c>
      <c r="L15" s="170">
        <f t="shared" si="16"/>
        <v>0.3181809510682288</v>
      </c>
      <c r="M15" s="170">
        <f t="shared" si="16"/>
        <v>0.31579036037833325</v>
      </c>
      <c r="N15" s="170">
        <f t="shared" si="16"/>
        <v>0.3181809510682288</v>
      </c>
      <c r="O15" s="170">
        <f t="shared" si="16"/>
        <v>0.26862747708362711</v>
      </c>
      <c r="P15" s="170">
        <f t="shared" si="16"/>
        <v>0.27058863469872352</v>
      </c>
      <c r="Q15" s="170">
        <f t="shared" si="16"/>
        <v>0.29411741446142231</v>
      </c>
      <c r="R15" s="170">
        <f t="shared" si="16"/>
        <v>0.29411741446142231</v>
      </c>
      <c r="S15" s="170">
        <f t="shared" si="16"/>
        <v>0.29999918343389215</v>
      </c>
      <c r="T15" s="170">
        <f t="shared" si="16"/>
        <v>0.29999918343389215</v>
      </c>
      <c r="U15" s="170">
        <f t="shared" si="16"/>
        <v>0.31372558286674768</v>
      </c>
      <c r="V15" s="170">
        <f t="shared" si="16"/>
        <v>0.31372558286674768</v>
      </c>
      <c r="W15" s="170">
        <f t="shared" si="16"/>
        <v>0.33260883757881032</v>
      </c>
      <c r="X15" s="170">
        <f t="shared" si="16"/>
        <v>0.3478272848667196</v>
      </c>
      <c r="Y15" s="170">
        <f t="shared" si="16"/>
        <v>0.3478272848667196</v>
      </c>
      <c r="Z15" s="170">
        <f t="shared" si="16"/>
        <v>0.25957417748532813</v>
      </c>
      <c r="AA15" s="170">
        <f t="shared" si="16"/>
        <v>0.26383031022916675</v>
      </c>
      <c r="AB15" s="170">
        <f t="shared" si="16"/>
        <v>0.28297920980689778</v>
      </c>
      <c r="AC15" s="170">
        <f t="shared" si="16"/>
        <v>0.31914894259044041</v>
      </c>
      <c r="AD15" s="170">
        <f t="shared" si="16"/>
        <v>0.31914894259044041</v>
      </c>
      <c r="AE15" s="170">
        <f t="shared" si="16"/>
        <v>0.32553129282142695</v>
      </c>
      <c r="AF15" s="170">
        <f t="shared" si="16"/>
        <v>0.32978742556526564</v>
      </c>
      <c r="AG15" s="170">
        <f t="shared" si="16"/>
        <v>0.29885036414741067</v>
      </c>
      <c r="AH15" s="170">
        <f t="shared" si="16"/>
        <v>0.29885036414741067</v>
      </c>
      <c r="AI15" s="170">
        <f t="shared" si="16"/>
        <v>0.29787197664079013</v>
      </c>
      <c r="AJ15" s="170">
        <f t="shared" si="16"/>
        <v>0.29787197664079013</v>
      </c>
      <c r="AK15" s="170">
        <f t="shared" si="16"/>
        <v>0.29787197664079013</v>
      </c>
      <c r="AL15" s="170">
        <f t="shared" si="16"/>
        <v>0.29787197664079013</v>
      </c>
      <c r="AM15" s="170">
        <f t="shared" si="16"/>
        <v>0.3085104596156153</v>
      </c>
      <c r="AN15" s="170">
        <f t="shared" si="16"/>
        <v>0.3085104596156153</v>
      </c>
      <c r="AO15" s="170">
        <f t="shared" si="16"/>
        <v>0.3085104596156153</v>
      </c>
      <c r="AP15" s="170">
        <f t="shared" si="16"/>
        <v>0.3085104596156153</v>
      </c>
      <c r="AQ15" s="170">
        <f t="shared" si="16"/>
        <v>0.34523735693095192</v>
      </c>
      <c r="AR15" s="170">
        <f t="shared" si="16"/>
        <v>0.34523735693095192</v>
      </c>
      <c r="AS15" s="170">
        <f t="shared" si="16"/>
        <v>0.34523735693095192</v>
      </c>
      <c r="AT15" s="170">
        <f t="shared" si="16"/>
        <v>0.35000033137869269</v>
      </c>
      <c r="AU15" s="170">
        <f t="shared" si="16"/>
        <v>0.35000033137869269</v>
      </c>
      <c r="AV15" s="170">
        <f t="shared" si="16"/>
        <v>0.35000033137869269</v>
      </c>
      <c r="AW15" s="170">
        <f t="shared" si="16"/>
        <v>0.35000033137869269</v>
      </c>
      <c r="AX15" s="170">
        <f t="shared" si="16"/>
        <v>0.35000033137869269</v>
      </c>
      <c r="AY15" s="170">
        <f t="shared" si="16"/>
        <v>0.35000033137869269</v>
      </c>
      <c r="AZ15" s="170">
        <f t="shared" si="16"/>
        <v>0.35439503303111108</v>
      </c>
      <c r="BA15" s="170">
        <f t="shared" si="16"/>
        <v>0.35439503303111108</v>
      </c>
      <c r="BB15" s="170">
        <f t="shared" si="16"/>
        <v>0.3818321627022222</v>
      </c>
      <c r="BC15" s="170">
        <f t="shared" si="16"/>
        <v>0.3818321627022222</v>
      </c>
      <c r="BD15" s="170">
        <f t="shared" si="16"/>
        <v>0.33153082453333338</v>
      </c>
      <c r="BE15" s="170">
        <f t="shared" si="16"/>
        <v>0.32432363269565218</v>
      </c>
      <c r="BF15" s="170">
        <f t="shared" si="16"/>
        <v>0.3355074073043478</v>
      </c>
      <c r="BG15" s="170">
        <f t="shared" si="16"/>
        <v>0.32432363269565218</v>
      </c>
      <c r="BH15" s="170">
        <f t="shared" si="16"/>
        <v>0.33327026365217394</v>
      </c>
      <c r="BI15" s="170">
        <v>0.33327026399999998</v>
      </c>
      <c r="BJ15" s="170">
        <f t="shared" ref="BJ15:DU15" si="17">BJ11/BJ14</f>
        <v>0.3355074073043478</v>
      </c>
      <c r="BK15" s="170">
        <f t="shared" si="17"/>
        <v>0.32432363269565218</v>
      </c>
      <c r="BL15" s="170">
        <f t="shared" si="17"/>
        <v>0.40260811130434776</v>
      </c>
      <c r="BM15" s="170">
        <f t="shared" si="17"/>
        <v>0.40260811130434776</v>
      </c>
      <c r="BN15" s="170">
        <f t="shared" si="17"/>
        <v>0.40260811130434776</v>
      </c>
      <c r="BO15" s="170">
        <f t="shared" si="17"/>
        <v>0.40260811130434776</v>
      </c>
      <c r="BP15" s="170">
        <f t="shared" si="17"/>
        <v>0.40260811130434776</v>
      </c>
      <c r="BQ15" s="170">
        <f t="shared" si="17"/>
        <v>0.40260811130434776</v>
      </c>
      <c r="BR15" s="170">
        <f t="shared" si="17"/>
        <v>0.40260811130434776</v>
      </c>
      <c r="BS15" s="170">
        <f t="shared" si="17"/>
        <v>0.3085104596156153</v>
      </c>
      <c r="BT15" s="170">
        <f t="shared" si="17"/>
        <v>0.3085104596156153</v>
      </c>
      <c r="BU15" s="170">
        <f t="shared" si="17"/>
        <v>0.3085104596156153</v>
      </c>
      <c r="BV15" s="170">
        <f t="shared" si="17"/>
        <v>0.3085104596156153</v>
      </c>
      <c r="BW15" s="170">
        <f t="shared" si="17"/>
        <v>0.3085104596156153</v>
      </c>
      <c r="BX15" s="170">
        <f t="shared" si="17"/>
        <v>0.3085104596156153</v>
      </c>
      <c r="BY15" s="170">
        <f t="shared" si="17"/>
        <v>0.3085104596156153</v>
      </c>
      <c r="BZ15" s="170">
        <f t="shared" si="17"/>
        <v>0.3085104596156153</v>
      </c>
      <c r="CA15" s="170">
        <f t="shared" si="17"/>
        <v>0.3085104596156153</v>
      </c>
      <c r="CB15" s="170">
        <f t="shared" si="17"/>
        <v>0.3085104596156153</v>
      </c>
      <c r="CC15" s="170">
        <f t="shared" si="17"/>
        <v>0.3478272848667196</v>
      </c>
      <c r="CD15" s="170">
        <f t="shared" si="17"/>
        <v>0.3478272848667196</v>
      </c>
      <c r="CE15" s="170">
        <f t="shared" si="17"/>
        <v>0.3478272848667196</v>
      </c>
      <c r="CF15" s="170">
        <f t="shared" si="17"/>
        <v>0.3478272848667196</v>
      </c>
      <c r="CG15" s="170">
        <f t="shared" si="17"/>
        <v>0.3478272848667196</v>
      </c>
      <c r="CH15" s="170">
        <f t="shared" si="17"/>
        <v>0.3478272848667196</v>
      </c>
      <c r="CI15" s="170">
        <f t="shared" si="17"/>
        <v>0.3478272848667196</v>
      </c>
      <c r="CJ15" s="170">
        <f t="shared" si="17"/>
        <v>0.3478272848667196</v>
      </c>
      <c r="CK15" s="170">
        <f t="shared" si="17"/>
        <v>0.3478272848667196</v>
      </c>
      <c r="CL15" s="170">
        <f t="shared" si="17"/>
        <v>0.3478272848667196</v>
      </c>
      <c r="CM15" s="170">
        <f t="shared" si="17"/>
        <v>0.23843782217978157</v>
      </c>
      <c r="CN15" s="170">
        <f t="shared" si="17"/>
        <v>0.23187530836299725</v>
      </c>
      <c r="CO15" s="170">
        <f t="shared" si="17"/>
        <v>0.23843782217978157</v>
      </c>
      <c r="CP15" s="170">
        <f t="shared" si="17"/>
        <v>0.25156283895113246</v>
      </c>
      <c r="CQ15" s="170">
        <f t="shared" si="17"/>
        <v>0.25156283895113246</v>
      </c>
      <c r="CR15" s="170">
        <f t="shared" si="17"/>
        <v>0.25156283895113246</v>
      </c>
      <c r="CS15" s="170">
        <f t="shared" si="17"/>
        <v>0.25156283895113246</v>
      </c>
      <c r="CT15" s="170">
        <f t="shared" si="17"/>
        <v>0.26468785753285301</v>
      </c>
      <c r="CU15" s="170">
        <f t="shared" si="17"/>
        <v>0.26468785753285301</v>
      </c>
      <c r="CV15" s="170">
        <f t="shared" si="17"/>
        <v>0.25108743518196108</v>
      </c>
      <c r="CW15" s="170">
        <f t="shared" si="17"/>
        <v>0.25108743518196108</v>
      </c>
      <c r="CX15" s="170">
        <f t="shared" si="17"/>
        <v>0.25108743518196108</v>
      </c>
      <c r="CY15" s="170">
        <f t="shared" si="17"/>
        <v>0.25108743518196108</v>
      </c>
      <c r="CZ15" s="170">
        <f t="shared" si="17"/>
        <v>0.25666667391447084</v>
      </c>
      <c r="DA15" s="170">
        <f t="shared" si="17"/>
        <v>0.25666667391447084</v>
      </c>
      <c r="DB15" s="170">
        <f t="shared" si="17"/>
        <v>0.25666667391447084</v>
      </c>
      <c r="DC15" s="170">
        <f t="shared" si="17"/>
        <v>0.25666667391447084</v>
      </c>
      <c r="DD15" s="170">
        <f t="shared" si="17"/>
        <v>0.25666667391447084</v>
      </c>
      <c r="DE15" s="170">
        <f t="shared" si="17"/>
        <v>0.25666667391447084</v>
      </c>
      <c r="DF15" s="170">
        <f t="shared" si="17"/>
        <v>0.25666667391447084</v>
      </c>
      <c r="DG15" s="170">
        <f t="shared" si="17"/>
        <v>0.25666667391447084</v>
      </c>
      <c r="DH15" s="170">
        <f t="shared" si="17"/>
        <v>0.25666667391447084</v>
      </c>
      <c r="DI15" s="170">
        <f t="shared" si="17"/>
        <v>0.25666667391447084</v>
      </c>
      <c r="DJ15" s="170">
        <f t="shared" si="17"/>
        <v>0.25666667391447084</v>
      </c>
      <c r="DK15" s="170">
        <f t="shared" si="17"/>
        <v>0.25666667391447084</v>
      </c>
      <c r="DL15" s="170">
        <f t="shared" si="17"/>
        <v>0.25666667391447084</v>
      </c>
      <c r="DM15" s="170">
        <f t="shared" si="17"/>
        <v>0.25666667391447084</v>
      </c>
      <c r="DN15" s="170">
        <f t="shared" si="17"/>
        <v>0.25666667391447084</v>
      </c>
      <c r="DO15" s="170">
        <f t="shared" si="17"/>
        <v>0.25666667391447084</v>
      </c>
      <c r="DP15" s="170">
        <f t="shared" si="17"/>
        <v>0.25666667391447084</v>
      </c>
      <c r="DQ15" s="170">
        <f t="shared" si="17"/>
        <v>0.25666667391447084</v>
      </c>
      <c r="DR15" s="170">
        <f t="shared" si="17"/>
        <v>0.25666667391447084</v>
      </c>
      <c r="DS15" s="170">
        <f t="shared" si="17"/>
        <v>0.25666667391447084</v>
      </c>
      <c r="DT15" s="170">
        <f t="shared" si="17"/>
        <v>0.25666667391447084</v>
      </c>
      <c r="DU15" s="170">
        <f t="shared" si="17"/>
        <v>0.25666667391447084</v>
      </c>
      <c r="DV15" s="170">
        <f t="shared" ref="DV15:EC15" si="18">DV11/DV14</f>
        <v>0.25666667391447084</v>
      </c>
      <c r="DW15" s="170">
        <f t="shared" si="18"/>
        <v>0.25666667391447084</v>
      </c>
      <c r="DX15" s="170">
        <f t="shared" si="18"/>
        <v>0.25666667391447084</v>
      </c>
      <c r="DY15" s="170">
        <f t="shared" si="18"/>
        <v>0.25666667391447084</v>
      </c>
      <c r="DZ15" s="170">
        <f t="shared" si="18"/>
        <v>0.25666667391447084</v>
      </c>
      <c r="EA15" s="170">
        <f t="shared" si="18"/>
        <v>0.25666667391447084</v>
      </c>
      <c r="EB15" s="170">
        <f t="shared" si="18"/>
        <v>0.25666667391447084</v>
      </c>
      <c r="EC15" s="170">
        <f t="shared" si="18"/>
        <v>0.25666667391447084</v>
      </c>
      <c r="ED15" s="170">
        <f>ED11/ED14</f>
        <v>0.30000138740048338</v>
      </c>
      <c r="EE15" s="170">
        <f t="shared" ref="EE15:FH15" si="19">EE11/EE14</f>
        <v>0.30000138740048338</v>
      </c>
      <c r="EF15" s="170">
        <f t="shared" si="19"/>
        <v>0.30000138740048338</v>
      </c>
      <c r="EG15" s="170">
        <f t="shared" si="19"/>
        <v>0.30000138740048338</v>
      </c>
      <c r="EH15" s="170">
        <f t="shared" si="19"/>
        <v>0.30000138740048338</v>
      </c>
      <c r="EI15" s="170">
        <f t="shared" si="19"/>
        <v>0.30000138740048338</v>
      </c>
      <c r="EJ15" s="170">
        <f t="shared" si="19"/>
        <v>0.29347838609895027</v>
      </c>
      <c r="EK15" s="170">
        <f t="shared" si="19"/>
        <v>0.29347838609895027</v>
      </c>
      <c r="EL15" s="170">
        <f t="shared" si="19"/>
        <v>0.29347838609895027</v>
      </c>
      <c r="EM15" s="170">
        <f t="shared" si="19"/>
        <v>0.29347838609895027</v>
      </c>
      <c r="EN15" s="170">
        <f t="shared" si="19"/>
        <v>0.29347838609895027</v>
      </c>
      <c r="EO15" s="170">
        <f t="shared" si="19"/>
        <v>0.29347838609895027</v>
      </c>
      <c r="EP15" s="170">
        <f t="shared" si="19"/>
        <v>0.27333358030237581</v>
      </c>
      <c r="EQ15" s="170">
        <f t="shared" si="19"/>
        <v>0.27333358030237581</v>
      </c>
      <c r="ER15" s="170">
        <f t="shared" si="19"/>
        <v>0.29555619939524841</v>
      </c>
      <c r="ES15" s="170">
        <f t="shared" si="19"/>
        <v>0.29555619939524841</v>
      </c>
      <c r="ET15" s="170">
        <f t="shared" si="19"/>
        <v>0.29999956457883364</v>
      </c>
      <c r="EU15" s="170">
        <f t="shared" si="19"/>
        <v>0.29999956457883364</v>
      </c>
      <c r="EV15" s="170">
        <f t="shared" si="19"/>
        <v>0.28541054465753424</v>
      </c>
      <c r="EW15" s="170">
        <f t="shared" si="19"/>
        <v>0.28541054465753424</v>
      </c>
      <c r="EX15" s="170">
        <f t="shared" si="19"/>
        <v>0.28541054465753424</v>
      </c>
      <c r="EY15" s="170">
        <f t="shared" si="19"/>
        <v>0.28541054465753424</v>
      </c>
      <c r="EZ15" s="170">
        <f t="shared" si="19"/>
        <v>0.31132162036272942</v>
      </c>
      <c r="FA15" s="170">
        <f t="shared" si="19"/>
        <v>0.31839641304945809</v>
      </c>
      <c r="FB15" s="170">
        <f t="shared" si="19"/>
        <v>0.31839641304945809</v>
      </c>
      <c r="FC15" s="170">
        <f t="shared" si="19"/>
        <v>0.32142760902868084</v>
      </c>
      <c r="FD15" s="170">
        <f t="shared" si="19"/>
        <v>0.32142760902868084</v>
      </c>
      <c r="FE15" s="170">
        <f t="shared" si="19"/>
        <v>0.32805490060866205</v>
      </c>
      <c r="FF15" s="170">
        <f t="shared" si="19"/>
        <v>0.31877707184571502</v>
      </c>
      <c r="FG15" s="170">
        <f t="shared" si="19"/>
        <v>0.31877707184571502</v>
      </c>
      <c r="FH15" s="170">
        <f t="shared" si="19"/>
        <v>0.31063852598753461</v>
      </c>
    </row>
    <row r="16" spans="1:164" s="23" customFormat="1" ht="12.75">
      <c r="A16" s="170" t="s">
        <v>2642</v>
      </c>
      <c r="B16" s="170">
        <v>1.7</v>
      </c>
      <c r="C16" s="170">
        <v>1.7</v>
      </c>
      <c r="D16" s="170">
        <v>1.79</v>
      </c>
      <c r="E16" s="170">
        <v>1.88</v>
      </c>
      <c r="F16" s="170">
        <v>1.88</v>
      </c>
      <c r="G16" s="170">
        <v>1.91</v>
      </c>
      <c r="H16" s="170">
        <v>1.91</v>
      </c>
      <c r="I16" s="170">
        <v>1.91</v>
      </c>
      <c r="J16" s="201">
        <v>1.93</v>
      </c>
      <c r="K16" s="185"/>
      <c r="L16" s="170">
        <v>1.93</v>
      </c>
      <c r="M16" s="170">
        <v>2.02</v>
      </c>
      <c r="N16" s="170">
        <v>2.09</v>
      </c>
      <c r="O16" s="185"/>
      <c r="P16" s="185"/>
      <c r="Q16" s="185"/>
      <c r="R16" s="185"/>
      <c r="S16" s="185"/>
      <c r="T16" s="185"/>
      <c r="U16" s="185"/>
      <c r="V16" s="185"/>
      <c r="W16" s="185"/>
      <c r="X16" s="185"/>
      <c r="Y16" s="185"/>
      <c r="Z16" s="185"/>
      <c r="AA16" s="185"/>
      <c r="AB16" s="185"/>
      <c r="AC16" s="185"/>
      <c r="AD16" s="185"/>
      <c r="AE16" s="185"/>
      <c r="AF16" s="185"/>
      <c r="AG16" s="185"/>
      <c r="AH16" s="185"/>
      <c r="AI16" s="170">
        <v>1.93</v>
      </c>
      <c r="AJ16" s="170">
        <v>1.96</v>
      </c>
      <c r="AK16" s="170">
        <v>1.93</v>
      </c>
      <c r="AL16" s="170">
        <v>1.96</v>
      </c>
      <c r="AM16" s="170">
        <v>1.96</v>
      </c>
      <c r="AN16" s="170">
        <v>2.02</v>
      </c>
      <c r="AO16" s="170">
        <v>2.09</v>
      </c>
      <c r="AP16" s="170">
        <v>2.21</v>
      </c>
      <c r="AQ16" s="170">
        <v>1.93</v>
      </c>
      <c r="AR16" s="170">
        <v>1.96</v>
      </c>
      <c r="AS16" s="170">
        <v>1.96</v>
      </c>
      <c r="AT16" s="170">
        <v>2.02</v>
      </c>
      <c r="AU16" s="170">
        <v>2.02</v>
      </c>
      <c r="AV16" s="170">
        <v>2.09</v>
      </c>
      <c r="AW16" s="170">
        <v>2.09</v>
      </c>
      <c r="AX16" s="170">
        <v>2.09</v>
      </c>
      <c r="AY16" s="170">
        <v>2.09</v>
      </c>
      <c r="AZ16" s="185"/>
      <c r="BA16" s="185"/>
      <c r="BB16" s="185"/>
      <c r="BC16" s="185"/>
      <c r="BD16" s="185"/>
      <c r="BE16" s="185"/>
      <c r="BF16" s="185"/>
      <c r="BG16" s="185"/>
      <c r="BH16" s="185"/>
      <c r="BI16" s="185"/>
      <c r="BJ16" s="185"/>
      <c r="BK16" s="185"/>
      <c r="BL16" s="185"/>
      <c r="BM16" s="185"/>
      <c r="BN16" s="185"/>
      <c r="BO16" s="185"/>
      <c r="BP16" s="185"/>
      <c r="BQ16" s="185"/>
      <c r="BR16" s="185"/>
      <c r="BS16" s="170">
        <v>1.65</v>
      </c>
      <c r="BT16" s="170">
        <v>1.71</v>
      </c>
      <c r="BU16" s="185"/>
      <c r="BV16" s="185"/>
      <c r="BW16" s="170">
        <v>1.65</v>
      </c>
      <c r="BX16" s="170">
        <v>1.71</v>
      </c>
      <c r="BY16" s="170">
        <v>1.71</v>
      </c>
      <c r="BZ16" s="170">
        <v>1.74</v>
      </c>
      <c r="CA16" s="185"/>
      <c r="CB16" s="185"/>
      <c r="CC16" s="170">
        <v>1.6</v>
      </c>
      <c r="CD16" s="185"/>
      <c r="CE16" s="170">
        <v>1.6</v>
      </c>
      <c r="CF16" s="185"/>
      <c r="CG16" s="170">
        <v>1.65</v>
      </c>
      <c r="CH16" s="185"/>
      <c r="CI16" s="185"/>
      <c r="CJ16" s="170">
        <v>1.71</v>
      </c>
      <c r="CK16" s="185"/>
      <c r="CL16" s="185"/>
      <c r="CM16" s="185"/>
      <c r="CN16" s="170">
        <v>1.6</v>
      </c>
      <c r="CO16" s="185"/>
      <c r="CP16" s="185"/>
      <c r="CQ16" s="170">
        <v>1.6</v>
      </c>
      <c r="CR16" s="185"/>
      <c r="CS16" s="170">
        <v>1.6</v>
      </c>
      <c r="CT16" s="170">
        <v>1.73</v>
      </c>
      <c r="CU16" s="185"/>
      <c r="CV16" s="185"/>
      <c r="CW16" s="185"/>
      <c r="CX16" s="185"/>
      <c r="CY16" s="185"/>
      <c r="CZ16" s="185"/>
      <c r="DA16" s="185"/>
      <c r="DB16" s="185"/>
      <c r="DC16" s="170">
        <v>1.7</v>
      </c>
      <c r="DD16" s="170">
        <v>1.7</v>
      </c>
      <c r="DE16" s="185"/>
      <c r="DF16" s="185"/>
      <c r="DG16" s="185"/>
      <c r="DH16" s="185"/>
      <c r="DI16" s="185"/>
      <c r="DJ16" s="185"/>
      <c r="DK16" s="170">
        <v>1.76</v>
      </c>
      <c r="DL16" s="170">
        <v>1.7</v>
      </c>
      <c r="DM16" s="185"/>
      <c r="DN16" s="185"/>
      <c r="DO16" s="185"/>
      <c r="DP16" s="185"/>
      <c r="DQ16" s="185"/>
      <c r="DR16" s="185"/>
      <c r="DS16" s="185"/>
      <c r="DT16" s="170">
        <v>1.7</v>
      </c>
      <c r="DU16" s="185"/>
      <c r="DV16" s="185"/>
      <c r="DW16" s="170">
        <v>1.7</v>
      </c>
      <c r="DX16" s="185"/>
      <c r="DY16" s="185"/>
      <c r="DZ16" s="185"/>
      <c r="EA16" s="185"/>
      <c r="EB16" s="185"/>
      <c r="EC16" s="185"/>
      <c r="ED16" s="170"/>
      <c r="EE16" s="170"/>
      <c r="EF16" s="170"/>
      <c r="EG16" s="170"/>
      <c r="EH16" s="170"/>
      <c r="EI16" s="170"/>
      <c r="EJ16" s="170"/>
      <c r="EK16" s="170"/>
      <c r="EL16" s="170"/>
      <c r="EM16" s="170"/>
      <c r="EN16" s="170"/>
      <c r="EO16" s="170"/>
      <c r="EP16" s="170"/>
      <c r="EQ16" s="170"/>
      <c r="ER16" s="170"/>
      <c r="ES16" s="170"/>
      <c r="ET16" s="170"/>
      <c r="EU16" s="170"/>
      <c r="EV16" s="170"/>
      <c r="EW16" s="170"/>
      <c r="EX16" s="170"/>
      <c r="EY16" s="170"/>
      <c r="EZ16" s="170"/>
      <c r="FA16" s="170"/>
      <c r="FB16" s="170"/>
      <c r="FC16" s="170"/>
      <c r="FD16" s="170"/>
      <c r="FE16" s="170"/>
      <c r="FF16" s="170"/>
      <c r="FG16" s="170"/>
      <c r="FH16" s="170"/>
    </row>
    <row r="17" spans="1:164" s="23" customFormat="1" ht="12.75">
      <c r="A17" s="170" t="s">
        <v>2644</v>
      </c>
      <c r="B17" s="170">
        <v>15485</v>
      </c>
      <c r="C17" s="170">
        <v>15485</v>
      </c>
      <c r="D17" s="170">
        <v>14725</v>
      </c>
      <c r="E17" s="170">
        <v>16340</v>
      </c>
      <c r="F17" s="170">
        <v>16340</v>
      </c>
      <c r="G17" s="170">
        <v>16340</v>
      </c>
      <c r="H17" s="170">
        <v>13205</v>
      </c>
      <c r="I17" s="170">
        <v>13205</v>
      </c>
      <c r="J17" s="170">
        <v>8550</v>
      </c>
      <c r="K17" s="170">
        <v>8550</v>
      </c>
      <c r="L17" s="170">
        <v>10925</v>
      </c>
      <c r="M17" s="170">
        <v>11875</v>
      </c>
      <c r="N17" s="170">
        <v>12825</v>
      </c>
      <c r="O17" s="170">
        <v>16815</v>
      </c>
      <c r="P17" s="170">
        <v>16815</v>
      </c>
      <c r="Q17" s="170">
        <v>16815</v>
      </c>
      <c r="R17" s="170">
        <v>16815</v>
      </c>
      <c r="S17" s="170">
        <v>17955</v>
      </c>
      <c r="T17" s="170">
        <v>24605</v>
      </c>
      <c r="U17" s="170">
        <v>17955</v>
      </c>
      <c r="V17" s="170">
        <v>24605</v>
      </c>
      <c r="W17" s="170">
        <v>24605</v>
      </c>
      <c r="X17" s="170">
        <v>17955</v>
      </c>
      <c r="Y17" s="170">
        <v>24605</v>
      </c>
      <c r="Z17" s="170">
        <v>14155</v>
      </c>
      <c r="AA17" s="170">
        <v>14820</v>
      </c>
      <c r="AB17" s="170">
        <v>16530</v>
      </c>
      <c r="AC17" s="170">
        <v>17955</v>
      </c>
      <c r="AD17" s="170">
        <v>17955</v>
      </c>
      <c r="AE17" s="170">
        <v>17955</v>
      </c>
      <c r="AF17" s="170">
        <v>18430</v>
      </c>
      <c r="AG17" s="170">
        <v>11115</v>
      </c>
      <c r="AH17" s="170">
        <v>11115</v>
      </c>
      <c r="AI17" s="170">
        <v>11875</v>
      </c>
      <c r="AJ17" s="170">
        <v>11875</v>
      </c>
      <c r="AK17" s="170">
        <v>11875</v>
      </c>
      <c r="AL17" s="170">
        <v>11875</v>
      </c>
      <c r="AM17" s="170">
        <v>14725</v>
      </c>
      <c r="AN17" s="170">
        <v>14725</v>
      </c>
      <c r="AO17" s="170">
        <v>14725</v>
      </c>
      <c r="AP17" s="170">
        <v>14725</v>
      </c>
      <c r="AQ17" s="170">
        <v>9120</v>
      </c>
      <c r="AR17" s="170">
        <v>8550</v>
      </c>
      <c r="AS17" s="170">
        <v>11780</v>
      </c>
      <c r="AT17" s="170">
        <v>8550</v>
      </c>
      <c r="AU17" s="170">
        <v>12350</v>
      </c>
      <c r="AV17" s="170">
        <v>8835</v>
      </c>
      <c r="AW17" s="170">
        <v>12350</v>
      </c>
      <c r="AX17" s="170">
        <v>8835</v>
      </c>
      <c r="AY17" s="170">
        <v>12350</v>
      </c>
      <c r="AZ17" s="170">
        <v>12730</v>
      </c>
      <c r="BA17" s="170">
        <v>12730</v>
      </c>
      <c r="BB17" s="170">
        <v>15105</v>
      </c>
      <c r="BC17" s="170">
        <v>15105</v>
      </c>
      <c r="BD17" s="170">
        <v>11590</v>
      </c>
      <c r="BE17" s="170">
        <v>12350</v>
      </c>
      <c r="BF17" s="170">
        <v>14060</v>
      </c>
      <c r="BG17" s="170">
        <v>17480</v>
      </c>
      <c r="BH17" s="170">
        <v>17955</v>
      </c>
      <c r="BI17" s="170">
        <v>17670</v>
      </c>
      <c r="BJ17" s="170">
        <v>0</v>
      </c>
      <c r="BK17" s="170">
        <v>0</v>
      </c>
      <c r="BL17" s="170">
        <v>16340</v>
      </c>
      <c r="BM17" s="170">
        <v>17955</v>
      </c>
      <c r="BN17" s="170">
        <v>19190</v>
      </c>
      <c r="BO17" s="170">
        <v>20900</v>
      </c>
      <c r="BP17" s="170">
        <v>21850</v>
      </c>
      <c r="BQ17" s="170">
        <v>0</v>
      </c>
      <c r="BR17" s="170">
        <v>0</v>
      </c>
      <c r="BS17" s="170">
        <v>21280</v>
      </c>
      <c r="BT17" s="170">
        <v>22705</v>
      </c>
      <c r="BU17" s="170">
        <v>21280</v>
      </c>
      <c r="BV17" s="170">
        <v>22705</v>
      </c>
      <c r="BW17" s="170">
        <v>0</v>
      </c>
      <c r="BX17" s="170">
        <v>0</v>
      </c>
      <c r="BY17" s="170">
        <v>26505</v>
      </c>
      <c r="BZ17" s="170">
        <v>26505</v>
      </c>
      <c r="CA17" s="170">
        <v>26505</v>
      </c>
      <c r="CB17" s="170">
        <v>26505</v>
      </c>
      <c r="CC17" s="170">
        <v>22990</v>
      </c>
      <c r="CD17" s="170">
        <v>22990</v>
      </c>
      <c r="CE17" s="170">
        <v>22990</v>
      </c>
      <c r="CF17" s="170">
        <v>22990</v>
      </c>
      <c r="CG17" s="170">
        <v>22990</v>
      </c>
      <c r="CH17" s="170">
        <v>22990</v>
      </c>
      <c r="CI17" s="170">
        <v>23275</v>
      </c>
      <c r="CJ17" s="170">
        <v>23275</v>
      </c>
      <c r="CK17" s="170">
        <v>23275</v>
      </c>
      <c r="CL17" s="170">
        <v>23275</v>
      </c>
      <c r="CM17" s="170">
        <v>22515</v>
      </c>
      <c r="CN17" s="170">
        <v>22515</v>
      </c>
      <c r="CO17" s="170">
        <v>22515</v>
      </c>
      <c r="CP17" s="170">
        <v>22515</v>
      </c>
      <c r="CQ17" s="170">
        <v>22515</v>
      </c>
      <c r="CR17" s="170">
        <v>23085</v>
      </c>
      <c r="CS17" s="170">
        <v>23085</v>
      </c>
      <c r="CT17" s="170">
        <v>22800</v>
      </c>
      <c r="CU17" s="170">
        <v>22800</v>
      </c>
      <c r="CV17" s="170">
        <v>12540</v>
      </c>
      <c r="CW17" s="170">
        <v>12540</v>
      </c>
      <c r="CX17" s="170">
        <v>12540</v>
      </c>
      <c r="CY17" s="170">
        <v>12540</v>
      </c>
      <c r="CZ17" s="170">
        <v>14820</v>
      </c>
      <c r="DA17" s="170">
        <v>14820</v>
      </c>
      <c r="DB17" s="170">
        <v>14820</v>
      </c>
      <c r="DC17" s="170">
        <v>14820</v>
      </c>
      <c r="DD17" s="170">
        <v>14820</v>
      </c>
      <c r="DE17" s="170">
        <v>14820</v>
      </c>
      <c r="DF17" s="170">
        <v>14820</v>
      </c>
      <c r="DG17" s="170">
        <v>14820</v>
      </c>
      <c r="DH17" s="170">
        <v>17100</v>
      </c>
      <c r="DI17" s="170">
        <v>17100</v>
      </c>
      <c r="DJ17" s="170">
        <v>17100</v>
      </c>
      <c r="DK17" s="170">
        <v>17100</v>
      </c>
      <c r="DL17" s="170">
        <v>17100</v>
      </c>
      <c r="DM17" s="170">
        <v>17100</v>
      </c>
      <c r="DN17" s="170">
        <v>17100</v>
      </c>
      <c r="DO17" s="170">
        <v>17100</v>
      </c>
      <c r="DP17" s="170">
        <v>17100</v>
      </c>
      <c r="DQ17" s="170">
        <v>17100</v>
      </c>
      <c r="DR17" s="170">
        <v>17100</v>
      </c>
      <c r="DS17" s="170">
        <v>23180</v>
      </c>
      <c r="DT17" s="170">
        <v>23180</v>
      </c>
      <c r="DU17" s="170">
        <v>23180</v>
      </c>
      <c r="DV17" s="170">
        <v>23180</v>
      </c>
      <c r="DW17" s="170">
        <v>23180</v>
      </c>
      <c r="DX17" s="170">
        <v>23180</v>
      </c>
      <c r="DY17" s="170">
        <v>23180</v>
      </c>
      <c r="DZ17" s="170">
        <v>23180</v>
      </c>
      <c r="EA17" s="170">
        <v>23180</v>
      </c>
      <c r="EB17" s="170">
        <v>23180</v>
      </c>
      <c r="EC17" s="170">
        <v>23180</v>
      </c>
      <c r="ED17" s="170">
        <v>7410</v>
      </c>
      <c r="EE17" s="170">
        <v>7410</v>
      </c>
      <c r="EF17" s="170">
        <v>7410</v>
      </c>
      <c r="EG17" s="170">
        <v>7410</v>
      </c>
      <c r="EH17" s="170">
        <v>7410</v>
      </c>
      <c r="EI17" s="170">
        <v>7410</v>
      </c>
      <c r="EJ17" s="170">
        <v>9500</v>
      </c>
      <c r="EK17" s="170">
        <v>9500</v>
      </c>
      <c r="EL17" s="170">
        <v>9500</v>
      </c>
      <c r="EM17" s="170">
        <v>11780</v>
      </c>
      <c r="EN17" s="170">
        <v>11780</v>
      </c>
      <c r="EO17" s="170">
        <v>11780</v>
      </c>
      <c r="EP17" s="170">
        <v>2850</v>
      </c>
      <c r="EQ17" s="170">
        <v>3515</v>
      </c>
      <c r="ER17" s="170">
        <v>4180</v>
      </c>
      <c r="ES17" s="170">
        <v>4750</v>
      </c>
      <c r="ET17" s="170">
        <v>4750</v>
      </c>
      <c r="EU17" s="170">
        <v>4750</v>
      </c>
      <c r="EV17" s="170">
        <v>8360</v>
      </c>
      <c r="EW17" s="170">
        <v>10070</v>
      </c>
      <c r="EX17" s="170">
        <v>10070</v>
      </c>
      <c r="EY17" s="170">
        <v>12540</v>
      </c>
      <c r="EZ17" s="170">
        <v>4750</v>
      </c>
      <c r="FA17" s="170">
        <v>4750</v>
      </c>
      <c r="FB17" s="170">
        <v>4750</v>
      </c>
      <c r="FC17" s="170">
        <v>4750</v>
      </c>
      <c r="FD17" s="170">
        <v>4750</v>
      </c>
      <c r="FE17" s="170">
        <v>6650</v>
      </c>
      <c r="FF17" s="170">
        <v>8170</v>
      </c>
      <c r="FG17" s="170">
        <v>7125</v>
      </c>
      <c r="FH17" s="170">
        <v>9880</v>
      </c>
    </row>
    <row r="18" spans="1:164" s="23" customFormat="1" ht="12.75">
      <c r="A18" s="170" t="s">
        <v>2645</v>
      </c>
      <c r="B18" s="189">
        <v>37527</v>
      </c>
      <c r="C18" s="189">
        <v>41262</v>
      </c>
      <c r="D18" s="189">
        <v>31013</v>
      </c>
      <c r="E18" s="189">
        <v>33706</v>
      </c>
      <c r="F18" s="189">
        <v>33706</v>
      </c>
      <c r="G18" s="189">
        <v>35019</v>
      </c>
      <c r="H18" s="189">
        <v>32534</v>
      </c>
      <c r="I18" s="189">
        <v>33394</v>
      </c>
      <c r="J18" s="189">
        <v>21368</v>
      </c>
      <c r="K18" s="189">
        <v>25628</v>
      </c>
      <c r="L18" s="189">
        <v>26882</v>
      </c>
      <c r="M18" s="189">
        <v>28654</v>
      </c>
      <c r="N18" s="189">
        <v>30879</v>
      </c>
      <c r="O18" s="189">
        <v>53801</v>
      </c>
      <c r="P18" s="189">
        <v>55201</v>
      </c>
      <c r="Q18" s="189">
        <v>54976</v>
      </c>
      <c r="R18" s="189">
        <v>54976</v>
      </c>
      <c r="S18" s="189">
        <v>58372</v>
      </c>
      <c r="T18" s="189">
        <v>51722</v>
      </c>
      <c r="U18" s="189">
        <v>67032</v>
      </c>
      <c r="V18" s="189">
        <v>62650</v>
      </c>
      <c r="W18" s="189">
        <v>51722</v>
      </c>
      <c r="X18" s="189">
        <v>60228</v>
      </c>
      <c r="Y18" s="189">
        <v>62650</v>
      </c>
      <c r="Z18" s="189">
        <v>40952</v>
      </c>
      <c r="AA18" s="189">
        <v>42487</v>
      </c>
      <c r="AB18" s="189">
        <v>47812</v>
      </c>
      <c r="AC18" s="189">
        <v>51361</v>
      </c>
      <c r="AD18" s="189">
        <v>51361</v>
      </c>
      <c r="AE18" s="189">
        <v>58057</v>
      </c>
      <c r="AF18" s="189">
        <v>60582</v>
      </c>
      <c r="AG18" s="189">
        <v>31246</v>
      </c>
      <c r="AH18" s="189">
        <v>30387</v>
      </c>
      <c r="AI18" s="189">
        <v>37365</v>
      </c>
      <c r="AJ18" s="189">
        <v>41465</v>
      </c>
      <c r="AK18" s="189">
        <v>37365</v>
      </c>
      <c r="AL18" s="189">
        <v>41465</v>
      </c>
      <c r="AM18" s="189">
        <v>39175</v>
      </c>
      <c r="AN18" s="189">
        <v>44575</v>
      </c>
      <c r="AO18" s="189">
        <v>44670</v>
      </c>
      <c r="AP18" s="189">
        <v>48210</v>
      </c>
      <c r="AQ18" s="189">
        <v>26842</v>
      </c>
      <c r="AR18" s="189">
        <v>26818</v>
      </c>
      <c r="AS18" s="189">
        <v>26083</v>
      </c>
      <c r="AT18" s="189">
        <v>28158</v>
      </c>
      <c r="AU18" s="189">
        <v>25038</v>
      </c>
      <c r="AV18" s="189">
        <v>30770</v>
      </c>
      <c r="AW18" s="189">
        <v>27612</v>
      </c>
      <c r="AX18" s="189">
        <v>27873</v>
      </c>
      <c r="AY18" s="189">
        <v>30073</v>
      </c>
      <c r="AZ18" s="189">
        <v>27601</v>
      </c>
      <c r="BA18" s="189">
        <v>31776</v>
      </c>
      <c r="BB18" s="189">
        <v>31577</v>
      </c>
      <c r="BC18" s="189">
        <v>31896</v>
      </c>
      <c r="BD18" s="189">
        <v>24659</v>
      </c>
      <c r="BE18" s="189">
        <v>23001</v>
      </c>
      <c r="BF18" s="189">
        <v>35126</v>
      </c>
      <c r="BG18" s="189">
        <v>32160</v>
      </c>
      <c r="BH18" s="189">
        <v>40167</v>
      </c>
      <c r="BI18" s="189">
        <v>43652</v>
      </c>
      <c r="BJ18" s="189">
        <v>50469</v>
      </c>
      <c r="BK18" s="189">
        <v>48801</v>
      </c>
      <c r="BL18" s="189">
        <v>43215</v>
      </c>
      <c r="BM18" s="189">
        <v>43959</v>
      </c>
      <c r="BN18" s="189">
        <v>42724</v>
      </c>
      <c r="BO18" s="189">
        <v>46684</v>
      </c>
      <c r="BP18" s="189">
        <v>47185</v>
      </c>
      <c r="BQ18" s="189">
        <v>54297</v>
      </c>
      <c r="BR18" s="189">
        <v>59972</v>
      </c>
      <c r="BS18" s="189">
        <v>57860</v>
      </c>
      <c r="BT18" s="189">
        <v>58685</v>
      </c>
      <c r="BU18" s="189">
        <v>53310</v>
      </c>
      <c r="BV18" s="189">
        <v>58685</v>
      </c>
      <c r="BW18" s="189">
        <v>79140</v>
      </c>
      <c r="BX18" s="189">
        <v>82390</v>
      </c>
      <c r="BY18" s="189">
        <v>61035</v>
      </c>
      <c r="BZ18" s="189">
        <v>61035</v>
      </c>
      <c r="CA18" s="189">
        <v>61035</v>
      </c>
      <c r="CB18" s="189">
        <v>61035</v>
      </c>
      <c r="CC18" s="189">
        <v>68029</v>
      </c>
      <c r="CD18" s="189">
        <v>62335</v>
      </c>
      <c r="CE18" s="189">
        <v>66871</v>
      </c>
      <c r="CF18" s="189">
        <v>69139</v>
      </c>
      <c r="CG18" s="189">
        <v>66871</v>
      </c>
      <c r="CH18" s="189">
        <v>69139</v>
      </c>
      <c r="CI18" s="189">
        <v>77927</v>
      </c>
      <c r="CJ18" s="189">
        <v>73514</v>
      </c>
      <c r="CK18" s="189">
        <v>75727</v>
      </c>
      <c r="CL18" s="189">
        <v>78902</v>
      </c>
      <c r="CM18" s="189">
        <v>61545</v>
      </c>
      <c r="CN18" s="189">
        <v>61545</v>
      </c>
      <c r="CO18" s="189">
        <v>68145</v>
      </c>
      <c r="CP18" s="189">
        <v>71545</v>
      </c>
      <c r="CQ18" s="189">
        <v>71545</v>
      </c>
      <c r="CR18" s="189">
        <v>78975</v>
      </c>
      <c r="CS18" s="189">
        <v>81975</v>
      </c>
      <c r="CT18" s="189">
        <v>89260</v>
      </c>
      <c r="CU18" s="189">
        <v>93260</v>
      </c>
      <c r="CV18" s="189">
        <v>26984</v>
      </c>
      <c r="CW18" s="189">
        <v>26984</v>
      </c>
      <c r="CX18" s="189">
        <v>35984</v>
      </c>
      <c r="CY18" s="189">
        <v>35984</v>
      </c>
      <c r="CZ18" s="189">
        <v>29744</v>
      </c>
      <c r="DA18" s="189">
        <v>41244</v>
      </c>
      <c r="DB18" s="189">
        <v>41244</v>
      </c>
      <c r="DC18" s="189">
        <v>41244</v>
      </c>
      <c r="DD18" s="189">
        <v>41244</v>
      </c>
      <c r="DE18" s="189">
        <v>30121</v>
      </c>
      <c r="DF18" s="189">
        <v>41621</v>
      </c>
      <c r="DG18" s="189">
        <v>30121</v>
      </c>
      <c r="DH18" s="189">
        <v>36964</v>
      </c>
      <c r="DI18" s="189">
        <v>36964</v>
      </c>
      <c r="DJ18" s="189">
        <v>41464</v>
      </c>
      <c r="DK18" s="189">
        <v>37245</v>
      </c>
      <c r="DL18" s="189">
        <v>41745</v>
      </c>
      <c r="DM18" s="189">
        <v>37341</v>
      </c>
      <c r="DN18" s="189">
        <v>42841</v>
      </c>
      <c r="DO18" s="189">
        <v>42841</v>
      </c>
      <c r="DP18" s="189">
        <v>37341</v>
      </c>
      <c r="DQ18" s="189">
        <v>42841</v>
      </c>
      <c r="DR18" s="189">
        <v>42841</v>
      </c>
      <c r="DS18" s="189">
        <v>40512</v>
      </c>
      <c r="DT18" s="189">
        <v>40793</v>
      </c>
      <c r="DU18" s="189">
        <v>46512</v>
      </c>
      <c r="DV18" s="189">
        <v>51012</v>
      </c>
      <c r="DW18" s="189">
        <v>51293</v>
      </c>
      <c r="DX18" s="189">
        <v>46961</v>
      </c>
      <c r="DY18" s="189">
        <v>51461</v>
      </c>
      <c r="DZ18" s="189">
        <v>51461</v>
      </c>
      <c r="EA18" s="189">
        <v>47372</v>
      </c>
      <c r="EB18" s="189">
        <v>45909</v>
      </c>
      <c r="EC18" s="189">
        <v>45909</v>
      </c>
      <c r="ED18" s="189">
        <v>19245</v>
      </c>
      <c r="EE18" s="189">
        <v>20455</v>
      </c>
      <c r="EF18" s="189">
        <v>21855</v>
      </c>
      <c r="EG18" s="189">
        <v>20755</v>
      </c>
      <c r="EH18" s="189">
        <v>22045</v>
      </c>
      <c r="EI18" s="189">
        <v>23625</v>
      </c>
      <c r="EJ18" s="189">
        <v>25319</v>
      </c>
      <c r="EK18" s="189">
        <v>27829</v>
      </c>
      <c r="EL18" s="189">
        <v>29329</v>
      </c>
      <c r="EM18" s="189">
        <v>24039</v>
      </c>
      <c r="EN18" s="189">
        <v>26039</v>
      </c>
      <c r="EO18" s="189">
        <v>27539</v>
      </c>
      <c r="EP18" s="189">
        <v>12018</v>
      </c>
      <c r="EQ18" s="189">
        <v>12353</v>
      </c>
      <c r="ER18" s="189">
        <v>11784</v>
      </c>
      <c r="ES18" s="189">
        <v>12108</v>
      </c>
      <c r="ET18" s="189">
        <v>12114</v>
      </c>
      <c r="EU18" s="189">
        <v>13377</v>
      </c>
      <c r="EV18" s="189">
        <v>27718</v>
      </c>
      <c r="EW18" s="189">
        <v>32640</v>
      </c>
      <c r="EX18" s="189">
        <v>32640</v>
      </c>
      <c r="EY18" s="189">
        <v>35270</v>
      </c>
      <c r="EZ18" s="189">
        <v>12518</v>
      </c>
      <c r="FA18" s="189">
        <v>11895</v>
      </c>
      <c r="FB18" s="189">
        <v>12803</v>
      </c>
      <c r="FC18" s="189">
        <v>11895</v>
      </c>
      <c r="FD18" s="189">
        <v>12803</v>
      </c>
      <c r="FE18" s="189">
        <v>17565</v>
      </c>
      <c r="FF18" s="189">
        <v>21375</v>
      </c>
      <c r="FG18" s="189">
        <v>22420</v>
      </c>
      <c r="FH18" s="189">
        <v>23042</v>
      </c>
    </row>
    <row r="19" spans="1:164" s="23" customFormat="1" ht="12.75">
      <c r="A19" s="177" t="s">
        <v>2614</v>
      </c>
      <c r="B19" s="170">
        <v>64410</v>
      </c>
      <c r="C19" s="170">
        <v>64410</v>
      </c>
      <c r="D19" s="170">
        <v>58061</v>
      </c>
      <c r="E19" s="170">
        <v>58967</v>
      </c>
      <c r="F19" s="170">
        <v>58967</v>
      </c>
      <c r="G19" s="170">
        <v>63276</v>
      </c>
      <c r="H19" s="170">
        <v>58060</v>
      </c>
      <c r="I19" s="170">
        <v>58967</v>
      </c>
      <c r="J19" s="170">
        <v>37059</v>
      </c>
      <c r="K19" s="170">
        <v>43227</v>
      </c>
      <c r="L19" s="170">
        <v>44906</v>
      </c>
      <c r="M19" s="170">
        <v>46266</v>
      </c>
      <c r="N19" s="170">
        <v>49895</v>
      </c>
      <c r="O19" s="170">
        <v>87545</v>
      </c>
      <c r="P19" s="170">
        <v>90490</v>
      </c>
      <c r="Q19" s="189">
        <v>93895</v>
      </c>
      <c r="R19" s="189">
        <v>93895</v>
      </c>
      <c r="S19" s="189">
        <v>98431</v>
      </c>
      <c r="T19" s="189">
        <v>108864</v>
      </c>
      <c r="U19" s="189">
        <v>108864</v>
      </c>
      <c r="V19" s="189">
        <v>117029</v>
      </c>
      <c r="W19" s="170">
        <v>108864</v>
      </c>
      <c r="X19" s="170">
        <v>108864</v>
      </c>
      <c r="Y19" s="170">
        <v>117029</v>
      </c>
      <c r="Z19" s="170">
        <v>79500</v>
      </c>
      <c r="AA19" s="170">
        <v>79500</v>
      </c>
      <c r="AB19" s="170">
        <v>86300</v>
      </c>
      <c r="AC19" s="170">
        <v>94000</v>
      </c>
      <c r="AD19" s="170">
        <v>94000</v>
      </c>
      <c r="AE19" s="170">
        <v>94000</v>
      </c>
      <c r="AF19" s="170">
        <v>112100</v>
      </c>
      <c r="AG19" s="170">
        <v>46269</v>
      </c>
      <c r="AH19" s="170">
        <v>49898</v>
      </c>
      <c r="AI19" s="170">
        <v>62400</v>
      </c>
      <c r="AJ19" s="170">
        <v>64700</v>
      </c>
      <c r="AK19" s="170">
        <v>62400</v>
      </c>
      <c r="AL19" s="170">
        <v>64700</v>
      </c>
      <c r="AM19" s="170">
        <v>68100</v>
      </c>
      <c r="AN19" s="170">
        <v>70100</v>
      </c>
      <c r="AO19" s="170">
        <v>70100</v>
      </c>
      <c r="AP19" s="170">
        <v>73100</v>
      </c>
      <c r="AQ19" s="170">
        <v>44452</v>
      </c>
      <c r="AR19" s="170">
        <v>44906</v>
      </c>
      <c r="AS19" s="170">
        <v>46720</v>
      </c>
      <c r="AT19" s="170">
        <v>46720</v>
      </c>
      <c r="AU19" s="170">
        <v>47627</v>
      </c>
      <c r="AV19" s="170">
        <v>48534</v>
      </c>
      <c r="AW19" s="170">
        <v>48534</v>
      </c>
      <c r="AX19" s="170">
        <v>46720</v>
      </c>
      <c r="AY19" s="170">
        <v>48534</v>
      </c>
      <c r="AZ19" s="170">
        <v>51710</v>
      </c>
      <c r="BA19" s="189">
        <v>51710</v>
      </c>
      <c r="BB19" s="170">
        <v>54885</v>
      </c>
      <c r="BC19" s="170">
        <v>56246</v>
      </c>
      <c r="BD19" s="170">
        <v>49895</v>
      </c>
      <c r="BE19" s="170">
        <v>54658</v>
      </c>
      <c r="BF19" s="170">
        <v>58604</v>
      </c>
      <c r="BG19" s="170">
        <v>65317</v>
      </c>
      <c r="BH19" s="170">
        <v>66814</v>
      </c>
      <c r="BI19" s="170">
        <v>71350</v>
      </c>
      <c r="BJ19" s="170">
        <v>60781</v>
      </c>
      <c r="BK19" s="170">
        <v>66360</v>
      </c>
      <c r="BL19" s="170">
        <v>66043</v>
      </c>
      <c r="BM19" s="170">
        <v>69308</v>
      </c>
      <c r="BN19" s="170">
        <v>69308</v>
      </c>
      <c r="BO19" s="170">
        <v>74343</v>
      </c>
      <c r="BP19" s="170">
        <v>75931</v>
      </c>
      <c r="BQ19" s="170">
        <v>69308</v>
      </c>
      <c r="BR19" s="170">
        <v>74343</v>
      </c>
      <c r="BS19" s="170">
        <v>89800</v>
      </c>
      <c r="BT19" s="170">
        <v>95250</v>
      </c>
      <c r="BU19" s="170">
        <v>89800</v>
      </c>
      <c r="BV19" s="170">
        <v>95250</v>
      </c>
      <c r="BW19" s="170">
        <v>92250</v>
      </c>
      <c r="BX19" s="170">
        <v>92250</v>
      </c>
      <c r="BY19" s="170">
        <v>101610</v>
      </c>
      <c r="BZ19" s="170">
        <v>101610</v>
      </c>
      <c r="CA19" s="170">
        <v>101610</v>
      </c>
      <c r="CB19" s="170">
        <v>101610</v>
      </c>
      <c r="CC19" s="170">
        <v>116573</v>
      </c>
      <c r="CD19" s="170">
        <v>122470</v>
      </c>
      <c r="CE19" s="170">
        <v>122470</v>
      </c>
      <c r="CF19" s="170">
        <v>123377</v>
      </c>
      <c r="CG19" s="170">
        <v>122470</v>
      </c>
      <c r="CH19" s="170">
        <v>123377</v>
      </c>
      <c r="CI19" s="170">
        <v>126099</v>
      </c>
      <c r="CJ19" s="170">
        <v>126099</v>
      </c>
      <c r="CK19" s="170">
        <v>129274</v>
      </c>
      <c r="CL19" s="170">
        <v>129274</v>
      </c>
      <c r="CM19" s="170">
        <v>118500</v>
      </c>
      <c r="CN19" s="170">
        <v>119500</v>
      </c>
      <c r="CO19" s="170">
        <v>122000</v>
      </c>
      <c r="CP19" s="170">
        <v>122000</v>
      </c>
      <c r="CQ19" s="170">
        <v>122000</v>
      </c>
      <c r="CR19" s="170">
        <v>123000</v>
      </c>
      <c r="CS19" s="170">
        <v>124000</v>
      </c>
      <c r="CT19" s="170">
        <v>124000</v>
      </c>
      <c r="CU19" s="170">
        <v>124000</v>
      </c>
      <c r="CV19" s="170">
        <v>56000</v>
      </c>
      <c r="CW19" s="170">
        <v>56000</v>
      </c>
      <c r="CX19" s="170">
        <v>57500</v>
      </c>
      <c r="CY19" s="170">
        <v>57500</v>
      </c>
      <c r="CZ19" s="170">
        <v>61000</v>
      </c>
      <c r="DA19" s="170">
        <v>62500</v>
      </c>
      <c r="DB19" s="170">
        <v>62500</v>
      </c>
      <c r="DC19" s="170">
        <v>61000</v>
      </c>
      <c r="DD19" s="170">
        <v>61000</v>
      </c>
      <c r="DE19" s="170">
        <v>62800</v>
      </c>
      <c r="DF19" s="170">
        <v>62800</v>
      </c>
      <c r="DG19" s="170">
        <v>63900</v>
      </c>
      <c r="DH19" s="170">
        <v>64500</v>
      </c>
      <c r="DI19" s="170">
        <v>64500</v>
      </c>
      <c r="DJ19" s="170">
        <v>64500</v>
      </c>
      <c r="DK19" s="170">
        <v>64500</v>
      </c>
      <c r="DL19" s="170">
        <v>64500</v>
      </c>
      <c r="DM19" s="170">
        <v>66300</v>
      </c>
      <c r="DN19" s="170">
        <v>67400</v>
      </c>
      <c r="DO19" s="170">
        <v>66300</v>
      </c>
      <c r="DP19" s="170">
        <v>67400</v>
      </c>
      <c r="DQ19" s="170">
        <v>67400</v>
      </c>
      <c r="DR19" s="170">
        <v>67400</v>
      </c>
      <c r="DS19" s="170">
        <v>73500</v>
      </c>
      <c r="DT19" s="170">
        <v>73500</v>
      </c>
      <c r="DU19" s="170">
        <v>75500</v>
      </c>
      <c r="DV19" s="170">
        <v>77800</v>
      </c>
      <c r="DW19" s="170">
        <v>77800</v>
      </c>
      <c r="DX19" s="170">
        <v>77300</v>
      </c>
      <c r="DY19" s="170">
        <v>77300</v>
      </c>
      <c r="DZ19" s="170">
        <v>79200</v>
      </c>
      <c r="EA19" s="170">
        <v>77300</v>
      </c>
      <c r="EB19" s="170">
        <v>77300</v>
      </c>
      <c r="EC19" s="170">
        <v>79200</v>
      </c>
      <c r="ED19" s="170">
        <v>32800</v>
      </c>
      <c r="EE19" s="170">
        <v>32800</v>
      </c>
      <c r="EF19" s="170">
        <v>33300</v>
      </c>
      <c r="EG19" s="170">
        <v>34000</v>
      </c>
      <c r="EH19" s="170">
        <v>34000</v>
      </c>
      <c r="EI19" s="170">
        <v>34000</v>
      </c>
      <c r="EJ19" s="170">
        <v>43000</v>
      </c>
      <c r="EK19" s="170">
        <v>43000</v>
      </c>
      <c r="EL19" s="170">
        <v>44000</v>
      </c>
      <c r="EM19" s="170">
        <v>45000</v>
      </c>
      <c r="EN19" s="170">
        <v>45000</v>
      </c>
      <c r="EO19" s="170">
        <v>45800</v>
      </c>
      <c r="EP19" s="170">
        <v>18500</v>
      </c>
      <c r="EQ19" s="170">
        <v>18500</v>
      </c>
      <c r="ER19" s="189">
        <v>18700</v>
      </c>
      <c r="ES19" s="189">
        <v>18700</v>
      </c>
      <c r="ET19" s="189">
        <v>19300</v>
      </c>
      <c r="EU19" s="170">
        <v>20000</v>
      </c>
      <c r="EV19" s="189">
        <v>40000</v>
      </c>
      <c r="EW19" s="189">
        <v>49050</v>
      </c>
      <c r="EX19" s="189">
        <v>49050</v>
      </c>
      <c r="EY19" s="189">
        <v>54000</v>
      </c>
      <c r="EZ19" s="170">
        <v>20276</v>
      </c>
      <c r="FA19" s="170">
        <v>21319</v>
      </c>
      <c r="FB19" s="170">
        <v>21319</v>
      </c>
      <c r="FC19" s="170">
        <v>21319</v>
      </c>
      <c r="FD19" s="170">
        <v>21319</v>
      </c>
      <c r="FE19" s="170">
        <v>30390</v>
      </c>
      <c r="FF19" s="170">
        <v>33340</v>
      </c>
      <c r="FG19" s="170">
        <v>33340</v>
      </c>
      <c r="FH19" s="170">
        <v>36968</v>
      </c>
    </row>
    <row r="20" spans="1:164" s="23" customFormat="1" ht="12.75">
      <c r="A20" s="177" t="s">
        <v>2615</v>
      </c>
      <c r="B20" s="177">
        <v>70760</v>
      </c>
      <c r="C20" s="177">
        <v>76204</v>
      </c>
      <c r="D20" s="177">
        <v>63504</v>
      </c>
      <c r="E20" s="177">
        <v>67812</v>
      </c>
      <c r="F20" s="177">
        <v>67812</v>
      </c>
      <c r="G20" s="177">
        <v>72575</v>
      </c>
      <c r="H20" s="177">
        <v>63503</v>
      </c>
      <c r="I20" s="177">
        <v>67812</v>
      </c>
      <c r="J20" s="177">
        <v>41141</v>
      </c>
      <c r="K20" s="177">
        <v>45359</v>
      </c>
      <c r="L20" s="177">
        <v>48988</v>
      </c>
      <c r="M20" s="177">
        <v>51710</v>
      </c>
      <c r="N20" s="177">
        <v>54885</v>
      </c>
      <c r="O20" s="177">
        <v>123800</v>
      </c>
      <c r="P20" s="177">
        <v>125200</v>
      </c>
      <c r="Q20" s="177">
        <v>142884</v>
      </c>
      <c r="R20" s="177">
        <v>142884</v>
      </c>
      <c r="S20" s="177">
        <v>147420</v>
      </c>
      <c r="T20" s="177">
        <v>147420</v>
      </c>
      <c r="U20" s="177">
        <v>158760</v>
      </c>
      <c r="V20" s="177">
        <v>161028</v>
      </c>
      <c r="W20" s="177">
        <v>147420</v>
      </c>
      <c r="X20" s="177">
        <v>151956</v>
      </c>
      <c r="Y20" s="177">
        <v>161028</v>
      </c>
      <c r="Z20" s="177">
        <v>104000</v>
      </c>
      <c r="AA20" s="177">
        <v>106200</v>
      </c>
      <c r="AB20" s="170">
        <v>117000</v>
      </c>
      <c r="AC20" s="177">
        <v>141700</v>
      </c>
      <c r="AD20" s="177">
        <v>141700</v>
      </c>
      <c r="AE20" s="177">
        <v>148500</v>
      </c>
      <c r="AF20" s="177">
        <v>151500</v>
      </c>
      <c r="AG20" s="177">
        <v>53524</v>
      </c>
      <c r="AH20" s="177">
        <v>54884</v>
      </c>
      <c r="AI20" s="177">
        <v>72600</v>
      </c>
      <c r="AJ20" s="177">
        <v>76700</v>
      </c>
      <c r="AK20" s="177">
        <v>72600</v>
      </c>
      <c r="AL20" s="177">
        <v>76700</v>
      </c>
      <c r="AM20" s="177">
        <v>78500</v>
      </c>
      <c r="AN20" s="177">
        <v>83900</v>
      </c>
      <c r="AO20" s="177">
        <v>86500</v>
      </c>
      <c r="AP20" s="177">
        <v>95100</v>
      </c>
      <c r="AQ20" s="202">
        <v>46720</v>
      </c>
      <c r="AR20" s="202">
        <v>49895</v>
      </c>
      <c r="AS20" s="202">
        <v>52390</v>
      </c>
      <c r="AT20" s="202">
        <v>52390</v>
      </c>
      <c r="AU20" s="202">
        <v>53070</v>
      </c>
      <c r="AV20" s="189">
        <v>56472</v>
      </c>
      <c r="AW20" s="189">
        <v>58105</v>
      </c>
      <c r="AX20" s="189">
        <v>52390</v>
      </c>
      <c r="AY20" s="189">
        <v>58105</v>
      </c>
      <c r="AZ20" s="189">
        <v>56472</v>
      </c>
      <c r="BA20" s="189">
        <v>62142</v>
      </c>
      <c r="BB20" s="189">
        <v>62823</v>
      </c>
      <c r="BC20" s="189">
        <v>64637</v>
      </c>
      <c r="BD20" s="189">
        <v>52390</v>
      </c>
      <c r="BE20" s="189">
        <v>56245</v>
      </c>
      <c r="BF20" s="189">
        <v>70080</v>
      </c>
      <c r="BG20" s="189">
        <v>70534</v>
      </c>
      <c r="BH20" s="189">
        <v>79016</v>
      </c>
      <c r="BI20" s="189">
        <v>85139</v>
      </c>
      <c r="BJ20" s="189">
        <v>77564</v>
      </c>
      <c r="BK20" s="189">
        <v>79015</v>
      </c>
      <c r="BL20" s="189">
        <v>80285</v>
      </c>
      <c r="BM20" s="189">
        <v>82644</v>
      </c>
      <c r="BN20" s="189">
        <v>82644</v>
      </c>
      <c r="BO20" s="189">
        <v>88314</v>
      </c>
      <c r="BP20" s="189">
        <v>89765</v>
      </c>
      <c r="BQ20" s="189">
        <v>82644</v>
      </c>
      <c r="BR20" s="189">
        <v>88314</v>
      </c>
      <c r="BS20" s="189">
        <v>113400</v>
      </c>
      <c r="BT20" s="170">
        <v>115650</v>
      </c>
      <c r="BU20" s="170">
        <v>108850</v>
      </c>
      <c r="BV20" s="170">
        <v>115650</v>
      </c>
      <c r="BW20" s="170">
        <v>113400</v>
      </c>
      <c r="BX20" s="170">
        <v>116650</v>
      </c>
      <c r="BY20" s="170">
        <v>122470</v>
      </c>
      <c r="BZ20" s="170">
        <v>122470</v>
      </c>
      <c r="CA20" s="170">
        <v>122470</v>
      </c>
      <c r="CB20" s="170">
        <v>122470</v>
      </c>
      <c r="CC20" s="170">
        <v>127913</v>
      </c>
      <c r="CD20" s="189">
        <v>136078</v>
      </c>
      <c r="CE20" s="189">
        <v>140614</v>
      </c>
      <c r="CF20" s="189">
        <v>142882</v>
      </c>
      <c r="CG20" s="189">
        <v>140614</v>
      </c>
      <c r="CH20" s="189">
        <v>142882</v>
      </c>
      <c r="CI20" s="189">
        <v>151954</v>
      </c>
      <c r="CJ20" s="189">
        <v>159211</v>
      </c>
      <c r="CK20" s="189">
        <v>172365</v>
      </c>
      <c r="CL20" s="189">
        <v>175540</v>
      </c>
      <c r="CM20" s="177">
        <v>132000</v>
      </c>
      <c r="CN20" s="177">
        <v>132000</v>
      </c>
      <c r="CO20" s="177">
        <v>138600</v>
      </c>
      <c r="CP20" s="177">
        <v>142000</v>
      </c>
      <c r="CQ20" s="177">
        <v>142000</v>
      </c>
      <c r="CR20" s="177">
        <v>150000</v>
      </c>
      <c r="CS20" s="177">
        <v>153000</v>
      </c>
      <c r="CT20" s="177">
        <v>160000</v>
      </c>
      <c r="CU20" s="177">
        <v>164000</v>
      </c>
      <c r="CV20" s="177">
        <v>59000</v>
      </c>
      <c r="CW20" s="177">
        <v>59000</v>
      </c>
      <c r="CX20" s="177">
        <v>68000</v>
      </c>
      <c r="CY20" s="177">
        <v>68000</v>
      </c>
      <c r="CZ20" s="177">
        <v>64000</v>
      </c>
      <c r="DA20" s="177">
        <v>75500</v>
      </c>
      <c r="DB20" s="177">
        <v>75500</v>
      </c>
      <c r="DC20" s="177">
        <v>75500</v>
      </c>
      <c r="DD20" s="177">
        <v>75500</v>
      </c>
      <c r="DE20" s="177">
        <v>64000</v>
      </c>
      <c r="DF20" s="177">
        <v>75500</v>
      </c>
      <c r="DG20" s="177">
        <v>64000</v>
      </c>
      <c r="DH20" s="177">
        <v>73500</v>
      </c>
      <c r="DI20" s="177">
        <v>73500</v>
      </c>
      <c r="DJ20" s="177">
        <v>78000</v>
      </c>
      <c r="DK20" s="177">
        <v>73500</v>
      </c>
      <c r="DL20" s="177">
        <v>78000</v>
      </c>
      <c r="DM20" s="177">
        <v>73500</v>
      </c>
      <c r="DN20" s="177">
        <v>79000</v>
      </c>
      <c r="DO20" s="177">
        <v>79000</v>
      </c>
      <c r="DP20" s="177">
        <v>73500</v>
      </c>
      <c r="DQ20" s="177">
        <v>79000</v>
      </c>
      <c r="DR20" s="177">
        <v>79000</v>
      </c>
      <c r="DS20" s="177">
        <v>83000</v>
      </c>
      <c r="DT20" s="177">
        <v>83000</v>
      </c>
      <c r="DU20" s="177">
        <v>89000</v>
      </c>
      <c r="DV20" s="177">
        <v>93500</v>
      </c>
      <c r="DW20" s="177">
        <v>93500</v>
      </c>
      <c r="DX20" s="177">
        <v>89000</v>
      </c>
      <c r="DY20" s="177">
        <v>93500</v>
      </c>
      <c r="DZ20" s="177">
        <v>93500</v>
      </c>
      <c r="EA20" s="177">
        <v>97000</v>
      </c>
      <c r="EB20" s="177">
        <v>101000</v>
      </c>
      <c r="EC20" s="177">
        <v>101000</v>
      </c>
      <c r="ED20" s="170">
        <v>35990</v>
      </c>
      <c r="EE20" s="170">
        <v>37200</v>
      </c>
      <c r="EF20" s="170">
        <v>38600</v>
      </c>
      <c r="EG20" s="170">
        <v>37500</v>
      </c>
      <c r="EH20" s="170">
        <v>38790</v>
      </c>
      <c r="EI20" s="170">
        <v>40370</v>
      </c>
      <c r="EJ20" s="170">
        <v>47790</v>
      </c>
      <c r="EK20" s="170">
        <v>50300</v>
      </c>
      <c r="EL20" s="170">
        <v>51800</v>
      </c>
      <c r="EM20" s="170">
        <v>48790</v>
      </c>
      <c r="EN20" s="170">
        <v>50790</v>
      </c>
      <c r="EO20" s="170">
        <v>52290</v>
      </c>
      <c r="EP20" s="170">
        <v>19000</v>
      </c>
      <c r="EQ20" s="170">
        <v>20000</v>
      </c>
      <c r="ER20" s="189">
        <v>21100</v>
      </c>
      <c r="ES20" s="189">
        <v>20990</v>
      </c>
      <c r="ET20" s="189">
        <v>22000</v>
      </c>
      <c r="EU20" s="170">
        <v>24100</v>
      </c>
      <c r="EV20" s="189">
        <v>44600</v>
      </c>
      <c r="EW20" s="189">
        <v>56400</v>
      </c>
      <c r="EX20" s="189">
        <v>56400</v>
      </c>
      <c r="EY20" s="189">
        <v>61500</v>
      </c>
      <c r="EZ20" s="170">
        <v>21523</v>
      </c>
      <c r="FA20" s="170">
        <v>23133</v>
      </c>
      <c r="FB20" s="170">
        <v>24041</v>
      </c>
      <c r="FC20" s="170">
        <v>23133</v>
      </c>
      <c r="FD20" s="170">
        <v>24041</v>
      </c>
      <c r="FE20" s="170">
        <v>32999</v>
      </c>
      <c r="FF20" s="170">
        <v>38329</v>
      </c>
      <c r="FG20" s="170">
        <v>38329</v>
      </c>
      <c r="FH20" s="170">
        <v>41640</v>
      </c>
    </row>
    <row r="21" spans="1:164" s="23" customFormat="1" ht="12.75">
      <c r="A21" s="177" t="s">
        <v>2616</v>
      </c>
      <c r="B21" s="177">
        <v>22104</v>
      </c>
      <c r="C21" s="177">
        <v>24242</v>
      </c>
      <c r="D21" s="177">
        <v>22129</v>
      </c>
      <c r="E21" s="177">
        <v>22129</v>
      </c>
      <c r="F21" s="177">
        <v>22129</v>
      </c>
      <c r="G21" s="177">
        <v>26426</v>
      </c>
      <c r="H21" s="177">
        <v>22126</v>
      </c>
      <c r="I21" s="177">
        <v>26422</v>
      </c>
      <c r="J21" s="177">
        <v>13979</v>
      </c>
      <c r="K21" s="177">
        <v>13926</v>
      </c>
      <c r="L21" s="177">
        <v>13926</v>
      </c>
      <c r="M21" s="177">
        <v>13926</v>
      </c>
      <c r="N21" s="177">
        <v>13926</v>
      </c>
      <c r="O21" s="177">
        <v>66245</v>
      </c>
      <c r="P21" s="177">
        <v>66245</v>
      </c>
      <c r="Q21" s="177">
        <v>88552</v>
      </c>
      <c r="R21" s="177">
        <v>88552</v>
      </c>
      <c r="S21" s="177">
        <v>88552</v>
      </c>
      <c r="T21" s="177">
        <v>88552</v>
      </c>
      <c r="U21" s="177">
        <v>91891</v>
      </c>
      <c r="V21" s="177">
        <v>91891</v>
      </c>
      <c r="W21" s="177">
        <v>88552</v>
      </c>
      <c r="X21" s="177">
        <v>91891</v>
      </c>
      <c r="Y21" s="177">
        <v>91891</v>
      </c>
      <c r="Z21" s="177">
        <v>60900</v>
      </c>
      <c r="AA21" s="177">
        <v>60900</v>
      </c>
      <c r="AB21" s="177">
        <v>65590</v>
      </c>
      <c r="AC21" s="177">
        <v>90160</v>
      </c>
      <c r="AD21" s="177">
        <v>90160</v>
      </c>
      <c r="AE21" s="177">
        <v>90290</v>
      </c>
      <c r="AF21" s="177">
        <v>90290</v>
      </c>
      <c r="AG21" s="177">
        <v>13903</v>
      </c>
      <c r="AH21" s="203">
        <v>16665</v>
      </c>
      <c r="AI21" s="177">
        <v>29069</v>
      </c>
      <c r="AJ21" s="177">
        <v>29069</v>
      </c>
      <c r="AK21" s="177">
        <v>29069</v>
      </c>
      <c r="AL21" s="177">
        <v>29069</v>
      </c>
      <c r="AM21" s="177">
        <v>30620</v>
      </c>
      <c r="AN21" s="177">
        <v>30620</v>
      </c>
      <c r="AO21" s="177">
        <v>33762</v>
      </c>
      <c r="AP21" s="177">
        <v>40064</v>
      </c>
      <c r="AQ21" s="170">
        <v>13420</v>
      </c>
      <c r="AR21" s="170">
        <v>18090</v>
      </c>
      <c r="AS21" s="170">
        <v>18090</v>
      </c>
      <c r="AT21" s="170">
        <v>19530</v>
      </c>
      <c r="AU21" s="170">
        <v>19530</v>
      </c>
      <c r="AV21" s="189">
        <v>21007</v>
      </c>
      <c r="AW21" s="170">
        <v>22600</v>
      </c>
      <c r="AX21" s="170">
        <v>19531</v>
      </c>
      <c r="AY21" s="170">
        <v>19531</v>
      </c>
      <c r="AZ21" s="189">
        <v>20102</v>
      </c>
      <c r="BA21" s="189">
        <v>21964</v>
      </c>
      <c r="BB21" s="189">
        <v>20102</v>
      </c>
      <c r="BC21" s="189">
        <v>21964</v>
      </c>
      <c r="BD21" s="170">
        <v>20103</v>
      </c>
      <c r="BE21" s="189">
        <v>26022</v>
      </c>
      <c r="BF21" s="189">
        <v>26022</v>
      </c>
      <c r="BG21" s="189">
        <v>26022</v>
      </c>
      <c r="BH21" s="189">
        <v>26022</v>
      </c>
      <c r="BI21" s="189">
        <v>29666</v>
      </c>
      <c r="BJ21" s="170">
        <v>33611</v>
      </c>
      <c r="BK21" s="170">
        <v>37538</v>
      </c>
      <c r="BL21" s="170">
        <v>25816</v>
      </c>
      <c r="BM21" s="170">
        <v>25817</v>
      </c>
      <c r="BN21" s="170">
        <v>25817</v>
      </c>
      <c r="BO21" s="170">
        <v>25817</v>
      </c>
      <c r="BP21" s="170">
        <v>25817</v>
      </c>
      <c r="BQ21" s="170">
        <v>35302</v>
      </c>
      <c r="BR21" s="170">
        <v>35303</v>
      </c>
      <c r="BS21" s="170">
        <v>42680</v>
      </c>
      <c r="BT21" s="170">
        <v>42680</v>
      </c>
      <c r="BU21" s="170">
        <v>42680</v>
      </c>
      <c r="BV21" s="170">
        <v>42680</v>
      </c>
      <c r="BW21" s="170">
        <v>42680</v>
      </c>
      <c r="BX21" s="170">
        <v>42680</v>
      </c>
      <c r="BY21" s="170">
        <v>43495</v>
      </c>
      <c r="BZ21" s="170">
        <v>43495</v>
      </c>
      <c r="CA21" s="170">
        <v>43495</v>
      </c>
      <c r="CB21" s="170">
        <v>43495</v>
      </c>
      <c r="CC21" s="189">
        <v>45955</v>
      </c>
      <c r="CD21" s="189">
        <v>63217</v>
      </c>
      <c r="CE21" s="189">
        <v>63217</v>
      </c>
      <c r="CF21" s="189">
        <v>63217</v>
      </c>
      <c r="CG21" s="189">
        <v>63217</v>
      </c>
      <c r="CH21" s="189">
        <v>63217</v>
      </c>
      <c r="CI21" s="189">
        <v>63216</v>
      </c>
      <c r="CJ21" s="189">
        <v>77752</v>
      </c>
      <c r="CK21" s="189">
        <v>91380</v>
      </c>
      <c r="CL21" s="189">
        <v>91380</v>
      </c>
      <c r="CM21" s="177">
        <v>61070</v>
      </c>
      <c r="CN21" s="177">
        <v>61070</v>
      </c>
      <c r="CO21" s="177">
        <v>61070</v>
      </c>
      <c r="CP21" s="177">
        <v>61070</v>
      </c>
      <c r="CQ21" s="177">
        <v>61070</v>
      </c>
      <c r="CR21" s="177">
        <v>61070</v>
      </c>
      <c r="CS21" s="177">
        <v>61070</v>
      </c>
      <c r="CT21" s="177">
        <v>61070</v>
      </c>
      <c r="CU21" s="177">
        <v>61070</v>
      </c>
      <c r="CV21" s="177">
        <v>24209</v>
      </c>
      <c r="CW21" s="177">
        <v>24209</v>
      </c>
      <c r="CX21" s="177">
        <v>24209</v>
      </c>
      <c r="CY21" s="177">
        <v>24209</v>
      </c>
      <c r="CZ21" s="177">
        <v>24209</v>
      </c>
      <c r="DA21" s="177">
        <v>24209</v>
      </c>
      <c r="DB21" s="177">
        <v>24209</v>
      </c>
      <c r="DC21" s="177">
        <v>24209</v>
      </c>
      <c r="DD21" s="177">
        <v>24209</v>
      </c>
      <c r="DE21" s="177">
        <v>23740</v>
      </c>
      <c r="DF21" s="177">
        <v>23740</v>
      </c>
      <c r="DG21" s="177">
        <v>23740</v>
      </c>
      <c r="DH21" s="177">
        <v>24209</v>
      </c>
      <c r="DI21" s="177">
        <v>24209</v>
      </c>
      <c r="DJ21" s="177">
        <v>24209</v>
      </c>
      <c r="DK21" s="177">
        <v>23859</v>
      </c>
      <c r="DL21" s="177">
        <v>23859</v>
      </c>
      <c r="DM21" s="177">
        <v>23740</v>
      </c>
      <c r="DN21" s="177">
        <v>23740</v>
      </c>
      <c r="DO21" s="177">
        <v>23740</v>
      </c>
      <c r="DP21" s="177">
        <v>23740</v>
      </c>
      <c r="DQ21" s="177">
        <v>23740</v>
      </c>
      <c r="DR21" s="177">
        <v>23740</v>
      </c>
      <c r="DS21" s="177">
        <v>24050</v>
      </c>
      <c r="DT21" s="177">
        <v>23700</v>
      </c>
      <c r="DU21" s="177">
        <v>24050</v>
      </c>
      <c r="DV21" s="177">
        <v>24050</v>
      </c>
      <c r="DW21" s="177">
        <v>23700</v>
      </c>
      <c r="DX21" s="177">
        <v>23490</v>
      </c>
      <c r="DY21" s="177">
        <v>23490</v>
      </c>
      <c r="DZ21" s="177">
        <v>23490</v>
      </c>
      <c r="EA21" s="177">
        <v>32943</v>
      </c>
      <c r="EB21" s="177">
        <v>39748</v>
      </c>
      <c r="EC21" s="177">
        <v>39748</v>
      </c>
      <c r="ED21" s="170">
        <v>11625</v>
      </c>
      <c r="EE21" s="170">
        <v>11625</v>
      </c>
      <c r="EF21" s="170">
        <v>11625</v>
      </c>
      <c r="EG21" s="170">
        <v>11625</v>
      </c>
      <c r="EH21" s="170">
        <v>11625</v>
      </c>
      <c r="EI21" s="170">
        <v>11625</v>
      </c>
      <c r="EJ21" s="170">
        <v>16153</v>
      </c>
      <c r="EK21" s="170">
        <v>16153</v>
      </c>
      <c r="EL21" s="170">
        <v>16153</v>
      </c>
      <c r="EM21" s="170">
        <v>16153</v>
      </c>
      <c r="EN21" s="170">
        <v>16153</v>
      </c>
      <c r="EO21" s="170">
        <v>16153</v>
      </c>
      <c r="EP21" s="170">
        <v>5146</v>
      </c>
      <c r="EQ21" s="170">
        <v>5146</v>
      </c>
      <c r="ER21" s="189">
        <v>6396</v>
      </c>
      <c r="ES21" s="189">
        <v>5153</v>
      </c>
      <c r="ET21" s="189">
        <v>5786</v>
      </c>
      <c r="EU21" s="189">
        <v>7438</v>
      </c>
      <c r="EV21" s="170">
        <v>10612.7</v>
      </c>
      <c r="EW21" s="170">
        <f>EW22/0.803</f>
        <v>17048.567870485676</v>
      </c>
      <c r="EX21" s="170">
        <f>EX22/0.803</f>
        <v>17048.567870485676</v>
      </c>
      <c r="EY21" s="170">
        <f>EY22/0.803</f>
        <v>17048.567870485676</v>
      </c>
      <c r="EZ21" s="170">
        <v>5300</v>
      </c>
      <c r="FA21" s="170">
        <v>8081</v>
      </c>
      <c r="FB21" s="170">
        <v>8081</v>
      </c>
      <c r="FC21" s="170">
        <v>8081</v>
      </c>
      <c r="FD21" s="170">
        <v>8081</v>
      </c>
      <c r="FE21" s="170">
        <v>10989</v>
      </c>
      <c r="FF21" s="170">
        <v>10989</v>
      </c>
      <c r="FG21" s="199">
        <v>10989</v>
      </c>
      <c r="FH21" s="170">
        <v>10989</v>
      </c>
    </row>
    <row r="22" spans="1:164" s="23" customFormat="1" ht="12.75">
      <c r="A22" s="204" t="s">
        <v>2617</v>
      </c>
      <c r="B22" s="205">
        <v>17748</v>
      </c>
      <c r="C22" s="205">
        <v>19457</v>
      </c>
      <c r="D22" s="205">
        <v>17766</v>
      </c>
      <c r="E22" s="205">
        <v>17766</v>
      </c>
      <c r="F22" s="205">
        <v>17766</v>
      </c>
      <c r="G22" s="205">
        <v>21216</v>
      </c>
      <c r="H22" s="205">
        <v>17764</v>
      </c>
      <c r="I22" s="205">
        <v>21213</v>
      </c>
      <c r="J22" s="205">
        <v>11223</v>
      </c>
      <c r="K22" s="205">
        <v>11181</v>
      </c>
      <c r="L22" s="205">
        <v>11181</v>
      </c>
      <c r="M22" s="205">
        <v>11181</v>
      </c>
      <c r="N22" s="205">
        <v>11181</v>
      </c>
      <c r="O22" s="206">
        <v>53183.94</v>
      </c>
      <c r="P22" s="206">
        <v>53183.94</v>
      </c>
      <c r="Q22" s="206">
        <v>71092.83</v>
      </c>
      <c r="R22" s="206">
        <v>71092.83</v>
      </c>
      <c r="S22" s="206">
        <v>71092.83</v>
      </c>
      <c r="T22" s="206">
        <v>71092.83</v>
      </c>
      <c r="U22" s="206">
        <v>73773.5</v>
      </c>
      <c r="V22" s="206">
        <v>73773.5</v>
      </c>
      <c r="W22" s="206">
        <v>71092.83</v>
      </c>
      <c r="X22" s="206">
        <v>73773.5</v>
      </c>
      <c r="Y22" s="206">
        <v>73773.5</v>
      </c>
      <c r="Z22" s="206">
        <v>48892.78</v>
      </c>
      <c r="AA22" s="206">
        <v>48892.78</v>
      </c>
      <c r="AB22" s="207">
        <v>52658.080000000002</v>
      </c>
      <c r="AC22" s="206">
        <v>72383.789999999994</v>
      </c>
      <c r="AD22" s="206">
        <v>72383.789999999994</v>
      </c>
      <c r="AE22" s="206">
        <v>72488.160000000003</v>
      </c>
      <c r="AF22" s="206">
        <v>72488.160000000003</v>
      </c>
      <c r="AG22" s="205">
        <v>11163</v>
      </c>
      <c r="AH22" s="205">
        <v>13382</v>
      </c>
      <c r="AI22" s="205">
        <v>23360</v>
      </c>
      <c r="AJ22" s="205">
        <v>23360</v>
      </c>
      <c r="AK22" s="205">
        <v>23360</v>
      </c>
      <c r="AL22" s="205">
        <v>23360</v>
      </c>
      <c r="AM22" s="205">
        <v>24600</v>
      </c>
      <c r="AN22" s="205">
        <v>24600</v>
      </c>
      <c r="AO22" s="206">
        <v>27105.39</v>
      </c>
      <c r="AP22" s="206">
        <v>32164.86</v>
      </c>
      <c r="AQ22" s="205">
        <v>10758</v>
      </c>
      <c r="AR22" s="205">
        <v>14527</v>
      </c>
      <c r="AS22" s="205">
        <v>14527</v>
      </c>
      <c r="AT22" s="205">
        <v>15682</v>
      </c>
      <c r="AU22" s="205">
        <v>15682</v>
      </c>
      <c r="AV22" s="205">
        <v>16867</v>
      </c>
      <c r="AW22" s="205">
        <v>18143</v>
      </c>
      <c r="AX22" s="205">
        <v>15682</v>
      </c>
      <c r="AY22" s="205">
        <v>15682</v>
      </c>
      <c r="AZ22" s="205">
        <v>16141</v>
      </c>
      <c r="BA22" s="205">
        <v>17636</v>
      </c>
      <c r="BB22" s="205">
        <v>16141</v>
      </c>
      <c r="BC22" s="205">
        <v>17636</v>
      </c>
      <c r="BD22" s="208">
        <v>16141</v>
      </c>
      <c r="BE22" s="205">
        <v>20894</v>
      </c>
      <c r="BF22" s="205">
        <v>20894</v>
      </c>
      <c r="BG22" s="205">
        <v>20894</v>
      </c>
      <c r="BH22" s="205">
        <v>20894</v>
      </c>
      <c r="BI22" s="205">
        <v>23817</v>
      </c>
      <c r="BJ22" s="205">
        <v>27095</v>
      </c>
      <c r="BK22" s="205">
        <v>30214</v>
      </c>
      <c r="BL22" s="188">
        <v>20730</v>
      </c>
      <c r="BM22" s="205">
        <v>20730</v>
      </c>
      <c r="BN22" s="205">
        <v>20730</v>
      </c>
      <c r="BO22" s="205">
        <v>20730</v>
      </c>
      <c r="BP22" s="205">
        <v>20730</v>
      </c>
      <c r="BQ22" s="205">
        <v>28347</v>
      </c>
      <c r="BR22" s="205">
        <v>28342</v>
      </c>
      <c r="BS22" s="188">
        <v>34260</v>
      </c>
      <c r="BT22" s="188">
        <v>34260</v>
      </c>
      <c r="BU22" s="188">
        <v>34260</v>
      </c>
      <c r="BV22" s="188">
        <v>34260</v>
      </c>
      <c r="BW22" s="188">
        <v>34260</v>
      </c>
      <c r="BX22" s="188">
        <v>34260</v>
      </c>
      <c r="BY22" s="170">
        <v>34930</v>
      </c>
      <c r="BZ22" s="170">
        <v>34930</v>
      </c>
      <c r="CA22" s="170">
        <v>34930</v>
      </c>
      <c r="CB22" s="170">
        <v>34930</v>
      </c>
      <c r="CC22" s="170">
        <v>36894</v>
      </c>
      <c r="CD22" s="170">
        <v>50753</v>
      </c>
      <c r="CE22" s="170">
        <v>50753</v>
      </c>
      <c r="CF22" s="170">
        <v>50753</v>
      </c>
      <c r="CG22" s="170">
        <v>50753</v>
      </c>
      <c r="CH22" s="170">
        <v>50753</v>
      </c>
      <c r="CI22" s="170">
        <v>50752</v>
      </c>
      <c r="CJ22" s="189">
        <v>62422</v>
      </c>
      <c r="CK22" s="189">
        <v>73363</v>
      </c>
      <c r="CL22" s="189">
        <v>73363</v>
      </c>
      <c r="CM22" s="206">
        <v>47940</v>
      </c>
      <c r="CN22" s="206">
        <v>47940</v>
      </c>
      <c r="CO22" s="206">
        <v>47940</v>
      </c>
      <c r="CP22" s="206">
        <v>47940</v>
      </c>
      <c r="CQ22" s="206">
        <v>47940</v>
      </c>
      <c r="CR22" s="206">
        <v>47940</v>
      </c>
      <c r="CS22" s="206">
        <v>47940</v>
      </c>
      <c r="CT22" s="206">
        <v>47940</v>
      </c>
      <c r="CU22" s="206">
        <v>47940</v>
      </c>
      <c r="CV22" s="205">
        <v>19476.02</v>
      </c>
      <c r="CW22" s="205">
        <v>19476.02</v>
      </c>
      <c r="CX22" s="205">
        <v>19476.02</v>
      </c>
      <c r="CY22" s="205">
        <v>19476.02</v>
      </c>
      <c r="CZ22" s="206">
        <v>19435.88</v>
      </c>
      <c r="DA22" s="206">
        <v>19435.88</v>
      </c>
      <c r="DB22" s="206">
        <v>19435.88</v>
      </c>
      <c r="DC22" s="206">
        <v>19435.88</v>
      </c>
      <c r="DD22" s="206">
        <v>19435.88</v>
      </c>
      <c r="DE22" s="206">
        <v>19059.349999999999</v>
      </c>
      <c r="DF22" s="206">
        <v>19059.349999999999</v>
      </c>
      <c r="DG22" s="206">
        <v>19059.349999999999</v>
      </c>
      <c r="DH22" s="206">
        <v>19435.88</v>
      </c>
      <c r="DI22" s="206">
        <v>19435.88</v>
      </c>
      <c r="DJ22" s="206">
        <v>19435.88</v>
      </c>
      <c r="DK22" s="206">
        <v>19154.89</v>
      </c>
      <c r="DL22" s="206">
        <v>19154.89</v>
      </c>
      <c r="DM22" s="206">
        <v>19059.349999999999</v>
      </c>
      <c r="DN22" s="206">
        <v>19059.349999999999</v>
      </c>
      <c r="DO22" s="206">
        <v>19059.349999999999</v>
      </c>
      <c r="DP22" s="206">
        <v>19059.349999999999</v>
      </c>
      <c r="DQ22" s="206">
        <v>19059.349999999999</v>
      </c>
      <c r="DR22" s="206">
        <v>19059.349999999999</v>
      </c>
      <c r="DS22" s="206">
        <v>19308.23</v>
      </c>
      <c r="DT22" s="206">
        <v>19027.240000000002</v>
      </c>
      <c r="DU22" s="206">
        <v>19308.23</v>
      </c>
      <c r="DV22" s="206">
        <v>19308.23</v>
      </c>
      <c r="DW22" s="206">
        <v>19027.240000000002</v>
      </c>
      <c r="DX22" s="206">
        <v>18858.64</v>
      </c>
      <c r="DY22" s="206">
        <v>18858.64</v>
      </c>
      <c r="DZ22" s="206">
        <v>18858.64</v>
      </c>
      <c r="EA22" s="206">
        <v>26447.86</v>
      </c>
      <c r="EB22" s="206">
        <v>31911.17</v>
      </c>
      <c r="EC22" s="206">
        <v>31911.17</v>
      </c>
      <c r="ED22" s="170">
        <v>9335</v>
      </c>
      <c r="EE22" s="170">
        <v>9335</v>
      </c>
      <c r="EF22" s="170">
        <v>9335</v>
      </c>
      <c r="EG22" s="170">
        <v>9335</v>
      </c>
      <c r="EH22" s="170">
        <v>9335</v>
      </c>
      <c r="EI22" s="170">
        <v>9335</v>
      </c>
      <c r="EJ22" s="170">
        <v>12971</v>
      </c>
      <c r="EK22" s="170">
        <v>12971</v>
      </c>
      <c r="EL22" s="170">
        <v>12971</v>
      </c>
      <c r="EM22" s="170">
        <v>12971</v>
      </c>
      <c r="EN22" s="170">
        <v>12971</v>
      </c>
      <c r="EO22" s="170">
        <v>12971</v>
      </c>
      <c r="EP22" s="170">
        <v>4132</v>
      </c>
      <c r="EQ22" s="170">
        <v>4132</v>
      </c>
      <c r="ER22" s="189">
        <v>5136</v>
      </c>
      <c r="ES22" s="189">
        <v>4132</v>
      </c>
      <c r="ET22" s="189">
        <v>5136</v>
      </c>
      <c r="EU22" s="189">
        <v>5973</v>
      </c>
      <c r="EV22" s="189">
        <v>8522</v>
      </c>
      <c r="EW22" s="189">
        <v>13690</v>
      </c>
      <c r="EX22" s="189">
        <v>13690</v>
      </c>
      <c r="EY22" s="189">
        <v>13690</v>
      </c>
      <c r="EZ22" s="209">
        <v>4255.04</v>
      </c>
      <c r="FA22" s="209">
        <v>6487.73</v>
      </c>
      <c r="FB22" s="209">
        <v>6487.73</v>
      </c>
      <c r="FC22" s="209">
        <v>6487.73</v>
      </c>
      <c r="FD22" s="209">
        <v>6487.73</v>
      </c>
      <c r="FE22" s="170">
        <v>8784.5</v>
      </c>
      <c r="FF22" s="170">
        <v>8784.5</v>
      </c>
      <c r="FG22" s="199">
        <v>8784.5</v>
      </c>
      <c r="FH22" s="170">
        <v>8718.5</v>
      </c>
    </row>
    <row r="23" spans="1:164" s="23" customFormat="1" ht="12.75">
      <c r="A23" s="177" t="s">
        <v>2618</v>
      </c>
      <c r="B23" s="170">
        <f t="shared" ref="B23:BM23" si="20">100*(B22/B20)</f>
        <v>25.081967213114751</v>
      </c>
      <c r="C23" s="170">
        <f t="shared" si="20"/>
        <v>25.532780431473412</v>
      </c>
      <c r="D23" s="170">
        <f t="shared" si="20"/>
        <v>27.976190476190478</v>
      </c>
      <c r="E23" s="170">
        <f t="shared" si="20"/>
        <v>26.198902849053262</v>
      </c>
      <c r="F23" s="170">
        <f t="shared" si="20"/>
        <v>26.198902849053262</v>
      </c>
      <c r="G23" s="170">
        <f t="shared" si="20"/>
        <v>29.233207027213226</v>
      </c>
      <c r="H23" s="170">
        <f t="shared" si="20"/>
        <v>27.973481567799947</v>
      </c>
      <c r="I23" s="170">
        <f t="shared" si="20"/>
        <v>31.282073969208991</v>
      </c>
      <c r="J23" s="170">
        <f t="shared" si="20"/>
        <v>27.279356359835688</v>
      </c>
      <c r="K23" s="170">
        <f t="shared" si="20"/>
        <v>24.650014330121916</v>
      </c>
      <c r="L23" s="170">
        <f t="shared" si="20"/>
        <v>22.823956887400996</v>
      </c>
      <c r="M23" s="170">
        <f t="shared" si="20"/>
        <v>21.622510152775092</v>
      </c>
      <c r="N23" s="170">
        <f t="shared" si="20"/>
        <v>20.371686253074611</v>
      </c>
      <c r="O23" s="170">
        <f t="shared" si="20"/>
        <v>42.959563812600969</v>
      </c>
      <c r="P23" s="170">
        <f t="shared" si="20"/>
        <v>42.479185303514377</v>
      </c>
      <c r="Q23" s="170">
        <f t="shared" si="20"/>
        <v>49.755626942134882</v>
      </c>
      <c r="R23" s="170">
        <f t="shared" si="20"/>
        <v>49.755626942134882</v>
      </c>
      <c r="S23" s="170">
        <f t="shared" si="20"/>
        <v>48.224684574684574</v>
      </c>
      <c r="T23" s="170">
        <f t="shared" si="20"/>
        <v>48.224684574684574</v>
      </c>
      <c r="U23" s="170">
        <f t="shared" si="20"/>
        <v>46.468568909045096</v>
      </c>
      <c r="V23" s="170">
        <f t="shared" si="20"/>
        <v>45.814082023002214</v>
      </c>
      <c r="W23" s="170">
        <f t="shared" si="20"/>
        <v>48.224684574684574</v>
      </c>
      <c r="X23" s="170">
        <f t="shared" si="20"/>
        <v>48.549251099002348</v>
      </c>
      <c r="Y23" s="170">
        <f t="shared" si="20"/>
        <v>45.814082023002214</v>
      </c>
      <c r="Z23" s="170">
        <f t="shared" si="20"/>
        <v>47.012288461538461</v>
      </c>
      <c r="AA23" s="170">
        <f t="shared" si="20"/>
        <v>46.03839924670433</v>
      </c>
      <c r="AB23" s="170">
        <f t="shared" si="20"/>
        <v>45.006905982905984</v>
      </c>
      <c r="AC23" s="170">
        <f t="shared" si="20"/>
        <v>51.08242060691601</v>
      </c>
      <c r="AD23" s="170">
        <f t="shared" si="20"/>
        <v>51.08242060691601</v>
      </c>
      <c r="AE23" s="170">
        <f t="shared" si="20"/>
        <v>48.813575757575762</v>
      </c>
      <c r="AF23" s="170">
        <f t="shared" si="20"/>
        <v>47.846970297029706</v>
      </c>
      <c r="AG23" s="170">
        <f t="shared" si="20"/>
        <v>20.856064569165234</v>
      </c>
      <c r="AH23" s="170">
        <f t="shared" si="20"/>
        <v>24.382333649150937</v>
      </c>
      <c r="AI23" s="170">
        <f t="shared" si="20"/>
        <v>32.176308539944905</v>
      </c>
      <c r="AJ23" s="170">
        <f t="shared" si="20"/>
        <v>30.456323337679269</v>
      </c>
      <c r="AK23" s="170">
        <f t="shared" si="20"/>
        <v>32.176308539944905</v>
      </c>
      <c r="AL23" s="170">
        <f t="shared" si="20"/>
        <v>30.456323337679269</v>
      </c>
      <c r="AM23" s="170">
        <f t="shared" si="20"/>
        <v>31.337579617834393</v>
      </c>
      <c r="AN23" s="170">
        <f t="shared" si="20"/>
        <v>29.320619785458881</v>
      </c>
      <c r="AO23" s="170">
        <f t="shared" si="20"/>
        <v>31.335710982658959</v>
      </c>
      <c r="AP23" s="170">
        <f t="shared" si="20"/>
        <v>33.822145110410098</v>
      </c>
      <c r="AQ23" s="170">
        <f t="shared" si="20"/>
        <v>23.026541095890408</v>
      </c>
      <c r="AR23" s="170">
        <f t="shared" si="20"/>
        <v>29.11514179777533</v>
      </c>
      <c r="AS23" s="170">
        <f t="shared" si="20"/>
        <v>27.728574155373163</v>
      </c>
      <c r="AT23" s="170">
        <f t="shared" si="20"/>
        <v>29.933193357510973</v>
      </c>
      <c r="AU23" s="170">
        <f t="shared" si="20"/>
        <v>29.549651403806294</v>
      </c>
      <c r="AV23" s="170">
        <f t="shared" si="20"/>
        <v>29.867899135854937</v>
      </c>
      <c r="AW23" s="170">
        <f t="shared" si="20"/>
        <v>31.224507357370278</v>
      </c>
      <c r="AX23" s="170">
        <f t="shared" si="20"/>
        <v>29.933193357510973</v>
      </c>
      <c r="AY23" s="170">
        <f t="shared" si="20"/>
        <v>26.989071508476037</v>
      </c>
      <c r="AZ23" s="170">
        <f t="shared" si="20"/>
        <v>28.582306275676437</v>
      </c>
      <c r="BA23" s="170">
        <f t="shared" si="20"/>
        <v>28.380161565446883</v>
      </c>
      <c r="BB23" s="170">
        <f t="shared" si="20"/>
        <v>25.69281950877863</v>
      </c>
      <c r="BC23" s="170">
        <f t="shared" si="20"/>
        <v>27.284682147995731</v>
      </c>
      <c r="BD23" s="170">
        <f t="shared" si="20"/>
        <v>30.809314754724181</v>
      </c>
      <c r="BE23" s="170">
        <f t="shared" si="20"/>
        <v>37.148190950306692</v>
      </c>
      <c r="BF23" s="170">
        <f t="shared" si="20"/>
        <v>29.814497716894977</v>
      </c>
      <c r="BG23" s="170">
        <f t="shared" si="20"/>
        <v>29.622593359231008</v>
      </c>
      <c r="BH23" s="170">
        <f t="shared" si="20"/>
        <v>26.442745773007996</v>
      </c>
      <c r="BI23" s="170">
        <f t="shared" si="20"/>
        <v>27.974253867205395</v>
      </c>
      <c r="BJ23" s="170">
        <f t="shared" si="20"/>
        <v>34.932442885874892</v>
      </c>
      <c r="BK23" s="170">
        <f t="shared" si="20"/>
        <v>38.238309181800922</v>
      </c>
      <c r="BL23" s="170">
        <f t="shared" si="20"/>
        <v>25.820514417388058</v>
      </c>
      <c r="BM23" s="170">
        <f t="shared" si="20"/>
        <v>25.083490634528822</v>
      </c>
      <c r="BN23" s="170">
        <f t="shared" ref="BN23:DY23" si="21">100*(BN22/BN20)</f>
        <v>25.083490634528822</v>
      </c>
      <c r="BO23" s="170">
        <f t="shared" si="21"/>
        <v>23.473062028670427</v>
      </c>
      <c r="BP23" s="170">
        <f t="shared" si="21"/>
        <v>23.093633376037431</v>
      </c>
      <c r="BQ23" s="170">
        <f t="shared" si="21"/>
        <v>34.300130680993171</v>
      </c>
      <c r="BR23" s="170">
        <f t="shared" si="21"/>
        <v>32.092306995493352</v>
      </c>
      <c r="BS23" s="170">
        <f t="shared" si="21"/>
        <v>30.211640211640212</v>
      </c>
      <c r="BT23" s="170">
        <f t="shared" si="21"/>
        <v>29.623865110246435</v>
      </c>
      <c r="BU23" s="170">
        <f t="shared" si="21"/>
        <v>31.474506201194302</v>
      </c>
      <c r="BV23" s="170">
        <f t="shared" si="21"/>
        <v>29.623865110246435</v>
      </c>
      <c r="BW23" s="170">
        <f t="shared" si="21"/>
        <v>30.211640211640212</v>
      </c>
      <c r="BX23" s="170">
        <f t="shared" si="21"/>
        <v>29.369909987141018</v>
      </c>
      <c r="BY23" s="170">
        <f t="shared" si="21"/>
        <v>28.52127051522822</v>
      </c>
      <c r="BZ23" s="170">
        <f t="shared" si="21"/>
        <v>28.52127051522822</v>
      </c>
      <c r="CA23" s="170">
        <f t="shared" si="21"/>
        <v>28.52127051522822</v>
      </c>
      <c r="CB23" s="170">
        <f t="shared" si="21"/>
        <v>28.52127051522822</v>
      </c>
      <c r="CC23" s="170">
        <f t="shared" si="21"/>
        <v>28.84304175494281</v>
      </c>
      <c r="CD23" s="170">
        <f t="shared" si="21"/>
        <v>37.296991431384939</v>
      </c>
      <c r="CE23" s="170">
        <f t="shared" si="21"/>
        <v>36.093845563030705</v>
      </c>
      <c r="CF23" s="170">
        <f t="shared" si="21"/>
        <v>35.520919360031357</v>
      </c>
      <c r="CG23" s="170">
        <f t="shared" si="21"/>
        <v>36.093845563030705</v>
      </c>
      <c r="CH23" s="170">
        <f t="shared" si="21"/>
        <v>35.520919360031357</v>
      </c>
      <c r="CI23" s="170">
        <f t="shared" si="21"/>
        <v>33.399581452281609</v>
      </c>
      <c r="CJ23" s="170">
        <f t="shared" si="21"/>
        <v>39.207089962376976</v>
      </c>
      <c r="CK23" s="170">
        <f t="shared" si="21"/>
        <v>42.562585211614888</v>
      </c>
      <c r="CL23" s="170">
        <f t="shared" si="21"/>
        <v>41.792753788310357</v>
      </c>
      <c r="CM23" s="170">
        <f t="shared" si="21"/>
        <v>36.318181818181813</v>
      </c>
      <c r="CN23" s="170">
        <f t="shared" si="21"/>
        <v>36.318181818181813</v>
      </c>
      <c r="CO23" s="170">
        <f t="shared" si="21"/>
        <v>34.588744588744589</v>
      </c>
      <c r="CP23" s="170">
        <f t="shared" si="21"/>
        <v>33.760563380281688</v>
      </c>
      <c r="CQ23" s="170">
        <f t="shared" si="21"/>
        <v>33.760563380281688</v>
      </c>
      <c r="CR23" s="170">
        <f t="shared" si="21"/>
        <v>31.96</v>
      </c>
      <c r="CS23" s="170">
        <f t="shared" si="21"/>
        <v>31.333333333333336</v>
      </c>
      <c r="CT23" s="170">
        <f t="shared" si="21"/>
        <v>29.962499999999999</v>
      </c>
      <c r="CU23" s="170">
        <f t="shared" si="21"/>
        <v>29.23170731707317</v>
      </c>
      <c r="CV23" s="170">
        <f t="shared" si="21"/>
        <v>33.010203389830508</v>
      </c>
      <c r="CW23" s="170">
        <f t="shared" si="21"/>
        <v>33.010203389830508</v>
      </c>
      <c r="CX23" s="170">
        <f t="shared" si="21"/>
        <v>28.641205882352942</v>
      </c>
      <c r="CY23" s="170">
        <f t="shared" si="21"/>
        <v>28.641205882352942</v>
      </c>
      <c r="CZ23" s="170">
        <f t="shared" si="21"/>
        <v>30.368562500000003</v>
      </c>
      <c r="DA23" s="170">
        <f t="shared" si="21"/>
        <v>25.742887417218547</v>
      </c>
      <c r="DB23" s="170">
        <f t="shared" si="21"/>
        <v>25.742887417218547</v>
      </c>
      <c r="DC23" s="170">
        <f t="shared" si="21"/>
        <v>25.742887417218547</v>
      </c>
      <c r="DD23" s="170">
        <f t="shared" si="21"/>
        <v>25.742887417218547</v>
      </c>
      <c r="DE23" s="170">
        <f t="shared" si="21"/>
        <v>29.780234374999999</v>
      </c>
      <c r="DF23" s="170">
        <f t="shared" si="21"/>
        <v>25.244172185430465</v>
      </c>
      <c r="DG23" s="170">
        <f t="shared" si="21"/>
        <v>29.780234374999999</v>
      </c>
      <c r="DH23" s="170">
        <f t="shared" si="21"/>
        <v>26.443374149659864</v>
      </c>
      <c r="DI23" s="170">
        <f t="shared" si="21"/>
        <v>26.443374149659864</v>
      </c>
      <c r="DJ23" s="170">
        <f t="shared" si="21"/>
        <v>24.917794871794875</v>
      </c>
      <c r="DK23" s="170">
        <f t="shared" si="21"/>
        <v>26.061074829931975</v>
      </c>
      <c r="DL23" s="170">
        <f t="shared" si="21"/>
        <v>24.557551282051282</v>
      </c>
      <c r="DM23" s="170">
        <f t="shared" si="21"/>
        <v>25.93108843537415</v>
      </c>
      <c r="DN23" s="170">
        <f t="shared" si="21"/>
        <v>24.125759493670884</v>
      </c>
      <c r="DO23" s="170">
        <f t="shared" si="21"/>
        <v>24.125759493670884</v>
      </c>
      <c r="DP23" s="170">
        <f t="shared" si="21"/>
        <v>25.93108843537415</v>
      </c>
      <c r="DQ23" s="170">
        <f t="shared" si="21"/>
        <v>24.125759493670884</v>
      </c>
      <c r="DR23" s="170">
        <f t="shared" si="21"/>
        <v>24.125759493670884</v>
      </c>
      <c r="DS23" s="170">
        <f t="shared" si="21"/>
        <v>23.262927710843371</v>
      </c>
      <c r="DT23" s="170">
        <f t="shared" si="21"/>
        <v>22.924385542168675</v>
      </c>
      <c r="DU23" s="170">
        <f t="shared" si="21"/>
        <v>21.6946404494382</v>
      </c>
      <c r="DV23" s="170">
        <f t="shared" si="21"/>
        <v>20.650513368983955</v>
      </c>
      <c r="DW23" s="170">
        <f t="shared" si="21"/>
        <v>20.349989304812834</v>
      </c>
      <c r="DX23" s="170">
        <f t="shared" si="21"/>
        <v>21.189483146067413</v>
      </c>
      <c r="DY23" s="170">
        <f t="shared" si="21"/>
        <v>20.169668449197861</v>
      </c>
      <c r="DZ23" s="170">
        <f t="shared" ref="DZ23:EC23" si="22">100*(DZ22/DZ20)</f>
        <v>20.169668449197861</v>
      </c>
      <c r="EA23" s="170">
        <f t="shared" si="22"/>
        <v>27.265835051546393</v>
      </c>
      <c r="EB23" s="170">
        <f t="shared" si="22"/>
        <v>31.595217821782178</v>
      </c>
      <c r="EC23" s="170">
        <f t="shared" si="22"/>
        <v>31.595217821782178</v>
      </c>
      <c r="ED23" s="170">
        <f>100*(ED22/ED20)</f>
        <v>25.937760489024729</v>
      </c>
      <c r="EE23" s="170">
        <f t="shared" ref="EE23:EY23" si="23">100*(EE22/EE20)</f>
        <v>25.094086021505372</v>
      </c>
      <c r="EF23" s="170">
        <f t="shared" si="23"/>
        <v>24.183937823834199</v>
      </c>
      <c r="EG23" s="170">
        <f t="shared" si="23"/>
        <v>24.893333333333334</v>
      </c>
      <c r="EH23" s="170">
        <f t="shared" si="23"/>
        <v>24.065480794019077</v>
      </c>
      <c r="EI23" s="170">
        <f t="shared" si="23"/>
        <v>23.123606638593014</v>
      </c>
      <c r="EJ23" s="170">
        <f t="shared" si="23"/>
        <v>27.141661435446746</v>
      </c>
      <c r="EK23" s="170">
        <f t="shared" si="23"/>
        <v>25.787276341948314</v>
      </c>
      <c r="EL23" s="170">
        <f t="shared" si="23"/>
        <v>25.04054054054054</v>
      </c>
      <c r="EM23" s="170">
        <f t="shared" si="23"/>
        <v>26.585365853658537</v>
      </c>
      <c r="EN23" s="170">
        <f t="shared" si="23"/>
        <v>25.538491829100217</v>
      </c>
      <c r="EO23" s="170">
        <f t="shared" si="23"/>
        <v>24.805890227576974</v>
      </c>
      <c r="EP23" s="170">
        <f t="shared" si="23"/>
        <v>21.747368421052631</v>
      </c>
      <c r="EQ23" s="170">
        <f t="shared" si="23"/>
        <v>20.66</v>
      </c>
      <c r="ER23" s="170">
        <f t="shared" si="23"/>
        <v>24.341232227488153</v>
      </c>
      <c r="ES23" s="170">
        <f t="shared" si="23"/>
        <v>19.685564554549785</v>
      </c>
      <c r="ET23" s="170">
        <f t="shared" si="23"/>
        <v>23.345454545454544</v>
      </c>
      <c r="EU23" s="170">
        <f t="shared" si="23"/>
        <v>24.784232365145229</v>
      </c>
      <c r="EV23" s="170">
        <f t="shared" si="23"/>
        <v>19.107623318385649</v>
      </c>
      <c r="EW23" s="170">
        <f t="shared" si="23"/>
        <v>24.273049645390071</v>
      </c>
      <c r="EX23" s="170">
        <f t="shared" si="23"/>
        <v>24.273049645390071</v>
      </c>
      <c r="EY23" s="170">
        <f t="shared" si="23"/>
        <v>22.260162601626014</v>
      </c>
      <c r="EZ23" s="170">
        <f t="shared" ref="EZ23:FH23" si="24">100*(EZ22/EZ20)</f>
        <v>19.769734702411373</v>
      </c>
      <c r="FA23" s="170">
        <f t="shared" si="24"/>
        <v>28.045346474733062</v>
      </c>
      <c r="FB23" s="170">
        <f t="shared" si="24"/>
        <v>26.986107067093712</v>
      </c>
      <c r="FC23" s="170">
        <f t="shared" si="24"/>
        <v>28.045346474733062</v>
      </c>
      <c r="FD23" s="170">
        <f t="shared" si="24"/>
        <v>26.986107067093712</v>
      </c>
      <c r="FE23" s="170">
        <f t="shared" si="24"/>
        <v>26.620503651625803</v>
      </c>
      <c r="FF23" s="170">
        <f t="shared" si="24"/>
        <v>22.918677763573271</v>
      </c>
      <c r="FG23" s="170">
        <f t="shared" si="24"/>
        <v>22.918677763573271</v>
      </c>
      <c r="FH23" s="170">
        <f t="shared" si="24"/>
        <v>20.93780019212296</v>
      </c>
    </row>
    <row r="24" spans="1:164" s="23" customFormat="1" ht="39">
      <c r="A24" s="177" t="s">
        <v>2619</v>
      </c>
      <c r="B24" s="210" t="s">
        <v>715</v>
      </c>
      <c r="C24" s="210" t="s">
        <v>2620</v>
      </c>
      <c r="D24" s="211" t="s">
        <v>709</v>
      </c>
      <c r="E24" s="210" t="s">
        <v>2621</v>
      </c>
      <c r="F24" s="210" t="s">
        <v>714</v>
      </c>
      <c r="G24" s="210" t="s">
        <v>710</v>
      </c>
      <c r="H24" s="210" t="s">
        <v>2622</v>
      </c>
      <c r="I24" s="210" t="s">
        <v>2622</v>
      </c>
      <c r="J24" s="210" t="s">
        <v>708</v>
      </c>
      <c r="K24" s="210" t="s">
        <v>2623</v>
      </c>
      <c r="L24" s="210" t="s">
        <v>610</v>
      </c>
      <c r="M24" s="210" t="s">
        <v>612</v>
      </c>
      <c r="N24" s="210" t="s">
        <v>613</v>
      </c>
      <c r="O24" s="211" t="s">
        <v>2495</v>
      </c>
      <c r="P24" s="211" t="s">
        <v>605</v>
      </c>
      <c r="Q24" s="211" t="s">
        <v>605</v>
      </c>
      <c r="R24" s="211" t="s">
        <v>2496</v>
      </c>
      <c r="S24" s="211" t="s">
        <v>607</v>
      </c>
      <c r="T24" s="211" t="s">
        <v>607</v>
      </c>
      <c r="U24" s="211" t="s">
        <v>607</v>
      </c>
      <c r="V24" s="211" t="s">
        <v>607</v>
      </c>
      <c r="W24" s="211" t="s">
        <v>2497</v>
      </c>
      <c r="X24" s="211" t="s">
        <v>2497</v>
      </c>
      <c r="Y24" s="211" t="s">
        <v>2497</v>
      </c>
      <c r="Z24" s="211" t="s">
        <v>2495</v>
      </c>
      <c r="AA24" s="211" t="s">
        <v>604</v>
      </c>
      <c r="AB24" s="211" t="s">
        <v>604</v>
      </c>
      <c r="AC24" s="211" t="s">
        <v>605</v>
      </c>
      <c r="AD24" s="211" t="s">
        <v>2496</v>
      </c>
      <c r="AE24" s="211" t="s">
        <v>607</v>
      </c>
      <c r="AF24" s="211" t="s">
        <v>706</v>
      </c>
      <c r="AG24" s="173" t="s">
        <v>608</v>
      </c>
      <c r="AH24" s="173" t="s">
        <v>609</v>
      </c>
      <c r="AI24" s="211" t="s">
        <v>610</v>
      </c>
      <c r="AJ24" s="211" t="s">
        <v>611</v>
      </c>
      <c r="AK24" s="211" t="s">
        <v>610</v>
      </c>
      <c r="AL24" s="211" t="s">
        <v>611</v>
      </c>
      <c r="AM24" s="211" t="s">
        <v>611</v>
      </c>
      <c r="AN24" s="211" t="s">
        <v>612</v>
      </c>
      <c r="AO24" s="211" t="s">
        <v>613</v>
      </c>
      <c r="AP24" s="211" t="s">
        <v>2498</v>
      </c>
      <c r="AQ24" s="170" t="s">
        <v>610</v>
      </c>
      <c r="AR24" s="170" t="s">
        <v>771</v>
      </c>
      <c r="AS24" s="170" t="s">
        <v>771</v>
      </c>
      <c r="AT24" s="170" t="s">
        <v>2499</v>
      </c>
      <c r="AU24" s="170" t="s">
        <v>2499</v>
      </c>
      <c r="AV24" s="170" t="s">
        <v>2500</v>
      </c>
      <c r="AW24" s="170" t="s">
        <v>2500</v>
      </c>
      <c r="AX24" s="170" t="s">
        <v>2500</v>
      </c>
      <c r="AY24" s="170" t="s">
        <v>2500</v>
      </c>
      <c r="AZ24" s="170" t="s">
        <v>2501</v>
      </c>
      <c r="BA24" s="170" t="s">
        <v>2502</v>
      </c>
      <c r="BB24" s="170" t="s">
        <v>2502</v>
      </c>
      <c r="BC24" s="170" t="s">
        <v>2503</v>
      </c>
      <c r="BD24" s="170" t="s">
        <v>614</v>
      </c>
      <c r="BE24" s="170" t="s">
        <v>2504</v>
      </c>
      <c r="BF24" s="170" t="s">
        <v>2505</v>
      </c>
      <c r="BG24" s="170" t="s">
        <v>2506</v>
      </c>
      <c r="BH24" s="170" t="s">
        <v>2507</v>
      </c>
      <c r="BI24" s="170" t="s">
        <v>2507</v>
      </c>
      <c r="BJ24" s="170" t="s">
        <v>2505</v>
      </c>
      <c r="BK24" s="170" t="s">
        <v>2506</v>
      </c>
      <c r="BL24" s="170" t="s">
        <v>2508</v>
      </c>
      <c r="BM24" s="170" t="s">
        <v>2509</v>
      </c>
      <c r="BN24" s="170" t="s">
        <v>2509</v>
      </c>
      <c r="BO24" s="170" t="s">
        <v>2509</v>
      </c>
      <c r="BP24" s="170" t="s">
        <v>2509</v>
      </c>
      <c r="BQ24" s="170" t="s">
        <v>2510</v>
      </c>
      <c r="BR24" s="170" t="s">
        <v>2510</v>
      </c>
      <c r="BS24" s="170" t="s">
        <v>2511</v>
      </c>
      <c r="BT24" s="170" t="s">
        <v>2512</v>
      </c>
      <c r="BU24" s="173" t="s">
        <v>2513</v>
      </c>
      <c r="BV24" s="173" t="s">
        <v>808</v>
      </c>
      <c r="BW24" s="170" t="s">
        <v>2511</v>
      </c>
      <c r="BX24" s="170" t="s">
        <v>2512</v>
      </c>
      <c r="BY24" s="170" t="s">
        <v>2512</v>
      </c>
      <c r="BZ24" s="170" t="s">
        <v>2514</v>
      </c>
      <c r="CA24" s="173" t="s">
        <v>808</v>
      </c>
      <c r="CB24" s="173" t="s">
        <v>2515</v>
      </c>
      <c r="CC24" s="173" t="s">
        <v>644</v>
      </c>
      <c r="CD24" s="211" t="s">
        <v>2516</v>
      </c>
      <c r="CE24" s="173" t="s">
        <v>2517</v>
      </c>
      <c r="CF24" s="211" t="s">
        <v>645</v>
      </c>
      <c r="CG24" s="211" t="s">
        <v>2480</v>
      </c>
      <c r="CH24" s="173" t="s">
        <v>2518</v>
      </c>
      <c r="CI24" s="173" t="s">
        <v>2519</v>
      </c>
      <c r="CJ24" s="170" t="s">
        <v>2477</v>
      </c>
      <c r="CK24" s="173" t="s">
        <v>2520</v>
      </c>
      <c r="CL24" s="173" t="s">
        <v>2521</v>
      </c>
      <c r="CM24" s="175" t="s">
        <v>550</v>
      </c>
      <c r="CN24" s="175" t="s">
        <v>552</v>
      </c>
      <c r="CO24" s="175" t="s">
        <v>550</v>
      </c>
      <c r="CP24" s="175" t="s">
        <v>550</v>
      </c>
      <c r="CQ24" s="175" t="s">
        <v>553</v>
      </c>
      <c r="CR24" s="175" t="s">
        <v>551</v>
      </c>
      <c r="CS24" s="175" t="s">
        <v>553</v>
      </c>
      <c r="CT24" s="175" t="s">
        <v>2522</v>
      </c>
      <c r="CU24" s="175" t="s">
        <v>551</v>
      </c>
      <c r="CV24" s="170" t="s">
        <v>2523</v>
      </c>
      <c r="CW24" s="170" t="s">
        <v>2524</v>
      </c>
      <c r="CX24" s="175" t="s">
        <v>2525</v>
      </c>
      <c r="CY24" s="175" t="s">
        <v>2526</v>
      </c>
      <c r="CZ24" s="173" t="s">
        <v>561</v>
      </c>
      <c r="DA24" s="173" t="s">
        <v>564</v>
      </c>
      <c r="DB24" s="173" t="s">
        <v>565</v>
      </c>
      <c r="DC24" s="173" t="s">
        <v>566</v>
      </c>
      <c r="DD24" s="173" t="s">
        <v>568</v>
      </c>
      <c r="DE24" s="173" t="s">
        <v>2527</v>
      </c>
      <c r="DF24" s="173" t="s">
        <v>2528</v>
      </c>
      <c r="DG24" s="173" t="s">
        <v>2529</v>
      </c>
      <c r="DH24" s="175" t="s">
        <v>572</v>
      </c>
      <c r="DI24" s="175" t="s">
        <v>573</v>
      </c>
      <c r="DJ24" s="175" t="s">
        <v>574</v>
      </c>
      <c r="DK24" s="175" t="s">
        <v>576</v>
      </c>
      <c r="DL24" s="210" t="s">
        <v>577</v>
      </c>
      <c r="DM24" s="175" t="s">
        <v>569</v>
      </c>
      <c r="DN24" s="175" t="s">
        <v>570</v>
      </c>
      <c r="DO24" s="175" t="s">
        <v>2530</v>
      </c>
      <c r="DP24" s="175" t="s">
        <v>2531</v>
      </c>
      <c r="DQ24" s="175" t="s">
        <v>581</v>
      </c>
      <c r="DR24" s="175" t="s">
        <v>2532</v>
      </c>
      <c r="DS24" s="175" t="s">
        <v>583</v>
      </c>
      <c r="DT24" s="175" t="s">
        <v>585</v>
      </c>
      <c r="DU24" s="175" t="s">
        <v>584</v>
      </c>
      <c r="DV24" s="175" t="s">
        <v>2533</v>
      </c>
      <c r="DW24" s="173" t="s">
        <v>587</v>
      </c>
      <c r="DX24" s="173" t="s">
        <v>2534</v>
      </c>
      <c r="DY24" s="173" t="s">
        <v>2535</v>
      </c>
      <c r="DZ24" s="173" t="s">
        <v>2536</v>
      </c>
      <c r="EA24" s="173" t="s">
        <v>2537</v>
      </c>
      <c r="EB24" s="173" t="s">
        <v>2538</v>
      </c>
      <c r="EC24" s="173" t="s">
        <v>2539</v>
      </c>
      <c r="ED24" s="176" t="s">
        <v>678</v>
      </c>
      <c r="EE24" s="176" t="s">
        <v>678</v>
      </c>
      <c r="EF24" s="176" t="s">
        <v>2540</v>
      </c>
      <c r="EG24" s="176" t="s">
        <v>678</v>
      </c>
      <c r="EH24" s="176" t="s">
        <v>678</v>
      </c>
      <c r="EI24" s="176" t="s">
        <v>2540</v>
      </c>
      <c r="EJ24" s="176" t="s">
        <v>680</v>
      </c>
      <c r="EK24" s="176" t="s">
        <v>680</v>
      </c>
      <c r="EL24" s="176" t="s">
        <v>681</v>
      </c>
      <c r="EM24" s="176" t="s">
        <v>680</v>
      </c>
      <c r="EN24" s="176" t="s">
        <v>680</v>
      </c>
      <c r="EO24" s="176" t="s">
        <v>681</v>
      </c>
      <c r="EP24" s="170" t="s">
        <v>2541</v>
      </c>
      <c r="EQ24" s="170" t="s">
        <v>2542</v>
      </c>
      <c r="ER24" s="170" t="s">
        <v>2541</v>
      </c>
      <c r="ES24" s="170" t="s">
        <v>2543</v>
      </c>
      <c r="ET24" s="170" t="s">
        <v>2544</v>
      </c>
      <c r="EU24" s="170" t="s">
        <v>2545</v>
      </c>
      <c r="EV24" s="170" t="s">
        <v>2546</v>
      </c>
      <c r="EW24" s="170" t="s">
        <v>2547</v>
      </c>
      <c r="EX24" s="170" t="s">
        <v>2547</v>
      </c>
      <c r="EY24" s="170" t="s">
        <v>2547</v>
      </c>
      <c r="EZ24" s="170" t="s">
        <v>2548</v>
      </c>
      <c r="FA24" s="170" t="s">
        <v>2548</v>
      </c>
      <c r="FB24" s="170" t="s">
        <v>2548</v>
      </c>
      <c r="FC24" s="170" t="s">
        <v>2549</v>
      </c>
      <c r="FD24" s="170" t="s">
        <v>2549</v>
      </c>
      <c r="FE24" s="170" t="s">
        <v>2550</v>
      </c>
      <c r="FF24" s="170" t="s">
        <v>2550</v>
      </c>
      <c r="FG24" s="170" t="s">
        <v>2550</v>
      </c>
      <c r="FH24" s="170" t="s">
        <v>2551</v>
      </c>
    </row>
    <row r="25" spans="1:164" s="23" customFormat="1" ht="12.75">
      <c r="A25" s="177" t="s">
        <v>2625</v>
      </c>
      <c r="B25" s="170">
        <v>2595</v>
      </c>
      <c r="C25" s="170">
        <v>2595</v>
      </c>
      <c r="D25" s="170">
        <v>2081.0819999999999</v>
      </c>
      <c r="E25" s="170">
        <v>2096.9580000000001</v>
      </c>
      <c r="F25" s="170">
        <v>2096.9580000000001</v>
      </c>
      <c r="G25" s="170">
        <v>2124.627</v>
      </c>
      <c r="H25" s="170">
        <v>2124.627</v>
      </c>
      <c r="I25" s="170">
        <v>2124.627</v>
      </c>
      <c r="J25" s="170">
        <v>1453.7639999999999</v>
      </c>
      <c r="K25" s="170">
        <v>1537.2249999999999</v>
      </c>
      <c r="L25" s="170">
        <v>1453.7639999999999</v>
      </c>
      <c r="M25" s="170">
        <v>1548.5640000000001</v>
      </c>
      <c r="N25" s="170">
        <v>1555.8219999999999</v>
      </c>
      <c r="O25" s="170">
        <v>1585.3050000000001</v>
      </c>
      <c r="P25" s="170">
        <v>2313.3209999999999</v>
      </c>
      <c r="Q25" s="170">
        <v>2313.3209999999999</v>
      </c>
      <c r="R25" s="170">
        <v>2060</v>
      </c>
      <c r="S25" s="170">
        <v>1968.5909999999999</v>
      </c>
      <c r="T25" s="170">
        <v>1968.5909999999999</v>
      </c>
      <c r="U25" s="170">
        <v>1968.5909999999999</v>
      </c>
      <c r="V25" s="170">
        <v>1968.5909999999999</v>
      </c>
      <c r="W25" s="170">
        <v>2139</v>
      </c>
      <c r="X25" s="170">
        <v>2139</v>
      </c>
      <c r="Y25" s="170">
        <v>2139</v>
      </c>
      <c r="Z25" s="170">
        <v>1585.3050000000001</v>
      </c>
      <c r="AA25" s="170">
        <v>1880.14</v>
      </c>
      <c r="AB25" s="170">
        <v>1880.14</v>
      </c>
      <c r="AC25" s="170">
        <v>2313.3209999999999</v>
      </c>
      <c r="AD25" s="170">
        <v>2060</v>
      </c>
      <c r="AE25" s="170">
        <v>1900.5519999999999</v>
      </c>
      <c r="AF25" s="170">
        <v>1968.5909999999999</v>
      </c>
      <c r="AG25" s="170">
        <v>2085</v>
      </c>
      <c r="AH25" s="170">
        <v>2085</v>
      </c>
      <c r="AI25" s="170">
        <v>1453.7635</v>
      </c>
      <c r="AJ25" s="177">
        <v>1475.0820000000001</v>
      </c>
      <c r="AK25" s="170">
        <v>1453.7635</v>
      </c>
      <c r="AL25" s="177">
        <v>1475.0820000000001</v>
      </c>
      <c r="AM25" s="177">
        <v>1475.0820000000001</v>
      </c>
      <c r="AN25" s="177">
        <v>1548.5640000000001</v>
      </c>
      <c r="AO25" s="177">
        <v>1555.8219999999999</v>
      </c>
      <c r="AP25" s="177">
        <v>1585.3050000000001</v>
      </c>
      <c r="AQ25" s="170">
        <v>1453.7635</v>
      </c>
      <c r="AR25" s="170">
        <v>1543.1212</v>
      </c>
      <c r="AS25" s="170">
        <v>1543.1212</v>
      </c>
      <c r="AT25" s="170">
        <v>1575.78</v>
      </c>
      <c r="AU25" s="170">
        <v>1575.78</v>
      </c>
      <c r="AV25" s="170">
        <v>1576.2329999999999</v>
      </c>
      <c r="AW25" s="170">
        <v>1576.2329999999999</v>
      </c>
      <c r="AX25" s="170">
        <v>1576.2329999999999</v>
      </c>
      <c r="AY25" s="170">
        <v>1576.2329999999999</v>
      </c>
      <c r="AZ25" s="170">
        <v>1966</v>
      </c>
      <c r="BA25" s="170">
        <v>1966</v>
      </c>
      <c r="BB25" s="170">
        <v>1966</v>
      </c>
      <c r="BC25" s="170">
        <v>1966</v>
      </c>
      <c r="BD25" s="170">
        <v>1966</v>
      </c>
      <c r="BE25" s="170">
        <v>2386</v>
      </c>
      <c r="BF25" s="170">
        <v>2386</v>
      </c>
      <c r="BG25" s="170">
        <v>2386</v>
      </c>
      <c r="BH25" s="170">
        <v>2386</v>
      </c>
      <c r="BI25" s="170">
        <v>2386</v>
      </c>
      <c r="BJ25" s="170">
        <v>2386</v>
      </c>
      <c r="BK25" s="170">
        <v>2386</v>
      </c>
      <c r="BL25" s="170">
        <v>2780</v>
      </c>
      <c r="BM25" s="170">
        <v>2780</v>
      </c>
      <c r="BN25" s="170">
        <v>2780</v>
      </c>
      <c r="BO25" s="170">
        <v>2780</v>
      </c>
      <c r="BP25" s="170">
        <v>2780</v>
      </c>
      <c r="BQ25" s="170">
        <v>2780</v>
      </c>
      <c r="BR25" s="170">
        <v>2780</v>
      </c>
      <c r="BS25" s="170">
        <v>3221</v>
      </c>
      <c r="BT25" s="170">
        <v>3221</v>
      </c>
      <c r="BU25" s="170">
        <v>3484</v>
      </c>
      <c r="BV25" s="170">
        <v>3449</v>
      </c>
      <c r="BW25" s="170">
        <v>3221</v>
      </c>
      <c r="BX25" s="170">
        <v>3221</v>
      </c>
      <c r="BY25" s="170">
        <v>3221</v>
      </c>
      <c r="BZ25" s="170">
        <v>3221</v>
      </c>
      <c r="CA25" s="170">
        <v>3449</v>
      </c>
      <c r="CB25" s="170">
        <v>3449</v>
      </c>
      <c r="CC25" s="170">
        <v>4052.8478300000002</v>
      </c>
      <c r="CD25" s="170">
        <v>3980.7266</v>
      </c>
      <c r="CE25" s="170">
        <v>4043.7759999999998</v>
      </c>
      <c r="CF25" s="170">
        <v>3980.7266</v>
      </c>
      <c r="CG25" s="170">
        <v>4272.8401299999996</v>
      </c>
      <c r="CH25" s="170">
        <v>4386.2380000000003</v>
      </c>
      <c r="CI25" s="170">
        <v>4386.2380000000003</v>
      </c>
      <c r="CJ25" s="170">
        <v>4272.84</v>
      </c>
      <c r="CK25" s="170">
        <v>5775</v>
      </c>
      <c r="CL25" s="170">
        <v>5775</v>
      </c>
      <c r="CM25" s="170">
        <v>3973.4690000000001</v>
      </c>
      <c r="CN25" s="170">
        <v>4043.7759999999998</v>
      </c>
      <c r="CO25" s="170">
        <v>3973.4690000000001</v>
      </c>
      <c r="CP25" s="170">
        <v>3973.4690000000001</v>
      </c>
      <c r="CQ25" s="170">
        <v>4052.848</v>
      </c>
      <c r="CR25" s="170">
        <v>4300.0559999999996</v>
      </c>
      <c r="CS25" s="170">
        <v>4052.848</v>
      </c>
      <c r="CT25" s="170">
        <v>4272.84</v>
      </c>
      <c r="CU25" s="170">
        <v>4300.0559999999996</v>
      </c>
      <c r="CV25" s="170">
        <v>2455.1999999999998</v>
      </c>
      <c r="CW25" s="170">
        <v>2449.3989999999999</v>
      </c>
      <c r="CX25" s="170">
        <v>2455.1999999999998</v>
      </c>
      <c r="CY25" s="170">
        <v>2449.3989999999999</v>
      </c>
      <c r="CZ25" s="170">
        <v>2455.1999999999998</v>
      </c>
      <c r="DA25" s="170">
        <v>2331</v>
      </c>
      <c r="DB25" s="170">
        <v>2455.1999999999998</v>
      </c>
      <c r="DC25" s="170">
        <v>2404</v>
      </c>
      <c r="DD25" s="170">
        <v>2404</v>
      </c>
      <c r="DE25" s="170">
        <v>2990</v>
      </c>
      <c r="DF25" s="170">
        <v>2990</v>
      </c>
      <c r="DG25" s="170">
        <v>2857.6320000000001</v>
      </c>
      <c r="DH25" s="170">
        <v>2331</v>
      </c>
      <c r="DI25" s="170">
        <v>2331</v>
      </c>
      <c r="DJ25" s="170">
        <v>2455.1999999999998</v>
      </c>
      <c r="DK25" s="170">
        <v>2404</v>
      </c>
      <c r="DL25" s="170">
        <v>2404</v>
      </c>
      <c r="DM25" s="170">
        <v>2990</v>
      </c>
      <c r="DN25" s="170">
        <v>2990</v>
      </c>
      <c r="DO25" s="170">
        <v>2857.6320000000001</v>
      </c>
      <c r="DP25" s="170">
        <v>2857.6320000000001</v>
      </c>
      <c r="DQ25" s="170">
        <v>2990</v>
      </c>
      <c r="DR25" s="170">
        <v>2857.6320000000001</v>
      </c>
      <c r="DS25" s="170">
        <v>2455.1999999999998</v>
      </c>
      <c r="DT25" s="170">
        <v>2404</v>
      </c>
      <c r="DU25" s="170">
        <v>2455.1999999999998</v>
      </c>
      <c r="DV25" s="170">
        <v>2455.1999999999998</v>
      </c>
      <c r="DW25" s="170">
        <v>2404</v>
      </c>
      <c r="DX25" s="170">
        <v>2990</v>
      </c>
      <c r="DY25" s="170">
        <v>2990</v>
      </c>
      <c r="DZ25" s="170">
        <v>2857.6320000000001</v>
      </c>
      <c r="EA25" s="170">
        <v>2990</v>
      </c>
      <c r="EB25" s="170">
        <v>2990</v>
      </c>
      <c r="EC25" s="170">
        <v>2857.6320000000001</v>
      </c>
      <c r="ED25" s="170">
        <v>1427.7273399999999</v>
      </c>
      <c r="EE25" s="170">
        <v>1427.7273399999999</v>
      </c>
      <c r="EF25" s="170">
        <v>1427.7273399999999</v>
      </c>
      <c r="EG25" s="170">
        <v>1427.7273399999999</v>
      </c>
      <c r="EH25" s="170">
        <v>1427.7273399999999</v>
      </c>
      <c r="EI25" s="170">
        <v>1427.7273399999999</v>
      </c>
      <c r="EJ25" s="170">
        <v>2079.3581399999998</v>
      </c>
      <c r="EK25" s="170">
        <v>2079.3581399999998</v>
      </c>
      <c r="EL25" s="170">
        <v>2079.3581399999998</v>
      </c>
      <c r="EM25" s="170">
        <v>2079.3581399999998</v>
      </c>
      <c r="EN25" s="170">
        <v>2079.3581399999998</v>
      </c>
      <c r="EO25" s="170">
        <v>2079.3581399999998</v>
      </c>
      <c r="EP25" s="170">
        <v>751.6</v>
      </c>
      <c r="EQ25" s="170">
        <v>751.6</v>
      </c>
      <c r="ER25" s="170">
        <v>751.6</v>
      </c>
      <c r="ES25" s="170">
        <v>751.6</v>
      </c>
      <c r="ET25" s="170">
        <v>751.6</v>
      </c>
      <c r="EU25" s="170">
        <v>751.6</v>
      </c>
      <c r="EV25" s="170">
        <v>1724</v>
      </c>
      <c r="EW25" s="170">
        <v>2177</v>
      </c>
      <c r="EX25" s="170">
        <v>2177</v>
      </c>
      <c r="EY25" s="170">
        <v>2177</v>
      </c>
      <c r="EZ25" s="170">
        <v>750.69539999999995</v>
      </c>
      <c r="FA25" s="170">
        <v>750.69539999999995</v>
      </c>
      <c r="FB25" s="170">
        <v>750.69539999999995</v>
      </c>
      <c r="FC25" s="170">
        <v>757.49929999999995</v>
      </c>
      <c r="FD25" s="170">
        <v>757.49929999999995</v>
      </c>
      <c r="FE25" s="170">
        <v>1261</v>
      </c>
      <c r="FF25" s="170">
        <v>1261</v>
      </c>
      <c r="FG25" s="170">
        <v>1261</v>
      </c>
      <c r="FH25" s="170">
        <v>1261</v>
      </c>
    </row>
    <row r="26" spans="1:164" s="23" customFormat="1" ht="12.75">
      <c r="A26" s="177" t="s">
        <v>2626</v>
      </c>
      <c r="B26" s="170">
        <v>2</v>
      </c>
      <c r="C26" s="170">
        <v>2</v>
      </c>
      <c r="D26" s="170">
        <v>2</v>
      </c>
      <c r="E26" s="170">
        <v>2</v>
      </c>
      <c r="F26" s="170">
        <v>2</v>
      </c>
      <c r="G26" s="170">
        <v>2</v>
      </c>
      <c r="H26" s="170">
        <v>2</v>
      </c>
      <c r="I26" s="170">
        <v>2</v>
      </c>
      <c r="J26" s="170">
        <v>2</v>
      </c>
      <c r="K26" s="170">
        <v>2</v>
      </c>
      <c r="L26" s="170">
        <v>2</v>
      </c>
      <c r="M26" s="170">
        <v>2</v>
      </c>
      <c r="N26" s="170">
        <v>2</v>
      </c>
      <c r="O26" s="170">
        <v>4</v>
      </c>
      <c r="P26" s="170">
        <v>4</v>
      </c>
      <c r="Q26" s="170">
        <v>4</v>
      </c>
      <c r="R26" s="170">
        <v>4</v>
      </c>
      <c r="S26" s="170">
        <v>4</v>
      </c>
      <c r="T26" s="170">
        <v>4</v>
      </c>
      <c r="U26" s="170">
        <v>4</v>
      </c>
      <c r="V26" s="170">
        <v>4</v>
      </c>
      <c r="W26" s="170">
        <v>4</v>
      </c>
      <c r="X26" s="170">
        <v>4</v>
      </c>
      <c r="Y26" s="170">
        <v>4</v>
      </c>
      <c r="Z26" s="170">
        <v>4</v>
      </c>
      <c r="AA26" s="170">
        <v>4</v>
      </c>
      <c r="AB26" s="170">
        <v>4</v>
      </c>
      <c r="AC26" s="170">
        <v>4</v>
      </c>
      <c r="AD26" s="170">
        <v>4</v>
      </c>
      <c r="AE26" s="170">
        <v>4</v>
      </c>
      <c r="AF26" s="170">
        <v>4</v>
      </c>
      <c r="AG26" s="170">
        <v>2</v>
      </c>
      <c r="AH26" s="170">
        <v>2</v>
      </c>
      <c r="AI26" s="170">
        <v>3</v>
      </c>
      <c r="AJ26" s="177">
        <v>3</v>
      </c>
      <c r="AK26" s="170">
        <v>3</v>
      </c>
      <c r="AL26" s="177">
        <v>3</v>
      </c>
      <c r="AM26" s="177">
        <v>3</v>
      </c>
      <c r="AN26" s="177">
        <v>3</v>
      </c>
      <c r="AO26" s="177">
        <v>3</v>
      </c>
      <c r="AP26" s="177">
        <v>3</v>
      </c>
      <c r="AQ26" s="170">
        <v>2</v>
      </c>
      <c r="AR26" s="170">
        <v>2</v>
      </c>
      <c r="AS26" s="170">
        <v>2</v>
      </c>
      <c r="AT26" s="170">
        <v>2</v>
      </c>
      <c r="AU26" s="170">
        <v>2</v>
      </c>
      <c r="AV26" s="170">
        <v>2</v>
      </c>
      <c r="AW26" s="170">
        <v>2</v>
      </c>
      <c r="AX26" s="170">
        <v>2</v>
      </c>
      <c r="AY26" s="170">
        <v>2</v>
      </c>
      <c r="AZ26" s="170">
        <v>2</v>
      </c>
      <c r="BA26" s="170">
        <v>2</v>
      </c>
      <c r="BB26" s="170">
        <v>2</v>
      </c>
      <c r="BC26" s="170">
        <v>2</v>
      </c>
      <c r="BD26" s="170">
        <v>2</v>
      </c>
      <c r="BE26" s="170">
        <v>2</v>
      </c>
      <c r="BF26" s="170">
        <v>2</v>
      </c>
      <c r="BG26" s="170">
        <v>2</v>
      </c>
      <c r="BH26" s="170">
        <v>2</v>
      </c>
      <c r="BI26" s="170">
        <v>2</v>
      </c>
      <c r="BJ26" s="170">
        <v>2</v>
      </c>
      <c r="BK26" s="170">
        <v>2</v>
      </c>
      <c r="BL26" s="170">
        <v>2</v>
      </c>
      <c r="BM26" s="170">
        <v>2</v>
      </c>
      <c r="BN26" s="170">
        <v>2</v>
      </c>
      <c r="BO26" s="170">
        <v>2</v>
      </c>
      <c r="BP26" s="170">
        <v>2</v>
      </c>
      <c r="BQ26" s="170">
        <v>2</v>
      </c>
      <c r="BR26" s="170">
        <v>2</v>
      </c>
      <c r="BS26" s="170">
        <v>2</v>
      </c>
      <c r="BT26" s="170">
        <v>2</v>
      </c>
      <c r="BU26" s="170">
        <v>2</v>
      </c>
      <c r="BV26" s="170">
        <v>2</v>
      </c>
      <c r="BW26" s="170">
        <v>2</v>
      </c>
      <c r="BX26" s="170">
        <v>2</v>
      </c>
      <c r="BY26" s="170">
        <v>2</v>
      </c>
      <c r="BZ26" s="170">
        <v>2</v>
      </c>
      <c r="CA26" s="170">
        <v>2</v>
      </c>
      <c r="CB26" s="170">
        <v>2</v>
      </c>
      <c r="CC26" s="170">
        <v>2</v>
      </c>
      <c r="CD26" s="170">
        <v>2</v>
      </c>
      <c r="CE26" s="170">
        <v>2</v>
      </c>
      <c r="CF26" s="170">
        <v>2</v>
      </c>
      <c r="CG26" s="170">
        <v>2</v>
      </c>
      <c r="CH26" s="170">
        <v>2</v>
      </c>
      <c r="CI26" s="170">
        <v>2</v>
      </c>
      <c r="CJ26" s="170">
        <v>2</v>
      </c>
      <c r="CK26" s="170">
        <v>2</v>
      </c>
      <c r="CL26" s="170">
        <v>2</v>
      </c>
      <c r="CM26" s="170">
        <v>2</v>
      </c>
      <c r="CN26" s="170">
        <v>2</v>
      </c>
      <c r="CO26" s="170">
        <v>2</v>
      </c>
      <c r="CP26" s="170">
        <v>2</v>
      </c>
      <c r="CQ26" s="170">
        <v>2</v>
      </c>
      <c r="CR26" s="170">
        <v>2</v>
      </c>
      <c r="CS26" s="170">
        <v>2</v>
      </c>
      <c r="CT26" s="170">
        <v>2</v>
      </c>
      <c r="CU26" s="170">
        <v>2</v>
      </c>
      <c r="CV26" s="170">
        <v>2</v>
      </c>
      <c r="CW26" s="170">
        <v>2</v>
      </c>
      <c r="CX26" s="170">
        <v>2</v>
      </c>
      <c r="CY26" s="170">
        <v>2</v>
      </c>
      <c r="CZ26" s="170">
        <v>2</v>
      </c>
      <c r="DA26" s="170">
        <v>2</v>
      </c>
      <c r="DB26" s="170">
        <v>2</v>
      </c>
      <c r="DC26" s="170">
        <v>2</v>
      </c>
      <c r="DD26" s="170">
        <v>2</v>
      </c>
      <c r="DE26" s="170">
        <v>2</v>
      </c>
      <c r="DF26" s="170">
        <v>2</v>
      </c>
      <c r="DG26" s="170">
        <v>2</v>
      </c>
      <c r="DH26" s="170">
        <v>2</v>
      </c>
      <c r="DI26" s="170">
        <v>2</v>
      </c>
      <c r="DJ26" s="170">
        <v>2</v>
      </c>
      <c r="DK26" s="170">
        <v>2</v>
      </c>
      <c r="DL26" s="170">
        <v>2</v>
      </c>
      <c r="DM26" s="170">
        <v>2</v>
      </c>
      <c r="DN26" s="170">
        <v>2</v>
      </c>
      <c r="DO26" s="170">
        <v>2</v>
      </c>
      <c r="DP26" s="170">
        <v>2</v>
      </c>
      <c r="DQ26" s="170">
        <v>2</v>
      </c>
      <c r="DR26" s="170">
        <v>2</v>
      </c>
      <c r="DS26" s="170">
        <v>2</v>
      </c>
      <c r="DT26" s="170">
        <v>2</v>
      </c>
      <c r="DU26" s="170">
        <v>2</v>
      </c>
      <c r="DV26" s="170">
        <v>2</v>
      </c>
      <c r="DW26" s="170">
        <v>2</v>
      </c>
      <c r="DX26" s="170">
        <v>2</v>
      </c>
      <c r="DY26" s="170">
        <v>2</v>
      </c>
      <c r="DZ26" s="170">
        <v>2</v>
      </c>
      <c r="EA26" s="170">
        <v>2</v>
      </c>
      <c r="EB26" s="170">
        <v>2</v>
      </c>
      <c r="EC26" s="170">
        <v>2</v>
      </c>
      <c r="ED26" s="170">
        <v>2</v>
      </c>
      <c r="EE26" s="170">
        <v>2</v>
      </c>
      <c r="EF26" s="170">
        <v>2</v>
      </c>
      <c r="EG26" s="170">
        <v>2</v>
      </c>
      <c r="EH26" s="170">
        <v>2</v>
      </c>
      <c r="EI26" s="170">
        <v>2</v>
      </c>
      <c r="EJ26" s="170">
        <v>2</v>
      </c>
      <c r="EK26" s="170">
        <v>2</v>
      </c>
      <c r="EL26" s="170">
        <v>2</v>
      </c>
      <c r="EM26" s="170">
        <v>2</v>
      </c>
      <c r="EN26" s="170">
        <v>2</v>
      </c>
      <c r="EO26" s="170">
        <v>2</v>
      </c>
      <c r="EP26" s="170">
        <v>2</v>
      </c>
      <c r="EQ26" s="170">
        <v>2</v>
      </c>
      <c r="ER26" s="170">
        <v>2</v>
      </c>
      <c r="ES26" s="170">
        <v>2</v>
      </c>
      <c r="ET26" s="170">
        <v>2</v>
      </c>
      <c r="EU26" s="170">
        <v>2</v>
      </c>
      <c r="EV26" s="170">
        <v>2</v>
      </c>
      <c r="EW26" s="170">
        <v>2</v>
      </c>
      <c r="EX26" s="170">
        <v>2</v>
      </c>
      <c r="EY26" s="170">
        <v>2</v>
      </c>
      <c r="EZ26" s="170">
        <v>2</v>
      </c>
      <c r="FA26" s="170">
        <v>2</v>
      </c>
      <c r="FB26" s="170">
        <v>2</v>
      </c>
      <c r="FC26" s="170">
        <v>2</v>
      </c>
      <c r="FD26" s="170">
        <v>2</v>
      </c>
      <c r="FE26" s="170">
        <v>2</v>
      </c>
      <c r="FF26" s="170">
        <v>2</v>
      </c>
      <c r="FG26" s="170">
        <v>2</v>
      </c>
      <c r="FH26" s="170">
        <v>2</v>
      </c>
    </row>
    <row r="27" spans="1:164" s="23" customFormat="1" ht="12.75">
      <c r="A27" s="177" t="s">
        <v>2627</v>
      </c>
      <c r="B27" s="170">
        <v>222.41108</v>
      </c>
      <c r="C27" s="170">
        <v>249.10040000000001</v>
      </c>
      <c r="D27" s="170">
        <v>171.256</v>
      </c>
      <c r="E27" s="170">
        <v>185.49080000000001</v>
      </c>
      <c r="F27" s="170">
        <v>185.49080000000001</v>
      </c>
      <c r="G27" s="170">
        <v>193.05279999999999</v>
      </c>
      <c r="H27" s="170">
        <v>185.49080000000001</v>
      </c>
      <c r="I27" s="170">
        <v>185.49080000000001</v>
      </c>
      <c r="J27" s="170">
        <v>124.5502</v>
      </c>
      <c r="K27" s="170">
        <v>133.44659999999999</v>
      </c>
      <c r="L27" s="170">
        <v>124.5502</v>
      </c>
      <c r="M27" s="170">
        <v>137.8948</v>
      </c>
      <c r="N27" s="170">
        <v>142.34299999999999</v>
      </c>
      <c r="O27" s="170">
        <v>213.51464000000001</v>
      </c>
      <c r="P27" s="170">
        <v>311.37560000000002</v>
      </c>
      <c r="Q27" s="170">
        <v>311.37560000000002</v>
      </c>
      <c r="R27" s="170">
        <v>311.37547999999998</v>
      </c>
      <c r="S27" s="170">
        <v>320.27195519999998</v>
      </c>
      <c r="T27" s="170">
        <v>320.27195519999998</v>
      </c>
      <c r="U27" s="170">
        <v>320.27195519999998</v>
      </c>
      <c r="V27" s="170">
        <v>320.27195519999998</v>
      </c>
      <c r="W27" s="170">
        <v>427.02800000000002</v>
      </c>
      <c r="X27" s="170">
        <v>427.02800000000002</v>
      </c>
      <c r="Y27" s="170">
        <v>427.02800000000002</v>
      </c>
      <c r="Z27" s="170">
        <v>213.51464000000001</v>
      </c>
      <c r="AA27" s="170">
        <v>314.93400000000003</v>
      </c>
      <c r="AB27" s="170">
        <v>314.93400000000003</v>
      </c>
      <c r="AC27" s="170">
        <v>311.37560000000002</v>
      </c>
      <c r="AD27" s="170">
        <v>311.37547999999998</v>
      </c>
      <c r="AE27" s="170">
        <v>320.27195999999998</v>
      </c>
      <c r="AF27" s="170">
        <v>343.13580000000002</v>
      </c>
      <c r="AG27" s="170">
        <v>166.46</v>
      </c>
      <c r="AH27" s="170">
        <v>190.66</v>
      </c>
      <c r="AI27" s="170">
        <v>186.82499999999999</v>
      </c>
      <c r="AJ27" s="170">
        <v>193.49760000000001</v>
      </c>
      <c r="AK27" s="170">
        <v>186.82499999999999</v>
      </c>
      <c r="AL27" s="170">
        <v>193.49760000000001</v>
      </c>
      <c r="AM27" s="170">
        <v>193.49760000000001</v>
      </c>
      <c r="AN27" s="170">
        <v>206.84219999999999</v>
      </c>
      <c r="AO27" s="170">
        <v>213.5145</v>
      </c>
      <c r="AP27" s="170">
        <v>232.197</v>
      </c>
      <c r="AQ27" s="170">
        <v>124.55</v>
      </c>
      <c r="AR27" s="170">
        <v>128.9984264</v>
      </c>
      <c r="AS27" s="170">
        <v>128.9984264</v>
      </c>
      <c r="AT27" s="170">
        <v>137.89490000000001</v>
      </c>
      <c r="AU27" s="170">
        <v>137.89490000000001</v>
      </c>
      <c r="AV27" s="170">
        <v>142.3430912</v>
      </c>
      <c r="AW27" s="170">
        <v>142.3430912</v>
      </c>
      <c r="AX27" s="170">
        <v>142.3430912</v>
      </c>
      <c r="AY27" s="170">
        <v>142.3430912</v>
      </c>
      <c r="AZ27" s="170">
        <v>178.81850800000001</v>
      </c>
      <c r="BA27" s="170">
        <v>196.61139470000001</v>
      </c>
      <c r="BB27" s="170">
        <v>196.61139470000001</v>
      </c>
      <c r="BC27" s="170">
        <v>209.06641519999999</v>
      </c>
      <c r="BD27" s="170">
        <v>178.8185</v>
      </c>
      <c r="BE27" s="170">
        <v>164.584</v>
      </c>
      <c r="BF27" s="170">
        <v>183.26599999999999</v>
      </c>
      <c r="BG27" s="170">
        <v>215.29392000000001</v>
      </c>
      <c r="BH27" s="170">
        <v>233.97640000000001</v>
      </c>
      <c r="BI27" s="170">
        <v>233.97640000000001</v>
      </c>
      <c r="BJ27" s="170">
        <v>183.26599999999999</v>
      </c>
      <c r="BK27" s="170">
        <v>215.29392000000001</v>
      </c>
      <c r="BL27" s="170">
        <v>249.42</v>
      </c>
      <c r="BM27" s="170">
        <v>260.82</v>
      </c>
      <c r="BN27" s="170">
        <v>260.82</v>
      </c>
      <c r="BO27" s="170">
        <v>260.82</v>
      </c>
      <c r="BP27" s="170">
        <v>260.82</v>
      </c>
      <c r="BQ27" s="170">
        <v>260.82</v>
      </c>
      <c r="BR27" s="170">
        <v>260.82</v>
      </c>
      <c r="BS27" s="170">
        <v>333.88351999999998</v>
      </c>
      <c r="BT27" s="170">
        <v>363.86452000000003</v>
      </c>
      <c r="BU27" s="170">
        <v>326.67739399999999</v>
      </c>
      <c r="BV27" s="170">
        <v>352.38799999999998</v>
      </c>
      <c r="BW27" s="170">
        <v>333.88351999999998</v>
      </c>
      <c r="BX27" s="170">
        <v>363.86452000000003</v>
      </c>
      <c r="BY27" s="170">
        <v>363.86452000000003</v>
      </c>
      <c r="BZ27" s="170">
        <v>382.54700000000003</v>
      </c>
      <c r="CA27" s="170">
        <v>352.38799999999998</v>
      </c>
      <c r="CB27" s="170">
        <v>378.45460000000003</v>
      </c>
      <c r="CC27" s="170">
        <v>427.0292</v>
      </c>
      <c r="CD27" s="170">
        <v>417.51</v>
      </c>
      <c r="CE27" s="170">
        <v>444.82216</v>
      </c>
      <c r="CF27" s="170">
        <v>432.9898</v>
      </c>
      <c r="CG27" s="170">
        <v>464.39434</v>
      </c>
      <c r="CH27" s="170">
        <v>462.17021999999997</v>
      </c>
      <c r="CI27" s="170">
        <v>508.698622</v>
      </c>
      <c r="CJ27" s="170">
        <v>504.87315999999998</v>
      </c>
      <c r="CK27" s="170">
        <v>505.94072</v>
      </c>
      <c r="CL27" s="170">
        <v>528.89354000000003</v>
      </c>
      <c r="CM27" s="170">
        <v>435.65879999999999</v>
      </c>
      <c r="CN27" s="170">
        <v>427.0292</v>
      </c>
      <c r="CO27" s="170">
        <v>435.65879999999999</v>
      </c>
      <c r="CP27" s="170">
        <v>435.65879999999999</v>
      </c>
      <c r="CQ27" s="170">
        <v>444.82216</v>
      </c>
      <c r="CR27" s="170">
        <v>466.70740000000001</v>
      </c>
      <c r="CS27" s="170">
        <v>444.82216</v>
      </c>
      <c r="CT27" s="170">
        <v>498.20080000000002</v>
      </c>
      <c r="CU27" s="170">
        <v>466.70740000000001</v>
      </c>
      <c r="CV27" s="170">
        <v>192.16316</v>
      </c>
      <c r="CW27" s="170">
        <v>196.61139399999999</v>
      </c>
      <c r="CX27" s="170">
        <v>207.28711999999999</v>
      </c>
      <c r="CY27" s="170">
        <v>211.73534000000001</v>
      </c>
      <c r="CZ27" s="170">
        <v>195.72175039999999</v>
      </c>
      <c r="DA27" s="170">
        <v>209.06641519999999</v>
      </c>
      <c r="DB27" s="170">
        <v>240.20396600000001</v>
      </c>
      <c r="DC27" s="170">
        <v>204.97399999999999</v>
      </c>
      <c r="DD27" s="170">
        <v>220.63177999999999</v>
      </c>
      <c r="DE27" s="170">
        <v>213.6036</v>
      </c>
      <c r="DF27" s="170">
        <v>241.27152000000001</v>
      </c>
      <c r="DG27" s="170">
        <v>215.64977999999999</v>
      </c>
      <c r="DH27" s="170">
        <v>222.41108</v>
      </c>
      <c r="DI27" s="170">
        <v>235.75574</v>
      </c>
      <c r="DJ27" s="170">
        <v>240.20396600000001</v>
      </c>
      <c r="DK27" s="170">
        <v>220.6317914</v>
      </c>
      <c r="DL27" s="170">
        <v>220.6317914</v>
      </c>
      <c r="DM27" s="170">
        <v>213.6036</v>
      </c>
      <c r="DN27" s="170">
        <v>241.27153799999999</v>
      </c>
      <c r="DO27" s="170">
        <v>240.87119960000001</v>
      </c>
      <c r="DP27" s="170">
        <v>215.64977999999999</v>
      </c>
      <c r="DQ27" s="170">
        <v>260.57682</v>
      </c>
      <c r="DR27" s="170">
        <v>260.17648000000003</v>
      </c>
      <c r="DS27" s="170">
        <v>266.89329400000003</v>
      </c>
      <c r="DT27" s="170">
        <v>266.00365160000001</v>
      </c>
      <c r="DU27" s="170">
        <v>275.78973919999999</v>
      </c>
      <c r="DV27" s="170">
        <v>284.68618240000001</v>
      </c>
      <c r="DW27" s="170">
        <v>281.12759999999997</v>
      </c>
      <c r="DX27" s="170">
        <v>286.1096</v>
      </c>
      <c r="DY27" s="170">
        <v>286.1096</v>
      </c>
      <c r="DZ27" s="170">
        <v>294.56119999999999</v>
      </c>
      <c r="EA27" s="170">
        <v>286.1096</v>
      </c>
      <c r="EB27" s="170">
        <v>286.1096</v>
      </c>
      <c r="EC27" s="170">
        <v>294.56119999999999</v>
      </c>
      <c r="ED27" s="170">
        <v>129.08739</v>
      </c>
      <c r="EE27" s="170">
        <v>129.08739</v>
      </c>
      <c r="EF27" s="170">
        <v>129.08739</v>
      </c>
      <c r="EG27" s="170">
        <v>129.08739</v>
      </c>
      <c r="EH27" s="170">
        <v>129.08739</v>
      </c>
      <c r="EI27" s="170">
        <v>129.08739</v>
      </c>
      <c r="EJ27" s="170">
        <v>167.43100000000001</v>
      </c>
      <c r="EK27" s="170">
        <v>167.43100000000001</v>
      </c>
      <c r="EL27" s="170">
        <v>167.43100000000001</v>
      </c>
      <c r="EM27" s="170">
        <v>167.43100000000001</v>
      </c>
      <c r="EN27" s="170">
        <v>167.43100000000001</v>
      </c>
      <c r="EO27" s="170">
        <v>167.43100000000001</v>
      </c>
      <c r="EP27" s="170">
        <v>67.42</v>
      </c>
      <c r="EQ27" s="170">
        <v>67.42</v>
      </c>
      <c r="ER27" s="170">
        <v>67.42</v>
      </c>
      <c r="ES27" s="170">
        <v>67.42</v>
      </c>
      <c r="ET27" s="170">
        <v>67.42</v>
      </c>
      <c r="EU27" s="170">
        <v>79.34</v>
      </c>
      <c r="EV27" s="170">
        <v>134</v>
      </c>
      <c r="EW27" s="170">
        <v>196</v>
      </c>
      <c r="EX27" s="170">
        <v>196</v>
      </c>
      <c r="EY27" s="170">
        <v>196</v>
      </c>
      <c r="EZ27" s="170">
        <v>82.025199999999998</v>
      </c>
      <c r="FA27" s="170">
        <v>82.025199999999998</v>
      </c>
      <c r="FB27" s="170">
        <v>82.025199999999998</v>
      </c>
      <c r="FC27" s="170">
        <v>82.025199999999998</v>
      </c>
      <c r="FD27" s="170">
        <v>82.025199999999998</v>
      </c>
      <c r="FE27" s="170">
        <v>129.08000000000001</v>
      </c>
      <c r="FF27" s="170">
        <v>129.08000000000001</v>
      </c>
      <c r="FG27" s="170">
        <v>129.08000000000001</v>
      </c>
      <c r="FH27" s="170">
        <v>129.08000000000001</v>
      </c>
    </row>
    <row r="28" spans="1:164" s="23" customFormat="1" ht="25.5">
      <c r="A28" s="177" t="s">
        <v>2628</v>
      </c>
      <c r="B28" s="185">
        <v>44.482216000000001</v>
      </c>
      <c r="C28" s="185">
        <v>49.820079999999997</v>
      </c>
      <c r="D28" s="185">
        <v>34.251199999999997</v>
      </c>
      <c r="E28" s="185">
        <v>37.09816</v>
      </c>
      <c r="F28" s="185">
        <v>37.09816</v>
      </c>
      <c r="G28" s="185">
        <v>38.61056</v>
      </c>
      <c r="H28" s="185">
        <v>37.09816</v>
      </c>
      <c r="I28" s="185">
        <v>37.09816</v>
      </c>
      <c r="J28" s="185">
        <v>24.910039999999999</v>
      </c>
      <c r="K28" s="185">
        <v>26.689319999999999</v>
      </c>
      <c r="L28" s="185">
        <v>24.910039999999999</v>
      </c>
      <c r="M28" s="185">
        <v>27.578959999999999</v>
      </c>
      <c r="N28" s="185">
        <v>28.468599999999999</v>
      </c>
      <c r="O28" s="185">
        <v>42.702928</v>
      </c>
      <c r="P28" s="185">
        <v>62.275120000000001</v>
      </c>
      <c r="Q28" s="185">
        <v>62.275120000000001</v>
      </c>
      <c r="R28" s="185">
        <v>62.275095999999998</v>
      </c>
      <c r="S28" s="185">
        <v>64.054391039999999</v>
      </c>
      <c r="T28" s="185">
        <v>64.054391039999999</v>
      </c>
      <c r="U28" s="185">
        <v>64.054391039999999</v>
      </c>
      <c r="V28" s="185">
        <v>64.054391039999999</v>
      </c>
      <c r="W28" s="185">
        <v>85.405600000000007</v>
      </c>
      <c r="X28" s="185">
        <v>85.405600000000007</v>
      </c>
      <c r="Y28" s="185">
        <v>85.405600000000007</v>
      </c>
      <c r="Z28" s="185">
        <v>42.702928</v>
      </c>
      <c r="AA28" s="185">
        <v>62.986800000000002</v>
      </c>
      <c r="AB28" s="185">
        <v>62.986800000000002</v>
      </c>
      <c r="AC28" s="185">
        <v>62.275120000000001</v>
      </c>
      <c r="AD28" s="185">
        <v>62.275095999999998</v>
      </c>
      <c r="AE28" s="185">
        <v>64.054392000000007</v>
      </c>
      <c r="AF28" s="185">
        <v>68.627160000000003</v>
      </c>
      <c r="AG28" s="185">
        <v>33.292000000000002</v>
      </c>
      <c r="AH28" s="185">
        <v>38.131999999999998</v>
      </c>
      <c r="AI28" s="185">
        <v>37.365000000000002</v>
      </c>
      <c r="AJ28" s="185">
        <v>38.69952</v>
      </c>
      <c r="AK28" s="185">
        <v>37.365000000000002</v>
      </c>
      <c r="AL28" s="185">
        <v>38.69952</v>
      </c>
      <c r="AM28" s="185">
        <v>38.69952</v>
      </c>
      <c r="AN28" s="185">
        <v>41.36844</v>
      </c>
      <c r="AO28" s="185">
        <v>42.7029</v>
      </c>
      <c r="AP28" s="185">
        <v>46.439399999999999</v>
      </c>
      <c r="AQ28" s="185">
        <v>24.91</v>
      </c>
      <c r="AR28" s="185">
        <v>25.799685279999998</v>
      </c>
      <c r="AS28" s="185">
        <v>25.799685279999998</v>
      </c>
      <c r="AT28" s="185">
        <v>27.578980000000001</v>
      </c>
      <c r="AU28" s="185">
        <v>27.578980000000001</v>
      </c>
      <c r="AV28" s="185">
        <v>28.468618240000001</v>
      </c>
      <c r="AW28" s="185">
        <v>28.468618240000001</v>
      </c>
      <c r="AX28" s="185">
        <v>28.468618240000001</v>
      </c>
      <c r="AY28" s="185">
        <v>28.468618240000001</v>
      </c>
      <c r="AZ28" s="185">
        <v>35.763701599999997</v>
      </c>
      <c r="BA28" s="185">
        <v>39.322278939999997</v>
      </c>
      <c r="BB28" s="185">
        <v>39.322278939999997</v>
      </c>
      <c r="BC28" s="185">
        <v>41.813283040000002</v>
      </c>
      <c r="BD28" s="185">
        <v>35.7637</v>
      </c>
      <c r="BE28" s="185">
        <v>32.916800000000002</v>
      </c>
      <c r="BF28" s="185">
        <v>36.653199999999998</v>
      </c>
      <c r="BG28" s="185">
        <v>43.058784000000003</v>
      </c>
      <c r="BH28" s="185">
        <v>46.795279999999998</v>
      </c>
      <c r="BI28" s="185">
        <v>46.795279999999998</v>
      </c>
      <c r="BJ28" s="185">
        <v>36.653199999999998</v>
      </c>
      <c r="BK28" s="185">
        <v>43.058784000000003</v>
      </c>
      <c r="BL28" s="185">
        <v>49.884</v>
      </c>
      <c r="BM28" s="185">
        <v>52.164000000000001</v>
      </c>
      <c r="BN28" s="185">
        <v>52.164000000000001</v>
      </c>
      <c r="BO28" s="185">
        <v>52.164000000000001</v>
      </c>
      <c r="BP28" s="185">
        <v>52.164000000000001</v>
      </c>
      <c r="BQ28" s="185">
        <v>52.164000000000001</v>
      </c>
      <c r="BR28" s="185">
        <v>52.164000000000001</v>
      </c>
      <c r="BS28" s="185">
        <v>66.776703999999995</v>
      </c>
      <c r="BT28" s="185">
        <v>72.772903999999997</v>
      </c>
      <c r="BU28" s="185">
        <v>65.335478800000004</v>
      </c>
      <c r="BV28" s="185">
        <v>70.477599999999995</v>
      </c>
      <c r="BW28" s="185">
        <v>66.776703999999995</v>
      </c>
      <c r="BX28" s="185">
        <v>72.772903999999997</v>
      </c>
      <c r="BY28" s="185">
        <v>72.772903999999997</v>
      </c>
      <c r="BZ28" s="185">
        <v>76.509399999999999</v>
      </c>
      <c r="CA28" s="185">
        <v>70.477599999999995</v>
      </c>
      <c r="CB28" s="185">
        <v>75.690920000000006</v>
      </c>
      <c r="CC28" s="185">
        <v>85.405839999999998</v>
      </c>
      <c r="CD28" s="185">
        <v>83.501999999999995</v>
      </c>
      <c r="CE28" s="185">
        <v>88.964432000000002</v>
      </c>
      <c r="CF28" s="185">
        <v>86.59796</v>
      </c>
      <c r="CG28" s="185">
        <v>92.878867999999997</v>
      </c>
      <c r="CH28" s="185">
        <v>92.434044</v>
      </c>
      <c r="CI28" s="185">
        <v>101.7397244</v>
      </c>
      <c r="CJ28" s="185">
        <v>100.974632</v>
      </c>
      <c r="CK28" s="185">
        <v>101.18814399999999</v>
      </c>
      <c r="CL28" s="185">
        <v>105.77870799999999</v>
      </c>
      <c r="CM28" s="185">
        <v>87.13176</v>
      </c>
      <c r="CN28" s="185">
        <v>85.405839999999998</v>
      </c>
      <c r="CO28" s="185">
        <v>87.13176</v>
      </c>
      <c r="CP28" s="185">
        <v>87.13176</v>
      </c>
      <c r="CQ28" s="185">
        <v>88.964432000000002</v>
      </c>
      <c r="CR28" s="185">
        <v>93.341480000000004</v>
      </c>
      <c r="CS28" s="185">
        <v>88.964432000000002</v>
      </c>
      <c r="CT28" s="185">
        <v>99.640159999999995</v>
      </c>
      <c r="CU28" s="185">
        <v>93.341480000000004</v>
      </c>
      <c r="CV28" s="185">
        <v>38.432631999999998</v>
      </c>
      <c r="CW28" s="185">
        <v>39.322278799999999</v>
      </c>
      <c r="CX28" s="185">
        <v>41.457424000000003</v>
      </c>
      <c r="CY28" s="185">
        <v>42.347068</v>
      </c>
      <c r="CZ28" s="185">
        <v>39.144350080000002</v>
      </c>
      <c r="DA28" s="185">
        <v>41.813283040000002</v>
      </c>
      <c r="DB28" s="185">
        <v>48.040793200000003</v>
      </c>
      <c r="DC28" s="185">
        <v>40.994799999999998</v>
      </c>
      <c r="DD28" s="185">
        <v>44.126356000000001</v>
      </c>
      <c r="DE28" s="185">
        <v>42.72072</v>
      </c>
      <c r="DF28" s="185">
        <v>48.254303999999998</v>
      </c>
      <c r="DG28" s="185">
        <v>43.129956</v>
      </c>
      <c r="DH28" s="185">
        <v>44.482216000000001</v>
      </c>
      <c r="DI28" s="185">
        <v>47.151147999999999</v>
      </c>
      <c r="DJ28" s="185">
        <v>48.040793200000003</v>
      </c>
      <c r="DK28" s="185">
        <v>44.126358269999997</v>
      </c>
      <c r="DL28" s="185">
        <v>44.126358269999997</v>
      </c>
      <c r="DM28" s="185">
        <v>42.72072</v>
      </c>
      <c r="DN28" s="185">
        <v>48.254307599999997</v>
      </c>
      <c r="DO28" s="185">
        <v>48.174239929999999</v>
      </c>
      <c r="DP28" s="185">
        <v>43.129956</v>
      </c>
      <c r="DQ28" s="185">
        <v>52.115364</v>
      </c>
      <c r="DR28" s="185">
        <v>52.035296000000002</v>
      </c>
      <c r="DS28" s="185">
        <v>53.378658799999997</v>
      </c>
      <c r="DT28" s="185">
        <v>53.200730319999998</v>
      </c>
      <c r="DU28" s="185">
        <v>55.157947839999999</v>
      </c>
      <c r="DV28" s="185">
        <v>56.937236480000003</v>
      </c>
      <c r="DW28" s="185">
        <v>56.225520000000003</v>
      </c>
      <c r="DX28" s="185">
        <v>57.221919999999997</v>
      </c>
      <c r="DY28" s="185">
        <v>57.221919999999997</v>
      </c>
      <c r="DZ28" s="185">
        <v>58.912239999999997</v>
      </c>
      <c r="EA28" s="185">
        <v>57.221919999999997</v>
      </c>
      <c r="EB28" s="185">
        <v>57.221919999999997</v>
      </c>
      <c r="EC28" s="185">
        <v>58.912239999999997</v>
      </c>
      <c r="ED28" s="185">
        <v>25.817478000000001</v>
      </c>
      <c r="EE28" s="185">
        <v>25.817478000000001</v>
      </c>
      <c r="EF28" s="185">
        <v>25.817478000000001</v>
      </c>
      <c r="EG28" s="185">
        <v>25.817478000000001</v>
      </c>
      <c r="EH28" s="185">
        <v>25.817478000000001</v>
      </c>
      <c r="EI28" s="185">
        <v>25.817478000000001</v>
      </c>
      <c r="EJ28" s="185">
        <v>33.486199999999997</v>
      </c>
      <c r="EK28" s="185">
        <v>33.486199999999997</v>
      </c>
      <c r="EL28" s="185">
        <v>33.486199999999997</v>
      </c>
      <c r="EM28" s="185">
        <v>33.486199999999997</v>
      </c>
      <c r="EN28" s="185">
        <v>33.486199999999997</v>
      </c>
      <c r="EO28" s="185">
        <v>33.486199999999997</v>
      </c>
      <c r="EP28" s="185">
        <v>13.484</v>
      </c>
      <c r="EQ28" s="185">
        <v>13.484</v>
      </c>
      <c r="ER28" s="185">
        <v>13.484</v>
      </c>
      <c r="ES28" s="185">
        <v>13.484</v>
      </c>
      <c r="ET28" s="185">
        <v>13.484</v>
      </c>
      <c r="EU28" s="185">
        <v>15.868</v>
      </c>
      <c r="EV28" s="185">
        <v>26.8</v>
      </c>
      <c r="EW28" s="185">
        <v>39.200000000000003</v>
      </c>
      <c r="EX28" s="185">
        <v>39.200000000000003</v>
      </c>
      <c r="EY28" s="185">
        <v>39.200000000000003</v>
      </c>
      <c r="EZ28" s="185">
        <v>16.40504</v>
      </c>
      <c r="FA28" s="185">
        <v>16.40504</v>
      </c>
      <c r="FB28" s="185">
        <v>16.40504</v>
      </c>
      <c r="FC28" s="185">
        <v>16.40504</v>
      </c>
      <c r="FD28" s="185">
        <v>16.40504</v>
      </c>
      <c r="FE28" s="185">
        <v>25.815999999999999</v>
      </c>
      <c r="FF28" s="185">
        <v>25.815999999999999</v>
      </c>
      <c r="FG28" s="185">
        <v>25.815999999999999</v>
      </c>
      <c r="FH28" s="185">
        <v>25.815999999999999</v>
      </c>
    </row>
    <row r="29" spans="1:164" s="23" customFormat="1" ht="12.75">
      <c r="A29" s="177" t="s">
        <v>2629</v>
      </c>
      <c r="B29" s="170">
        <v>16.018528029999999</v>
      </c>
      <c r="C29" s="170">
        <v>17.940750699999999</v>
      </c>
      <c r="D29" s="170">
        <v>11.453195579999999</v>
      </c>
      <c r="E29" s="170">
        <v>13.359449440000001</v>
      </c>
      <c r="F29" s="170">
        <v>13.359449440000001</v>
      </c>
      <c r="G29" s="170">
        <v>13.90408107</v>
      </c>
      <c r="H29" s="170">
        <v>13.359449440000001</v>
      </c>
      <c r="I29" s="170">
        <v>13.359449440000001</v>
      </c>
      <c r="J29" s="170">
        <v>7.3685484590000003</v>
      </c>
      <c r="K29" s="170">
        <v>9.6111133590000009</v>
      </c>
      <c r="L29" s="170">
        <v>8.9703753489999993</v>
      </c>
      <c r="M29" s="170">
        <v>8.5127343940000006</v>
      </c>
      <c r="N29" s="170">
        <v>10.251851370000001</v>
      </c>
      <c r="O29" s="170">
        <v>15.048295169999999</v>
      </c>
      <c r="P29" s="170">
        <v>22.10565248</v>
      </c>
      <c r="Q29" s="170">
        <v>24.027828660000001</v>
      </c>
      <c r="R29" s="170">
        <v>24.027819399999998</v>
      </c>
      <c r="S29" s="170">
        <v>25.208569010000001</v>
      </c>
      <c r="T29" s="170">
        <v>25.208569010000001</v>
      </c>
      <c r="U29" s="170">
        <v>26.36198177</v>
      </c>
      <c r="V29" s="170">
        <v>26.36198177</v>
      </c>
      <c r="W29" s="170">
        <v>33.611325100000002</v>
      </c>
      <c r="X29" s="170">
        <v>35.149204189999999</v>
      </c>
      <c r="Y29" s="170">
        <v>35.149204189999999</v>
      </c>
      <c r="Z29" s="170">
        <v>13.400644440000001</v>
      </c>
      <c r="AA29" s="170">
        <v>20.090038839999998</v>
      </c>
      <c r="AB29" s="170">
        <v>21.548181150000001</v>
      </c>
      <c r="AC29" s="170">
        <v>24.027828660000001</v>
      </c>
      <c r="AD29" s="170">
        <v>24.027819399999998</v>
      </c>
      <c r="AE29" s="170">
        <v>25.20856938</v>
      </c>
      <c r="AF29" s="170">
        <v>27.361295890000001</v>
      </c>
      <c r="AG29" s="170">
        <v>11.132450459999999</v>
      </c>
      <c r="AH29" s="170">
        <v>12.750889129999999</v>
      </c>
      <c r="AI29" s="170">
        <v>13.455541419999999</v>
      </c>
      <c r="AJ29" s="170">
        <v>13.93611653</v>
      </c>
      <c r="AK29" s="170">
        <v>13.455541419999999</v>
      </c>
      <c r="AL29" s="170">
        <v>13.93611653</v>
      </c>
      <c r="AM29" s="170">
        <v>14.43384425</v>
      </c>
      <c r="AN29" s="170">
        <v>15.429277150000001</v>
      </c>
      <c r="AO29" s="170">
        <v>15.926993599999999</v>
      </c>
      <c r="AP29" s="170">
        <v>17.32060414</v>
      </c>
      <c r="AQ29" s="170">
        <v>9.2907325200000006</v>
      </c>
      <c r="AR29" s="170">
        <v>9.6225602180000003</v>
      </c>
      <c r="AS29" s="170">
        <v>9.6225602180000003</v>
      </c>
      <c r="AT29" s="170">
        <v>10.42809795</v>
      </c>
      <c r="AU29" s="170">
        <v>10.42809795</v>
      </c>
      <c r="AV29" s="170">
        <v>10.76448583</v>
      </c>
      <c r="AW29" s="170">
        <v>10.76448583</v>
      </c>
      <c r="AX29" s="170">
        <v>10.76448583</v>
      </c>
      <c r="AY29" s="170">
        <v>10.76448583</v>
      </c>
      <c r="AZ29" s="170">
        <v>14.25878799</v>
      </c>
      <c r="BA29" s="170">
        <v>15.67757289</v>
      </c>
      <c r="BB29" s="170">
        <v>16.891324659999999</v>
      </c>
      <c r="BC29" s="170">
        <v>17.961363330000001</v>
      </c>
      <c r="BD29" s="170">
        <v>13.338865070000001</v>
      </c>
      <c r="BE29" s="170">
        <v>12.277050579999999</v>
      </c>
      <c r="BF29" s="170">
        <v>14.142033120000001</v>
      </c>
      <c r="BG29" s="170">
        <v>16.05972843</v>
      </c>
      <c r="BH29" s="170">
        <v>17.934796599999999</v>
      </c>
      <c r="BI29" s="170">
        <v>17.934796599999999</v>
      </c>
      <c r="BJ29" s="170">
        <v>14.142033120000001</v>
      </c>
      <c r="BK29" s="170">
        <v>16.05972843</v>
      </c>
      <c r="BL29" s="170">
        <v>23.096258479999999</v>
      </c>
      <c r="BM29" s="170">
        <v>24.151896950000001</v>
      </c>
      <c r="BN29" s="170">
        <v>24.151896950000001</v>
      </c>
      <c r="BO29" s="170">
        <v>24.151896950000001</v>
      </c>
      <c r="BP29" s="170">
        <v>24.151896950000001</v>
      </c>
      <c r="BQ29" s="170">
        <v>24.151896950000001</v>
      </c>
      <c r="BR29" s="170">
        <v>24.151896950000001</v>
      </c>
      <c r="BS29" s="170">
        <v>24.905852700000001</v>
      </c>
      <c r="BT29" s="170">
        <v>27.142268479999998</v>
      </c>
      <c r="BU29" s="170">
        <v>24.368315800000001</v>
      </c>
      <c r="BV29" s="170">
        <v>26.286183940000001</v>
      </c>
      <c r="BW29" s="170">
        <v>24.905852700000001</v>
      </c>
      <c r="BX29" s="170">
        <v>27.142268479999998</v>
      </c>
      <c r="BY29" s="170">
        <v>27.142268479999998</v>
      </c>
      <c r="BZ29" s="170">
        <v>28.53587752</v>
      </c>
      <c r="CA29" s="170">
        <v>26.286183940000001</v>
      </c>
      <c r="CB29" s="170">
        <v>28.230607259999999</v>
      </c>
      <c r="CC29" s="170">
        <v>35.149302970000001</v>
      </c>
      <c r="CD29" s="170">
        <v>34.365765809999999</v>
      </c>
      <c r="CE29" s="170">
        <v>36.613863569999999</v>
      </c>
      <c r="CF29" s="170">
        <v>35.639927350000001</v>
      </c>
      <c r="CG29" s="170">
        <v>38.224873969999997</v>
      </c>
      <c r="CH29" s="170">
        <v>38.041803899999998</v>
      </c>
      <c r="CI29" s="170">
        <v>41.871614360000002</v>
      </c>
      <c r="CJ29" s="170">
        <v>41.556735840000002</v>
      </c>
      <c r="CK29" s="170">
        <v>41.644608030000001</v>
      </c>
      <c r="CL29" s="170">
        <v>43.533883109999998</v>
      </c>
      <c r="CM29" s="170">
        <v>25.650791470000001</v>
      </c>
      <c r="CN29" s="170">
        <v>24.450695100000001</v>
      </c>
      <c r="CO29" s="170">
        <v>25.650791470000001</v>
      </c>
      <c r="CP29" s="170">
        <v>27.06276154</v>
      </c>
      <c r="CQ29" s="170">
        <v>27.63198182</v>
      </c>
      <c r="CR29" s="170">
        <v>28.99147469</v>
      </c>
      <c r="CS29" s="170">
        <v>27.63198182</v>
      </c>
      <c r="CT29" s="170">
        <v>32.562487349999998</v>
      </c>
      <c r="CU29" s="170">
        <v>30.504073479999999</v>
      </c>
      <c r="CV29" s="170">
        <v>11.41801502</v>
      </c>
      <c r="CW29" s="170">
        <v>11.682321679999999</v>
      </c>
      <c r="CX29" s="170">
        <v>12.316655539999999</v>
      </c>
      <c r="CY29" s="170">
        <v>12.580961370000001</v>
      </c>
      <c r="CZ29" s="170">
        <v>11.629460529999999</v>
      </c>
      <c r="DA29" s="170">
        <v>12.4223783</v>
      </c>
      <c r="DB29" s="170">
        <v>14.27251972</v>
      </c>
      <c r="DC29" s="170">
        <v>12.179213799999999</v>
      </c>
      <c r="DD29" s="170">
        <v>13.109573019999999</v>
      </c>
      <c r="DE29" s="170">
        <v>12.69197026</v>
      </c>
      <c r="DF29" s="170">
        <v>14.335952000000001</v>
      </c>
      <c r="DG29" s="170">
        <v>12.81355087</v>
      </c>
      <c r="DH29" s="170">
        <v>13.21529606</v>
      </c>
      <c r="DI29" s="170">
        <v>14.00821354</v>
      </c>
      <c r="DJ29" s="170">
        <v>14.27251972</v>
      </c>
      <c r="DK29" s="170">
        <v>13.10957369</v>
      </c>
      <c r="DL29" s="170">
        <v>13.10957369</v>
      </c>
      <c r="DM29" s="170">
        <v>12.69197026</v>
      </c>
      <c r="DN29" s="170">
        <v>14.33595307</v>
      </c>
      <c r="DO29" s="170">
        <v>14.312165630000001</v>
      </c>
      <c r="DP29" s="170">
        <v>12.81355087</v>
      </c>
      <c r="DQ29" s="170">
        <v>15.48304079</v>
      </c>
      <c r="DR29" s="170">
        <v>15.45925325</v>
      </c>
      <c r="DS29" s="170">
        <v>15.85835516</v>
      </c>
      <c r="DT29" s="170">
        <v>15.805494080000001</v>
      </c>
      <c r="DU29" s="170">
        <v>16.386967120000001</v>
      </c>
      <c r="DV29" s="170">
        <v>16.915578960000001</v>
      </c>
      <c r="DW29" s="170">
        <v>16.70413392</v>
      </c>
      <c r="DX29" s="170">
        <v>17.000156059999998</v>
      </c>
      <c r="DY29" s="170">
        <v>17.000156059999998</v>
      </c>
      <c r="DZ29" s="170">
        <v>17.502336060000001</v>
      </c>
      <c r="EA29" s="170">
        <v>17.000156059999998</v>
      </c>
      <c r="EB29" s="170">
        <v>17.000156059999998</v>
      </c>
      <c r="EC29" s="170">
        <v>17.502336060000001</v>
      </c>
      <c r="ED29" s="170">
        <v>9.1643692780000006</v>
      </c>
      <c r="EE29" s="170">
        <v>9.1643692780000006</v>
      </c>
      <c r="EF29" s="170">
        <v>9.1643692780000006</v>
      </c>
      <c r="EG29" s="170">
        <v>9.1643692780000006</v>
      </c>
      <c r="EH29" s="170">
        <v>9.1643692780000006</v>
      </c>
      <c r="EI29" s="170">
        <v>9.1643692780000006</v>
      </c>
      <c r="EJ29" s="170">
        <v>11.628066069999999</v>
      </c>
      <c r="EK29" s="170">
        <v>11.628066069999999</v>
      </c>
      <c r="EL29" s="170">
        <v>11.628066069999999</v>
      </c>
      <c r="EM29" s="170">
        <v>11.628066069999999</v>
      </c>
      <c r="EN29" s="170">
        <v>11.628066069999999</v>
      </c>
      <c r="EO29" s="170">
        <v>11.628066069999999</v>
      </c>
      <c r="EP29" s="170">
        <v>4.2661167210000004</v>
      </c>
      <c r="EQ29" s="170">
        <v>4.2661167210000004</v>
      </c>
      <c r="ER29" s="170">
        <v>4.6129613599999999</v>
      </c>
      <c r="ES29" s="170">
        <v>4.6129613599999999</v>
      </c>
      <c r="ET29" s="170">
        <v>4.6823122039999996</v>
      </c>
      <c r="EU29" s="170">
        <v>5.5101550030000004</v>
      </c>
      <c r="EV29" s="170">
        <v>9.306286493</v>
      </c>
      <c r="EW29" s="170">
        <v>13.612180240000001</v>
      </c>
      <c r="EX29" s="170">
        <v>13.612180240000001</v>
      </c>
      <c r="EY29" s="170">
        <v>13.612180240000001</v>
      </c>
      <c r="EZ29" s="170">
        <v>5.570062053</v>
      </c>
      <c r="FA29" s="170">
        <v>5.6966418719999998</v>
      </c>
      <c r="FB29" s="170">
        <v>5.6966418719999998</v>
      </c>
      <c r="FC29" s="170">
        <v>5.6966418719999998</v>
      </c>
      <c r="FD29" s="170">
        <v>5.6966418719999998</v>
      </c>
      <c r="FE29" s="170">
        <v>9.6286497369999999</v>
      </c>
      <c r="FF29" s="170">
        <v>9.6950669529999995</v>
      </c>
      <c r="FG29" s="170">
        <v>9.6950669529999995</v>
      </c>
      <c r="FH29" s="170">
        <v>9.6950669529999995</v>
      </c>
    </row>
    <row r="30" spans="1:164" s="23" customFormat="1" ht="12.75">
      <c r="A30" s="177" t="s">
        <v>2630</v>
      </c>
      <c r="B30" s="170">
        <v>10.068816480000001</v>
      </c>
      <c r="C30" s="170">
        <v>11.27707403</v>
      </c>
      <c r="D30" s="170">
        <v>8.4577515699999992</v>
      </c>
      <c r="E30" s="170">
        <v>8.3973911050000005</v>
      </c>
      <c r="F30" s="170">
        <v>8.5882240400000001</v>
      </c>
      <c r="G30" s="170">
        <v>8.7397319190000005</v>
      </c>
      <c r="H30" s="170">
        <v>8.3973911050000005</v>
      </c>
      <c r="I30" s="170">
        <v>8.3973911050000005</v>
      </c>
      <c r="J30" s="170">
        <v>4.8696388099999997</v>
      </c>
      <c r="K30" s="170">
        <v>6.0412877180000004</v>
      </c>
      <c r="L30" s="170">
        <v>5.6385370139999997</v>
      </c>
      <c r="M30" s="170">
        <v>5.3913833110000002</v>
      </c>
      <c r="N30" s="170">
        <v>6.4440384220000002</v>
      </c>
      <c r="O30" s="170">
        <v>11.203839110000001</v>
      </c>
      <c r="P30" s="170">
        <v>16.338936409999999</v>
      </c>
      <c r="Q30" s="170">
        <v>16.338936409999999</v>
      </c>
      <c r="R30" s="170">
        <v>16.33893011</v>
      </c>
      <c r="S30" s="170">
        <v>16.805758409999999</v>
      </c>
      <c r="T30" s="170">
        <v>16.805758409999999</v>
      </c>
      <c r="U30" s="170">
        <v>16.805758409999999</v>
      </c>
      <c r="V30" s="170">
        <v>16.805758409999999</v>
      </c>
      <c r="W30" s="170">
        <v>20.21072281</v>
      </c>
      <c r="X30" s="170">
        <v>20.21072281</v>
      </c>
      <c r="Y30" s="170">
        <v>20.21072281</v>
      </c>
      <c r="Z30" s="170">
        <v>10.325098260000001</v>
      </c>
      <c r="AA30" s="170">
        <v>15.22951539</v>
      </c>
      <c r="AB30" s="170">
        <v>15.22951539</v>
      </c>
      <c r="AC30" s="170">
        <v>15.05743899</v>
      </c>
      <c r="AD30" s="170">
        <v>15.057433189999999</v>
      </c>
      <c r="AE30" s="170">
        <v>15.487647389999999</v>
      </c>
      <c r="AF30" s="170">
        <v>16.593292389999998</v>
      </c>
      <c r="AG30" s="170">
        <v>7.4501836360000002</v>
      </c>
      <c r="AH30" s="170">
        <v>8.5332933559999997</v>
      </c>
      <c r="AI30" s="170">
        <v>9.0344459849999996</v>
      </c>
      <c r="AJ30" s="170">
        <v>9.3571182410000002</v>
      </c>
      <c r="AK30" s="170">
        <v>9.0344459849999996</v>
      </c>
      <c r="AL30" s="170">
        <v>9.3571182410000002</v>
      </c>
      <c r="AM30" s="170">
        <v>9.3571182410000002</v>
      </c>
      <c r="AN30" s="170">
        <v>10.002433740000001</v>
      </c>
      <c r="AO30" s="170">
        <v>10.32509149</v>
      </c>
      <c r="AP30" s="170">
        <v>11.22853609</v>
      </c>
      <c r="AQ30" s="170">
        <v>5.3822289699999999</v>
      </c>
      <c r="AR30" s="170">
        <v>5.574460599</v>
      </c>
      <c r="AS30" s="170">
        <v>5.574460599</v>
      </c>
      <c r="AT30" s="170">
        <v>5.9589074719999999</v>
      </c>
      <c r="AU30" s="170">
        <v>5.9589074719999999</v>
      </c>
      <c r="AV30" s="170">
        <v>6.1511289370000002</v>
      </c>
      <c r="AW30" s="170">
        <v>6.1511289370000002</v>
      </c>
      <c r="AX30" s="170">
        <v>6.1511289370000002</v>
      </c>
      <c r="AY30" s="170">
        <v>6.1511289370000002</v>
      </c>
      <c r="AZ30" s="170">
        <v>8.0468328600000003</v>
      </c>
      <c r="BA30" s="170">
        <v>8.8475127619999991</v>
      </c>
      <c r="BB30" s="170">
        <v>8.8475127619999991</v>
      </c>
      <c r="BC30" s="170">
        <v>9.4079886839999993</v>
      </c>
      <c r="BD30" s="170">
        <v>8.0468325000000007</v>
      </c>
      <c r="BE30" s="170">
        <v>7.5708640000000003</v>
      </c>
      <c r="BF30" s="170">
        <v>8.4302360000000007</v>
      </c>
      <c r="BG30" s="170">
        <v>9.9035203200000002</v>
      </c>
      <c r="BH30" s="170">
        <v>10.7629144</v>
      </c>
      <c r="BI30" s="170">
        <v>10.7629144</v>
      </c>
      <c r="BJ30" s="170">
        <v>8.4302360000000007</v>
      </c>
      <c r="BK30" s="170">
        <v>9.9035203200000002</v>
      </c>
      <c r="BL30" s="170">
        <v>11.473319999999999</v>
      </c>
      <c r="BM30" s="170">
        <v>11.997719999999999</v>
      </c>
      <c r="BN30" s="170">
        <v>11.997719999999999</v>
      </c>
      <c r="BO30" s="170">
        <v>11.997719999999999</v>
      </c>
      <c r="BP30" s="170">
        <v>11.997719999999999</v>
      </c>
      <c r="BQ30" s="170">
        <v>11.997719999999999</v>
      </c>
      <c r="BR30" s="170">
        <v>11.997719999999999</v>
      </c>
      <c r="BS30" s="170">
        <v>16.145872480000001</v>
      </c>
      <c r="BT30" s="170">
        <v>17.595687689999998</v>
      </c>
      <c r="BU30" s="170">
        <v>15.797400079999999</v>
      </c>
      <c r="BV30" s="170">
        <v>17.040708429999999</v>
      </c>
      <c r="BW30" s="170">
        <v>16.145872480000001</v>
      </c>
      <c r="BX30" s="170">
        <v>17.595687689999998</v>
      </c>
      <c r="BY30" s="170">
        <v>17.595687689999998</v>
      </c>
      <c r="BZ30" s="170">
        <v>18.49913132</v>
      </c>
      <c r="CA30" s="170">
        <v>17.040708429999999</v>
      </c>
      <c r="CB30" s="170">
        <v>18.301231860000001</v>
      </c>
      <c r="CC30" s="170">
        <v>20.210779599999999</v>
      </c>
      <c r="CD30" s="170">
        <v>19.760247289999999</v>
      </c>
      <c r="CE30" s="170">
        <v>21.052899050000001</v>
      </c>
      <c r="CF30" s="170">
        <v>20.49288765</v>
      </c>
      <c r="CG30" s="170">
        <v>21.979226839999999</v>
      </c>
      <c r="CH30" s="170">
        <v>21.873961909999998</v>
      </c>
      <c r="CI30" s="170">
        <v>24.076095339999998</v>
      </c>
      <c r="CJ30" s="170">
        <v>23.895040819999998</v>
      </c>
      <c r="CK30" s="170">
        <v>23.945567149999999</v>
      </c>
      <c r="CL30" s="170">
        <v>25.031896580000002</v>
      </c>
      <c r="CM30" s="170">
        <v>21.515706890000001</v>
      </c>
      <c r="CN30" s="170">
        <v>21.089520289999999</v>
      </c>
      <c r="CO30" s="170">
        <v>21.515706890000001</v>
      </c>
      <c r="CP30" s="170">
        <v>21.515706890000001</v>
      </c>
      <c r="CQ30" s="170">
        <v>21.968254089999999</v>
      </c>
      <c r="CR30" s="170">
        <v>23.04909168</v>
      </c>
      <c r="CS30" s="170">
        <v>21.968254089999999</v>
      </c>
      <c r="CT30" s="170">
        <v>24.604443629999999</v>
      </c>
      <c r="CU30" s="170">
        <v>23.04909168</v>
      </c>
      <c r="CV30" s="170">
        <v>9.0948517669999998</v>
      </c>
      <c r="CW30" s="170">
        <v>9.3053813440000006</v>
      </c>
      <c r="CX30" s="170">
        <v>9.8106506450000008</v>
      </c>
      <c r="CY30" s="170">
        <v>10.02117956</v>
      </c>
      <c r="CZ30" s="170">
        <v>9.0619170439999994</v>
      </c>
      <c r="DA30" s="170">
        <v>9.6797750239999996</v>
      </c>
      <c r="DB30" s="170">
        <v>11.12144363</v>
      </c>
      <c r="DC30" s="170">
        <v>9.4902961999999995</v>
      </c>
      <c r="DD30" s="170">
        <v>10.21525141</v>
      </c>
      <c r="DE30" s="170">
        <v>9.8898466799999998</v>
      </c>
      <c r="DF30" s="170">
        <v>11.170871379999999</v>
      </c>
      <c r="DG30" s="170">
        <v>9.9845848139999998</v>
      </c>
      <c r="DH30" s="170">
        <v>10.297632999999999</v>
      </c>
      <c r="DI30" s="170">
        <v>10.915490760000001</v>
      </c>
      <c r="DJ30" s="170">
        <v>11.12144363</v>
      </c>
      <c r="DK30" s="170">
        <v>10.21525194</v>
      </c>
      <c r="DL30" s="170">
        <v>10.21525194</v>
      </c>
      <c r="DM30" s="170">
        <v>9.8898466799999998</v>
      </c>
      <c r="DN30" s="170">
        <v>11.170872210000001</v>
      </c>
      <c r="DO30" s="170">
        <v>11.15233654</v>
      </c>
      <c r="DP30" s="170">
        <v>9.9845848139999998</v>
      </c>
      <c r="DQ30" s="170">
        <v>12.064706770000001</v>
      </c>
      <c r="DR30" s="170">
        <v>12.046171019999999</v>
      </c>
      <c r="DS30" s="170">
        <v>12.357159510000001</v>
      </c>
      <c r="DT30" s="170">
        <v>12.31596907</v>
      </c>
      <c r="DU30" s="170">
        <v>12.76906492</v>
      </c>
      <c r="DV30" s="170">
        <v>13.18097025</v>
      </c>
      <c r="DW30" s="170">
        <v>13.01620788</v>
      </c>
      <c r="DX30" s="170">
        <v>13.246874480000001</v>
      </c>
      <c r="DY30" s="170">
        <v>13.246874480000001</v>
      </c>
      <c r="DZ30" s="170">
        <v>13.63818356</v>
      </c>
      <c r="EA30" s="170">
        <v>13.246874480000001</v>
      </c>
      <c r="EB30" s="170">
        <v>13.246874480000001</v>
      </c>
      <c r="EC30" s="170">
        <v>13.63818356</v>
      </c>
      <c r="ED30" s="170">
        <v>6.1095512640000003</v>
      </c>
      <c r="EE30" s="170">
        <v>6.1095512640000003</v>
      </c>
      <c r="EF30" s="170">
        <v>6.1095512640000003</v>
      </c>
      <c r="EG30" s="170">
        <v>6.1095512640000003</v>
      </c>
      <c r="EH30" s="170">
        <v>6.1095512640000003</v>
      </c>
      <c r="EI30" s="170">
        <v>6.1095512640000003</v>
      </c>
      <c r="EJ30" s="170">
        <v>7.924308313</v>
      </c>
      <c r="EK30" s="170">
        <v>7.924308313</v>
      </c>
      <c r="EL30" s="170">
        <v>7.924308313</v>
      </c>
      <c r="EM30" s="170">
        <v>7.924308313</v>
      </c>
      <c r="EN30" s="170">
        <v>7.924308313</v>
      </c>
      <c r="EO30" s="170">
        <v>7.924308313</v>
      </c>
      <c r="EP30" s="170">
        <v>3.1215459999999999</v>
      </c>
      <c r="EQ30" s="170">
        <v>3.1215459999999999</v>
      </c>
      <c r="ER30" s="170">
        <v>3.1215459999999999</v>
      </c>
      <c r="ES30" s="170">
        <v>3.1215459999999999</v>
      </c>
      <c r="ET30" s="170">
        <v>3.1215459999999999</v>
      </c>
      <c r="EU30" s="170">
        <v>3.6734420000000001</v>
      </c>
      <c r="EV30" s="170">
        <v>6.5213333330000003</v>
      </c>
      <c r="EW30" s="170">
        <v>9.5386666669999993</v>
      </c>
      <c r="EX30" s="170">
        <v>9.5386666669999993</v>
      </c>
      <c r="EY30" s="170">
        <v>9.5386666669999993</v>
      </c>
      <c r="EZ30" s="170">
        <v>3.5783329450000001</v>
      </c>
      <c r="FA30" s="170">
        <v>3.5783329450000001</v>
      </c>
      <c r="FB30" s="170">
        <v>3.5783329450000001</v>
      </c>
      <c r="FC30" s="170">
        <v>3.5445877779999999</v>
      </c>
      <c r="FD30" s="170">
        <v>3.5445877779999999</v>
      </c>
      <c r="FE30" s="170">
        <v>5.870145344</v>
      </c>
      <c r="FF30" s="170">
        <v>6.0826626560000001</v>
      </c>
      <c r="FG30" s="170">
        <v>6.0826626560000001</v>
      </c>
      <c r="FH30" s="170">
        <v>6.2420248239999996</v>
      </c>
    </row>
    <row r="31" spans="1:164" s="23" customFormat="1" ht="12.75">
      <c r="A31" s="177" t="s">
        <v>2631</v>
      </c>
      <c r="B31" s="170">
        <f>B25*B26</f>
        <v>5190</v>
      </c>
      <c r="C31" s="170">
        <f t="shared" ref="C31:I31" si="25">C25*C26</f>
        <v>5190</v>
      </c>
      <c r="D31" s="170">
        <f t="shared" si="25"/>
        <v>4162.1639999999998</v>
      </c>
      <c r="E31" s="170">
        <f t="shared" si="25"/>
        <v>4193.9160000000002</v>
      </c>
      <c r="F31" s="170">
        <f t="shared" si="25"/>
        <v>4193.9160000000002</v>
      </c>
      <c r="G31" s="170">
        <f t="shared" si="25"/>
        <v>4249.2539999999999</v>
      </c>
      <c r="H31" s="170">
        <f t="shared" si="25"/>
        <v>4249.2539999999999</v>
      </c>
      <c r="I31" s="170">
        <f t="shared" si="25"/>
        <v>4249.2539999999999</v>
      </c>
      <c r="J31" s="170">
        <f>J25*J26</f>
        <v>2907.5279999999998</v>
      </c>
      <c r="K31" s="170">
        <f t="shared" ref="K31:BV31" si="26">K25*K26</f>
        <v>3074.45</v>
      </c>
      <c r="L31" s="170">
        <f t="shared" si="26"/>
        <v>2907.5279999999998</v>
      </c>
      <c r="M31" s="170">
        <f t="shared" si="26"/>
        <v>3097.1280000000002</v>
      </c>
      <c r="N31" s="170">
        <f t="shared" si="26"/>
        <v>3111.6439999999998</v>
      </c>
      <c r="O31" s="170">
        <f t="shared" si="26"/>
        <v>6341.22</v>
      </c>
      <c r="P31" s="170">
        <f t="shared" si="26"/>
        <v>9253.2839999999997</v>
      </c>
      <c r="Q31" s="170">
        <f t="shared" si="26"/>
        <v>9253.2839999999997</v>
      </c>
      <c r="R31" s="170">
        <f t="shared" si="26"/>
        <v>8240</v>
      </c>
      <c r="S31" s="170">
        <f t="shared" si="26"/>
        <v>7874.3639999999996</v>
      </c>
      <c r="T31" s="170">
        <f t="shared" si="26"/>
        <v>7874.3639999999996</v>
      </c>
      <c r="U31" s="170">
        <f t="shared" si="26"/>
        <v>7874.3639999999996</v>
      </c>
      <c r="V31" s="170">
        <f t="shared" si="26"/>
        <v>7874.3639999999996</v>
      </c>
      <c r="W31" s="170">
        <f t="shared" si="26"/>
        <v>8556</v>
      </c>
      <c r="X31" s="170">
        <f t="shared" si="26"/>
        <v>8556</v>
      </c>
      <c r="Y31" s="170">
        <f t="shared" si="26"/>
        <v>8556</v>
      </c>
      <c r="Z31" s="170">
        <f t="shared" si="26"/>
        <v>6341.22</v>
      </c>
      <c r="AA31" s="170">
        <f t="shared" si="26"/>
        <v>7520.56</v>
      </c>
      <c r="AB31" s="170">
        <f t="shared" si="26"/>
        <v>7520.56</v>
      </c>
      <c r="AC31" s="170">
        <f t="shared" si="26"/>
        <v>9253.2839999999997</v>
      </c>
      <c r="AD31" s="170">
        <f t="shared" si="26"/>
        <v>8240</v>
      </c>
      <c r="AE31" s="170">
        <f t="shared" si="26"/>
        <v>7602.2079999999996</v>
      </c>
      <c r="AF31" s="170">
        <f t="shared" si="26"/>
        <v>7874.3639999999996</v>
      </c>
      <c r="AG31" s="170">
        <f t="shared" si="26"/>
        <v>4170</v>
      </c>
      <c r="AH31" s="170">
        <f t="shared" si="26"/>
        <v>4170</v>
      </c>
      <c r="AI31" s="170">
        <f t="shared" si="26"/>
        <v>4361.2905000000001</v>
      </c>
      <c r="AJ31" s="170">
        <f t="shared" si="26"/>
        <v>4425.2460000000001</v>
      </c>
      <c r="AK31" s="170">
        <f t="shared" si="26"/>
        <v>4361.2905000000001</v>
      </c>
      <c r="AL31" s="170">
        <f t="shared" si="26"/>
        <v>4425.2460000000001</v>
      </c>
      <c r="AM31" s="170">
        <f t="shared" si="26"/>
        <v>4425.2460000000001</v>
      </c>
      <c r="AN31" s="170">
        <f t="shared" si="26"/>
        <v>4645.692</v>
      </c>
      <c r="AO31" s="170">
        <f t="shared" si="26"/>
        <v>4667.4659999999994</v>
      </c>
      <c r="AP31" s="170">
        <f t="shared" si="26"/>
        <v>4755.915</v>
      </c>
      <c r="AQ31" s="170">
        <f t="shared" si="26"/>
        <v>2907.527</v>
      </c>
      <c r="AR31" s="170">
        <f t="shared" si="26"/>
        <v>3086.2424000000001</v>
      </c>
      <c r="AS31" s="170">
        <f t="shared" si="26"/>
        <v>3086.2424000000001</v>
      </c>
      <c r="AT31" s="170">
        <f t="shared" si="26"/>
        <v>3151.56</v>
      </c>
      <c r="AU31" s="170">
        <f t="shared" si="26"/>
        <v>3151.56</v>
      </c>
      <c r="AV31" s="170">
        <f t="shared" si="26"/>
        <v>3152.4659999999999</v>
      </c>
      <c r="AW31" s="170">
        <f t="shared" si="26"/>
        <v>3152.4659999999999</v>
      </c>
      <c r="AX31" s="170">
        <f t="shared" si="26"/>
        <v>3152.4659999999999</v>
      </c>
      <c r="AY31" s="170">
        <f t="shared" si="26"/>
        <v>3152.4659999999999</v>
      </c>
      <c r="AZ31" s="170">
        <f t="shared" si="26"/>
        <v>3932</v>
      </c>
      <c r="BA31" s="170">
        <f t="shared" si="26"/>
        <v>3932</v>
      </c>
      <c r="BB31" s="170">
        <f t="shared" si="26"/>
        <v>3932</v>
      </c>
      <c r="BC31" s="170">
        <f t="shared" si="26"/>
        <v>3932</v>
      </c>
      <c r="BD31" s="170">
        <f t="shared" si="26"/>
        <v>3932</v>
      </c>
      <c r="BE31" s="170">
        <f t="shared" si="26"/>
        <v>4772</v>
      </c>
      <c r="BF31" s="170">
        <f t="shared" si="26"/>
        <v>4772</v>
      </c>
      <c r="BG31" s="170">
        <f t="shared" si="26"/>
        <v>4772</v>
      </c>
      <c r="BH31" s="170">
        <f t="shared" si="26"/>
        <v>4772</v>
      </c>
      <c r="BI31" s="170">
        <f t="shared" si="26"/>
        <v>4772</v>
      </c>
      <c r="BJ31" s="170">
        <f t="shared" si="26"/>
        <v>4772</v>
      </c>
      <c r="BK31" s="170">
        <f t="shared" si="26"/>
        <v>4772</v>
      </c>
      <c r="BL31" s="170">
        <f t="shared" si="26"/>
        <v>5560</v>
      </c>
      <c r="BM31" s="170">
        <f t="shared" si="26"/>
        <v>5560</v>
      </c>
      <c r="BN31" s="170">
        <f t="shared" si="26"/>
        <v>5560</v>
      </c>
      <c r="BO31" s="170">
        <f t="shared" si="26"/>
        <v>5560</v>
      </c>
      <c r="BP31" s="170">
        <f t="shared" si="26"/>
        <v>5560</v>
      </c>
      <c r="BQ31" s="170">
        <f t="shared" si="26"/>
        <v>5560</v>
      </c>
      <c r="BR31" s="170">
        <f t="shared" si="26"/>
        <v>5560</v>
      </c>
      <c r="BS31" s="170">
        <f t="shared" si="26"/>
        <v>6442</v>
      </c>
      <c r="BT31" s="170">
        <f t="shared" si="26"/>
        <v>6442</v>
      </c>
      <c r="BU31" s="170">
        <f t="shared" si="26"/>
        <v>6968</v>
      </c>
      <c r="BV31" s="170">
        <f t="shared" si="26"/>
        <v>6898</v>
      </c>
      <c r="BW31" s="170">
        <f t="shared" ref="BW31:EC31" si="27">BW25*BW26</f>
        <v>6442</v>
      </c>
      <c r="BX31" s="170">
        <f t="shared" si="27"/>
        <v>6442</v>
      </c>
      <c r="BY31" s="170">
        <f t="shared" si="27"/>
        <v>6442</v>
      </c>
      <c r="BZ31" s="170">
        <f t="shared" si="27"/>
        <v>6442</v>
      </c>
      <c r="CA31" s="170">
        <f t="shared" si="27"/>
        <v>6898</v>
      </c>
      <c r="CB31" s="170">
        <f t="shared" si="27"/>
        <v>6898</v>
      </c>
      <c r="CC31" s="170">
        <f t="shared" si="27"/>
        <v>8105.6956600000003</v>
      </c>
      <c r="CD31" s="170">
        <f t="shared" si="27"/>
        <v>7961.4531999999999</v>
      </c>
      <c r="CE31" s="170">
        <f t="shared" si="27"/>
        <v>8087.5519999999997</v>
      </c>
      <c r="CF31" s="170">
        <f t="shared" si="27"/>
        <v>7961.4531999999999</v>
      </c>
      <c r="CG31" s="170">
        <f t="shared" si="27"/>
        <v>8545.6802599999992</v>
      </c>
      <c r="CH31" s="170">
        <f t="shared" si="27"/>
        <v>8772.4760000000006</v>
      </c>
      <c r="CI31" s="170">
        <f t="shared" si="27"/>
        <v>8772.4760000000006</v>
      </c>
      <c r="CJ31" s="170">
        <f t="shared" si="27"/>
        <v>8545.68</v>
      </c>
      <c r="CK31" s="170">
        <f t="shared" si="27"/>
        <v>11550</v>
      </c>
      <c r="CL31" s="170">
        <f t="shared" si="27"/>
        <v>11550</v>
      </c>
      <c r="CM31" s="170">
        <f t="shared" si="27"/>
        <v>7946.9380000000001</v>
      </c>
      <c r="CN31" s="170">
        <f t="shared" si="27"/>
        <v>8087.5519999999997</v>
      </c>
      <c r="CO31" s="170">
        <f t="shared" si="27"/>
        <v>7946.9380000000001</v>
      </c>
      <c r="CP31" s="170">
        <f t="shared" si="27"/>
        <v>7946.9380000000001</v>
      </c>
      <c r="CQ31" s="170">
        <f t="shared" si="27"/>
        <v>8105.6959999999999</v>
      </c>
      <c r="CR31" s="170">
        <f t="shared" si="27"/>
        <v>8600.1119999999992</v>
      </c>
      <c r="CS31" s="170">
        <f t="shared" si="27"/>
        <v>8105.6959999999999</v>
      </c>
      <c r="CT31" s="170">
        <f t="shared" si="27"/>
        <v>8545.68</v>
      </c>
      <c r="CU31" s="170">
        <f t="shared" si="27"/>
        <v>8600.1119999999992</v>
      </c>
      <c r="CV31" s="170">
        <f t="shared" si="27"/>
        <v>4910.3999999999996</v>
      </c>
      <c r="CW31" s="170">
        <f t="shared" si="27"/>
        <v>4898.7979999999998</v>
      </c>
      <c r="CX31" s="170">
        <f t="shared" si="27"/>
        <v>4910.3999999999996</v>
      </c>
      <c r="CY31" s="170">
        <f t="shared" si="27"/>
        <v>4898.7979999999998</v>
      </c>
      <c r="CZ31" s="170">
        <f t="shared" si="27"/>
        <v>4910.3999999999996</v>
      </c>
      <c r="DA31" s="170">
        <f t="shared" si="27"/>
        <v>4662</v>
      </c>
      <c r="DB31" s="170">
        <f t="shared" si="27"/>
        <v>4910.3999999999996</v>
      </c>
      <c r="DC31" s="170">
        <f t="shared" si="27"/>
        <v>4808</v>
      </c>
      <c r="DD31" s="170">
        <f t="shared" si="27"/>
        <v>4808</v>
      </c>
      <c r="DE31" s="170">
        <f t="shared" si="27"/>
        <v>5980</v>
      </c>
      <c r="DF31" s="170">
        <f t="shared" si="27"/>
        <v>5980</v>
      </c>
      <c r="DG31" s="170">
        <f t="shared" si="27"/>
        <v>5715.2640000000001</v>
      </c>
      <c r="DH31" s="170">
        <f t="shared" si="27"/>
        <v>4662</v>
      </c>
      <c r="DI31" s="170">
        <f t="shared" si="27"/>
        <v>4662</v>
      </c>
      <c r="DJ31" s="170">
        <f t="shared" si="27"/>
        <v>4910.3999999999996</v>
      </c>
      <c r="DK31" s="170">
        <f t="shared" si="27"/>
        <v>4808</v>
      </c>
      <c r="DL31" s="170">
        <f t="shared" si="27"/>
        <v>4808</v>
      </c>
      <c r="DM31" s="170">
        <f t="shared" si="27"/>
        <v>5980</v>
      </c>
      <c r="DN31" s="170">
        <f t="shared" si="27"/>
        <v>5980</v>
      </c>
      <c r="DO31" s="170">
        <f t="shared" si="27"/>
        <v>5715.2640000000001</v>
      </c>
      <c r="DP31" s="170">
        <f t="shared" si="27"/>
        <v>5715.2640000000001</v>
      </c>
      <c r="DQ31" s="170">
        <f t="shared" si="27"/>
        <v>5980</v>
      </c>
      <c r="DR31" s="170">
        <f t="shared" si="27"/>
        <v>5715.2640000000001</v>
      </c>
      <c r="DS31" s="170">
        <f t="shared" si="27"/>
        <v>4910.3999999999996</v>
      </c>
      <c r="DT31" s="170">
        <f t="shared" si="27"/>
        <v>4808</v>
      </c>
      <c r="DU31" s="170">
        <f t="shared" si="27"/>
        <v>4910.3999999999996</v>
      </c>
      <c r="DV31" s="170">
        <f t="shared" si="27"/>
        <v>4910.3999999999996</v>
      </c>
      <c r="DW31" s="170">
        <f t="shared" si="27"/>
        <v>4808</v>
      </c>
      <c r="DX31" s="170">
        <f t="shared" si="27"/>
        <v>5980</v>
      </c>
      <c r="DY31" s="170">
        <f t="shared" si="27"/>
        <v>5980</v>
      </c>
      <c r="DZ31" s="170">
        <f t="shared" si="27"/>
        <v>5715.2640000000001</v>
      </c>
      <c r="EA31" s="170">
        <f t="shared" si="27"/>
        <v>5980</v>
      </c>
      <c r="EB31" s="170">
        <f t="shared" si="27"/>
        <v>5980</v>
      </c>
      <c r="EC31" s="170">
        <f t="shared" si="27"/>
        <v>5715.2640000000001</v>
      </c>
      <c r="ED31" s="170">
        <f>ED25*ED26</f>
        <v>2855.4546799999998</v>
      </c>
      <c r="EE31" s="170">
        <f t="shared" ref="EE31:EF31" si="28">EE25*EE26</f>
        <v>2855.4546799999998</v>
      </c>
      <c r="EF31" s="170">
        <f t="shared" si="28"/>
        <v>2855.4546799999998</v>
      </c>
      <c r="EG31" s="170">
        <f>EG25*EG26</f>
        <v>2855.4546799999998</v>
      </c>
      <c r="EH31" s="170">
        <f t="shared" ref="EH31:EI31" si="29">EH25*EH26</f>
        <v>2855.4546799999998</v>
      </c>
      <c r="EI31" s="170">
        <f t="shared" si="29"/>
        <v>2855.4546799999998</v>
      </c>
      <c r="EJ31" s="170">
        <f t="shared" ref="EJ31:EO31" si="30">EJ25*EJ26</f>
        <v>4158.7162799999996</v>
      </c>
      <c r="EK31" s="170">
        <f t="shared" si="30"/>
        <v>4158.7162799999996</v>
      </c>
      <c r="EL31" s="170">
        <f t="shared" si="30"/>
        <v>4158.7162799999996</v>
      </c>
      <c r="EM31" s="170">
        <f t="shared" si="30"/>
        <v>4158.7162799999996</v>
      </c>
      <c r="EN31" s="170">
        <f t="shared" si="30"/>
        <v>4158.7162799999996</v>
      </c>
      <c r="EO31" s="170">
        <f t="shared" si="30"/>
        <v>4158.7162799999996</v>
      </c>
      <c r="EP31" s="170">
        <f t="shared" ref="EP31:FH31" si="31">EP25*EP26</f>
        <v>1503.2</v>
      </c>
      <c r="EQ31" s="170">
        <f t="shared" si="31"/>
        <v>1503.2</v>
      </c>
      <c r="ER31" s="170">
        <f t="shared" si="31"/>
        <v>1503.2</v>
      </c>
      <c r="ES31" s="170">
        <f t="shared" si="31"/>
        <v>1503.2</v>
      </c>
      <c r="ET31" s="170">
        <f t="shared" si="31"/>
        <v>1503.2</v>
      </c>
      <c r="EU31" s="170">
        <f t="shared" si="31"/>
        <v>1503.2</v>
      </c>
      <c r="EV31" s="170">
        <f t="shared" si="31"/>
        <v>3448</v>
      </c>
      <c r="EW31" s="170">
        <f t="shared" si="31"/>
        <v>4354</v>
      </c>
      <c r="EX31" s="170">
        <f t="shared" si="31"/>
        <v>4354</v>
      </c>
      <c r="EY31" s="170">
        <f t="shared" si="31"/>
        <v>4354</v>
      </c>
      <c r="EZ31" s="170">
        <f t="shared" si="31"/>
        <v>1501.3907999999999</v>
      </c>
      <c r="FA31" s="170">
        <f t="shared" si="31"/>
        <v>1501.3907999999999</v>
      </c>
      <c r="FB31" s="170">
        <f t="shared" si="31"/>
        <v>1501.3907999999999</v>
      </c>
      <c r="FC31" s="170">
        <f t="shared" si="31"/>
        <v>1514.9985999999999</v>
      </c>
      <c r="FD31" s="170">
        <f t="shared" si="31"/>
        <v>1514.9985999999999</v>
      </c>
      <c r="FE31" s="170">
        <f t="shared" si="31"/>
        <v>2522</v>
      </c>
      <c r="FF31" s="170">
        <f t="shared" si="31"/>
        <v>2522</v>
      </c>
      <c r="FG31" s="170">
        <f t="shared" si="31"/>
        <v>2522</v>
      </c>
      <c r="FH31" s="170">
        <f t="shared" si="31"/>
        <v>2522</v>
      </c>
    </row>
    <row r="32" spans="1:164" s="23" customFormat="1" ht="12.75">
      <c r="A32" s="177" t="s">
        <v>2632</v>
      </c>
      <c r="B32" s="170">
        <f t="shared" ref="B32:I32" si="32">100*(B31/B19)</f>
        <v>8.0577550069864934</v>
      </c>
      <c r="C32" s="170">
        <f t="shared" si="32"/>
        <v>8.0577550069864934</v>
      </c>
      <c r="D32" s="170">
        <f t="shared" si="32"/>
        <v>7.1686054322178396</v>
      </c>
      <c r="E32" s="170">
        <f t="shared" si="32"/>
        <v>7.112310275238694</v>
      </c>
      <c r="F32" s="170">
        <f t="shared" si="32"/>
        <v>7.112310275238694</v>
      </c>
      <c r="G32" s="170">
        <f t="shared" si="32"/>
        <v>6.7154276502939512</v>
      </c>
      <c r="H32" s="170">
        <f t="shared" si="32"/>
        <v>7.3187289011367547</v>
      </c>
      <c r="I32" s="170">
        <f t="shared" si="32"/>
        <v>7.2061559855512405</v>
      </c>
      <c r="J32" s="170">
        <f>100*(J31/J19)</f>
        <v>7.8456731158423052</v>
      </c>
      <c r="K32" s="170">
        <f t="shared" ref="K32:BV32" si="33">100*(K31/K19)</f>
        <v>7.112337196659495</v>
      </c>
      <c r="L32" s="170">
        <f t="shared" si="33"/>
        <v>6.4746982585845991</v>
      </c>
      <c r="M32" s="170">
        <f t="shared" si="33"/>
        <v>6.6941771495266504</v>
      </c>
      <c r="N32" s="170">
        <f t="shared" si="33"/>
        <v>6.236384407255235</v>
      </c>
      <c r="O32" s="170">
        <f t="shared" si="33"/>
        <v>7.2433834028214061</v>
      </c>
      <c r="P32" s="170">
        <f t="shared" si="33"/>
        <v>10.225753121891922</v>
      </c>
      <c r="Q32" s="170">
        <f t="shared" si="33"/>
        <v>9.8549273124234524</v>
      </c>
      <c r="R32" s="170">
        <f t="shared" si="33"/>
        <v>8.7757601576228765</v>
      </c>
      <c r="S32" s="170">
        <f t="shared" si="33"/>
        <v>7.9998821509483804</v>
      </c>
      <c r="T32" s="170">
        <f t="shared" si="33"/>
        <v>7.2332120811287464</v>
      </c>
      <c r="U32" s="170">
        <f t="shared" si="33"/>
        <v>7.2332120811287464</v>
      </c>
      <c r="V32" s="170">
        <f t="shared" si="33"/>
        <v>6.7285578788163614</v>
      </c>
      <c r="W32" s="170">
        <f t="shared" si="33"/>
        <v>7.859347442680777</v>
      </c>
      <c r="X32" s="170">
        <f t="shared" si="33"/>
        <v>7.859347442680777</v>
      </c>
      <c r="Y32" s="170">
        <f t="shared" si="33"/>
        <v>7.3110083825376622</v>
      </c>
      <c r="Z32" s="170">
        <f t="shared" si="33"/>
        <v>7.9763773584905664</v>
      </c>
      <c r="AA32" s="170">
        <f t="shared" si="33"/>
        <v>9.4598238993710702</v>
      </c>
      <c r="AB32" s="170">
        <f t="shared" si="33"/>
        <v>8.7144380069524914</v>
      </c>
      <c r="AC32" s="170">
        <f t="shared" si="33"/>
        <v>9.8439191489361697</v>
      </c>
      <c r="AD32" s="170">
        <f t="shared" si="33"/>
        <v>8.7659574468085104</v>
      </c>
      <c r="AE32" s="170">
        <f t="shared" si="33"/>
        <v>8.0874553191489351</v>
      </c>
      <c r="AF32" s="170">
        <f t="shared" si="33"/>
        <v>7.0244103479036575</v>
      </c>
      <c r="AG32" s="170">
        <f t="shared" si="33"/>
        <v>9.0125137781235818</v>
      </c>
      <c r="AH32" s="170">
        <f t="shared" si="33"/>
        <v>8.3570483786925323</v>
      </c>
      <c r="AI32" s="170">
        <f t="shared" si="33"/>
        <v>6.9892475961538469</v>
      </c>
      <c r="AJ32" s="170">
        <f t="shared" si="33"/>
        <v>6.8396383307573414</v>
      </c>
      <c r="AK32" s="170">
        <f t="shared" si="33"/>
        <v>6.9892475961538469</v>
      </c>
      <c r="AL32" s="170">
        <f t="shared" si="33"/>
        <v>6.8396383307573414</v>
      </c>
      <c r="AM32" s="170">
        <f t="shared" si="33"/>
        <v>6.4981585903083703</v>
      </c>
      <c r="AN32" s="170">
        <f t="shared" si="33"/>
        <v>6.6272353780313837</v>
      </c>
      <c r="AO32" s="170">
        <f t="shared" si="33"/>
        <v>6.6582967189728945</v>
      </c>
      <c r="AP32" s="170">
        <f t="shared" si="33"/>
        <v>6.5060396716826272</v>
      </c>
      <c r="AQ32" s="170">
        <f t="shared" si="33"/>
        <v>6.5408238099523075</v>
      </c>
      <c r="AR32" s="170">
        <f t="shared" si="33"/>
        <v>6.8726726940720617</v>
      </c>
      <c r="AS32" s="170">
        <f t="shared" si="33"/>
        <v>6.6058270547945206</v>
      </c>
      <c r="AT32" s="170">
        <f t="shared" si="33"/>
        <v>6.7456335616438352</v>
      </c>
      <c r="AU32" s="170">
        <f t="shared" si="33"/>
        <v>6.6171709324542807</v>
      </c>
      <c r="AV32" s="170">
        <f t="shared" si="33"/>
        <v>6.4953764371368514</v>
      </c>
      <c r="AW32" s="170">
        <f t="shared" si="33"/>
        <v>6.4953764371368514</v>
      </c>
      <c r="AX32" s="170">
        <f t="shared" si="33"/>
        <v>6.7475727739726032</v>
      </c>
      <c r="AY32" s="170">
        <f t="shared" si="33"/>
        <v>6.4953764371368514</v>
      </c>
      <c r="AZ32" s="170">
        <f t="shared" si="33"/>
        <v>7.6039450783214084</v>
      </c>
      <c r="BA32" s="170">
        <f t="shared" si="33"/>
        <v>7.6039450783214084</v>
      </c>
      <c r="BB32" s="170">
        <f t="shared" si="33"/>
        <v>7.1640703288694541</v>
      </c>
      <c r="BC32" s="170">
        <f t="shared" si="33"/>
        <v>6.9907193400419576</v>
      </c>
      <c r="BD32" s="170">
        <f t="shared" si="33"/>
        <v>7.8805491532217653</v>
      </c>
      <c r="BE32" s="170">
        <f t="shared" si="33"/>
        <v>8.7306524205056899</v>
      </c>
      <c r="BF32" s="170">
        <f t="shared" si="33"/>
        <v>8.1427888881305037</v>
      </c>
      <c r="BG32" s="170">
        <f t="shared" si="33"/>
        <v>7.3059081096804812</v>
      </c>
      <c r="BH32" s="170">
        <f t="shared" si="33"/>
        <v>7.1422157032957161</v>
      </c>
      <c r="BI32" s="170">
        <f t="shared" si="33"/>
        <v>6.6881569726699368</v>
      </c>
      <c r="BJ32" s="170">
        <f t="shared" si="33"/>
        <v>7.8511376910547703</v>
      </c>
      <c r="BK32" s="170">
        <f t="shared" si="33"/>
        <v>7.1910789632308623</v>
      </c>
      <c r="BL32" s="170">
        <f t="shared" si="33"/>
        <v>8.4187574761897555</v>
      </c>
      <c r="BM32" s="170">
        <f t="shared" si="33"/>
        <v>8.0221619437871521</v>
      </c>
      <c r="BN32" s="170">
        <f t="shared" si="33"/>
        <v>8.0221619437871521</v>
      </c>
      <c r="BO32" s="170">
        <f t="shared" si="33"/>
        <v>7.4788480421828547</v>
      </c>
      <c r="BP32" s="170">
        <f t="shared" si="33"/>
        <v>7.322437476129644</v>
      </c>
      <c r="BQ32" s="170">
        <f t="shared" si="33"/>
        <v>8.0221619437871521</v>
      </c>
      <c r="BR32" s="170">
        <f t="shared" si="33"/>
        <v>7.4788480421828547</v>
      </c>
      <c r="BS32" s="170">
        <f t="shared" si="33"/>
        <v>7.1737193763919818</v>
      </c>
      <c r="BT32" s="170">
        <f t="shared" si="33"/>
        <v>6.7632545931758532</v>
      </c>
      <c r="BU32" s="170">
        <f t="shared" si="33"/>
        <v>7.7594654788418707</v>
      </c>
      <c r="BV32" s="170">
        <f t="shared" si="33"/>
        <v>7.2419947506561684</v>
      </c>
      <c r="BW32" s="170">
        <f t="shared" ref="BW32:EB32" si="34">100*(BW31/BW19)</f>
        <v>6.9831978319783206</v>
      </c>
      <c r="BX32" s="170">
        <f t="shared" si="34"/>
        <v>6.9831978319783206</v>
      </c>
      <c r="BY32" s="170">
        <f t="shared" si="34"/>
        <v>6.3399271725223905</v>
      </c>
      <c r="BZ32" s="170">
        <f t="shared" si="34"/>
        <v>6.3399271725223905</v>
      </c>
      <c r="CA32" s="170">
        <f t="shared" si="34"/>
        <v>6.7887018994193484</v>
      </c>
      <c r="CB32" s="170">
        <f t="shared" si="34"/>
        <v>6.7887018994193484</v>
      </c>
      <c r="CC32" s="170">
        <f t="shared" si="34"/>
        <v>6.9533216611050594</v>
      </c>
      <c r="CD32" s="170">
        <f t="shared" si="34"/>
        <v>6.5007374867314454</v>
      </c>
      <c r="CE32" s="170">
        <f t="shared" si="34"/>
        <v>6.603700498081162</v>
      </c>
      <c r="CF32" s="170">
        <f t="shared" si="34"/>
        <v>6.4529476320545971</v>
      </c>
      <c r="CG32" s="170">
        <f t="shared" si="34"/>
        <v>6.9777743610680165</v>
      </c>
      <c r="CH32" s="170">
        <f t="shared" si="34"/>
        <v>7.1103009475023713</v>
      </c>
      <c r="CI32" s="170">
        <f t="shared" si="34"/>
        <v>6.9568164695992838</v>
      </c>
      <c r="CJ32" s="170">
        <f t="shared" si="34"/>
        <v>6.7769609592463071</v>
      </c>
      <c r="CK32" s="170">
        <f t="shared" si="34"/>
        <v>8.9345111932793913</v>
      </c>
      <c r="CL32" s="170">
        <f t="shared" si="34"/>
        <v>8.9345111932793913</v>
      </c>
      <c r="CM32" s="170">
        <f t="shared" si="34"/>
        <v>6.7062767932489455</v>
      </c>
      <c r="CN32" s="170">
        <f t="shared" si="34"/>
        <v>6.7678259414225934</v>
      </c>
      <c r="CO32" s="170">
        <f t="shared" si="34"/>
        <v>6.5138836065573775</v>
      </c>
      <c r="CP32" s="170">
        <f t="shared" si="34"/>
        <v>6.5138836065573775</v>
      </c>
      <c r="CQ32" s="170">
        <f t="shared" si="34"/>
        <v>6.6440131147540979</v>
      </c>
      <c r="CR32" s="170">
        <f t="shared" si="34"/>
        <v>6.9919609756097554</v>
      </c>
      <c r="CS32" s="170">
        <f t="shared" si="34"/>
        <v>6.5368516129032255</v>
      </c>
      <c r="CT32" s="170">
        <f t="shared" si="34"/>
        <v>6.8916774193548385</v>
      </c>
      <c r="CU32" s="170">
        <f t="shared" si="34"/>
        <v>6.935574193548387</v>
      </c>
      <c r="CV32" s="170">
        <f t="shared" si="34"/>
        <v>8.7685714285714287</v>
      </c>
      <c r="CW32" s="170">
        <f t="shared" si="34"/>
        <v>8.7478535714285712</v>
      </c>
      <c r="CX32" s="170">
        <f t="shared" si="34"/>
        <v>8.5398260869565217</v>
      </c>
      <c r="CY32" s="170">
        <f t="shared" si="34"/>
        <v>8.5196486956521742</v>
      </c>
      <c r="CZ32" s="170">
        <f t="shared" si="34"/>
        <v>8.0498360655737713</v>
      </c>
      <c r="DA32" s="170">
        <f t="shared" si="34"/>
        <v>7.4592000000000009</v>
      </c>
      <c r="DB32" s="170">
        <f t="shared" si="34"/>
        <v>7.8566399999999996</v>
      </c>
      <c r="DC32" s="170">
        <f t="shared" si="34"/>
        <v>7.8819672131147547</v>
      </c>
      <c r="DD32" s="170">
        <f t="shared" si="34"/>
        <v>7.8819672131147547</v>
      </c>
      <c r="DE32" s="170">
        <f t="shared" si="34"/>
        <v>9.5222929936305736</v>
      </c>
      <c r="DF32" s="170">
        <f t="shared" si="34"/>
        <v>9.5222929936305736</v>
      </c>
      <c r="DG32" s="170">
        <f t="shared" si="34"/>
        <v>8.9440751173708914</v>
      </c>
      <c r="DH32" s="170">
        <f t="shared" si="34"/>
        <v>7.2279069767441859</v>
      </c>
      <c r="DI32" s="170">
        <f t="shared" si="34"/>
        <v>7.2279069767441859</v>
      </c>
      <c r="DJ32" s="170">
        <f t="shared" si="34"/>
        <v>7.6130232558139523</v>
      </c>
      <c r="DK32" s="170">
        <f t="shared" si="34"/>
        <v>7.4542635658914724</v>
      </c>
      <c r="DL32" s="170">
        <f t="shared" si="34"/>
        <v>7.4542635658914724</v>
      </c>
      <c r="DM32" s="170">
        <f t="shared" si="34"/>
        <v>9.0196078431372548</v>
      </c>
      <c r="DN32" s="170">
        <f t="shared" si="34"/>
        <v>8.8724035608308611</v>
      </c>
      <c r="DO32" s="170">
        <f t="shared" si="34"/>
        <v>8.6203076923076924</v>
      </c>
      <c r="DP32" s="170">
        <f t="shared" si="34"/>
        <v>8.479620178041543</v>
      </c>
      <c r="DQ32" s="170">
        <f t="shared" si="34"/>
        <v>8.8724035608308611</v>
      </c>
      <c r="DR32" s="170">
        <f t="shared" si="34"/>
        <v>8.479620178041543</v>
      </c>
      <c r="DS32" s="170">
        <f t="shared" si="34"/>
        <v>6.6808163265306115</v>
      </c>
      <c r="DT32" s="170">
        <f t="shared" si="34"/>
        <v>6.5414965986394558</v>
      </c>
      <c r="DU32" s="170">
        <f t="shared" si="34"/>
        <v>6.5038410596026486</v>
      </c>
      <c r="DV32" s="170">
        <f t="shared" si="34"/>
        <v>6.3115681233933154</v>
      </c>
      <c r="DW32" s="170">
        <f t="shared" si="34"/>
        <v>6.1799485861182522</v>
      </c>
      <c r="DX32" s="170">
        <f t="shared" si="34"/>
        <v>7.7360931435963769</v>
      </c>
      <c r="DY32" s="170">
        <f t="shared" si="34"/>
        <v>7.7360931435963769</v>
      </c>
      <c r="DZ32" s="170">
        <f t="shared" si="34"/>
        <v>7.2162424242424255</v>
      </c>
      <c r="EA32" s="170">
        <f t="shared" si="34"/>
        <v>7.7360931435963769</v>
      </c>
      <c r="EB32" s="170">
        <f t="shared" si="34"/>
        <v>7.7360931435963769</v>
      </c>
      <c r="EC32" s="170">
        <f>100*(EC31/EC19)</f>
        <v>7.2162424242424255</v>
      </c>
      <c r="ED32" s="170">
        <f>100*(ED31/ED19)</f>
        <v>8.705654512195121</v>
      </c>
      <c r="EE32" s="170">
        <f t="shared" ref="EE32:EF32" si="35">100*(EE31/EE19)</f>
        <v>8.705654512195121</v>
      </c>
      <c r="EF32" s="170">
        <f t="shared" si="35"/>
        <v>8.5749389789789792</v>
      </c>
      <c r="EG32" s="170">
        <f>100*(EG31/EG19)</f>
        <v>8.3983961176470583</v>
      </c>
      <c r="EH32" s="170">
        <f t="shared" ref="EH32:EI32" si="36">100*(EH31/EH19)</f>
        <v>8.3983961176470583</v>
      </c>
      <c r="EI32" s="170">
        <f t="shared" si="36"/>
        <v>8.3983961176470583</v>
      </c>
      <c r="EJ32" s="170">
        <f t="shared" ref="EJ32:EO32" si="37">100*(EJ31/EJ19)</f>
        <v>9.6714332093023234</v>
      </c>
      <c r="EK32" s="170">
        <f t="shared" si="37"/>
        <v>9.6714332093023234</v>
      </c>
      <c r="EL32" s="170">
        <f t="shared" si="37"/>
        <v>9.4516279090909077</v>
      </c>
      <c r="EM32" s="170">
        <f t="shared" si="37"/>
        <v>9.2415917333333315</v>
      </c>
      <c r="EN32" s="170">
        <f t="shared" si="37"/>
        <v>9.2415917333333315</v>
      </c>
      <c r="EO32" s="170">
        <f t="shared" si="37"/>
        <v>9.0801665502183404</v>
      </c>
      <c r="EP32" s="170">
        <f t="shared" ref="EP32:FH32" si="38">100*(EP31/EP19)</f>
        <v>8.1254054054054059</v>
      </c>
      <c r="EQ32" s="170">
        <f t="shared" si="38"/>
        <v>8.1254054054054059</v>
      </c>
      <c r="ER32" s="170">
        <f t="shared" si="38"/>
        <v>8.038502673796792</v>
      </c>
      <c r="ES32" s="170">
        <f t="shared" si="38"/>
        <v>8.038502673796792</v>
      </c>
      <c r="ET32" s="170">
        <f t="shared" si="38"/>
        <v>7.78860103626943</v>
      </c>
      <c r="EU32" s="170">
        <f t="shared" si="38"/>
        <v>7.516</v>
      </c>
      <c r="EV32" s="170">
        <f t="shared" si="38"/>
        <v>8.6199999999999992</v>
      </c>
      <c r="EW32" s="170">
        <f t="shared" si="38"/>
        <v>8.8766564729867472</v>
      </c>
      <c r="EX32" s="170">
        <f t="shared" si="38"/>
        <v>8.8766564729867472</v>
      </c>
      <c r="EY32" s="170">
        <f t="shared" si="38"/>
        <v>8.0629629629629633</v>
      </c>
      <c r="EZ32" s="170">
        <f t="shared" si="38"/>
        <v>7.4047681988557894</v>
      </c>
      <c r="FA32" s="170">
        <f t="shared" si="38"/>
        <v>7.0425010553965937</v>
      </c>
      <c r="FB32" s="170">
        <f t="shared" si="38"/>
        <v>7.0425010553965937</v>
      </c>
      <c r="FC32" s="170">
        <f t="shared" si="38"/>
        <v>7.106330503306908</v>
      </c>
      <c r="FD32" s="170">
        <f t="shared" si="38"/>
        <v>7.106330503306908</v>
      </c>
      <c r="FE32" s="170">
        <f t="shared" si="38"/>
        <v>8.2987824942415269</v>
      </c>
      <c r="FF32" s="170">
        <f t="shared" si="38"/>
        <v>7.5644871025794842</v>
      </c>
      <c r="FG32" s="170">
        <f t="shared" si="38"/>
        <v>7.5644871025794842</v>
      </c>
      <c r="FH32" s="170">
        <f t="shared" si="38"/>
        <v>6.8221164250162305</v>
      </c>
    </row>
    <row r="33" spans="1:164" s="23" customFormat="1" ht="12.75">
      <c r="A33" s="2" t="s">
        <v>2633</v>
      </c>
      <c r="B33" s="170">
        <v>1208.8</v>
      </c>
      <c r="C33" s="170">
        <v>1208.8</v>
      </c>
      <c r="D33" s="170">
        <v>1209</v>
      </c>
      <c r="E33" s="170">
        <v>1209</v>
      </c>
      <c r="F33" s="170">
        <v>1209</v>
      </c>
      <c r="G33" s="170">
        <v>1209</v>
      </c>
      <c r="H33" s="170">
        <v>1209</v>
      </c>
      <c r="I33" s="170">
        <v>1209</v>
      </c>
      <c r="J33" s="170">
        <v>1000.7</v>
      </c>
      <c r="K33" s="170">
        <v>1000.7</v>
      </c>
      <c r="L33" s="170">
        <v>1000.7</v>
      </c>
      <c r="M33" s="170">
        <v>1000.7</v>
      </c>
      <c r="N33" s="170">
        <v>1000.7</v>
      </c>
      <c r="O33" s="170">
        <v>2773</v>
      </c>
      <c r="P33" s="170">
        <v>2773</v>
      </c>
      <c r="Q33" s="170">
        <v>2773</v>
      </c>
      <c r="R33" s="170">
        <v>2773</v>
      </c>
      <c r="S33" s="170">
        <v>2773</v>
      </c>
      <c r="T33" s="170">
        <v>2884</v>
      </c>
      <c r="U33" s="170">
        <v>2927</v>
      </c>
      <c r="V33" s="170">
        <v>2927</v>
      </c>
      <c r="W33" s="170">
        <v>2884</v>
      </c>
      <c r="X33" s="170">
        <v>2927</v>
      </c>
      <c r="Y33" s="170">
        <v>2927</v>
      </c>
      <c r="Z33" s="196">
        <v>2433.5810000000001</v>
      </c>
      <c r="AA33" s="196">
        <v>2521.5500000000002</v>
      </c>
      <c r="AB33" s="196">
        <v>2521.5500000000002</v>
      </c>
      <c r="AC33" s="170">
        <v>3050</v>
      </c>
      <c r="AD33" s="170">
        <v>3050</v>
      </c>
      <c r="AE33" s="170">
        <v>3050</v>
      </c>
      <c r="AF33" s="170">
        <v>3050</v>
      </c>
      <c r="AG33" s="170">
        <v>1000.7</v>
      </c>
      <c r="AH33" s="170">
        <v>1000.7</v>
      </c>
      <c r="AI33" s="170">
        <v>1700</v>
      </c>
      <c r="AJ33" s="170">
        <v>1700</v>
      </c>
      <c r="AK33" s="170">
        <v>1700</v>
      </c>
      <c r="AL33" s="170">
        <v>1700</v>
      </c>
      <c r="AM33" s="170">
        <v>1700</v>
      </c>
      <c r="AN33" s="170">
        <v>1700</v>
      </c>
      <c r="AO33" s="170">
        <v>1700</v>
      </c>
      <c r="AP33" s="170">
        <v>1700</v>
      </c>
      <c r="AQ33" s="212">
        <v>1098</v>
      </c>
      <c r="AR33" s="212">
        <v>1098</v>
      </c>
      <c r="AS33" s="212">
        <v>1098</v>
      </c>
      <c r="AT33" s="212">
        <v>1098</v>
      </c>
      <c r="AU33" s="212">
        <v>1098</v>
      </c>
      <c r="AV33" s="212">
        <v>1098</v>
      </c>
      <c r="AW33" s="212">
        <v>1098</v>
      </c>
      <c r="AX33" s="212">
        <v>1098</v>
      </c>
      <c r="AY33" s="212">
        <v>1098</v>
      </c>
      <c r="AZ33" s="212">
        <v>1134</v>
      </c>
      <c r="BA33" s="212">
        <v>1134</v>
      </c>
      <c r="BB33" s="212">
        <v>1134</v>
      </c>
      <c r="BC33" s="212">
        <v>1134</v>
      </c>
      <c r="BD33" s="212">
        <v>1134</v>
      </c>
      <c r="BE33" s="170">
        <v>1345.5</v>
      </c>
      <c r="BF33" s="170">
        <v>1345.5</v>
      </c>
      <c r="BG33" s="170">
        <v>1345.5</v>
      </c>
      <c r="BH33" s="170">
        <v>1345.5</v>
      </c>
      <c r="BI33" s="170">
        <v>1345.5</v>
      </c>
      <c r="BJ33" s="170">
        <v>1345.5</v>
      </c>
      <c r="BK33" s="170">
        <v>1345.5</v>
      </c>
      <c r="BL33" s="212">
        <v>1370</v>
      </c>
      <c r="BM33" s="212">
        <v>1370</v>
      </c>
      <c r="BN33" s="212">
        <v>1370</v>
      </c>
      <c r="BO33" s="212">
        <v>1370</v>
      </c>
      <c r="BP33" s="212">
        <v>1370</v>
      </c>
      <c r="BQ33" s="212">
        <v>1370</v>
      </c>
      <c r="BR33" s="212">
        <v>1370</v>
      </c>
      <c r="BS33" s="170">
        <v>1994</v>
      </c>
      <c r="BT33" s="170">
        <v>1994</v>
      </c>
      <c r="BU33" s="170">
        <v>1994</v>
      </c>
      <c r="BV33" s="170">
        <v>1994</v>
      </c>
      <c r="BW33" s="170">
        <v>1994</v>
      </c>
      <c r="BX33" s="170">
        <v>1994</v>
      </c>
      <c r="BY33" s="170">
        <v>1994</v>
      </c>
      <c r="BZ33" s="170">
        <v>1994</v>
      </c>
      <c r="CA33" s="170">
        <v>1994</v>
      </c>
      <c r="CB33" s="170">
        <v>1994</v>
      </c>
      <c r="CC33" s="170">
        <v>3050</v>
      </c>
      <c r="CD33" s="170">
        <v>3050</v>
      </c>
      <c r="CE33" s="170">
        <v>3050</v>
      </c>
      <c r="CF33" s="170">
        <v>3050</v>
      </c>
      <c r="CG33" s="170">
        <v>3050</v>
      </c>
      <c r="CH33" s="170">
        <v>3050</v>
      </c>
      <c r="CI33" s="170">
        <v>3050</v>
      </c>
      <c r="CJ33" s="170">
        <v>3050</v>
      </c>
      <c r="CK33" s="170">
        <v>3050</v>
      </c>
      <c r="CL33" s="170">
        <v>3050</v>
      </c>
      <c r="CM33" s="170">
        <v>2357.3000000000002</v>
      </c>
      <c r="CN33" s="170">
        <v>2357.3000000000002</v>
      </c>
      <c r="CO33" s="170">
        <v>2357.3000000000002</v>
      </c>
      <c r="CP33" s="170">
        <v>2357.3000000000002</v>
      </c>
      <c r="CQ33" s="170">
        <v>2357.3000000000002</v>
      </c>
      <c r="CR33" s="170">
        <v>2357.3000000000002</v>
      </c>
      <c r="CS33" s="170">
        <v>2357.3000000000002</v>
      </c>
      <c r="CT33" s="170">
        <v>2357.3000000000002</v>
      </c>
      <c r="CU33" s="170">
        <v>2357.3000000000002</v>
      </c>
      <c r="CV33" s="170">
        <v>1317.5</v>
      </c>
      <c r="CW33" s="170">
        <v>1317.5</v>
      </c>
      <c r="CX33" s="170">
        <v>1317.5</v>
      </c>
      <c r="CY33" s="170">
        <v>1317.5</v>
      </c>
      <c r="CZ33" s="170">
        <v>1317.5</v>
      </c>
      <c r="DA33" s="170">
        <v>1317.5</v>
      </c>
      <c r="DB33" s="170">
        <v>1317.5</v>
      </c>
      <c r="DC33" s="170">
        <v>1317.5</v>
      </c>
      <c r="DD33" s="170">
        <v>1317.5</v>
      </c>
      <c r="DE33" s="170">
        <v>1317.5</v>
      </c>
      <c r="DF33" s="170">
        <v>1317.5</v>
      </c>
      <c r="DG33" s="170">
        <v>1317.5</v>
      </c>
      <c r="DH33" s="170">
        <v>1317.5</v>
      </c>
      <c r="DI33" s="170">
        <v>1317.5</v>
      </c>
      <c r="DJ33" s="170">
        <v>1317.5</v>
      </c>
      <c r="DK33" s="170">
        <v>1317.5</v>
      </c>
      <c r="DL33" s="170">
        <v>1317.5</v>
      </c>
      <c r="DM33" s="170">
        <v>1317.5</v>
      </c>
      <c r="DN33" s="170">
        <v>1317.5</v>
      </c>
      <c r="DO33" s="170">
        <v>1317.5</v>
      </c>
      <c r="DP33" s="170">
        <v>1317.5</v>
      </c>
      <c r="DQ33" s="170">
        <v>1317.5</v>
      </c>
      <c r="DR33" s="170">
        <v>1317.5</v>
      </c>
      <c r="DS33" s="170">
        <v>1317.5</v>
      </c>
      <c r="DT33" s="170">
        <v>1317.5</v>
      </c>
      <c r="DU33" s="170">
        <v>1317.5</v>
      </c>
      <c r="DV33" s="170">
        <v>1317.5</v>
      </c>
      <c r="DW33" s="170">
        <v>1317.5</v>
      </c>
      <c r="DX33" s="170">
        <v>1317.5</v>
      </c>
      <c r="DY33" s="170">
        <v>1317.5</v>
      </c>
      <c r="DZ33" s="170">
        <v>1317.5</v>
      </c>
      <c r="EA33" s="170">
        <v>1317.5</v>
      </c>
      <c r="EB33" s="170">
        <v>1317.5</v>
      </c>
      <c r="EC33" s="170">
        <v>1317.5</v>
      </c>
      <c r="ED33" s="170">
        <v>782.8</v>
      </c>
      <c r="EE33" s="170">
        <v>782.8</v>
      </c>
      <c r="EF33" s="170">
        <v>782.8</v>
      </c>
      <c r="EG33" s="170">
        <v>782.8</v>
      </c>
      <c r="EH33" s="170">
        <v>782.8</v>
      </c>
      <c r="EI33" s="170">
        <v>782.8</v>
      </c>
      <c r="EJ33" s="170">
        <v>996</v>
      </c>
      <c r="EK33" s="170">
        <v>996</v>
      </c>
      <c r="EL33" s="170">
        <v>996</v>
      </c>
      <c r="EM33" s="170">
        <v>996</v>
      </c>
      <c r="EN33" s="170">
        <v>996</v>
      </c>
      <c r="EO33" s="170">
        <v>996</v>
      </c>
      <c r="EP33" s="170">
        <v>551</v>
      </c>
      <c r="EQ33" s="170">
        <v>551</v>
      </c>
      <c r="ER33" s="170">
        <v>551</v>
      </c>
      <c r="ES33" s="170">
        <v>551</v>
      </c>
      <c r="ET33" s="170">
        <v>551</v>
      </c>
      <c r="EU33" s="170">
        <v>551</v>
      </c>
      <c r="EV33" s="196">
        <f xml:space="preserve"> (101.71^2)/11</f>
        <v>940.4476454545453</v>
      </c>
      <c r="EW33" s="170">
        <v>1110</v>
      </c>
      <c r="EX33" s="170">
        <v>1110</v>
      </c>
      <c r="EY33" s="170">
        <v>1110</v>
      </c>
      <c r="EZ33" s="170">
        <v>521</v>
      </c>
      <c r="FA33" s="170">
        <v>521</v>
      </c>
      <c r="FB33" s="170">
        <v>521</v>
      </c>
      <c r="FC33" s="170">
        <v>521</v>
      </c>
      <c r="FD33" s="170">
        <v>521</v>
      </c>
      <c r="FE33" s="170">
        <v>760</v>
      </c>
      <c r="FF33" s="170">
        <v>765</v>
      </c>
      <c r="FG33" s="170">
        <v>765</v>
      </c>
      <c r="FH33" s="170">
        <v>833</v>
      </c>
    </row>
    <row r="34" spans="1:164" s="23" customFormat="1" ht="12.75">
      <c r="A34" s="2" t="s">
        <v>2634</v>
      </c>
      <c r="B34" s="185"/>
      <c r="C34" s="185"/>
      <c r="D34" s="185"/>
      <c r="E34" s="185"/>
      <c r="F34" s="185"/>
      <c r="G34" s="185"/>
      <c r="H34" s="185"/>
      <c r="I34" s="185"/>
      <c r="J34" s="185"/>
      <c r="K34" s="185"/>
      <c r="L34" s="185"/>
      <c r="M34" s="185"/>
      <c r="N34" s="185"/>
      <c r="O34" s="213"/>
      <c r="P34" s="213"/>
      <c r="Q34" s="213"/>
      <c r="R34" s="213"/>
      <c r="S34" s="213"/>
      <c r="T34" s="213"/>
      <c r="U34" s="213"/>
      <c r="V34" s="213"/>
      <c r="W34" s="213"/>
      <c r="X34" s="213"/>
      <c r="Y34" s="213"/>
      <c r="Z34" s="170">
        <v>4.7699999999999996</v>
      </c>
      <c r="AA34" s="170">
        <v>3.25</v>
      </c>
      <c r="AB34" s="185"/>
      <c r="AC34" s="185"/>
      <c r="AD34" s="185"/>
      <c r="AE34" s="185"/>
      <c r="AF34" s="185"/>
      <c r="AG34" s="185"/>
      <c r="AH34" s="185"/>
      <c r="AI34" s="185"/>
      <c r="AJ34" s="185"/>
      <c r="AK34" s="185"/>
      <c r="AL34" s="185"/>
      <c r="AM34" s="185"/>
      <c r="AN34" s="185"/>
      <c r="AO34" s="185"/>
      <c r="AP34" s="185"/>
      <c r="AQ34" s="185"/>
      <c r="AR34" s="185"/>
      <c r="AS34" s="185"/>
      <c r="AT34" s="185"/>
      <c r="AU34" s="185"/>
      <c r="AV34" s="185"/>
      <c r="AW34" s="185"/>
      <c r="AX34" s="185"/>
      <c r="AY34" s="185"/>
      <c r="AZ34" s="185"/>
      <c r="BA34" s="185"/>
      <c r="BB34" s="185"/>
      <c r="BC34" s="185"/>
      <c r="BD34" s="185"/>
      <c r="BE34" s="185"/>
      <c r="BF34" s="185"/>
      <c r="BG34" s="185"/>
      <c r="BH34" s="185"/>
      <c r="BI34" s="185"/>
      <c r="BJ34" s="185"/>
      <c r="BK34" s="185"/>
      <c r="BL34" s="185"/>
      <c r="BM34" s="185"/>
      <c r="BN34" s="185"/>
      <c r="BO34" s="185"/>
      <c r="BP34" s="185"/>
      <c r="BQ34" s="185"/>
      <c r="BR34" s="185"/>
      <c r="BS34" s="185"/>
      <c r="BT34" s="185"/>
      <c r="BU34" s="185"/>
      <c r="BV34" s="185"/>
      <c r="BW34" s="185"/>
      <c r="BX34" s="185"/>
      <c r="BY34" s="185"/>
      <c r="BZ34" s="185"/>
      <c r="CA34" s="185"/>
      <c r="CB34" s="185"/>
      <c r="CC34" s="185"/>
      <c r="CD34" s="185"/>
      <c r="CE34" s="185"/>
      <c r="CF34" s="185"/>
      <c r="CG34" s="185"/>
      <c r="CH34" s="185"/>
      <c r="CI34" s="185"/>
      <c r="CJ34" s="185"/>
      <c r="CK34" s="185"/>
      <c r="CL34" s="185"/>
      <c r="CM34" s="185"/>
      <c r="CN34" s="185"/>
      <c r="CO34" s="185"/>
      <c r="CP34" s="185"/>
      <c r="CQ34" s="185"/>
      <c r="CR34" s="185"/>
      <c r="CS34" s="185"/>
      <c r="CT34" s="185"/>
      <c r="CU34" s="185"/>
      <c r="CV34" s="185"/>
      <c r="CW34" s="185"/>
      <c r="CX34" s="185"/>
      <c r="CY34" s="185"/>
      <c r="CZ34" s="185"/>
      <c r="DA34" s="185"/>
      <c r="DB34" s="185"/>
      <c r="DC34" s="185"/>
      <c r="DD34" s="185"/>
      <c r="DE34" s="185"/>
      <c r="DF34" s="185"/>
      <c r="DG34" s="185"/>
      <c r="DH34" s="185"/>
      <c r="DI34" s="185"/>
      <c r="DJ34" s="185"/>
      <c r="DK34" s="185"/>
      <c r="DL34" s="185"/>
      <c r="DM34" s="185"/>
      <c r="DN34" s="185"/>
      <c r="DO34" s="185"/>
      <c r="DP34" s="185"/>
      <c r="DQ34" s="185"/>
      <c r="DR34" s="185"/>
      <c r="DS34" s="185"/>
      <c r="DT34" s="185"/>
      <c r="DU34" s="185"/>
      <c r="DV34" s="185"/>
      <c r="DW34" s="185"/>
      <c r="DX34" s="185"/>
      <c r="DY34" s="185"/>
      <c r="DZ34" s="185"/>
      <c r="EA34" s="185"/>
      <c r="EB34" s="185"/>
      <c r="EC34" s="185"/>
      <c r="ED34" s="185"/>
      <c r="EE34" s="185"/>
      <c r="EF34" s="185"/>
      <c r="EG34" s="185"/>
      <c r="EH34" s="185"/>
      <c r="EI34" s="185"/>
      <c r="EJ34" s="185"/>
      <c r="EK34" s="185"/>
      <c r="EL34" s="185"/>
      <c r="EM34" s="185"/>
      <c r="EN34" s="185"/>
      <c r="EO34" s="185"/>
      <c r="EP34" s="185"/>
      <c r="EQ34" s="185"/>
      <c r="ER34" s="185"/>
      <c r="ES34" s="185"/>
      <c r="ET34" s="185"/>
      <c r="EU34" s="185"/>
      <c r="EV34" s="185"/>
      <c r="EW34" s="185"/>
      <c r="EX34" s="185"/>
      <c r="EY34" s="185"/>
      <c r="EZ34" s="185"/>
      <c r="FA34" s="185"/>
      <c r="FB34" s="185"/>
      <c r="FC34" s="185"/>
      <c r="FD34" s="185"/>
      <c r="FE34" s="185"/>
      <c r="FF34" s="185"/>
      <c r="FG34" s="185"/>
      <c r="FH34" s="185"/>
    </row>
    <row r="35" spans="1:164" s="23" customFormat="1" ht="12.75">
      <c r="A35" s="5" t="s">
        <v>2635</v>
      </c>
      <c r="B35" s="170">
        <v>129.03</v>
      </c>
      <c r="C35" s="170">
        <v>129.03</v>
      </c>
      <c r="D35" s="170">
        <v>112.99</v>
      </c>
      <c r="E35" s="170">
        <v>120.66</v>
      </c>
      <c r="F35" s="170">
        <v>129.13999999999999</v>
      </c>
      <c r="G35" s="170">
        <v>129.13999999999999</v>
      </c>
      <c r="H35" s="170">
        <v>112.99</v>
      </c>
      <c r="I35" s="170">
        <v>120.66</v>
      </c>
      <c r="J35" s="185"/>
      <c r="K35" s="185"/>
      <c r="L35" s="185"/>
      <c r="M35" s="185"/>
      <c r="N35" s="185"/>
      <c r="O35" s="170">
        <v>98.5</v>
      </c>
      <c r="P35" s="170">
        <v>99.6</v>
      </c>
      <c r="Q35" s="170">
        <v>109.2</v>
      </c>
      <c r="R35" s="170">
        <v>109.2</v>
      </c>
      <c r="S35" s="170">
        <v>109.2</v>
      </c>
      <c r="T35" s="185"/>
      <c r="U35" s="185"/>
      <c r="V35" s="185"/>
      <c r="W35" s="185"/>
      <c r="X35" s="185"/>
      <c r="Y35" s="185"/>
      <c r="Z35" s="170">
        <v>94.1</v>
      </c>
      <c r="AA35" s="170">
        <v>92.8</v>
      </c>
      <c r="AB35" s="214">
        <f t="shared" ref="AB35:AP35" si="39">2.20462*AB19/AB33</f>
        <v>75.453076877317514</v>
      </c>
      <c r="AC35" s="214">
        <f t="shared" si="39"/>
        <v>67.945665573770484</v>
      </c>
      <c r="AD35" s="214">
        <f t="shared" si="39"/>
        <v>67.945665573770484</v>
      </c>
      <c r="AE35" s="214">
        <f t="shared" si="39"/>
        <v>67.945665573770484</v>
      </c>
      <c r="AF35" s="214">
        <f t="shared" si="39"/>
        <v>81.028820327868843</v>
      </c>
      <c r="AG35" s="214">
        <f t="shared" si="39"/>
        <v>101.93420883381631</v>
      </c>
      <c r="AH35" s="214">
        <f t="shared" si="39"/>
        <v>109.92917833516537</v>
      </c>
      <c r="AI35" s="214">
        <f t="shared" si="39"/>
        <v>80.922522352941172</v>
      </c>
      <c r="AJ35" s="214">
        <f t="shared" si="39"/>
        <v>83.905243529411763</v>
      </c>
      <c r="AK35" s="214">
        <f t="shared" si="39"/>
        <v>80.922522352941172</v>
      </c>
      <c r="AL35" s="214">
        <f t="shared" si="39"/>
        <v>83.905243529411763</v>
      </c>
      <c r="AM35" s="214">
        <f t="shared" si="39"/>
        <v>88.314483529411746</v>
      </c>
      <c r="AN35" s="214">
        <f t="shared" si="39"/>
        <v>90.908154117647058</v>
      </c>
      <c r="AO35" s="214">
        <f t="shared" si="39"/>
        <v>90.908154117647058</v>
      </c>
      <c r="AP35" s="214">
        <f t="shared" si="39"/>
        <v>94.798659999999984</v>
      </c>
      <c r="AQ35" s="214">
        <f t="shared" ref="AQ35:DB35" si="40">2.20462*AQ19/AQ33</f>
        <v>89.252976539162105</v>
      </c>
      <c r="AR35" s="214">
        <f t="shared" si="40"/>
        <v>90.164540728597444</v>
      </c>
      <c r="AS35" s="214">
        <f t="shared" si="40"/>
        <v>93.806781785063748</v>
      </c>
      <c r="AT35" s="214">
        <f t="shared" si="40"/>
        <v>93.806781785063748</v>
      </c>
      <c r="AU35" s="214">
        <f t="shared" si="40"/>
        <v>95.6279023132969</v>
      </c>
      <c r="AV35" s="214">
        <f t="shared" si="40"/>
        <v>97.449022841530038</v>
      </c>
      <c r="AW35" s="214">
        <f t="shared" si="40"/>
        <v>97.449022841530038</v>
      </c>
      <c r="AX35" s="214">
        <f t="shared" si="40"/>
        <v>93.806781785063748</v>
      </c>
      <c r="AY35" s="214">
        <f t="shared" si="40"/>
        <v>97.449022841530038</v>
      </c>
      <c r="AZ35" s="214">
        <f t="shared" si="40"/>
        <v>100.52989435626101</v>
      </c>
      <c r="BA35" s="214">
        <f t="shared" si="40"/>
        <v>100.52989435626101</v>
      </c>
      <c r="BB35" s="214">
        <f t="shared" si="40"/>
        <v>106.70244153439153</v>
      </c>
      <c r="BC35" s="214">
        <f t="shared" si="40"/>
        <v>109.348374356261</v>
      </c>
      <c r="BD35" s="214">
        <f t="shared" si="40"/>
        <v>97.001335890652555</v>
      </c>
      <c r="BE35" s="214">
        <f t="shared" si="40"/>
        <v>89.557874366406537</v>
      </c>
      <c r="BF35" s="214">
        <f t="shared" si="40"/>
        <v>96.023448888888879</v>
      </c>
      <c r="BG35" s="214">
        <f t="shared" si="40"/>
        <v>107.02279044221478</v>
      </c>
      <c r="BH35" s="214">
        <f t="shared" si="40"/>
        <v>109.47564524712001</v>
      </c>
      <c r="BI35" s="214">
        <f t="shared" si="40"/>
        <v>116.90794277220363</v>
      </c>
      <c r="BJ35" s="214">
        <f t="shared" si="40"/>
        <v>99.590492917131172</v>
      </c>
      <c r="BK35" s="214">
        <f t="shared" si="40"/>
        <v>108.73176008918617</v>
      </c>
      <c r="BL35" s="214">
        <f t="shared" si="40"/>
        <v>106.27716690510948</v>
      </c>
      <c r="BM35" s="214">
        <f t="shared" si="40"/>
        <v>111.53124303649633</v>
      </c>
      <c r="BN35" s="214">
        <f t="shared" si="40"/>
        <v>111.53124303649633</v>
      </c>
      <c r="BO35" s="214">
        <f t="shared" si="40"/>
        <v>119.63362383941605</v>
      </c>
      <c r="BP35" s="214">
        <f t="shared" si="40"/>
        <v>122.18905198540145</v>
      </c>
      <c r="BQ35" s="214">
        <f t="shared" si="40"/>
        <v>111.53124303649633</v>
      </c>
      <c r="BR35" s="214">
        <f t="shared" si="40"/>
        <v>119.63362383941605</v>
      </c>
      <c r="BS35" s="214">
        <f t="shared" si="40"/>
        <v>99.285293881644932</v>
      </c>
      <c r="BT35" s="214">
        <f t="shared" si="40"/>
        <v>105.31096038114343</v>
      </c>
      <c r="BU35" s="214">
        <f t="shared" si="40"/>
        <v>99.285293881644932</v>
      </c>
      <c r="BV35" s="214">
        <f t="shared" si="40"/>
        <v>105.31096038114343</v>
      </c>
      <c r="BW35" s="214">
        <f t="shared" si="40"/>
        <v>101.99407973921764</v>
      </c>
      <c r="BX35" s="214">
        <f t="shared" si="40"/>
        <v>101.99407973921764</v>
      </c>
      <c r="BY35" s="214">
        <f t="shared" si="40"/>
        <v>112.34274734202607</v>
      </c>
      <c r="BZ35" s="214">
        <f t="shared" si="40"/>
        <v>112.34274734202607</v>
      </c>
      <c r="CA35" s="214">
        <f t="shared" si="40"/>
        <v>112.34274734202607</v>
      </c>
      <c r="CB35" s="214">
        <f t="shared" si="40"/>
        <v>112.34274734202607</v>
      </c>
      <c r="CC35" s="214">
        <f t="shared" si="40"/>
        <v>84.262022052459017</v>
      </c>
      <c r="CD35" s="214">
        <f t="shared" si="40"/>
        <v>88.524528327868836</v>
      </c>
      <c r="CE35" s="214">
        <f t="shared" si="40"/>
        <v>88.524528327868836</v>
      </c>
      <c r="CF35" s="214">
        <f t="shared" si="40"/>
        <v>89.180131718032783</v>
      </c>
      <c r="CG35" s="214">
        <f t="shared" si="40"/>
        <v>88.524528327868836</v>
      </c>
      <c r="CH35" s="214">
        <f t="shared" si="40"/>
        <v>89.180131718032783</v>
      </c>
      <c r="CI35" s="214">
        <f t="shared" si="40"/>
        <v>91.147664714754086</v>
      </c>
      <c r="CJ35" s="214">
        <f t="shared" si="40"/>
        <v>91.147664714754086</v>
      </c>
      <c r="CK35" s="214">
        <f t="shared" si="40"/>
        <v>93.442637993442617</v>
      </c>
      <c r="CL35" s="214">
        <f t="shared" si="40"/>
        <v>93.442637993442617</v>
      </c>
      <c r="CM35" s="214">
        <f t="shared" si="40"/>
        <v>110.82487167522163</v>
      </c>
      <c r="CN35" s="214">
        <f t="shared" si="40"/>
        <v>111.76010265982265</v>
      </c>
      <c r="CO35" s="214">
        <f t="shared" si="40"/>
        <v>114.09818012132521</v>
      </c>
      <c r="CP35" s="214">
        <f t="shared" si="40"/>
        <v>114.09818012132521</v>
      </c>
      <c r="CQ35" s="214">
        <f t="shared" si="40"/>
        <v>114.09818012132521</v>
      </c>
      <c r="CR35" s="214">
        <f t="shared" si="40"/>
        <v>115.03341110592625</v>
      </c>
      <c r="CS35" s="214">
        <f t="shared" si="40"/>
        <v>115.96864209052727</v>
      </c>
      <c r="CT35" s="214">
        <f t="shared" si="40"/>
        <v>115.96864209052727</v>
      </c>
      <c r="CU35" s="214">
        <f t="shared" si="40"/>
        <v>115.96864209052727</v>
      </c>
      <c r="CV35" s="214">
        <f t="shared" si="40"/>
        <v>93.706808349146101</v>
      </c>
      <c r="CW35" s="214">
        <f t="shared" si="40"/>
        <v>93.706808349146101</v>
      </c>
      <c r="CX35" s="214">
        <f t="shared" si="40"/>
        <v>96.216812144212525</v>
      </c>
      <c r="CY35" s="214">
        <f t="shared" si="40"/>
        <v>96.216812144212525</v>
      </c>
      <c r="CZ35" s="214">
        <f t="shared" si="40"/>
        <v>102.07348766603414</v>
      </c>
      <c r="DA35" s="214">
        <f t="shared" si="40"/>
        <v>104.58349146110056</v>
      </c>
      <c r="DB35" s="214">
        <f t="shared" si="40"/>
        <v>104.58349146110056</v>
      </c>
      <c r="DC35" s="214">
        <f t="shared" ref="DC35:FH35" si="41">2.20462*DC19/DC33</f>
        <v>102.07348766603414</v>
      </c>
      <c r="DD35" s="214">
        <f t="shared" si="41"/>
        <v>102.07348766603414</v>
      </c>
      <c r="DE35" s="214">
        <f t="shared" si="41"/>
        <v>105.08549222011385</v>
      </c>
      <c r="DF35" s="214">
        <f t="shared" si="41"/>
        <v>105.08549222011385</v>
      </c>
      <c r="DG35" s="214">
        <f t="shared" si="41"/>
        <v>106.92616166982921</v>
      </c>
      <c r="DH35" s="214">
        <f t="shared" si="41"/>
        <v>107.93016318785578</v>
      </c>
      <c r="DI35" s="214">
        <f t="shared" si="41"/>
        <v>107.93016318785578</v>
      </c>
      <c r="DJ35" s="214">
        <f t="shared" si="41"/>
        <v>107.93016318785578</v>
      </c>
      <c r="DK35" s="214">
        <f t="shared" si="41"/>
        <v>107.93016318785578</v>
      </c>
      <c r="DL35" s="214">
        <f t="shared" si="41"/>
        <v>107.93016318785578</v>
      </c>
      <c r="DM35" s="214">
        <f t="shared" si="41"/>
        <v>110.94216774193546</v>
      </c>
      <c r="DN35" s="214">
        <f t="shared" si="41"/>
        <v>112.78283719165084</v>
      </c>
      <c r="DO35" s="214">
        <f t="shared" si="41"/>
        <v>110.94216774193546</v>
      </c>
      <c r="DP35" s="214">
        <f t="shared" si="41"/>
        <v>112.78283719165084</v>
      </c>
      <c r="DQ35" s="214">
        <f t="shared" si="41"/>
        <v>112.78283719165084</v>
      </c>
      <c r="DR35" s="214">
        <f t="shared" si="41"/>
        <v>112.78283719165084</v>
      </c>
      <c r="DS35" s="214">
        <f t="shared" si="41"/>
        <v>122.99018595825426</v>
      </c>
      <c r="DT35" s="214">
        <f t="shared" si="41"/>
        <v>122.99018595825426</v>
      </c>
      <c r="DU35" s="214">
        <f t="shared" si="41"/>
        <v>126.33685768500949</v>
      </c>
      <c r="DV35" s="214">
        <f t="shared" si="41"/>
        <v>130.18553017077798</v>
      </c>
      <c r="DW35" s="214">
        <f t="shared" si="41"/>
        <v>130.18553017077798</v>
      </c>
      <c r="DX35" s="214">
        <f t="shared" si="41"/>
        <v>129.34886223908919</v>
      </c>
      <c r="DY35" s="214">
        <f t="shared" si="41"/>
        <v>129.34886223908919</v>
      </c>
      <c r="DZ35" s="214">
        <f t="shared" si="41"/>
        <v>132.52820037950661</v>
      </c>
      <c r="EA35" s="214">
        <f t="shared" si="41"/>
        <v>129.34886223908919</v>
      </c>
      <c r="EB35" s="214">
        <f t="shared" si="41"/>
        <v>129.34886223908919</v>
      </c>
      <c r="EC35" s="214">
        <f t="shared" si="41"/>
        <v>132.52820037950661</v>
      </c>
      <c r="ED35" s="214">
        <f t="shared" si="41"/>
        <v>92.375493101686246</v>
      </c>
      <c r="EE35" s="214">
        <f t="shared" si="41"/>
        <v>92.375493101686246</v>
      </c>
      <c r="EF35" s="214">
        <f t="shared" si="41"/>
        <v>93.783656106285122</v>
      </c>
      <c r="EG35" s="214">
        <f t="shared" si="41"/>
        <v>95.75508431272354</v>
      </c>
      <c r="EH35" s="214">
        <f t="shared" si="41"/>
        <v>95.75508431272354</v>
      </c>
      <c r="EI35" s="214">
        <f t="shared" si="41"/>
        <v>95.75508431272354</v>
      </c>
      <c r="EJ35" s="214">
        <f t="shared" si="41"/>
        <v>95.179377510040155</v>
      </c>
      <c r="EK35" s="214">
        <f t="shared" si="41"/>
        <v>95.179377510040155</v>
      </c>
      <c r="EL35" s="214">
        <f t="shared" si="41"/>
        <v>97.39285140562248</v>
      </c>
      <c r="EM35" s="214">
        <f t="shared" si="41"/>
        <v>99.606325301204819</v>
      </c>
      <c r="EN35" s="214">
        <f t="shared" si="41"/>
        <v>99.606325301204819</v>
      </c>
      <c r="EO35" s="214">
        <f t="shared" si="41"/>
        <v>101.37710441767068</v>
      </c>
      <c r="EP35" s="214">
        <f t="shared" si="41"/>
        <v>74.020816696914693</v>
      </c>
      <c r="EQ35" s="214">
        <f t="shared" si="41"/>
        <v>74.020816696914693</v>
      </c>
      <c r="ER35" s="214">
        <f t="shared" si="41"/>
        <v>74.821041742286738</v>
      </c>
      <c r="ES35" s="214">
        <f t="shared" si="41"/>
        <v>74.821041742286738</v>
      </c>
      <c r="ET35" s="214">
        <f t="shared" si="41"/>
        <v>77.221716878402901</v>
      </c>
      <c r="EU35" s="214">
        <f t="shared" si="41"/>
        <v>80.022504537205066</v>
      </c>
      <c r="EV35" s="214">
        <f t="shared" si="41"/>
        <v>93.768962500169536</v>
      </c>
      <c r="EW35" s="214">
        <f t="shared" si="41"/>
        <v>97.420370270270254</v>
      </c>
      <c r="EX35" s="214">
        <f t="shared" si="41"/>
        <v>97.420370270270254</v>
      </c>
      <c r="EY35" s="214">
        <f t="shared" si="41"/>
        <v>107.25178378378378</v>
      </c>
      <c r="EZ35" s="214">
        <f t="shared" si="41"/>
        <v>85.798224798464489</v>
      </c>
      <c r="FA35" s="214">
        <f t="shared" si="41"/>
        <v>90.21169631477926</v>
      </c>
      <c r="FB35" s="214">
        <f t="shared" si="41"/>
        <v>90.21169631477926</v>
      </c>
      <c r="FC35" s="214">
        <f t="shared" si="41"/>
        <v>90.21169631477926</v>
      </c>
      <c r="FD35" s="214">
        <f t="shared" si="41"/>
        <v>90.21169631477926</v>
      </c>
      <c r="FE35" s="214">
        <f t="shared" si="41"/>
        <v>88.155791842105259</v>
      </c>
      <c r="FF35" s="214">
        <f t="shared" si="41"/>
        <v>96.081086013071882</v>
      </c>
      <c r="FG35" s="214">
        <f t="shared" si="41"/>
        <v>96.081086013071882</v>
      </c>
      <c r="FH35" s="214">
        <f t="shared" si="41"/>
        <v>97.83960643457381</v>
      </c>
    </row>
    <row r="36" spans="1:164" s="23" customFormat="1" ht="12.75">
      <c r="A36" s="5" t="s">
        <v>2636</v>
      </c>
      <c r="B36" s="170">
        <v>0.84</v>
      </c>
      <c r="C36" s="170">
        <v>0.84</v>
      </c>
      <c r="D36" s="170">
        <v>0.84</v>
      </c>
      <c r="E36" s="170">
        <v>0.84</v>
      </c>
      <c r="F36" s="170">
        <v>0.84</v>
      </c>
      <c r="G36" s="170">
        <v>0.84</v>
      </c>
      <c r="H36" s="170">
        <v>0.82</v>
      </c>
      <c r="I36" s="170">
        <v>0.82</v>
      </c>
      <c r="J36" s="170">
        <v>0.84</v>
      </c>
      <c r="K36" s="170">
        <v>0.84</v>
      </c>
      <c r="L36" s="170">
        <v>0.84</v>
      </c>
      <c r="M36" s="170">
        <v>0.84</v>
      </c>
      <c r="N36" s="170">
        <v>0.84</v>
      </c>
      <c r="O36" s="170">
        <v>0.85</v>
      </c>
      <c r="P36" s="170">
        <v>0.85</v>
      </c>
      <c r="Q36" s="170">
        <v>0.84699999999999998</v>
      </c>
      <c r="R36" s="170">
        <v>0.84699999999999998</v>
      </c>
      <c r="S36" s="170">
        <v>0.85</v>
      </c>
      <c r="T36" s="170">
        <v>0.84699999999999998</v>
      </c>
      <c r="U36" s="170">
        <v>0.84699999999999998</v>
      </c>
      <c r="V36" s="170">
        <v>0.84699999999999998</v>
      </c>
      <c r="W36" s="170">
        <v>0.86299999999999999</v>
      </c>
      <c r="X36" s="170">
        <v>0.86299999999999999</v>
      </c>
      <c r="Y36" s="170">
        <v>0.86299999999999999</v>
      </c>
      <c r="Z36" s="170">
        <v>0.90600000000000003</v>
      </c>
      <c r="AA36" s="170">
        <v>0.90600000000000003</v>
      </c>
      <c r="AB36" s="170">
        <v>0.88400000000000001</v>
      </c>
      <c r="AC36" s="170">
        <v>0.88700000000000001</v>
      </c>
      <c r="AD36" s="170">
        <v>0.85199999999999998</v>
      </c>
      <c r="AE36" s="170">
        <v>0.88700000000000001</v>
      </c>
      <c r="AF36" s="170">
        <v>0.88700000000000001</v>
      </c>
      <c r="AG36" s="170">
        <v>0.82</v>
      </c>
      <c r="AH36" s="170">
        <v>0.82</v>
      </c>
      <c r="AI36" s="170">
        <v>0.88</v>
      </c>
      <c r="AJ36" s="170">
        <v>0.88</v>
      </c>
      <c r="AK36" s="170">
        <v>0.88</v>
      </c>
      <c r="AL36" s="170">
        <v>0.88</v>
      </c>
      <c r="AM36" s="170">
        <v>0.9</v>
      </c>
      <c r="AN36" s="170">
        <v>0.9</v>
      </c>
      <c r="AO36" s="170">
        <v>0.9</v>
      </c>
      <c r="AP36" s="170">
        <v>0.88</v>
      </c>
      <c r="AQ36" s="170">
        <v>0.84</v>
      </c>
      <c r="AR36" s="170">
        <v>0.84</v>
      </c>
      <c r="AS36" s="170">
        <v>0.84</v>
      </c>
      <c r="AT36" s="170">
        <v>0.84</v>
      </c>
      <c r="AU36" s="170">
        <v>0.84</v>
      </c>
      <c r="AV36" s="170">
        <v>0.84</v>
      </c>
      <c r="AW36" s="170">
        <v>0.84</v>
      </c>
      <c r="AX36" s="170">
        <v>0.84</v>
      </c>
      <c r="AY36" s="170">
        <v>0.84</v>
      </c>
      <c r="AZ36" s="170">
        <v>0.82</v>
      </c>
      <c r="BA36" s="170">
        <v>0.82</v>
      </c>
      <c r="BB36" s="170">
        <v>0.82</v>
      </c>
      <c r="BC36" s="170">
        <v>0.82</v>
      </c>
      <c r="BD36" s="170">
        <v>0.82</v>
      </c>
      <c r="BE36" s="170">
        <v>0.82</v>
      </c>
      <c r="BF36" s="170">
        <v>0.82</v>
      </c>
      <c r="BG36" s="170">
        <v>0.82</v>
      </c>
      <c r="BH36" s="170">
        <v>0.82</v>
      </c>
      <c r="BI36" s="170">
        <v>0.82</v>
      </c>
      <c r="BJ36" s="170">
        <v>0.82</v>
      </c>
      <c r="BK36" s="170">
        <v>0.82</v>
      </c>
      <c r="BL36" s="170">
        <v>0.82</v>
      </c>
      <c r="BM36" s="170">
        <v>0.82</v>
      </c>
      <c r="BN36" s="170">
        <v>0.82</v>
      </c>
      <c r="BO36" s="170">
        <v>0.82</v>
      </c>
      <c r="BP36" s="170">
        <v>0.82</v>
      </c>
      <c r="BQ36" s="170">
        <v>0.82</v>
      </c>
      <c r="BR36" s="170">
        <v>0.82</v>
      </c>
      <c r="BS36" s="170">
        <v>0.86</v>
      </c>
      <c r="BT36" s="170">
        <v>0.86</v>
      </c>
      <c r="BU36" s="170">
        <v>0.86</v>
      </c>
      <c r="BV36" s="170">
        <v>0.86</v>
      </c>
      <c r="BW36" s="170">
        <v>0.86</v>
      </c>
      <c r="BX36" s="170">
        <v>0.86</v>
      </c>
      <c r="BY36" s="170">
        <v>0.86</v>
      </c>
      <c r="BZ36" s="170">
        <v>0.86</v>
      </c>
      <c r="CA36" s="170">
        <v>0.86</v>
      </c>
      <c r="CB36" s="170">
        <v>0.86</v>
      </c>
      <c r="CC36" s="170">
        <v>0.86</v>
      </c>
      <c r="CD36" s="170">
        <v>0.86</v>
      </c>
      <c r="CE36" s="170">
        <v>0.86</v>
      </c>
      <c r="CF36" s="170">
        <v>0.86</v>
      </c>
      <c r="CG36" s="170">
        <v>0.86</v>
      </c>
      <c r="CH36" s="170">
        <v>0.86</v>
      </c>
      <c r="CI36" s="170">
        <v>0.86</v>
      </c>
      <c r="CJ36" s="170">
        <v>0.86</v>
      </c>
      <c r="CK36" s="170">
        <v>0.86</v>
      </c>
      <c r="CL36" s="170">
        <v>0.86</v>
      </c>
      <c r="CM36" s="170">
        <v>0.84</v>
      </c>
      <c r="CN36" s="170">
        <v>0.84</v>
      </c>
      <c r="CO36" s="170">
        <v>0.84</v>
      </c>
      <c r="CP36" s="170">
        <v>0.84</v>
      </c>
      <c r="CQ36" s="170">
        <v>0.84</v>
      </c>
      <c r="CR36" s="170">
        <v>0.84</v>
      </c>
      <c r="CS36" s="170">
        <v>0.84</v>
      </c>
      <c r="CT36" s="170">
        <v>0.84</v>
      </c>
      <c r="CU36" s="170">
        <v>0.84</v>
      </c>
      <c r="CV36" s="170">
        <v>0.82</v>
      </c>
      <c r="CW36" s="170">
        <v>0.82</v>
      </c>
      <c r="CX36" s="170">
        <v>0.82</v>
      </c>
      <c r="CY36" s="170">
        <v>0.82</v>
      </c>
      <c r="CZ36" s="170">
        <v>0.82</v>
      </c>
      <c r="DA36" s="170">
        <v>0.82</v>
      </c>
      <c r="DB36" s="170">
        <v>0.82</v>
      </c>
      <c r="DC36" s="170">
        <v>0.82</v>
      </c>
      <c r="DD36" s="170">
        <v>0.82</v>
      </c>
      <c r="DE36" s="170">
        <v>0.82</v>
      </c>
      <c r="DF36" s="170">
        <v>0.82</v>
      </c>
      <c r="DG36" s="170">
        <v>0.82</v>
      </c>
      <c r="DH36" s="170">
        <v>0.82</v>
      </c>
      <c r="DI36" s="170">
        <v>0.82</v>
      </c>
      <c r="DJ36" s="170">
        <v>0.82</v>
      </c>
      <c r="DK36" s="170">
        <v>0.82</v>
      </c>
      <c r="DL36" s="170">
        <v>0.82</v>
      </c>
      <c r="DM36" s="170">
        <v>0.82</v>
      </c>
      <c r="DN36" s="170">
        <v>0.82</v>
      </c>
      <c r="DO36" s="170">
        <v>0.82</v>
      </c>
      <c r="DP36" s="170">
        <v>0.82</v>
      </c>
      <c r="DQ36" s="170">
        <v>0.82</v>
      </c>
      <c r="DR36" s="170">
        <v>0.82</v>
      </c>
      <c r="DS36" s="170">
        <v>0.82</v>
      </c>
      <c r="DT36" s="170">
        <v>0.82</v>
      </c>
      <c r="DU36" s="170">
        <v>0.82</v>
      </c>
      <c r="DV36" s="170">
        <v>0.82</v>
      </c>
      <c r="DW36" s="170">
        <v>0.82</v>
      </c>
      <c r="DX36" s="170">
        <v>0.82</v>
      </c>
      <c r="DY36" s="170">
        <v>0.82</v>
      </c>
      <c r="DZ36" s="170">
        <v>0.82</v>
      </c>
      <c r="EA36" s="170">
        <v>0.82</v>
      </c>
      <c r="EB36" s="170">
        <v>0.82</v>
      </c>
      <c r="EC36" s="170">
        <v>0.82</v>
      </c>
      <c r="ED36" s="170">
        <v>0.82</v>
      </c>
      <c r="EE36" s="170">
        <v>0.82</v>
      </c>
      <c r="EF36" s="170">
        <v>0.82</v>
      </c>
      <c r="EG36" s="170">
        <v>0.82</v>
      </c>
      <c r="EH36" s="170">
        <v>0.82</v>
      </c>
      <c r="EI36" s="170">
        <v>0.82</v>
      </c>
      <c r="EJ36" s="170">
        <v>0.82</v>
      </c>
      <c r="EK36" s="170">
        <v>0.82</v>
      </c>
      <c r="EL36" s="170">
        <v>0.82</v>
      </c>
      <c r="EM36" s="170">
        <v>0.82</v>
      </c>
      <c r="EN36" s="170">
        <v>0.82</v>
      </c>
      <c r="EO36" s="170">
        <v>0.82</v>
      </c>
      <c r="EP36" s="170">
        <v>0.78</v>
      </c>
      <c r="EQ36" s="170">
        <v>0.78</v>
      </c>
      <c r="ER36" s="170">
        <v>0.78</v>
      </c>
      <c r="ES36" s="170">
        <v>0.78</v>
      </c>
      <c r="ET36" s="170">
        <v>0.78</v>
      </c>
      <c r="EU36" s="170">
        <v>0.8</v>
      </c>
      <c r="EV36" s="196">
        <v>0.82</v>
      </c>
      <c r="EW36" s="196">
        <v>0.82</v>
      </c>
      <c r="EX36" s="196">
        <v>0.82</v>
      </c>
      <c r="EY36" s="196">
        <v>0.82</v>
      </c>
      <c r="EZ36" s="170">
        <v>0.85</v>
      </c>
      <c r="FA36" s="170">
        <v>0.85</v>
      </c>
      <c r="FB36" s="170">
        <v>0.85</v>
      </c>
      <c r="FC36" s="170">
        <v>0.85</v>
      </c>
      <c r="FD36" s="170">
        <v>0.85</v>
      </c>
      <c r="FE36" s="170">
        <v>0.85</v>
      </c>
      <c r="FF36" s="170">
        <v>0.85</v>
      </c>
      <c r="FG36" s="170">
        <v>0.85</v>
      </c>
      <c r="FH36" s="170">
        <v>0.85</v>
      </c>
    </row>
    <row r="37" spans="1:164" s="23" customFormat="1" ht="12.75">
      <c r="A37" s="5" t="s">
        <v>2637</v>
      </c>
      <c r="B37" s="170">
        <v>4.8</v>
      </c>
      <c r="C37" s="170">
        <v>4.7</v>
      </c>
      <c r="D37" s="170">
        <v>1.78</v>
      </c>
      <c r="E37" s="170">
        <v>1.74</v>
      </c>
      <c r="F37" s="170">
        <v>1.74</v>
      </c>
      <c r="G37" s="170">
        <v>1.74</v>
      </c>
      <c r="H37" s="170">
        <v>1.74</v>
      </c>
      <c r="I37" s="170">
        <v>1.74</v>
      </c>
      <c r="J37" s="201">
        <v>1.07</v>
      </c>
      <c r="K37" s="185">
        <v>1.05</v>
      </c>
      <c r="L37" s="170">
        <v>1.07</v>
      </c>
      <c r="M37" s="170">
        <v>1.03</v>
      </c>
      <c r="N37" s="170">
        <v>1.02</v>
      </c>
      <c r="O37" s="185"/>
      <c r="P37" s="185"/>
      <c r="Q37" s="185"/>
      <c r="R37" s="170">
        <v>0.3</v>
      </c>
      <c r="S37" s="170">
        <v>1.36</v>
      </c>
      <c r="T37" s="170">
        <v>1.36</v>
      </c>
      <c r="U37" s="170">
        <v>1.36</v>
      </c>
      <c r="V37" s="170">
        <v>1.36</v>
      </c>
      <c r="W37" s="170">
        <v>6</v>
      </c>
      <c r="X37" s="170">
        <v>6</v>
      </c>
      <c r="Y37" s="170">
        <v>6</v>
      </c>
      <c r="Z37" s="185"/>
      <c r="AA37" s="170">
        <v>1.42</v>
      </c>
      <c r="AB37" s="170">
        <v>1.42</v>
      </c>
      <c r="AC37" s="185"/>
      <c r="AD37" s="170">
        <v>0.3</v>
      </c>
      <c r="AE37" s="170">
        <v>1.36</v>
      </c>
      <c r="AF37" s="170">
        <v>1.4</v>
      </c>
      <c r="AG37" s="170">
        <v>4.68</v>
      </c>
      <c r="AH37" s="170">
        <v>4.55</v>
      </c>
      <c r="AI37" s="170">
        <v>1.07</v>
      </c>
      <c r="AJ37" s="170">
        <v>1.04</v>
      </c>
      <c r="AK37" s="170">
        <v>1.07</v>
      </c>
      <c r="AL37" s="170">
        <v>1.04</v>
      </c>
      <c r="AM37" s="170">
        <v>1.04</v>
      </c>
      <c r="AN37" s="170">
        <v>1.03</v>
      </c>
      <c r="AO37" s="170">
        <v>1.02</v>
      </c>
      <c r="AP37" s="170">
        <v>0.97</v>
      </c>
      <c r="AQ37" s="170">
        <v>1.07</v>
      </c>
      <c r="AR37" s="170">
        <v>1.04</v>
      </c>
      <c r="AS37" s="170">
        <v>1.04</v>
      </c>
      <c r="AT37" s="170">
        <v>1.03</v>
      </c>
      <c r="AU37" s="170">
        <v>1.03</v>
      </c>
      <c r="AV37" s="170">
        <v>1.02</v>
      </c>
      <c r="AW37" s="170">
        <v>1.02</v>
      </c>
      <c r="AX37" s="170">
        <v>1.02</v>
      </c>
      <c r="AY37" s="170">
        <v>1.02</v>
      </c>
      <c r="AZ37" s="170">
        <v>5</v>
      </c>
      <c r="BA37" s="170">
        <v>4.9000000000000004</v>
      </c>
      <c r="BB37" s="170">
        <v>4.9000000000000004</v>
      </c>
      <c r="BC37" s="170">
        <v>5</v>
      </c>
      <c r="BD37" s="170">
        <v>5</v>
      </c>
      <c r="BE37" s="170">
        <v>5.5</v>
      </c>
      <c r="BF37" s="170">
        <v>5.4</v>
      </c>
      <c r="BG37" s="170">
        <v>5.3</v>
      </c>
      <c r="BH37" s="170">
        <v>5.0999999999999996</v>
      </c>
      <c r="BI37" s="170">
        <v>5.0999999999999996</v>
      </c>
      <c r="BJ37" s="170">
        <v>5.4</v>
      </c>
      <c r="BK37" s="170">
        <v>5.3</v>
      </c>
      <c r="BL37" s="170">
        <v>9</v>
      </c>
      <c r="BM37" s="170">
        <v>9</v>
      </c>
      <c r="BN37" s="170">
        <v>9</v>
      </c>
      <c r="BO37" s="170">
        <v>9</v>
      </c>
      <c r="BP37" s="170">
        <v>9</v>
      </c>
      <c r="BQ37" s="170">
        <v>9</v>
      </c>
      <c r="BR37" s="170">
        <v>9</v>
      </c>
      <c r="BS37" s="170">
        <v>5.77</v>
      </c>
      <c r="BT37" s="170">
        <v>5.5</v>
      </c>
      <c r="BU37" s="170">
        <v>4.4000000000000004</v>
      </c>
      <c r="BV37" s="170">
        <v>4.4000000000000004</v>
      </c>
      <c r="BW37" s="170">
        <v>5.77</v>
      </c>
      <c r="BX37" s="170">
        <v>5.5</v>
      </c>
      <c r="BY37" s="170">
        <v>5.5</v>
      </c>
      <c r="BZ37" s="170">
        <v>5.3</v>
      </c>
      <c r="CA37" s="170">
        <v>4.4000000000000004</v>
      </c>
      <c r="CB37" s="170">
        <v>4.4000000000000004</v>
      </c>
      <c r="CC37" s="170">
        <v>5</v>
      </c>
      <c r="CD37" s="170">
        <v>4.7</v>
      </c>
      <c r="CE37" s="170">
        <v>5</v>
      </c>
      <c r="CF37" s="170">
        <v>4.5999999999999996</v>
      </c>
      <c r="CG37" s="170">
        <v>5.0999999999999996</v>
      </c>
      <c r="CH37" s="170">
        <v>5.3</v>
      </c>
      <c r="CI37" s="170">
        <v>5.3</v>
      </c>
      <c r="CJ37" s="170">
        <v>4.9000000000000004</v>
      </c>
      <c r="CK37" s="170">
        <v>4.3</v>
      </c>
      <c r="CL37" s="170">
        <v>4.3</v>
      </c>
      <c r="CM37" s="170">
        <v>4.5999999999999996</v>
      </c>
      <c r="CN37" s="170">
        <v>5</v>
      </c>
      <c r="CO37" s="170">
        <v>4.5999999999999996</v>
      </c>
      <c r="CP37" s="170">
        <v>4.5999999999999996</v>
      </c>
      <c r="CQ37" s="170">
        <v>5</v>
      </c>
      <c r="CR37" s="170">
        <v>5.3</v>
      </c>
      <c r="CS37" s="170">
        <v>5</v>
      </c>
      <c r="CT37" s="170">
        <v>4.9000000000000004</v>
      </c>
      <c r="CU37" s="170">
        <v>5.3</v>
      </c>
      <c r="CV37" s="215">
        <v>5.5</v>
      </c>
      <c r="CW37" s="170">
        <v>5</v>
      </c>
      <c r="CX37" s="215">
        <v>5.5</v>
      </c>
      <c r="CY37" s="170">
        <v>4.8</v>
      </c>
      <c r="CZ37" s="170">
        <v>6</v>
      </c>
      <c r="DA37" s="170">
        <v>6</v>
      </c>
      <c r="DB37" s="170">
        <v>5.7</v>
      </c>
      <c r="DC37" s="170">
        <v>4.9000000000000004</v>
      </c>
      <c r="DD37" s="170">
        <v>4.8</v>
      </c>
      <c r="DE37" s="170">
        <v>11</v>
      </c>
      <c r="DF37" s="170">
        <v>11</v>
      </c>
      <c r="DG37" s="170">
        <v>11</v>
      </c>
      <c r="DH37" s="170">
        <v>6</v>
      </c>
      <c r="DI37" s="170">
        <v>6</v>
      </c>
      <c r="DJ37" s="170">
        <v>5.7</v>
      </c>
      <c r="DK37" s="170">
        <v>4.5999999999999996</v>
      </c>
      <c r="DL37" s="170">
        <v>4.8</v>
      </c>
      <c r="DM37" s="170">
        <v>11</v>
      </c>
      <c r="DN37" s="170">
        <v>11</v>
      </c>
      <c r="DO37" s="170">
        <v>12.5</v>
      </c>
      <c r="DP37" s="170">
        <v>12.5</v>
      </c>
      <c r="DQ37" s="170">
        <v>11</v>
      </c>
      <c r="DR37" s="170">
        <v>12.5</v>
      </c>
      <c r="DS37" s="170">
        <v>5.5</v>
      </c>
      <c r="DT37" s="170">
        <v>4.5999999999999996</v>
      </c>
      <c r="DU37" s="170">
        <v>5.5</v>
      </c>
      <c r="DV37" s="170">
        <v>5.4</v>
      </c>
      <c r="DW37" s="170">
        <v>4.5999999999999996</v>
      </c>
      <c r="DX37" s="170">
        <v>11</v>
      </c>
      <c r="DY37" s="170">
        <v>11</v>
      </c>
      <c r="DZ37" s="170">
        <v>12.5</v>
      </c>
      <c r="EA37" s="170">
        <v>11</v>
      </c>
      <c r="EB37" s="170">
        <v>11</v>
      </c>
      <c r="EC37" s="170">
        <v>12.5</v>
      </c>
      <c r="ED37" s="170">
        <v>4.9000000000000004</v>
      </c>
      <c r="EE37" s="170">
        <v>4.9000000000000004</v>
      </c>
      <c r="EF37" s="170">
        <v>4.9000000000000004</v>
      </c>
      <c r="EG37" s="170">
        <v>4.9000000000000004</v>
      </c>
      <c r="EH37" s="170">
        <v>4.9000000000000004</v>
      </c>
      <c r="EI37" s="170">
        <v>4.9000000000000004</v>
      </c>
      <c r="EJ37" s="170"/>
      <c r="EK37" s="170"/>
      <c r="EL37" s="170">
        <v>4</v>
      </c>
      <c r="EM37" s="170"/>
      <c r="EN37" s="170"/>
      <c r="EO37" s="170"/>
      <c r="EP37" s="170">
        <v>4.8</v>
      </c>
      <c r="EQ37" s="170">
        <v>4.8</v>
      </c>
      <c r="ER37" s="170">
        <v>4.8</v>
      </c>
      <c r="ES37" s="170">
        <v>4.8</v>
      </c>
      <c r="ET37" s="170">
        <v>4.8</v>
      </c>
      <c r="EU37" s="170">
        <v>4.8</v>
      </c>
      <c r="EV37" s="170">
        <v>9</v>
      </c>
      <c r="EW37" s="170">
        <v>12</v>
      </c>
      <c r="EX37" s="170">
        <v>12</v>
      </c>
      <c r="EY37" s="170">
        <v>12</v>
      </c>
      <c r="EZ37" s="170">
        <v>6.2</v>
      </c>
      <c r="FA37" s="170">
        <v>6.2</v>
      </c>
      <c r="FB37" s="170">
        <v>6.2</v>
      </c>
      <c r="FC37" s="170">
        <v>6.2</v>
      </c>
      <c r="FD37" s="170">
        <v>6.2</v>
      </c>
      <c r="FE37" s="170">
        <v>4.9000000000000004</v>
      </c>
      <c r="FF37" s="170">
        <v>4.9000000000000004</v>
      </c>
      <c r="FG37" s="170">
        <v>4.9000000000000004</v>
      </c>
      <c r="FH37" s="185"/>
    </row>
    <row r="38" spans="1:164" s="23" customFormat="1" ht="25.5">
      <c r="A38" s="5" t="s">
        <v>2648</v>
      </c>
      <c r="B38" s="170">
        <v>0.56999999999999995</v>
      </c>
      <c r="C38" s="170">
        <v>0.57499999999999996</v>
      </c>
      <c r="D38" s="170">
        <v>0.72399999999999998</v>
      </c>
      <c r="E38" s="170">
        <v>0.753</v>
      </c>
      <c r="F38" s="170">
        <v>0.753</v>
      </c>
      <c r="G38" s="170">
        <v>0.73</v>
      </c>
      <c r="H38" s="170">
        <v>0.73599999999999999</v>
      </c>
      <c r="I38" s="170">
        <v>0.73599999999999999</v>
      </c>
      <c r="J38" s="171"/>
      <c r="K38" s="171">
        <v>0.80600000000000005</v>
      </c>
      <c r="L38" s="170">
        <v>0.79600000000000004</v>
      </c>
      <c r="M38" s="170">
        <v>0.81</v>
      </c>
      <c r="N38" s="170">
        <v>0.81399999999999995</v>
      </c>
      <c r="O38" s="170"/>
      <c r="P38" s="170"/>
      <c r="Q38" s="170"/>
      <c r="R38" s="212">
        <v>0.9</v>
      </c>
      <c r="S38" s="170"/>
      <c r="T38" s="170"/>
      <c r="U38" s="170"/>
      <c r="V38" s="170"/>
      <c r="W38" s="212">
        <v>0.65100000000000002</v>
      </c>
      <c r="X38" s="212">
        <v>0.65100000000000002</v>
      </c>
      <c r="Y38" s="212">
        <v>0.65100000000000002</v>
      </c>
      <c r="Z38" s="185"/>
      <c r="AA38" s="212">
        <v>0.78</v>
      </c>
      <c r="AB38" s="212">
        <v>0.78</v>
      </c>
      <c r="AC38" s="170"/>
      <c r="AD38" s="212">
        <v>0.82499999999999996</v>
      </c>
      <c r="AE38" s="170"/>
      <c r="AF38" s="170"/>
      <c r="AG38" s="212">
        <v>0.62</v>
      </c>
      <c r="AH38" s="212">
        <v>0.62</v>
      </c>
      <c r="AI38" s="170">
        <v>0.77300000000000002</v>
      </c>
      <c r="AJ38" s="170">
        <v>0.8</v>
      </c>
      <c r="AK38" s="170">
        <v>0.79600000000000004</v>
      </c>
      <c r="AL38" s="170">
        <v>0.8</v>
      </c>
      <c r="AM38" s="170">
        <v>0.8</v>
      </c>
      <c r="AN38" s="170">
        <v>0.81</v>
      </c>
      <c r="AO38" s="170">
        <v>0.81399999999999995</v>
      </c>
      <c r="AP38" s="170">
        <v>0.82</v>
      </c>
      <c r="AQ38" s="171">
        <v>0.79600000000000004</v>
      </c>
      <c r="AR38" s="171">
        <v>0.8</v>
      </c>
      <c r="AS38" s="170">
        <v>0.8</v>
      </c>
      <c r="AT38" s="171">
        <v>0.81</v>
      </c>
      <c r="AU38" s="170">
        <v>0.81</v>
      </c>
      <c r="AV38" s="171">
        <v>0.77300000000000002</v>
      </c>
      <c r="AW38" s="170">
        <v>0.77300000000000002</v>
      </c>
      <c r="AX38" s="171">
        <v>0.77300000000000002</v>
      </c>
      <c r="AY38" s="170">
        <v>0.77300000000000002</v>
      </c>
      <c r="AZ38" s="170">
        <v>0.66700000000000004</v>
      </c>
      <c r="BA38" s="170">
        <v>0.66700000000000004</v>
      </c>
      <c r="BB38" s="170">
        <v>0.66700000000000004</v>
      </c>
      <c r="BC38" s="170">
        <v>0.66700000000000004</v>
      </c>
      <c r="BD38" s="170">
        <v>0.66700000000000004</v>
      </c>
      <c r="BE38" s="170"/>
      <c r="BF38" s="170">
        <v>0.63300000000000001</v>
      </c>
      <c r="BG38" s="170">
        <v>0.627</v>
      </c>
      <c r="BH38" s="170"/>
      <c r="BI38" s="170"/>
      <c r="BJ38" s="170">
        <v>0.63300000000000001</v>
      </c>
      <c r="BK38" s="170">
        <v>0.627</v>
      </c>
      <c r="BL38" s="212">
        <v>0.53</v>
      </c>
      <c r="BM38" s="212">
        <v>0.53</v>
      </c>
      <c r="BN38" s="212">
        <v>0.53</v>
      </c>
      <c r="BO38" s="212">
        <v>0.53</v>
      </c>
      <c r="BP38" s="212">
        <v>0.53</v>
      </c>
      <c r="BQ38" s="212">
        <v>0.53</v>
      </c>
      <c r="BR38" s="212">
        <v>0.53</v>
      </c>
      <c r="BS38" s="170">
        <v>0.58199999999999996</v>
      </c>
      <c r="BT38" s="170">
        <v>0.58199999999999996</v>
      </c>
      <c r="BU38" s="170">
        <v>0.64600000000000002</v>
      </c>
      <c r="BV38" s="170"/>
      <c r="BW38" s="170">
        <v>0.58199999999999996</v>
      </c>
      <c r="BX38" s="170">
        <v>0.58199999999999996</v>
      </c>
      <c r="BY38" s="170">
        <v>0.58199999999999996</v>
      </c>
      <c r="BZ38" s="170"/>
      <c r="CA38" s="170"/>
      <c r="CB38" s="170"/>
      <c r="CC38" s="212">
        <v>0.61499999999999999</v>
      </c>
      <c r="CD38" s="170">
        <v>0.623</v>
      </c>
      <c r="CE38" s="212">
        <v>0.61499999999999999</v>
      </c>
      <c r="CF38" s="170">
        <v>0.623</v>
      </c>
      <c r="CG38" s="170"/>
      <c r="CH38" s="170">
        <v>0.57599999999999996</v>
      </c>
      <c r="CI38" s="170"/>
      <c r="CJ38" s="170"/>
      <c r="CK38" s="212">
        <v>0.57199999999999995</v>
      </c>
      <c r="CL38" s="212">
        <v>0.57199999999999995</v>
      </c>
      <c r="CM38" s="170">
        <v>0.623</v>
      </c>
      <c r="CN38" s="212">
        <v>0.61499999999999999</v>
      </c>
      <c r="CO38" s="170">
        <v>0.623</v>
      </c>
      <c r="CP38" s="170">
        <v>0.623</v>
      </c>
      <c r="CQ38" s="212">
        <v>0.61499999999999999</v>
      </c>
      <c r="CR38" s="170">
        <v>0.57799999999999996</v>
      </c>
      <c r="CS38" s="212">
        <v>0.61499999999999999</v>
      </c>
      <c r="CT38" s="170"/>
      <c r="CU38" s="170">
        <v>0.57799999999999996</v>
      </c>
      <c r="CV38" s="212">
        <v>0.6</v>
      </c>
      <c r="CW38" s="170"/>
      <c r="CX38" s="212">
        <v>0.6</v>
      </c>
      <c r="CY38" s="170"/>
      <c r="CZ38" s="212">
        <v>0.6</v>
      </c>
      <c r="DA38" s="212">
        <v>0.59599999999999997</v>
      </c>
      <c r="DB38" s="212">
        <v>0.6</v>
      </c>
      <c r="DC38" s="212">
        <v>0.57499999999999996</v>
      </c>
      <c r="DD38" s="212">
        <v>0.57499999999999996</v>
      </c>
      <c r="DE38" s="212">
        <v>0.51</v>
      </c>
      <c r="DF38" s="212">
        <v>0.51</v>
      </c>
      <c r="DG38" s="212">
        <v>0.51</v>
      </c>
      <c r="DH38" s="212">
        <v>0.59599999999999997</v>
      </c>
      <c r="DI38" s="212">
        <v>0.59599999999999997</v>
      </c>
      <c r="DJ38" s="212">
        <v>0.6</v>
      </c>
      <c r="DK38" s="212">
        <v>0.57499999999999996</v>
      </c>
      <c r="DL38" s="212">
        <v>0.57499999999999996</v>
      </c>
      <c r="DM38" s="212">
        <v>0.51</v>
      </c>
      <c r="DN38" s="212">
        <v>0.51</v>
      </c>
      <c r="DO38" s="212">
        <v>0.51</v>
      </c>
      <c r="DP38" s="212">
        <v>0.51</v>
      </c>
      <c r="DQ38" s="212">
        <v>0.51</v>
      </c>
      <c r="DR38" s="212">
        <v>0.51</v>
      </c>
      <c r="DS38" s="212">
        <v>0.6</v>
      </c>
      <c r="DT38" s="212">
        <v>0.57499999999999996</v>
      </c>
      <c r="DU38" s="212">
        <v>0.6</v>
      </c>
      <c r="DV38" s="212">
        <v>0.6</v>
      </c>
      <c r="DW38" s="212">
        <v>0.57499999999999996</v>
      </c>
      <c r="DX38" s="212">
        <v>0.51</v>
      </c>
      <c r="DY38" s="212">
        <v>0.51</v>
      </c>
      <c r="DZ38" s="212">
        <v>0.51</v>
      </c>
      <c r="EA38" s="212">
        <v>0.51</v>
      </c>
      <c r="EB38" s="212">
        <v>0.51</v>
      </c>
      <c r="EC38" s="212">
        <v>0.51</v>
      </c>
      <c r="ED38" s="171"/>
      <c r="EE38" s="171"/>
      <c r="EF38" s="171"/>
      <c r="EG38" s="171"/>
      <c r="EH38" s="171"/>
      <c r="EI38" s="171"/>
      <c r="EJ38" s="185"/>
      <c r="EK38" s="185"/>
      <c r="EL38" s="171"/>
      <c r="EM38" s="185"/>
      <c r="EN38" s="185"/>
      <c r="EO38" s="170"/>
      <c r="EP38" s="171"/>
      <c r="EQ38" s="171"/>
      <c r="ER38" s="171"/>
      <c r="ES38" s="171"/>
      <c r="ET38" s="171"/>
      <c r="EU38" s="171"/>
      <c r="EV38" s="171"/>
      <c r="EW38" s="171"/>
      <c r="EX38" s="185"/>
      <c r="EY38" s="185"/>
      <c r="EZ38" s="171"/>
      <c r="FA38" s="171"/>
      <c r="FB38" s="171"/>
      <c r="FC38" s="171"/>
      <c r="FD38" s="171"/>
      <c r="FE38" s="171"/>
      <c r="FF38" s="171"/>
      <c r="FG38" s="171"/>
      <c r="FH38" s="185"/>
    </row>
    <row r="39" spans="1:164" s="23" customFormat="1" ht="12.75">
      <c r="A39" s="5" t="s">
        <v>2639</v>
      </c>
      <c r="B39" s="196">
        <v>7107</v>
      </c>
      <c r="C39" s="196">
        <v>7107</v>
      </c>
      <c r="D39" s="196">
        <v>7250</v>
      </c>
      <c r="E39" s="196">
        <v>7450</v>
      </c>
      <c r="F39" s="196">
        <v>7450</v>
      </c>
      <c r="G39" s="196">
        <v>8375</v>
      </c>
      <c r="H39" s="196">
        <v>6100</v>
      </c>
      <c r="I39" s="196">
        <v>6100</v>
      </c>
      <c r="J39" s="196">
        <v>6561.68</v>
      </c>
      <c r="K39" s="196">
        <v>5100</v>
      </c>
      <c r="L39" s="196">
        <v>7400</v>
      </c>
      <c r="M39" s="196">
        <v>7400</v>
      </c>
      <c r="N39" s="196">
        <v>8020</v>
      </c>
      <c r="O39" s="216">
        <v>9380</v>
      </c>
      <c r="P39" s="216">
        <v>8240</v>
      </c>
      <c r="Q39" s="216">
        <v>9900</v>
      </c>
      <c r="R39" s="216">
        <v>9650</v>
      </c>
      <c r="S39" s="216">
        <v>10560</v>
      </c>
      <c r="T39" s="216">
        <v>9980</v>
      </c>
      <c r="U39" s="216">
        <v>9780</v>
      </c>
      <c r="V39" s="216">
        <v>11500</v>
      </c>
      <c r="W39" s="196">
        <v>9100</v>
      </c>
      <c r="X39" s="196">
        <v>9750</v>
      </c>
      <c r="Y39" s="196">
        <v>10000</v>
      </c>
      <c r="Z39" s="196">
        <v>9400</v>
      </c>
      <c r="AA39" s="196">
        <v>6450</v>
      </c>
      <c r="AB39" s="196">
        <v>7545.9319999999998</v>
      </c>
      <c r="AC39" s="196">
        <v>10498.69</v>
      </c>
      <c r="AD39" s="196">
        <v>10498.69</v>
      </c>
      <c r="AE39" s="196">
        <v>11318.9</v>
      </c>
      <c r="AF39" s="196">
        <v>9924.5409999999993</v>
      </c>
      <c r="AG39" s="196">
        <v>7545.9319999999998</v>
      </c>
      <c r="AH39" s="196">
        <v>5577.4279999999999</v>
      </c>
      <c r="AI39" s="196">
        <v>7400</v>
      </c>
      <c r="AJ39" s="196">
        <v>7750</v>
      </c>
      <c r="AK39" s="196">
        <v>7400</v>
      </c>
      <c r="AL39" s="196">
        <v>7750</v>
      </c>
      <c r="AM39" s="196">
        <v>8000</v>
      </c>
      <c r="AN39" s="196">
        <v>7400</v>
      </c>
      <c r="AO39" s="196">
        <v>7600</v>
      </c>
      <c r="AP39" s="196">
        <v>9550</v>
      </c>
      <c r="AQ39" s="196">
        <v>6700</v>
      </c>
      <c r="AR39" s="196">
        <v>7000</v>
      </c>
      <c r="AS39" s="196">
        <v>8750</v>
      </c>
      <c r="AT39" s="196">
        <v>6700</v>
      </c>
      <c r="AU39" s="196">
        <v>6950</v>
      </c>
      <c r="AV39" s="196">
        <v>7500</v>
      </c>
      <c r="AW39" s="196">
        <v>8490</v>
      </c>
      <c r="AX39" s="196">
        <v>5290</v>
      </c>
      <c r="AY39" s="196">
        <v>7100</v>
      </c>
      <c r="AZ39" s="196">
        <v>6250</v>
      </c>
      <c r="BA39" s="196">
        <v>6850</v>
      </c>
      <c r="BB39" s="196">
        <v>7200</v>
      </c>
      <c r="BC39" s="196">
        <v>6600</v>
      </c>
      <c r="BD39" s="196">
        <v>5200</v>
      </c>
      <c r="BE39" s="196">
        <v>4593.1760000000004</v>
      </c>
      <c r="BF39" s="196">
        <v>9350.3940000000002</v>
      </c>
      <c r="BG39" s="196">
        <v>5249.3440000000001</v>
      </c>
      <c r="BH39" s="196">
        <v>9186.3520000000008</v>
      </c>
      <c r="BI39" s="196">
        <v>9842.52</v>
      </c>
      <c r="BJ39" s="196">
        <v>6889.7640000000001</v>
      </c>
      <c r="BK39" s="196">
        <v>7709.9740000000002</v>
      </c>
      <c r="BL39" s="196">
        <v>7874.0159999999996</v>
      </c>
      <c r="BM39" s="196">
        <v>6233.5959999999995</v>
      </c>
      <c r="BN39" s="196">
        <v>6233.5959999999995</v>
      </c>
      <c r="BO39" s="196">
        <v>8530.1839999999993</v>
      </c>
      <c r="BP39" s="196">
        <v>8530.1839999999993</v>
      </c>
      <c r="BQ39" s="196">
        <v>6233.5959999999995</v>
      </c>
      <c r="BR39" s="196">
        <v>8530.1839999999993</v>
      </c>
      <c r="BS39" s="196">
        <v>7700</v>
      </c>
      <c r="BT39" s="196">
        <v>7500</v>
      </c>
      <c r="BU39" s="196">
        <v>7500</v>
      </c>
      <c r="BV39" s="196">
        <v>6500</v>
      </c>
      <c r="BW39" s="196">
        <v>7700</v>
      </c>
      <c r="BX39" s="196">
        <v>7500</v>
      </c>
      <c r="BY39" s="196">
        <v>9900</v>
      </c>
      <c r="BZ39" s="196">
        <v>8000</v>
      </c>
      <c r="CA39" s="196">
        <v>9050</v>
      </c>
      <c r="CB39" s="196">
        <v>7750</v>
      </c>
      <c r="CC39" s="196">
        <v>4921.26</v>
      </c>
      <c r="CD39" s="196">
        <v>5413.3860000000004</v>
      </c>
      <c r="CE39" s="196">
        <v>5741.47</v>
      </c>
      <c r="CF39" s="196">
        <v>6000</v>
      </c>
      <c r="CG39" s="196">
        <v>5741.47</v>
      </c>
      <c r="CH39" s="196">
        <v>5800</v>
      </c>
      <c r="CI39" s="196">
        <v>5910</v>
      </c>
      <c r="CJ39" s="196">
        <v>6725.7219999999998</v>
      </c>
      <c r="CK39" s="196">
        <v>8000</v>
      </c>
      <c r="CL39" s="196">
        <v>8500</v>
      </c>
      <c r="CM39" s="196">
        <v>5000</v>
      </c>
      <c r="CN39" s="196">
        <v>4750</v>
      </c>
      <c r="CO39" s="196">
        <v>5150</v>
      </c>
      <c r="CP39" s="196">
        <v>5750</v>
      </c>
      <c r="CQ39" s="196">
        <v>5400</v>
      </c>
      <c r="CR39" s="196">
        <v>6200</v>
      </c>
      <c r="CS39" s="196">
        <v>6500</v>
      </c>
      <c r="CT39" s="196">
        <v>7500</v>
      </c>
      <c r="CU39" s="196">
        <v>8000</v>
      </c>
      <c r="CV39" s="196">
        <v>4300</v>
      </c>
      <c r="CW39" s="196">
        <v>4100</v>
      </c>
      <c r="CX39" s="196">
        <v>6000</v>
      </c>
      <c r="CY39" s="196">
        <v>6000</v>
      </c>
      <c r="CZ39" s="196">
        <v>5200</v>
      </c>
      <c r="DA39" s="196">
        <v>8000</v>
      </c>
      <c r="DB39" s="196">
        <v>8000</v>
      </c>
      <c r="DC39" s="196">
        <v>7800</v>
      </c>
      <c r="DD39" s="196">
        <v>7800</v>
      </c>
      <c r="DE39" s="196">
        <v>5000</v>
      </c>
      <c r="DF39" s="196">
        <v>5900</v>
      </c>
      <c r="DG39" s="196">
        <v>5000</v>
      </c>
      <c r="DH39" s="196">
        <v>5850</v>
      </c>
      <c r="DI39" s="196">
        <v>5850</v>
      </c>
      <c r="DJ39" s="196">
        <v>6500</v>
      </c>
      <c r="DK39" s="196">
        <v>6100</v>
      </c>
      <c r="DL39" s="196">
        <v>7150</v>
      </c>
      <c r="DM39" s="196">
        <v>5790</v>
      </c>
      <c r="DN39" s="196">
        <v>6490</v>
      </c>
      <c r="DO39" s="196">
        <v>5900</v>
      </c>
      <c r="DP39" s="196">
        <v>5500</v>
      </c>
      <c r="DQ39" s="196">
        <v>6490</v>
      </c>
      <c r="DR39" s="196">
        <v>5900</v>
      </c>
      <c r="DS39" s="196">
        <v>5500</v>
      </c>
      <c r="DT39" s="196">
        <v>5500</v>
      </c>
      <c r="DU39" s="196">
        <v>7250</v>
      </c>
      <c r="DV39" s="196">
        <v>8050</v>
      </c>
      <c r="DW39" s="196">
        <v>8800</v>
      </c>
      <c r="DX39" s="196">
        <v>6450</v>
      </c>
      <c r="DY39" s="196">
        <v>7250</v>
      </c>
      <c r="DZ39" s="196">
        <v>7250</v>
      </c>
      <c r="EA39" s="196">
        <v>8800</v>
      </c>
      <c r="EB39" s="196">
        <v>9000</v>
      </c>
      <c r="EC39" s="196">
        <v>9000</v>
      </c>
      <c r="ED39" s="170">
        <v>4866</v>
      </c>
      <c r="EE39" s="170">
        <v>5191</v>
      </c>
      <c r="EF39" s="170">
        <v>5394</v>
      </c>
      <c r="EG39" s="170">
        <v>5289</v>
      </c>
      <c r="EH39" s="170">
        <v>5657</v>
      </c>
      <c r="EI39" s="170">
        <v>7363</v>
      </c>
      <c r="EJ39" s="170">
        <v>5243</v>
      </c>
      <c r="EK39" s="170">
        <v>6004</v>
      </c>
      <c r="EL39" s="170">
        <v>6890</v>
      </c>
      <c r="EM39" s="170">
        <v>5716</v>
      </c>
      <c r="EN39" s="170">
        <v>6536</v>
      </c>
      <c r="EO39" s="170">
        <v>7149</v>
      </c>
      <c r="EP39" s="196">
        <v>5381</v>
      </c>
      <c r="EQ39" s="196">
        <v>5774</v>
      </c>
      <c r="ER39" s="196">
        <v>6070</v>
      </c>
      <c r="ES39" s="196">
        <v>6660</v>
      </c>
      <c r="ET39" s="196">
        <v>7448</v>
      </c>
      <c r="EU39" s="196">
        <v>6791</v>
      </c>
      <c r="EV39" s="216">
        <v>5676</v>
      </c>
      <c r="EW39" s="196">
        <v>5299</v>
      </c>
      <c r="EX39" s="196">
        <v>5299</v>
      </c>
      <c r="EY39" s="170">
        <v>5922</v>
      </c>
      <c r="EZ39" s="196">
        <v>5200</v>
      </c>
      <c r="FA39" s="196">
        <v>6000</v>
      </c>
      <c r="FB39" s="196">
        <v>7000</v>
      </c>
      <c r="FC39" s="196">
        <v>5500</v>
      </c>
      <c r="FD39" s="196">
        <v>6000</v>
      </c>
      <c r="FE39" s="196">
        <v>5270</v>
      </c>
      <c r="FF39" s="196">
        <v>6105</v>
      </c>
      <c r="FG39" s="196">
        <v>6105</v>
      </c>
      <c r="FH39" s="196">
        <v>6736</v>
      </c>
    </row>
    <row r="40" spans="1:164" s="23" customFormat="1" ht="12.75">
      <c r="A40" s="5" t="s">
        <v>2640</v>
      </c>
      <c r="B40" s="196">
        <v>5250</v>
      </c>
      <c r="C40" s="196">
        <v>5250</v>
      </c>
      <c r="D40" s="196">
        <v>4850</v>
      </c>
      <c r="E40" s="196">
        <v>4920</v>
      </c>
      <c r="F40" s="196">
        <v>4920</v>
      </c>
      <c r="G40" s="196">
        <v>5200</v>
      </c>
      <c r="H40" s="196">
        <v>4690</v>
      </c>
      <c r="I40" s="196">
        <v>4690</v>
      </c>
      <c r="J40" s="196">
        <v>5000</v>
      </c>
      <c r="K40" s="196">
        <v>4450</v>
      </c>
      <c r="L40" s="196">
        <v>4680</v>
      </c>
      <c r="M40" s="196">
        <v>4720</v>
      </c>
      <c r="N40" s="196">
        <v>4880</v>
      </c>
      <c r="O40" s="216">
        <v>6400</v>
      </c>
      <c r="P40" s="216">
        <v>6400</v>
      </c>
      <c r="Q40" s="216">
        <v>6800</v>
      </c>
      <c r="R40" s="216">
        <v>6800</v>
      </c>
      <c r="S40" s="216">
        <v>5620</v>
      </c>
      <c r="T40" s="216">
        <v>6140</v>
      </c>
      <c r="U40" s="216">
        <v>6140</v>
      </c>
      <c r="V40" s="196">
        <v>6250</v>
      </c>
      <c r="W40" s="196">
        <v>6400</v>
      </c>
      <c r="X40" s="196">
        <v>6200</v>
      </c>
      <c r="Y40" s="196">
        <v>6900</v>
      </c>
      <c r="Z40" s="196">
        <v>6200</v>
      </c>
      <c r="AA40" s="196">
        <v>6350</v>
      </c>
      <c r="AB40" s="196">
        <v>6528.8710000000001</v>
      </c>
      <c r="AC40" s="196">
        <v>7217.848</v>
      </c>
      <c r="AD40" s="196">
        <v>7217.848</v>
      </c>
      <c r="AE40" s="196">
        <v>6069.5540000000001</v>
      </c>
      <c r="AF40" s="196">
        <v>6233.5959999999995</v>
      </c>
      <c r="AG40" s="196">
        <v>4757.2179999999998</v>
      </c>
      <c r="AH40" s="196">
        <v>5000</v>
      </c>
      <c r="AI40" s="196">
        <v>4593.1760000000004</v>
      </c>
      <c r="AJ40" s="196">
        <v>4757.2179999999998</v>
      </c>
      <c r="AK40" s="196">
        <v>4593.1760000000004</v>
      </c>
      <c r="AL40" s="196">
        <v>4757.2179999999998</v>
      </c>
      <c r="AM40" s="196">
        <v>5150.9189999999999</v>
      </c>
      <c r="AN40" s="196">
        <v>4429.134</v>
      </c>
      <c r="AO40" s="196">
        <v>4429.134</v>
      </c>
      <c r="AP40" s="196">
        <v>4429.134</v>
      </c>
      <c r="AQ40" s="196">
        <v>4757.2179999999998</v>
      </c>
      <c r="AR40" s="196">
        <v>4527.5590000000002</v>
      </c>
      <c r="AS40" s="196">
        <v>4576.7719999999999</v>
      </c>
      <c r="AT40" s="196">
        <v>4101.05</v>
      </c>
      <c r="AU40" s="196">
        <v>4265.0919999999996</v>
      </c>
      <c r="AV40" s="196">
        <v>4500</v>
      </c>
      <c r="AW40" s="196">
        <v>4500</v>
      </c>
      <c r="AX40" s="196">
        <v>4101.05</v>
      </c>
      <c r="AY40" s="196">
        <v>4500</v>
      </c>
      <c r="AZ40" s="196">
        <v>4593.1760000000004</v>
      </c>
      <c r="BA40" s="196">
        <v>4593.1760000000004</v>
      </c>
      <c r="BB40" s="196">
        <v>4921.26</v>
      </c>
      <c r="BC40" s="196">
        <v>5085.3019999999997</v>
      </c>
      <c r="BD40" s="196">
        <v>4429.134</v>
      </c>
      <c r="BE40" s="196">
        <v>4429.134</v>
      </c>
      <c r="BF40" s="196">
        <v>4757.2179999999998</v>
      </c>
      <c r="BG40" s="196">
        <v>5577.4279999999999</v>
      </c>
      <c r="BH40" s="196">
        <v>5905.5119999999997</v>
      </c>
      <c r="BI40" s="196">
        <v>5577.4279999999999</v>
      </c>
      <c r="BJ40" s="196">
        <v>4970.4719999999998</v>
      </c>
      <c r="BK40" s="196">
        <v>5741.47</v>
      </c>
      <c r="BL40" s="196">
        <v>4921.26</v>
      </c>
      <c r="BM40" s="196">
        <v>5000</v>
      </c>
      <c r="BN40" s="196">
        <v>5000</v>
      </c>
      <c r="BO40" s="196">
        <v>5249.3440000000001</v>
      </c>
      <c r="BP40" s="196">
        <v>5380.5770000000002</v>
      </c>
      <c r="BQ40" s="196">
        <v>5000</v>
      </c>
      <c r="BR40" s="196">
        <v>5249.3440000000001</v>
      </c>
      <c r="BS40" s="196">
        <v>4757.2179999999998</v>
      </c>
      <c r="BT40" s="196">
        <v>5052.4930000000004</v>
      </c>
      <c r="BU40" s="196">
        <v>4625.9840000000004</v>
      </c>
      <c r="BV40" s="196">
        <v>4921.26</v>
      </c>
      <c r="BW40" s="196">
        <v>4921.26</v>
      </c>
      <c r="BX40" s="196">
        <v>4921.26</v>
      </c>
      <c r="BY40" s="196">
        <v>5610.2359999999999</v>
      </c>
      <c r="BZ40" s="196">
        <v>5610.2359999999999</v>
      </c>
      <c r="CA40" s="196">
        <v>5577.4279999999999</v>
      </c>
      <c r="CB40" s="196">
        <v>5577.4279999999999</v>
      </c>
      <c r="CC40" s="196">
        <v>4593.1760000000004</v>
      </c>
      <c r="CD40" s="196">
        <v>4757.2179999999998</v>
      </c>
      <c r="CE40" s="196">
        <v>4757.2179999999998</v>
      </c>
      <c r="CF40" s="196">
        <v>4855.643</v>
      </c>
      <c r="CG40" s="196">
        <v>4757.2179999999998</v>
      </c>
      <c r="CH40" s="196">
        <v>4855.643</v>
      </c>
      <c r="CI40" s="196">
        <v>4921.26</v>
      </c>
      <c r="CJ40" s="196">
        <v>4921.26</v>
      </c>
      <c r="CK40" s="196">
        <v>5000</v>
      </c>
      <c r="CL40" s="196">
        <v>5000</v>
      </c>
      <c r="CM40" s="196">
        <v>4822.835</v>
      </c>
      <c r="CN40" s="196">
        <v>4700</v>
      </c>
      <c r="CO40" s="196">
        <v>4950</v>
      </c>
      <c r="CP40" s="196">
        <v>4950</v>
      </c>
      <c r="CQ40" s="196">
        <v>4750</v>
      </c>
      <c r="CR40" s="196">
        <v>5040</v>
      </c>
      <c r="CS40" s="196">
        <v>4900</v>
      </c>
      <c r="CT40" s="196">
        <v>4900</v>
      </c>
      <c r="CU40" s="196">
        <v>5100</v>
      </c>
      <c r="CV40" s="196">
        <v>4265.0919999999996</v>
      </c>
      <c r="CW40" s="196">
        <v>4101.05</v>
      </c>
      <c r="CX40" s="196">
        <v>4429.134</v>
      </c>
      <c r="CY40" s="196">
        <v>4265.0919999999996</v>
      </c>
      <c r="CZ40" s="196">
        <v>4350</v>
      </c>
      <c r="DA40" s="196">
        <v>4500</v>
      </c>
      <c r="DB40" s="196">
        <v>4500</v>
      </c>
      <c r="DC40" s="196">
        <v>4290</v>
      </c>
      <c r="DD40" s="196">
        <v>4290</v>
      </c>
      <c r="DE40" s="196">
        <v>4480</v>
      </c>
      <c r="DF40" s="196">
        <v>4480</v>
      </c>
      <c r="DG40" s="196">
        <v>4500</v>
      </c>
      <c r="DH40" s="196">
        <v>4800</v>
      </c>
      <c r="DI40" s="196">
        <v>4800</v>
      </c>
      <c r="DJ40" s="196">
        <v>4800</v>
      </c>
      <c r="DK40" s="196">
        <v>4750</v>
      </c>
      <c r="DL40" s="196">
        <v>4750</v>
      </c>
      <c r="DM40" s="196">
        <v>4500</v>
      </c>
      <c r="DN40" s="196">
        <v>4550</v>
      </c>
      <c r="DO40" s="196">
        <v>4550</v>
      </c>
      <c r="DP40" s="196">
        <v>4700</v>
      </c>
      <c r="DQ40" s="196">
        <v>4550</v>
      </c>
      <c r="DR40" s="196">
        <v>4700</v>
      </c>
      <c r="DS40" s="196">
        <v>5250</v>
      </c>
      <c r="DT40" s="196">
        <v>5250</v>
      </c>
      <c r="DU40" s="196">
        <v>5450</v>
      </c>
      <c r="DV40" s="196">
        <v>5600</v>
      </c>
      <c r="DW40" s="196">
        <v>5600</v>
      </c>
      <c r="DX40" s="196">
        <v>5200</v>
      </c>
      <c r="DY40" s="196">
        <v>5200</v>
      </c>
      <c r="DZ40" s="196">
        <v>5250</v>
      </c>
      <c r="EA40" s="196">
        <v>5200</v>
      </c>
      <c r="EB40" s="196">
        <v>5200</v>
      </c>
      <c r="EC40" s="196">
        <v>5250</v>
      </c>
      <c r="ED40" s="170">
        <v>4029</v>
      </c>
      <c r="EE40" s="170">
        <v>4029</v>
      </c>
      <c r="EF40" s="170">
        <v>4072</v>
      </c>
      <c r="EG40" s="170">
        <v>4131</v>
      </c>
      <c r="EH40" s="170">
        <v>4131</v>
      </c>
      <c r="EI40" s="170">
        <v>4138</v>
      </c>
      <c r="EJ40" s="170">
        <v>4157</v>
      </c>
      <c r="EK40" s="170">
        <v>4157</v>
      </c>
      <c r="EL40" s="170">
        <v>4082</v>
      </c>
      <c r="EM40" s="170">
        <v>4134</v>
      </c>
      <c r="EN40" s="170">
        <v>4134</v>
      </c>
      <c r="EO40" s="170">
        <v>4184</v>
      </c>
      <c r="EP40" s="196">
        <v>4462</v>
      </c>
      <c r="EQ40" s="196">
        <v>4462</v>
      </c>
      <c r="ER40" s="196">
        <v>4528</v>
      </c>
      <c r="ES40" s="196">
        <v>4593</v>
      </c>
      <c r="ET40" s="196">
        <v>4593</v>
      </c>
      <c r="EU40" s="196">
        <v>4692</v>
      </c>
      <c r="EV40" s="216">
        <v>4413</v>
      </c>
      <c r="EW40" s="196">
        <v>3987</v>
      </c>
      <c r="EX40" s="196">
        <v>3987</v>
      </c>
      <c r="EY40" s="170">
        <v>4232</v>
      </c>
      <c r="EZ40" s="196">
        <v>4700</v>
      </c>
      <c r="FA40" s="196">
        <v>4900</v>
      </c>
      <c r="FB40" s="196">
        <v>4900</v>
      </c>
      <c r="FC40" s="196">
        <v>4900</v>
      </c>
      <c r="FD40" s="196">
        <v>4900</v>
      </c>
      <c r="FE40" s="196">
        <v>5090</v>
      </c>
      <c r="FF40" s="196">
        <v>5350</v>
      </c>
      <c r="FG40" s="196">
        <v>5350</v>
      </c>
      <c r="FH40" s="196">
        <v>5732</v>
      </c>
    </row>
    <row r="41" spans="1:164" s="23" customFormat="1" ht="12.75">
      <c r="A41" s="5" t="s">
        <v>2641</v>
      </c>
      <c r="B41" s="170">
        <v>9.6</v>
      </c>
      <c r="C41" s="170">
        <v>9.6</v>
      </c>
      <c r="D41" s="170">
        <v>9.6</v>
      </c>
      <c r="E41" s="170">
        <v>9.6</v>
      </c>
      <c r="F41" s="170">
        <v>9.6</v>
      </c>
      <c r="G41" s="170">
        <v>9.6</v>
      </c>
      <c r="H41" s="170">
        <v>9.6</v>
      </c>
      <c r="I41" s="170">
        <v>9.6</v>
      </c>
      <c r="J41" s="170">
        <v>8.7100000000000009</v>
      </c>
      <c r="K41" s="170">
        <v>8.7100000000000009</v>
      </c>
      <c r="L41" s="170">
        <v>8.7100000000000009</v>
      </c>
      <c r="M41" s="170">
        <v>8.7100000000000009</v>
      </c>
      <c r="N41" s="170">
        <v>8.7100000000000009</v>
      </c>
      <c r="O41" s="196">
        <v>7.31</v>
      </c>
      <c r="P41" s="196">
        <v>7.31</v>
      </c>
      <c r="Q41" s="196">
        <v>7.31</v>
      </c>
      <c r="R41" s="196">
        <v>7.31</v>
      </c>
      <c r="S41" s="196">
        <v>7.31</v>
      </c>
      <c r="T41" s="196">
        <v>7.03</v>
      </c>
      <c r="U41" s="196">
        <v>7.53</v>
      </c>
      <c r="V41" s="196">
        <v>7.53</v>
      </c>
      <c r="W41" s="196">
        <v>7.03</v>
      </c>
      <c r="X41" s="196">
        <v>7.53</v>
      </c>
      <c r="Y41" s="196">
        <v>7.53</v>
      </c>
      <c r="Z41" s="214">
        <f>(130.8333^2)/Z33</f>
        <v>7.0338124717812969</v>
      </c>
      <c r="AA41" s="214">
        <f>(130.8333^2)/AA33</f>
        <v>6.7884247343459378</v>
      </c>
      <c r="AB41" s="214">
        <f>(130.8333^2)/AB33</f>
        <v>6.7884247343459378</v>
      </c>
      <c r="AC41" s="214">
        <f>(142.41667^2)/AC33</f>
        <v>6.6500025881602953</v>
      </c>
      <c r="AD41" s="214">
        <f>(142.41667^2)/AD33</f>
        <v>6.6500025881602953</v>
      </c>
      <c r="AE41" s="170">
        <v>7.056</v>
      </c>
      <c r="AF41" s="170">
        <v>7.056</v>
      </c>
      <c r="AG41" s="170">
        <v>8.6999999999999993</v>
      </c>
      <c r="AH41" s="170">
        <v>8.6999999999999993</v>
      </c>
      <c r="AI41" s="214">
        <f>(108^2)/AI33</f>
        <v>6.8611764705882354</v>
      </c>
      <c r="AJ41" s="214">
        <f>(108^2)/AJ33</f>
        <v>6.8611764705882354</v>
      </c>
      <c r="AK41" s="214">
        <f>(108^2)/AK33</f>
        <v>6.8611764705882354</v>
      </c>
      <c r="AL41" s="214">
        <f>(108^2)/AL33</f>
        <v>6.8611764705882354</v>
      </c>
      <c r="AM41" s="170">
        <v>7.07</v>
      </c>
      <c r="AN41" s="170">
        <v>7.07</v>
      </c>
      <c r="AO41" s="170">
        <v>7.07</v>
      </c>
      <c r="AP41" s="170">
        <v>7.07</v>
      </c>
      <c r="AQ41" s="214">
        <f>(93^2)/AQ33</f>
        <v>7.8770491803278686</v>
      </c>
      <c r="AR41" s="214">
        <f t="shared" ref="AR41:AY41" si="42">(93^2)/AR33</f>
        <v>7.8770491803278686</v>
      </c>
      <c r="AS41" s="214">
        <f t="shared" si="42"/>
        <v>7.8770491803278686</v>
      </c>
      <c r="AT41" s="214">
        <f t="shared" si="42"/>
        <v>7.8770491803278686</v>
      </c>
      <c r="AU41" s="214">
        <f t="shared" si="42"/>
        <v>7.8770491803278686</v>
      </c>
      <c r="AV41" s="214">
        <f t="shared" si="42"/>
        <v>7.8770491803278686</v>
      </c>
      <c r="AW41" s="214">
        <f t="shared" si="42"/>
        <v>7.8770491803278686</v>
      </c>
      <c r="AX41" s="214">
        <f t="shared" si="42"/>
        <v>7.8770491803278686</v>
      </c>
      <c r="AY41" s="214">
        <f t="shared" si="42"/>
        <v>7.8770491803278686</v>
      </c>
      <c r="AZ41" s="214">
        <f>(94.75^2)/AZ33</f>
        <v>7.9167217813051147</v>
      </c>
      <c r="BA41" s="214">
        <f t="shared" ref="BA41:BD41" si="43">(94.75^2)/BA33</f>
        <v>7.9167217813051147</v>
      </c>
      <c r="BB41" s="214">
        <f t="shared" si="43"/>
        <v>7.9167217813051147</v>
      </c>
      <c r="BC41" s="214">
        <f t="shared" si="43"/>
        <v>7.9167217813051147</v>
      </c>
      <c r="BD41" s="214">
        <f t="shared" si="43"/>
        <v>7.9167217813051147</v>
      </c>
      <c r="BE41" s="170">
        <v>9.4</v>
      </c>
      <c r="BF41" s="170">
        <v>9.4</v>
      </c>
      <c r="BG41" s="170">
        <v>9.4</v>
      </c>
      <c r="BH41" s="170">
        <v>9.4</v>
      </c>
      <c r="BI41" s="170">
        <v>9.4</v>
      </c>
      <c r="BJ41" s="170">
        <v>9.4</v>
      </c>
      <c r="BK41" s="170">
        <v>9.4</v>
      </c>
      <c r="BL41" s="214">
        <f>(117.833^2)/BL33</f>
        <v>10.134756123357663</v>
      </c>
      <c r="BM41" s="214">
        <f t="shared" ref="BM41:BR41" si="44">(117.833^2)/BM33</f>
        <v>10.134756123357663</v>
      </c>
      <c r="BN41" s="214">
        <f t="shared" si="44"/>
        <v>10.134756123357663</v>
      </c>
      <c r="BO41" s="214">
        <f t="shared" si="44"/>
        <v>10.134756123357663</v>
      </c>
      <c r="BP41" s="214">
        <f t="shared" si="44"/>
        <v>10.134756123357663</v>
      </c>
      <c r="BQ41" s="214">
        <f t="shared" si="44"/>
        <v>10.134756123357663</v>
      </c>
      <c r="BR41" s="214">
        <f t="shared" si="44"/>
        <v>10.134756123357663</v>
      </c>
      <c r="BS41" s="214">
        <f>(124.833^2)/BS33</f>
        <v>7.8150841970912737</v>
      </c>
      <c r="BT41" s="214">
        <f t="shared" ref="BT41:CB41" si="45">(124.833^2)/BT33</f>
        <v>7.8150841970912737</v>
      </c>
      <c r="BU41" s="214">
        <f t="shared" si="45"/>
        <v>7.8150841970912737</v>
      </c>
      <c r="BV41" s="214">
        <f t="shared" si="45"/>
        <v>7.8150841970912737</v>
      </c>
      <c r="BW41" s="214">
        <f t="shared" si="45"/>
        <v>7.8150841970912737</v>
      </c>
      <c r="BX41" s="214">
        <f t="shared" si="45"/>
        <v>7.8150841970912737</v>
      </c>
      <c r="BY41" s="214">
        <f t="shared" si="45"/>
        <v>7.8150841970912737</v>
      </c>
      <c r="BZ41" s="214">
        <f t="shared" si="45"/>
        <v>7.8150841970912737</v>
      </c>
      <c r="CA41" s="214">
        <f t="shared" si="45"/>
        <v>7.8150841970912737</v>
      </c>
      <c r="CB41" s="214">
        <f t="shared" si="45"/>
        <v>7.8150841970912737</v>
      </c>
      <c r="CC41" s="214">
        <f>(156.083^2)/CC33</f>
        <v>7.9875091439344263</v>
      </c>
      <c r="CD41" s="214">
        <f t="shared" ref="CD41:CL41" si="46">(156.083^2)/CD33</f>
        <v>7.9875091439344263</v>
      </c>
      <c r="CE41" s="214">
        <f t="shared" si="46"/>
        <v>7.9875091439344263</v>
      </c>
      <c r="CF41" s="214">
        <f t="shared" si="46"/>
        <v>7.9875091439344263</v>
      </c>
      <c r="CG41" s="214">
        <f t="shared" si="46"/>
        <v>7.9875091439344263</v>
      </c>
      <c r="CH41" s="214">
        <f t="shared" si="46"/>
        <v>7.9875091439344263</v>
      </c>
      <c r="CI41" s="214">
        <f t="shared" si="46"/>
        <v>7.9875091439344263</v>
      </c>
      <c r="CJ41" s="214">
        <f t="shared" si="46"/>
        <v>7.9875091439344263</v>
      </c>
      <c r="CK41" s="214">
        <f t="shared" si="46"/>
        <v>7.9875091439344263</v>
      </c>
      <c r="CL41" s="214">
        <f t="shared" si="46"/>
        <v>7.9875091439344263</v>
      </c>
      <c r="CM41" s="170">
        <v>8.8000000000000007</v>
      </c>
      <c r="CN41" s="170">
        <v>8.8000000000000007</v>
      </c>
      <c r="CO41" s="170">
        <v>8.8000000000000007</v>
      </c>
      <c r="CP41" s="170">
        <v>8.8000000000000007</v>
      </c>
      <c r="CQ41" s="170">
        <v>8.8000000000000007</v>
      </c>
      <c r="CR41" s="170">
        <v>8.8000000000000007</v>
      </c>
      <c r="CS41" s="170">
        <v>8.8000000000000007</v>
      </c>
      <c r="CT41" s="170">
        <v>8.8000000000000007</v>
      </c>
      <c r="CU41" s="170">
        <v>8.8000000000000007</v>
      </c>
      <c r="CV41" s="170">
        <v>9.5</v>
      </c>
      <c r="CW41" s="170">
        <v>9.5</v>
      </c>
      <c r="CX41" s="170">
        <v>9.5</v>
      </c>
      <c r="CY41" s="170">
        <v>9.5</v>
      </c>
      <c r="CZ41" s="170">
        <v>9.5</v>
      </c>
      <c r="DA41" s="170">
        <v>9.5</v>
      </c>
      <c r="DB41" s="170">
        <v>9.5</v>
      </c>
      <c r="DC41" s="170">
        <v>9.5</v>
      </c>
      <c r="DD41" s="170">
        <v>9.5</v>
      </c>
      <c r="DE41" s="170">
        <v>9.5</v>
      </c>
      <c r="DF41" s="170">
        <v>9.5</v>
      </c>
      <c r="DG41" s="170">
        <v>9.5</v>
      </c>
      <c r="DH41" s="170">
        <v>9.5</v>
      </c>
      <c r="DI41" s="170">
        <v>9.5</v>
      </c>
      <c r="DJ41" s="170">
        <v>9.5</v>
      </c>
      <c r="DK41" s="170">
        <v>9.5</v>
      </c>
      <c r="DL41" s="170">
        <v>9.5</v>
      </c>
      <c r="DM41" s="170">
        <v>9.5</v>
      </c>
      <c r="DN41" s="170">
        <v>9.5</v>
      </c>
      <c r="DO41" s="170">
        <v>9.5</v>
      </c>
      <c r="DP41" s="170">
        <v>9.5</v>
      </c>
      <c r="DQ41" s="170">
        <v>9.5</v>
      </c>
      <c r="DR41" s="170">
        <v>9.5</v>
      </c>
      <c r="DS41" s="170">
        <v>9.5</v>
      </c>
      <c r="DT41" s="170">
        <v>9.5</v>
      </c>
      <c r="DU41" s="170">
        <v>9.5</v>
      </c>
      <c r="DV41" s="170">
        <v>9.5</v>
      </c>
      <c r="DW41" s="170">
        <v>9.5</v>
      </c>
      <c r="DX41" s="170">
        <v>9.5</v>
      </c>
      <c r="DY41" s="170">
        <v>9.5</v>
      </c>
      <c r="DZ41" s="170">
        <v>9.5</v>
      </c>
      <c r="EA41" s="170">
        <v>9.5</v>
      </c>
      <c r="EB41" s="170">
        <v>9.5</v>
      </c>
      <c r="EC41" s="170">
        <v>9.5</v>
      </c>
      <c r="ED41" s="214">
        <f>(85.29^2)/ED33</f>
        <v>9.2927747828308647</v>
      </c>
      <c r="EE41" s="214">
        <f t="shared" ref="EE41:EI41" si="47">(85.29^2)/EE33</f>
        <v>9.2927747828308647</v>
      </c>
      <c r="EF41" s="214">
        <f t="shared" si="47"/>
        <v>9.2927747828308647</v>
      </c>
      <c r="EG41" s="214">
        <f t="shared" si="47"/>
        <v>9.2927747828308647</v>
      </c>
      <c r="EH41" s="214">
        <f t="shared" si="47"/>
        <v>9.2927747828308647</v>
      </c>
      <c r="EI41" s="214">
        <f t="shared" si="47"/>
        <v>9.2927747828308647</v>
      </c>
      <c r="EJ41" s="214">
        <f>(94.229^2)/EJ33</f>
        <v>8.914763494979919</v>
      </c>
      <c r="EK41" s="214">
        <f t="shared" ref="EK41:EO41" si="48">(94.229^2)/EK33</f>
        <v>8.914763494979919</v>
      </c>
      <c r="EL41" s="214">
        <f t="shared" si="48"/>
        <v>8.914763494979919</v>
      </c>
      <c r="EM41" s="214">
        <f t="shared" si="48"/>
        <v>8.914763494979919</v>
      </c>
      <c r="EN41" s="214">
        <f t="shared" si="48"/>
        <v>8.914763494979919</v>
      </c>
      <c r="EO41" s="214">
        <f t="shared" si="48"/>
        <v>8.914763494979919</v>
      </c>
      <c r="EP41" s="170">
        <v>7.8</v>
      </c>
      <c r="EQ41" s="170">
        <v>7.8</v>
      </c>
      <c r="ER41" s="170">
        <v>7.8</v>
      </c>
      <c r="ES41" s="170">
        <v>7.8</v>
      </c>
      <c r="ET41" s="170">
        <v>7.8</v>
      </c>
      <c r="EU41" s="170">
        <v>7.8</v>
      </c>
      <c r="EV41" s="170">
        <v>11</v>
      </c>
      <c r="EW41" s="170">
        <v>11</v>
      </c>
      <c r="EX41" s="170">
        <v>11</v>
      </c>
      <c r="EY41" s="170">
        <v>11.5</v>
      </c>
      <c r="EZ41" s="170">
        <v>8.9</v>
      </c>
      <c r="FA41" s="170">
        <v>8.9</v>
      </c>
      <c r="FB41" s="170">
        <v>8.9</v>
      </c>
      <c r="FC41" s="170">
        <v>8.9</v>
      </c>
      <c r="FD41" s="170">
        <v>8.9</v>
      </c>
      <c r="FE41" s="170">
        <v>7.4</v>
      </c>
      <c r="FF41" s="170">
        <v>9</v>
      </c>
      <c r="FG41" s="170">
        <v>9</v>
      </c>
      <c r="FH41" s="214">
        <f t="shared" ref="FH41" si="49">(94.229^2)/FH33</f>
        <v>10.65918900480192</v>
      </c>
    </row>
    <row r="42" spans="1:164">
      <c r="A42" s="217" t="s">
        <v>2649</v>
      </c>
      <c r="B42" s="217">
        <v>3.1431752399146526E-3</v>
      </c>
      <c r="C42" s="217">
        <v>3.2688625263981117E-3</v>
      </c>
      <c r="D42" s="217">
        <v>2.6967750061093147E-3</v>
      </c>
      <c r="E42" s="217">
        <v>2.7353683712488873E-3</v>
      </c>
      <c r="F42" s="217">
        <v>2.7353683712488873E-3</v>
      </c>
      <c r="G42" s="217">
        <v>2.6600454701682162E-3</v>
      </c>
      <c r="H42" s="217">
        <v>2.9209769621410735E-3</v>
      </c>
      <c r="I42" s="217">
        <v>2.7353683712488873E-3</v>
      </c>
      <c r="J42" s="217">
        <v>3.0273984589039653E-3</v>
      </c>
      <c r="K42" s="217">
        <v>2.9420093032347635E-3</v>
      </c>
      <c r="L42" s="217">
        <v>2.5424634607105171E-3</v>
      </c>
      <c r="M42" s="217">
        <v>2.6666950296350017E-3</v>
      </c>
      <c r="N42" s="217">
        <v>2.5934772705299728E-3</v>
      </c>
      <c r="O42" s="217">
        <v>1.724673990338511E-3</v>
      </c>
      <c r="P42" s="217">
        <v>2.4870255588480546E-3</v>
      </c>
      <c r="Q42" s="217">
        <v>2.1792195069329978E-3</v>
      </c>
      <c r="R42" s="217">
        <v>2.1792186668356359E-3</v>
      </c>
      <c r="S42" s="217">
        <v>2.1725136018393557E-3</v>
      </c>
      <c r="T42" s="217">
        <v>2.1725136018393557E-3</v>
      </c>
      <c r="U42" s="217">
        <v>2.0173340591012694E-3</v>
      </c>
      <c r="V42" s="217">
        <v>1.9889209030680244E-3</v>
      </c>
      <c r="W42" s="217">
        <v>2.8966761637477596E-3</v>
      </c>
      <c r="X42" s="217">
        <v>2.8102082183790148E-3</v>
      </c>
      <c r="Y42" s="217">
        <v>2.6518866282962943E-3</v>
      </c>
      <c r="Z42" s="217">
        <v>2.053025384420083E-3</v>
      </c>
      <c r="AA42" s="217">
        <v>2.96548022600971E-3</v>
      </c>
      <c r="AB42" s="217">
        <v>2.69174358950477E-3</v>
      </c>
      <c r="AC42" s="217">
        <v>2.1974283698390669E-3</v>
      </c>
      <c r="AD42" s="217">
        <v>2.1974275228869144E-3</v>
      </c>
      <c r="AE42" s="217">
        <v>2.1567135352825455E-3</v>
      </c>
      <c r="AF42" s="217">
        <v>2.2649227724967583E-3</v>
      </c>
      <c r="AG42" s="217">
        <v>3.1100067256072447E-3</v>
      </c>
      <c r="AH42" s="217">
        <v>3.4738721667567584E-3</v>
      </c>
      <c r="AI42" s="217">
        <v>2.5733471077192772E-3</v>
      </c>
      <c r="AJ42" s="217">
        <v>2.5227848759674354E-3</v>
      </c>
      <c r="AK42" s="217">
        <v>2.5733471077192772E-3</v>
      </c>
      <c r="AL42" s="217">
        <v>2.5227848759674354E-3</v>
      </c>
      <c r="AM42" s="217">
        <v>2.4649375798199633E-3</v>
      </c>
      <c r="AN42" s="217">
        <v>2.4653420738220211E-3</v>
      </c>
      <c r="AO42" s="217">
        <v>2.4683757225418615E-3</v>
      </c>
      <c r="AP42" s="217">
        <v>2.4416088325976927E-3</v>
      </c>
      <c r="AQ42" s="217">
        <v>2.6658818495336116E-3</v>
      </c>
      <c r="AR42" s="217">
        <v>2.585397863822616E-3</v>
      </c>
      <c r="AS42" s="217">
        <v>2.4622719294648365E-3</v>
      </c>
      <c r="AT42" s="217">
        <v>2.6320843671351363E-3</v>
      </c>
      <c r="AU42" s="217">
        <v>2.5983587711587374E-3</v>
      </c>
      <c r="AV42" s="217">
        <v>2.5205958917457372E-3</v>
      </c>
      <c r="AW42" s="217">
        <v>2.4497563239755812E-3</v>
      </c>
      <c r="AX42" s="217">
        <v>2.7169897155483696E-3</v>
      </c>
      <c r="AY42" s="217">
        <v>2.4497563239755812E-3</v>
      </c>
      <c r="AZ42" s="217">
        <v>3.1664985838026653E-3</v>
      </c>
      <c r="BA42" s="217">
        <v>3.1639051645206435E-3</v>
      </c>
      <c r="BB42" s="217">
        <v>3.1296084991273743E-3</v>
      </c>
      <c r="BC42" s="217">
        <v>3.2344696561834021E-3</v>
      </c>
      <c r="BD42" s="217">
        <v>3.413218170951761E-3</v>
      </c>
      <c r="BE42" s="217">
        <v>2.926197884145376E-3</v>
      </c>
      <c r="BF42" s="217">
        <v>2.615097031997271E-3</v>
      </c>
      <c r="BG42" s="217">
        <v>3.0523424159954473E-3</v>
      </c>
      <c r="BH42" s="217">
        <v>2.9611268607592387E-3</v>
      </c>
      <c r="BI42" s="217">
        <v>2.7481694641067786E-3</v>
      </c>
      <c r="BJ42" s="217">
        <v>2.36277138898794E-3</v>
      </c>
      <c r="BK42" s="217">
        <v>2.7247221411328261E-3</v>
      </c>
      <c r="BL42" s="217">
        <v>3.1066824440197345E-3</v>
      </c>
      <c r="BM42" s="217">
        <v>3.1559459853759942E-3</v>
      </c>
      <c r="BN42" s="217">
        <v>3.1559459853759942E-3</v>
      </c>
      <c r="BO42" s="217">
        <v>2.9533256331293789E-3</v>
      </c>
      <c r="BP42" s="217">
        <v>2.9055868102797464E-3</v>
      </c>
      <c r="BQ42" s="217">
        <v>3.1559459853759942E-3</v>
      </c>
      <c r="BR42" s="217">
        <v>2.9533256331293789E-3</v>
      </c>
      <c r="BS42" s="217">
        <v>2.944299118027426E-3</v>
      </c>
      <c r="BT42" s="217">
        <v>3.1462561171426711E-3</v>
      </c>
      <c r="BU42" s="217">
        <v>3.0011703631052126E-3</v>
      </c>
      <c r="BV42" s="217">
        <v>3.047021184221602E-3</v>
      </c>
      <c r="BW42" s="217">
        <v>2.944299118027426E-3</v>
      </c>
      <c r="BX42" s="217">
        <v>3.1192843549428112E-3</v>
      </c>
      <c r="BY42" s="217">
        <v>2.971050216230836E-3</v>
      </c>
      <c r="BZ42" s="217">
        <v>3.1235976159486038E-3</v>
      </c>
      <c r="CA42" s="217">
        <v>2.8773413900511236E-3</v>
      </c>
      <c r="CB42" s="217">
        <v>3.0901820850641015E-3</v>
      </c>
      <c r="CC42" s="217">
        <v>3.3384347175283782E-3</v>
      </c>
      <c r="CD42" s="217">
        <v>3.0681667866400164E-3</v>
      </c>
      <c r="CE42" s="217">
        <v>3.1634272551015448E-3</v>
      </c>
      <c r="CF42" s="217">
        <v>3.0304013098907236E-3</v>
      </c>
      <c r="CG42" s="217">
        <v>3.3026180889953018E-3</v>
      </c>
      <c r="CH42" s="217">
        <v>3.2346287146584117E-3</v>
      </c>
      <c r="CI42" s="217">
        <v>3.3477145851362692E-3</v>
      </c>
      <c r="CJ42" s="217">
        <v>3.1710947106496972E-3</v>
      </c>
      <c r="CK42" s="217">
        <v>2.9352868623914691E-3</v>
      </c>
      <c r="CL42" s="217">
        <v>3.0129516916769547E-3</v>
      </c>
      <c r="CM42" s="217">
        <v>3.3004454549182129E-3</v>
      </c>
      <c r="CN42" s="217">
        <v>3.2350696969610671E-3</v>
      </c>
      <c r="CO42" s="217">
        <v>3.1432813854387889E-3</v>
      </c>
      <c r="CP42" s="217">
        <v>3.0680197186278434E-3</v>
      </c>
      <c r="CQ42" s="217">
        <v>3.1325504225034741E-3</v>
      </c>
      <c r="CR42" s="217">
        <v>3.1113826662291706E-3</v>
      </c>
      <c r="CS42" s="217">
        <v>2.9073343792757559E-3</v>
      </c>
      <c r="CT42" s="217">
        <v>3.1137549997894867E-3</v>
      </c>
      <c r="CU42" s="217">
        <v>2.8457768293648489E-3</v>
      </c>
      <c r="CV42" s="217">
        <v>3.2570027117592871E-3</v>
      </c>
      <c r="CW42" s="217">
        <v>3.3323965089215677E-3</v>
      </c>
      <c r="CX42" s="217">
        <v>3.0483399998867786E-3</v>
      </c>
      <c r="CY42" s="217">
        <v>3.1137549997894867E-3</v>
      </c>
      <c r="CZ42" s="217">
        <v>3.0581523504551924E-3</v>
      </c>
      <c r="DA42" s="217">
        <v>2.7690915920460654E-3</v>
      </c>
      <c r="DB42" s="217">
        <v>3.1815094832791432E-3</v>
      </c>
      <c r="DC42" s="217">
        <v>2.7148874175377349E-3</v>
      </c>
      <c r="DD42" s="217">
        <v>2.9222752322040188E-3</v>
      </c>
      <c r="DE42" s="217">
        <v>3.3375562498046359E-3</v>
      </c>
      <c r="DF42" s="217">
        <v>3.1956492712839689E-3</v>
      </c>
      <c r="DG42" s="217">
        <v>3.3695278127025591E-3</v>
      </c>
      <c r="DH42" s="217">
        <v>3.0260010883466811E-3</v>
      </c>
      <c r="DI42" s="217">
        <v>3.2075610888108457E-3</v>
      </c>
      <c r="DJ42" s="217">
        <v>3.0795380254189293E-3</v>
      </c>
      <c r="DK42" s="217">
        <v>3.0017930793710388E-3</v>
      </c>
      <c r="DL42" s="217">
        <v>2.8286127096685833E-3</v>
      </c>
      <c r="DM42" s="217">
        <v>2.906171428876394E-3</v>
      </c>
      <c r="DN42" s="217">
        <v>3.0540701009060087E-3</v>
      </c>
      <c r="DO42" s="217">
        <v>3.0490025267660204E-3</v>
      </c>
      <c r="DP42" s="217">
        <v>2.9340106122060657E-3</v>
      </c>
      <c r="DQ42" s="217">
        <v>3.2984407590723221E-3</v>
      </c>
      <c r="DR42" s="217">
        <v>3.2933731647891698E-3</v>
      </c>
      <c r="DS42" s="217">
        <v>3.2155818556137638E-3</v>
      </c>
      <c r="DT42" s="217">
        <v>3.204863271818801E-3</v>
      </c>
      <c r="DU42" s="217">
        <v>3.0987611143768437E-3</v>
      </c>
      <c r="DV42" s="217">
        <v>3.0447720046162981E-3</v>
      </c>
      <c r="DW42" s="217">
        <v>3.0067122990922322E-3</v>
      </c>
      <c r="DX42" s="217">
        <v>3.2147146066978907E-3</v>
      </c>
      <c r="DY42" s="217">
        <v>3.0599957219729808E-3</v>
      </c>
      <c r="DZ42" s="217">
        <v>3.1503871655863122E-3</v>
      </c>
      <c r="EA42" s="217">
        <v>2.9495835053589426E-3</v>
      </c>
      <c r="EB42" s="217">
        <v>2.832768316730076E-3</v>
      </c>
      <c r="EC42" s="217">
        <v>2.9164475251641816E-3</v>
      </c>
      <c r="ED42" s="217">
        <v>3.5867571545717476E-3</v>
      </c>
      <c r="EE42" s="217">
        <v>3.4700911296142857E-3</v>
      </c>
      <c r="EF42" s="217">
        <v>3.3442329017966408E-3</v>
      </c>
      <c r="EG42" s="217">
        <v>3.4423303995739746E-3</v>
      </c>
      <c r="EH42" s="217">
        <v>3.3278522818659295E-3</v>
      </c>
      <c r="EI42" s="217">
        <v>3.1976068864485612E-3</v>
      </c>
      <c r="EJ42" s="217">
        <v>3.5034735296917809E-3</v>
      </c>
      <c r="EK42" s="217">
        <v>3.328648111327475E-3</v>
      </c>
      <c r="EL42" s="217">
        <v>3.2322586874474497E-3</v>
      </c>
      <c r="EM42" s="217">
        <v>3.4316663248898593E-3</v>
      </c>
      <c r="EN42" s="217">
        <v>3.2965347510398378E-3</v>
      </c>
      <c r="EO42" s="217">
        <v>3.201969784185629E-3</v>
      </c>
      <c r="EP42" s="217">
        <v>3.5484210528743654E-3</v>
      </c>
      <c r="EQ42" s="217">
        <v>3.3709999996325611E-3</v>
      </c>
      <c r="ER42" s="217">
        <v>3.1952606636182616E-3</v>
      </c>
      <c r="ES42" s="217">
        <v>3.2120057167663186E-3</v>
      </c>
      <c r="ET42" s="217">
        <v>3.064545454211419E-3</v>
      </c>
      <c r="EU42" s="217">
        <v>3.2921161824843691E-3</v>
      </c>
      <c r="EV42" s="217">
        <v>3.0044843048923167E-3</v>
      </c>
      <c r="EW42" s="217">
        <v>3.4751773054574717E-3</v>
      </c>
      <c r="EX42" s="217">
        <v>3.4751773054574717E-3</v>
      </c>
      <c r="EY42" s="217">
        <v>3.1869918699601561E-3</v>
      </c>
      <c r="EZ42" s="217">
        <v>3.8110486456567239E-3</v>
      </c>
      <c r="FA42" s="217">
        <v>3.5458090172742936E-3</v>
      </c>
      <c r="FB42" s="217">
        <v>3.4118880245208733E-3</v>
      </c>
      <c r="FC42" s="217">
        <v>3.5458090172742936E-3</v>
      </c>
      <c r="FD42" s="217">
        <v>3.4118880245208733E-3</v>
      </c>
      <c r="FE42" s="217">
        <v>3.9116336853439087E-3</v>
      </c>
      <c r="FF42" s="217">
        <v>3.367685043151135E-3</v>
      </c>
      <c r="FG42" s="217">
        <v>3.367685043151135E-3</v>
      </c>
      <c r="FH42" s="217">
        <v>3.0999039381618266E-3</v>
      </c>
    </row>
    <row r="43" spans="1:164" ht="26.25">
      <c r="A43" s="5" t="s">
        <v>2650</v>
      </c>
      <c r="B43" s="170">
        <v>0.36</v>
      </c>
      <c r="C43" s="170">
        <v>0.35</v>
      </c>
      <c r="D43" s="170">
        <v>0.72399999999999998</v>
      </c>
      <c r="E43" s="170">
        <v>0.753</v>
      </c>
      <c r="F43" s="170">
        <v>0.753</v>
      </c>
      <c r="G43" s="170">
        <v>0.73699999999999999</v>
      </c>
      <c r="H43" s="170">
        <v>0.73599999999999999</v>
      </c>
      <c r="I43" s="170">
        <v>0.73599999999999999</v>
      </c>
      <c r="J43" s="201">
        <v>0.58499999999999996</v>
      </c>
      <c r="K43" s="170">
        <v>0.62</v>
      </c>
      <c r="L43" s="170">
        <v>0.58499999999999996</v>
      </c>
      <c r="M43" s="170">
        <v>0.63</v>
      </c>
      <c r="N43" s="170">
        <v>0.64500000000000002</v>
      </c>
      <c r="O43" s="185"/>
      <c r="P43" s="170">
        <v>0.8</v>
      </c>
      <c r="Q43" s="170">
        <v>0.8</v>
      </c>
      <c r="R43" s="217"/>
      <c r="S43" s="170">
        <v>0.53500000000000003</v>
      </c>
      <c r="T43" s="170">
        <v>0.53500000000000003</v>
      </c>
      <c r="U43" s="170">
        <v>0.53500000000000003</v>
      </c>
      <c r="V43" s="170">
        <v>0.53500000000000003</v>
      </c>
      <c r="W43" s="217"/>
      <c r="X43" s="217"/>
      <c r="Y43" s="217"/>
      <c r="Z43" s="217"/>
      <c r="AA43" s="217"/>
      <c r="AB43" s="217"/>
      <c r="AC43" s="170">
        <v>0.8</v>
      </c>
      <c r="AD43" s="217">
        <v>0.73499999999999999</v>
      </c>
      <c r="AE43" s="170">
        <v>0.53500000000000003</v>
      </c>
      <c r="AF43" s="170">
        <v>0.55000000000000004</v>
      </c>
      <c r="AG43" s="217"/>
      <c r="AH43" s="217"/>
      <c r="AI43" s="170">
        <v>0.58499999999999996</v>
      </c>
      <c r="AJ43" s="170">
        <v>0.59499999999999997</v>
      </c>
      <c r="AK43" s="170">
        <v>0.58499999999999996</v>
      </c>
      <c r="AL43" s="170">
        <v>0.59499999999999997</v>
      </c>
      <c r="AM43" s="170">
        <v>0.59499999999999997</v>
      </c>
      <c r="AN43" s="170">
        <v>0.63</v>
      </c>
      <c r="AO43" s="170">
        <v>0.64500000000000002</v>
      </c>
      <c r="AP43" s="170">
        <v>0.65500000000000003</v>
      </c>
      <c r="AQ43" s="170">
        <v>0.58499999999999996</v>
      </c>
      <c r="AR43" s="170">
        <v>0.59499999999999997</v>
      </c>
      <c r="AS43" s="170">
        <v>0.59499999999999997</v>
      </c>
      <c r="AT43" s="170">
        <v>0.63</v>
      </c>
      <c r="AU43" s="170">
        <v>0.63</v>
      </c>
      <c r="AV43" s="170">
        <v>0.64500000000000002</v>
      </c>
      <c r="AW43" s="170">
        <v>0.64500000000000002</v>
      </c>
      <c r="AX43" s="170">
        <v>0.64500000000000002</v>
      </c>
      <c r="AY43" s="170">
        <v>0.64500000000000002</v>
      </c>
      <c r="AZ43" s="170">
        <v>0.65500000000000003</v>
      </c>
      <c r="BA43" s="170">
        <v>0.65500000000000003</v>
      </c>
      <c r="BB43" s="170">
        <v>0.65500000000000003</v>
      </c>
      <c r="BC43" s="170">
        <v>0.65500000000000003</v>
      </c>
      <c r="BD43" s="170">
        <v>0.65500000000000003</v>
      </c>
      <c r="BE43" s="170">
        <v>0.60299999999999998</v>
      </c>
      <c r="BF43" s="170">
        <v>0.60299999999999998</v>
      </c>
      <c r="BG43" s="170">
        <v>0.60299999999999998</v>
      </c>
      <c r="BH43" s="170">
        <v>0.60299999999999998</v>
      </c>
      <c r="BI43" s="170">
        <v>0.60299999999999998</v>
      </c>
      <c r="BJ43" s="170">
        <v>0.60299999999999998</v>
      </c>
      <c r="BK43" s="170">
        <v>0.60299999999999998</v>
      </c>
      <c r="BL43" s="217"/>
      <c r="BM43" s="217"/>
      <c r="BN43" s="217"/>
      <c r="BO43" s="217"/>
      <c r="BP43" s="217"/>
      <c r="BQ43" s="217"/>
      <c r="BR43" s="217"/>
      <c r="BS43" s="170">
        <v>0.34200000000000003</v>
      </c>
      <c r="BT43" s="170">
        <v>0.35199999999999998</v>
      </c>
      <c r="BU43" s="170">
        <v>0.38100000000000001</v>
      </c>
      <c r="BV43" s="170">
        <v>0.38100000000000001</v>
      </c>
      <c r="BW43" s="170">
        <v>0.34200000000000003</v>
      </c>
      <c r="BX43" s="170">
        <v>0.35199999999999998</v>
      </c>
      <c r="BY43" s="170">
        <v>0.35199999999999998</v>
      </c>
      <c r="BZ43" s="170">
        <v>0.35199999999999998</v>
      </c>
      <c r="CA43" s="170">
        <v>0.38100000000000001</v>
      </c>
      <c r="CB43" s="170">
        <v>0.38100000000000001</v>
      </c>
      <c r="CC43" s="217"/>
      <c r="CD43" s="170">
        <v>0.34399999999999997</v>
      </c>
      <c r="CE43" s="217"/>
      <c r="CF43" s="170">
        <v>0.34899999999999998</v>
      </c>
      <c r="CG43" s="170">
        <v>0.35099999999999998</v>
      </c>
      <c r="CH43" s="170">
        <v>0.318</v>
      </c>
      <c r="CI43" s="170">
        <v>0.32600000000000001</v>
      </c>
      <c r="CJ43" s="170">
        <v>0.35899999999999999</v>
      </c>
      <c r="CK43" s="217"/>
      <c r="CL43" s="217"/>
      <c r="CM43" s="170">
        <v>0.35699999999999998</v>
      </c>
      <c r="CN43" s="217"/>
      <c r="CO43" s="170">
        <v>0.35699999999999998</v>
      </c>
      <c r="CP43" s="170">
        <v>0.35699999999999998</v>
      </c>
      <c r="CQ43" s="217"/>
      <c r="CR43" s="170">
        <v>0.317</v>
      </c>
      <c r="CS43" s="217"/>
      <c r="CT43" s="170">
        <v>0.35899999999999999</v>
      </c>
      <c r="CU43" s="170">
        <v>0.317</v>
      </c>
      <c r="CV43" s="217"/>
      <c r="CW43" s="170">
        <v>0.36</v>
      </c>
      <c r="CX43" s="217"/>
      <c r="CY43" s="170">
        <v>0.37</v>
      </c>
      <c r="CZ43" s="217"/>
      <c r="DA43" s="217"/>
      <c r="DB43" s="217"/>
      <c r="DC43" s="217"/>
      <c r="DD43" s="217"/>
      <c r="DE43" s="217"/>
      <c r="DF43" s="217"/>
      <c r="DG43" s="217"/>
      <c r="DH43" s="217"/>
      <c r="DI43" s="217"/>
      <c r="DJ43" s="217"/>
      <c r="DK43" s="217"/>
      <c r="DL43" s="217"/>
      <c r="DM43" s="217"/>
      <c r="DN43" s="217"/>
      <c r="DO43" s="217"/>
      <c r="DP43" s="217"/>
      <c r="DQ43" s="217"/>
      <c r="DR43" s="217"/>
      <c r="DS43" s="217"/>
      <c r="DT43" s="217"/>
      <c r="DU43" s="217"/>
      <c r="DV43" s="217"/>
      <c r="DW43" s="217"/>
      <c r="DX43" s="217"/>
      <c r="DY43" s="217"/>
      <c r="DZ43" s="217"/>
      <c r="EA43" s="217"/>
      <c r="EB43" s="217"/>
      <c r="EC43" s="217"/>
      <c r="ED43" s="171">
        <v>0.39200000000000002</v>
      </c>
      <c r="EE43" s="171">
        <v>0.39200000000000002</v>
      </c>
      <c r="EF43" s="171">
        <v>0.39300000000000002</v>
      </c>
      <c r="EG43" s="171">
        <v>0.39200000000000002</v>
      </c>
      <c r="EH43" s="171">
        <v>0.39200000000000002</v>
      </c>
      <c r="EI43" s="171">
        <v>0.39300000000000002</v>
      </c>
      <c r="EJ43" s="217"/>
      <c r="EK43" s="217"/>
      <c r="EL43" s="171">
        <v>0.39300000000000002</v>
      </c>
      <c r="EM43" s="217"/>
      <c r="EN43" s="217"/>
      <c r="EO43" s="170">
        <v>0.39300000000000002</v>
      </c>
      <c r="EP43" s="170">
        <v>0.33</v>
      </c>
      <c r="EQ43" s="170">
        <v>0.33</v>
      </c>
      <c r="ER43" s="170">
        <v>0.33</v>
      </c>
      <c r="ES43" s="170">
        <v>0.33</v>
      </c>
      <c r="ET43" s="170">
        <v>0.33</v>
      </c>
      <c r="EU43" s="170">
        <v>0.33</v>
      </c>
      <c r="EV43" s="217"/>
      <c r="EW43" s="217"/>
      <c r="EX43" s="217"/>
      <c r="EY43" s="217"/>
      <c r="EZ43" s="171">
        <v>0.35699999999999998</v>
      </c>
      <c r="FA43" s="171">
        <v>0.35699999999999998</v>
      </c>
      <c r="FB43" s="171">
        <v>0.35699999999999998</v>
      </c>
      <c r="FC43" s="171">
        <v>0.34599999999999997</v>
      </c>
      <c r="FD43" s="171">
        <v>0.34599999999999997</v>
      </c>
      <c r="FE43" s="171">
        <v>0.39</v>
      </c>
      <c r="FF43" s="171">
        <v>0.39</v>
      </c>
      <c r="FG43" s="171">
        <v>0.39</v>
      </c>
      <c r="FH43" s="217"/>
    </row>
    <row r="44" spans="1:164">
      <c r="A44" s="217" t="s">
        <v>2651</v>
      </c>
      <c r="B44" s="217">
        <v>1992</v>
      </c>
      <c r="C44" s="217">
        <v>1992</v>
      </c>
      <c r="D44" s="217">
        <v>1979</v>
      </c>
      <c r="E44" s="217"/>
      <c r="F44" s="217">
        <v>1980</v>
      </c>
      <c r="G44" s="217">
        <v>1985</v>
      </c>
      <c r="H44" s="217">
        <v>1980</v>
      </c>
      <c r="I44" s="217">
        <v>1980</v>
      </c>
      <c r="J44" s="217">
        <v>1964</v>
      </c>
      <c r="K44" s="217">
        <v>1968</v>
      </c>
      <c r="L44" s="217">
        <v>1966</v>
      </c>
      <c r="M44" s="217">
        <v>1971</v>
      </c>
      <c r="N44" s="217">
        <v>1974</v>
      </c>
      <c r="O44" s="217"/>
      <c r="P44" s="217"/>
      <c r="Q44" s="217"/>
      <c r="R44" s="217"/>
      <c r="S44" s="217"/>
      <c r="T44" s="217"/>
      <c r="U44" s="217"/>
      <c r="V44" s="217"/>
      <c r="W44" s="217"/>
      <c r="X44" s="217"/>
      <c r="Y44" s="217"/>
      <c r="Z44" s="217"/>
      <c r="AA44" s="217"/>
      <c r="AB44" s="217"/>
      <c r="AC44" s="217"/>
      <c r="AD44" s="217"/>
      <c r="AE44" s="217"/>
      <c r="AF44" s="217"/>
      <c r="AG44" s="217"/>
      <c r="AH44" s="217"/>
      <c r="AI44" s="217">
        <v>1966</v>
      </c>
      <c r="AJ44" s="217">
        <v>1967</v>
      </c>
      <c r="AK44" s="217">
        <v>1966</v>
      </c>
      <c r="AL44" s="217">
        <v>1967</v>
      </c>
      <c r="AM44" s="217">
        <v>1967</v>
      </c>
      <c r="AN44" s="217">
        <v>1971</v>
      </c>
      <c r="AO44" s="217">
        <v>1974</v>
      </c>
      <c r="AP44" s="217">
        <v>1974</v>
      </c>
      <c r="AQ44" s="217">
        <v>1966</v>
      </c>
      <c r="AR44" s="217">
        <v>1967</v>
      </c>
      <c r="AS44" s="217">
        <v>1967</v>
      </c>
      <c r="AT44" s="217">
        <v>1971</v>
      </c>
      <c r="AU44" s="217">
        <v>1971</v>
      </c>
      <c r="AV44" s="217">
        <v>1974</v>
      </c>
      <c r="AW44" s="217">
        <v>1974</v>
      </c>
      <c r="AX44" s="217">
        <v>1974</v>
      </c>
      <c r="AY44" s="217">
        <v>1974</v>
      </c>
      <c r="AZ44" s="217">
        <v>1984</v>
      </c>
      <c r="BA44" s="217">
        <v>1984</v>
      </c>
      <c r="BB44" s="217">
        <v>1984</v>
      </c>
      <c r="BC44" s="217">
        <v>1986</v>
      </c>
      <c r="BD44" s="217">
        <v>1984</v>
      </c>
      <c r="BE44" s="218"/>
      <c r="BF44" s="217">
        <v>1996</v>
      </c>
      <c r="BG44" s="217">
        <v>1996</v>
      </c>
      <c r="BH44" s="217">
        <v>1996</v>
      </c>
      <c r="BI44" s="217">
        <v>1996</v>
      </c>
      <c r="BJ44" s="217">
        <v>1996</v>
      </c>
      <c r="BK44" s="217">
        <v>1996</v>
      </c>
      <c r="BL44" s="217">
        <v>2017</v>
      </c>
      <c r="BM44" s="217">
        <v>2017</v>
      </c>
      <c r="BN44" s="217">
        <v>2017</v>
      </c>
      <c r="BO44" s="217">
        <v>2017</v>
      </c>
      <c r="BP44" s="217">
        <v>2017</v>
      </c>
      <c r="BQ44" s="217">
        <v>2018</v>
      </c>
      <c r="BR44" s="217">
        <v>2018</v>
      </c>
      <c r="BS44" s="218"/>
      <c r="BT44" s="218"/>
      <c r="BU44" s="218"/>
      <c r="BV44" s="218"/>
      <c r="BW44" s="218"/>
      <c r="BX44" s="218"/>
      <c r="BY44" s="218"/>
      <c r="BZ44" s="218"/>
      <c r="CA44" s="219">
        <v>1989</v>
      </c>
      <c r="CB44" s="219">
        <v>1989</v>
      </c>
      <c r="CC44" s="217">
        <v>1980</v>
      </c>
      <c r="CD44" s="217">
        <v>1993</v>
      </c>
      <c r="CE44" s="217">
        <v>1981</v>
      </c>
      <c r="CF44" s="217">
        <v>1993</v>
      </c>
      <c r="CG44" s="219">
        <v>2004</v>
      </c>
      <c r="CH44" s="217">
        <v>1987</v>
      </c>
      <c r="CI44" s="217">
        <v>1987</v>
      </c>
      <c r="CJ44" s="217">
        <v>1987</v>
      </c>
      <c r="CK44" s="217">
        <v>1989</v>
      </c>
      <c r="CL44" s="217">
        <v>1989</v>
      </c>
      <c r="CM44" s="217">
        <v>1982</v>
      </c>
      <c r="CN44" s="217">
        <v>1981</v>
      </c>
      <c r="CO44" s="217">
        <v>1982</v>
      </c>
      <c r="CP44" s="217">
        <v>1982</v>
      </c>
      <c r="CQ44" s="217">
        <v>1981</v>
      </c>
      <c r="CR44" s="217">
        <v>1986</v>
      </c>
      <c r="CS44" s="217">
        <v>1981</v>
      </c>
      <c r="CT44" s="217">
        <v>1991</v>
      </c>
      <c r="CU44" s="217">
        <v>1986</v>
      </c>
      <c r="CV44" s="217">
        <v>2002</v>
      </c>
      <c r="CW44" s="217">
        <v>2004</v>
      </c>
      <c r="CX44" s="217">
        <v>2002</v>
      </c>
      <c r="CY44" s="217">
        <v>2004</v>
      </c>
      <c r="CZ44" s="217">
        <v>1996</v>
      </c>
      <c r="DA44" s="217">
        <v>1996</v>
      </c>
      <c r="DB44" s="217">
        <v>1999</v>
      </c>
      <c r="DC44" s="217">
        <v>1996</v>
      </c>
      <c r="DD44" s="217">
        <v>1999</v>
      </c>
      <c r="DE44" s="217">
        <v>2016</v>
      </c>
      <c r="DF44" s="217">
        <v>2016</v>
      </c>
      <c r="DG44" s="218"/>
      <c r="DH44" s="218"/>
      <c r="DI44" s="217">
        <v>1990</v>
      </c>
      <c r="DJ44" s="217">
        <v>1994</v>
      </c>
      <c r="DK44" s="217">
        <v>1998</v>
      </c>
      <c r="DL44" s="217">
        <v>1992</v>
      </c>
      <c r="DM44" s="217">
        <v>2016</v>
      </c>
      <c r="DN44" s="217">
        <v>2016</v>
      </c>
      <c r="DO44" s="218"/>
      <c r="DP44" s="218"/>
      <c r="DQ44" s="217">
        <v>2018</v>
      </c>
      <c r="DR44" s="218"/>
      <c r="DS44" s="217">
        <v>1994</v>
      </c>
      <c r="DT44" s="217">
        <v>1992</v>
      </c>
      <c r="DU44" s="217">
        <v>1993</v>
      </c>
      <c r="DV44" s="217">
        <v>1996</v>
      </c>
      <c r="DW44" s="217">
        <v>1996</v>
      </c>
      <c r="DX44" s="217">
        <v>2016</v>
      </c>
      <c r="DY44" s="217">
        <v>2016</v>
      </c>
      <c r="DZ44" s="217">
        <v>2016</v>
      </c>
      <c r="EA44" s="217">
        <v>2016</v>
      </c>
      <c r="EB44" s="218"/>
      <c r="EC44" s="217">
        <v>2016</v>
      </c>
      <c r="ED44" s="217">
        <v>2002</v>
      </c>
      <c r="EE44" s="217">
        <v>2002</v>
      </c>
      <c r="EF44" s="217">
        <v>2002</v>
      </c>
      <c r="EG44" s="217">
        <v>2002</v>
      </c>
      <c r="EH44" s="217">
        <v>2002</v>
      </c>
      <c r="EI44" s="217">
        <v>2006</v>
      </c>
      <c r="EJ44" s="217">
        <v>2006</v>
      </c>
      <c r="EK44" s="217">
        <v>2006</v>
      </c>
      <c r="EL44" s="217">
        <v>2006</v>
      </c>
      <c r="EM44" s="217">
        <v>2006</v>
      </c>
      <c r="EN44" s="217">
        <v>2006</v>
      </c>
      <c r="EO44" s="217">
        <v>2006</v>
      </c>
      <c r="EP44" s="217">
        <v>1999</v>
      </c>
      <c r="EQ44" s="217">
        <v>1999</v>
      </c>
      <c r="ER44" s="217">
        <v>1999</v>
      </c>
      <c r="ES44" s="217">
        <v>1998</v>
      </c>
      <c r="ET44" s="217">
        <v>1998</v>
      </c>
      <c r="EU44" s="217">
        <v>2003</v>
      </c>
      <c r="EV44" s="218"/>
      <c r="EW44" s="217">
        <v>2018</v>
      </c>
      <c r="EX44" s="217">
        <v>2018</v>
      </c>
      <c r="EY44" s="217">
        <v>2018</v>
      </c>
      <c r="EZ44" s="217">
        <v>1992</v>
      </c>
      <c r="FA44" s="217">
        <v>1992</v>
      </c>
      <c r="FB44" s="217">
        <v>1992</v>
      </c>
      <c r="FC44" s="217">
        <v>1995</v>
      </c>
      <c r="FD44" s="217">
        <v>1995</v>
      </c>
      <c r="FE44" s="217">
        <v>2002</v>
      </c>
      <c r="FF44" s="217">
        <v>2002</v>
      </c>
      <c r="FG44" s="217">
        <v>2002</v>
      </c>
      <c r="FH44" s="217">
        <v>2002</v>
      </c>
    </row>
    <row r="45" spans="1:164">
      <c r="A45" t="s">
        <v>2652</v>
      </c>
      <c r="B45">
        <v>37073.491000000002</v>
      </c>
      <c r="C45">
        <v>41000</v>
      </c>
      <c r="D45">
        <v>37000</v>
      </c>
      <c r="E45">
        <v>37000</v>
      </c>
      <c r="F45">
        <v>37000</v>
      </c>
      <c r="G45">
        <v>37000</v>
      </c>
      <c r="H45">
        <v>37000</v>
      </c>
      <c r="I45">
        <v>37000</v>
      </c>
      <c r="J45">
        <v>35000</v>
      </c>
      <c r="K45">
        <v>35000</v>
      </c>
      <c r="L45">
        <v>35000</v>
      </c>
      <c r="M45">
        <v>35000</v>
      </c>
      <c r="N45">
        <v>35000</v>
      </c>
      <c r="T45">
        <v>42000</v>
      </c>
      <c r="U45">
        <v>42000</v>
      </c>
      <c r="V45">
        <v>42000</v>
      </c>
      <c r="W45">
        <v>42000</v>
      </c>
      <c r="X45">
        <v>42000</v>
      </c>
      <c r="Y45">
        <v>42000</v>
      </c>
      <c r="Z45">
        <v>42000</v>
      </c>
      <c r="AA45">
        <v>42000</v>
      </c>
      <c r="AB45">
        <v>39000</v>
      </c>
      <c r="AC45">
        <v>42000</v>
      </c>
      <c r="AE45">
        <v>42000</v>
      </c>
      <c r="AF45">
        <v>42000</v>
      </c>
      <c r="AI45">
        <v>36100</v>
      </c>
      <c r="AJ45">
        <v>36100</v>
      </c>
      <c r="AK45">
        <v>36100</v>
      </c>
      <c r="AL45">
        <v>36100</v>
      </c>
      <c r="AM45">
        <v>42000</v>
      </c>
      <c r="AN45">
        <v>42000</v>
      </c>
      <c r="AO45">
        <v>42000</v>
      </c>
      <c r="AP45">
        <v>42000</v>
      </c>
      <c r="AQ45">
        <v>35000</v>
      </c>
      <c r="AR45">
        <v>35000</v>
      </c>
      <c r="AS45">
        <v>35000</v>
      </c>
      <c r="AT45">
        <v>37000</v>
      </c>
      <c r="AU45">
        <v>37000</v>
      </c>
      <c r="AV45">
        <v>37000</v>
      </c>
      <c r="AW45">
        <v>37000</v>
      </c>
      <c r="AX45">
        <v>37000</v>
      </c>
      <c r="AY45">
        <v>37000</v>
      </c>
      <c r="AZ45">
        <v>37000</v>
      </c>
      <c r="BA45">
        <v>37000</v>
      </c>
      <c r="BB45">
        <v>37000</v>
      </c>
      <c r="BC45">
        <v>37000</v>
      </c>
      <c r="BD45">
        <v>37000</v>
      </c>
      <c r="BE45">
        <v>41000</v>
      </c>
      <c r="BF45">
        <v>41000</v>
      </c>
      <c r="BG45">
        <v>41000</v>
      </c>
      <c r="BH45">
        <v>41000</v>
      </c>
      <c r="BI45">
        <v>41000</v>
      </c>
      <c r="BL45">
        <v>41000</v>
      </c>
      <c r="BM45">
        <v>41000</v>
      </c>
      <c r="BN45">
        <v>41000</v>
      </c>
      <c r="BO45">
        <v>41000</v>
      </c>
      <c r="BP45">
        <v>41000</v>
      </c>
      <c r="BQ45">
        <v>41000</v>
      </c>
      <c r="BR45">
        <v>41000</v>
      </c>
      <c r="CC45">
        <v>43199</v>
      </c>
      <c r="CD45">
        <v>43199</v>
      </c>
      <c r="CE45">
        <v>43199</v>
      </c>
      <c r="CF45">
        <v>43199</v>
      </c>
      <c r="CG45">
        <v>43199</v>
      </c>
      <c r="CH45">
        <v>43199</v>
      </c>
      <c r="CI45">
        <v>43199</v>
      </c>
      <c r="CJ45">
        <v>43199</v>
      </c>
      <c r="CK45">
        <v>43199</v>
      </c>
      <c r="CL45">
        <v>43199</v>
      </c>
      <c r="ED45">
        <v>41000</v>
      </c>
      <c r="EE45">
        <v>41000</v>
      </c>
      <c r="EF45">
        <v>41000</v>
      </c>
      <c r="EG45">
        <v>41000</v>
      </c>
      <c r="EH45">
        <v>41000</v>
      </c>
      <c r="EI45">
        <v>41000</v>
      </c>
      <c r="EJ45">
        <v>41000</v>
      </c>
      <c r="EK45">
        <v>41000</v>
      </c>
      <c r="EL45">
        <v>41000</v>
      </c>
      <c r="EM45">
        <v>41000</v>
      </c>
      <c r="EN45">
        <v>41000</v>
      </c>
      <c r="EO45">
        <v>41000</v>
      </c>
      <c r="EP45">
        <v>37000</v>
      </c>
      <c r="EQ45">
        <v>37000</v>
      </c>
      <c r="ER45">
        <v>37000</v>
      </c>
      <c r="ES45">
        <v>37000</v>
      </c>
      <c r="ET45">
        <v>37000</v>
      </c>
      <c r="EU45">
        <v>37000</v>
      </c>
      <c r="EV45">
        <v>41000</v>
      </c>
      <c r="EW45">
        <v>41000</v>
      </c>
      <c r="EX45">
        <v>41000</v>
      </c>
      <c r="EY45">
        <v>41000</v>
      </c>
      <c r="EZ45">
        <v>41000</v>
      </c>
      <c r="FA45">
        <v>41000</v>
      </c>
      <c r="FB45">
        <v>41000</v>
      </c>
      <c r="FC45">
        <v>41000</v>
      </c>
      <c r="FD45">
        <v>41000</v>
      </c>
      <c r="FE45">
        <v>41000</v>
      </c>
      <c r="FF45">
        <v>41000</v>
      </c>
      <c r="FG45">
        <v>41000</v>
      </c>
      <c r="FH45">
        <v>41000</v>
      </c>
    </row>
    <row r="46" spans="1:164">
      <c r="A46" t="s">
        <v>2653</v>
      </c>
      <c r="J46">
        <v>33000</v>
      </c>
      <c r="O46">
        <v>35000</v>
      </c>
      <c r="P46">
        <v>35000</v>
      </c>
      <c r="Q46">
        <v>35000</v>
      </c>
      <c r="R46">
        <v>35000</v>
      </c>
      <c r="S46">
        <v>35000</v>
      </c>
      <c r="AD46">
        <v>35000</v>
      </c>
      <c r="AG46">
        <v>34100</v>
      </c>
      <c r="AH46">
        <v>34100</v>
      </c>
      <c r="AQ46">
        <v>30000</v>
      </c>
      <c r="AR46">
        <v>30000</v>
      </c>
      <c r="AS46">
        <v>30000</v>
      </c>
      <c r="AT46">
        <v>30000</v>
      </c>
      <c r="AU46">
        <v>30000</v>
      </c>
      <c r="AV46">
        <v>30000</v>
      </c>
      <c r="AW46">
        <v>30000</v>
      </c>
      <c r="AX46">
        <v>30000</v>
      </c>
      <c r="AY46">
        <v>30000</v>
      </c>
      <c r="AZ46" t="s">
        <v>2572</v>
      </c>
      <c r="BA46" t="s">
        <v>2572</v>
      </c>
      <c r="BB46" t="s">
        <v>2572</v>
      </c>
      <c r="BC46" t="s">
        <v>2572</v>
      </c>
      <c r="BD46" t="s">
        <v>2572</v>
      </c>
      <c r="BJ46">
        <v>37000</v>
      </c>
      <c r="BK46">
        <v>37000</v>
      </c>
      <c r="BS46">
        <v>38300</v>
      </c>
      <c r="BT46">
        <v>35300</v>
      </c>
      <c r="BU46">
        <v>38700</v>
      </c>
      <c r="BV46">
        <v>35600</v>
      </c>
      <c r="BW46">
        <v>38300</v>
      </c>
      <c r="BX46">
        <v>35300</v>
      </c>
      <c r="BY46">
        <v>35000</v>
      </c>
      <c r="BZ46">
        <v>35000</v>
      </c>
      <c r="CA46">
        <v>35000</v>
      </c>
      <c r="CB46">
        <v>35000</v>
      </c>
      <c r="CC46" t="s">
        <v>2573</v>
      </c>
      <c r="CD46" t="s">
        <v>2573</v>
      </c>
      <c r="CE46" t="s">
        <v>2573</v>
      </c>
      <c r="CF46" t="s">
        <v>2573</v>
      </c>
      <c r="CG46" t="s">
        <v>2573</v>
      </c>
      <c r="CH46" t="s">
        <v>2573</v>
      </c>
      <c r="CI46" t="s">
        <v>2573</v>
      </c>
      <c r="CJ46" t="s">
        <v>2573</v>
      </c>
      <c r="CK46" t="s">
        <v>2573</v>
      </c>
      <c r="CL46" t="s">
        <v>2573</v>
      </c>
      <c r="CV46">
        <v>36000</v>
      </c>
      <c r="CW46">
        <v>36000</v>
      </c>
      <c r="CX46">
        <v>36000</v>
      </c>
      <c r="CY46">
        <v>36000</v>
      </c>
      <c r="CZ46">
        <v>36000</v>
      </c>
      <c r="DA46">
        <v>36000</v>
      </c>
      <c r="DB46">
        <v>36000</v>
      </c>
      <c r="DC46">
        <v>36000</v>
      </c>
      <c r="DD46">
        <v>36000</v>
      </c>
      <c r="DE46">
        <v>36000</v>
      </c>
      <c r="DF46">
        <v>36000</v>
      </c>
      <c r="DG46">
        <v>36000</v>
      </c>
      <c r="DH46">
        <v>36000</v>
      </c>
      <c r="DI46">
        <v>36000</v>
      </c>
      <c r="DJ46">
        <v>36000</v>
      </c>
      <c r="DK46">
        <v>36000</v>
      </c>
      <c r="DL46">
        <v>36000</v>
      </c>
      <c r="DM46">
        <v>36000</v>
      </c>
      <c r="DN46">
        <v>36000</v>
      </c>
      <c r="DO46">
        <v>36000</v>
      </c>
      <c r="DP46">
        <v>36000</v>
      </c>
      <c r="DQ46">
        <v>36000</v>
      </c>
      <c r="DR46">
        <v>36000</v>
      </c>
      <c r="DS46">
        <v>36000</v>
      </c>
      <c r="DT46">
        <v>36000</v>
      </c>
      <c r="DU46">
        <v>36000</v>
      </c>
      <c r="DV46">
        <v>36000</v>
      </c>
      <c r="DW46">
        <v>36000</v>
      </c>
      <c r="DX46">
        <v>36000</v>
      </c>
      <c r="DY46">
        <v>36000</v>
      </c>
      <c r="DZ46">
        <v>36000</v>
      </c>
      <c r="EA46">
        <v>36000</v>
      </c>
      <c r="EB46">
        <v>36000</v>
      </c>
      <c r="EC46">
        <v>36000</v>
      </c>
    </row>
    <row r="47" spans="1:164">
      <c r="A47" t="s">
        <v>2654</v>
      </c>
      <c r="CM47">
        <v>41000</v>
      </c>
      <c r="CN47">
        <v>41100</v>
      </c>
      <c r="CO47">
        <v>41000</v>
      </c>
      <c r="CP47">
        <v>41000</v>
      </c>
      <c r="CQ47">
        <v>41000</v>
      </c>
      <c r="CR47">
        <v>41000</v>
      </c>
      <c r="CS47">
        <v>41000</v>
      </c>
      <c r="CT47">
        <v>41000</v>
      </c>
      <c r="CU47">
        <v>41000</v>
      </c>
    </row>
    <row r="48" spans="1:164">
      <c r="A48" t="s">
        <v>2655</v>
      </c>
      <c r="B48">
        <v>37073.491000000002</v>
      </c>
      <c r="C48">
        <v>41000</v>
      </c>
      <c r="D48">
        <v>37000</v>
      </c>
      <c r="E48">
        <v>37000</v>
      </c>
      <c r="F48">
        <v>37000</v>
      </c>
      <c r="G48">
        <v>37000</v>
      </c>
      <c r="H48">
        <v>37000</v>
      </c>
      <c r="I48">
        <v>37000</v>
      </c>
      <c r="J48">
        <v>33000</v>
      </c>
      <c r="K48">
        <v>35000</v>
      </c>
      <c r="L48">
        <v>35000</v>
      </c>
      <c r="M48">
        <v>35000</v>
      </c>
      <c r="N48">
        <v>35000</v>
      </c>
      <c r="O48">
        <v>35000</v>
      </c>
      <c r="P48">
        <v>35000</v>
      </c>
      <c r="Q48">
        <v>35000</v>
      </c>
      <c r="R48">
        <v>35000</v>
      </c>
      <c r="S48">
        <v>35000</v>
      </c>
      <c r="T48">
        <v>35000</v>
      </c>
      <c r="U48">
        <v>35000</v>
      </c>
      <c r="V48">
        <v>35000</v>
      </c>
      <c r="W48">
        <v>35000</v>
      </c>
      <c r="X48">
        <v>35000</v>
      </c>
      <c r="Y48">
        <v>35000</v>
      </c>
      <c r="Z48">
        <v>39000</v>
      </c>
      <c r="AA48">
        <v>39000</v>
      </c>
      <c r="AB48">
        <v>39000</v>
      </c>
      <c r="AC48">
        <v>39000</v>
      </c>
      <c r="AD48">
        <v>35000</v>
      </c>
      <c r="AE48">
        <v>39000</v>
      </c>
      <c r="AF48">
        <v>39000</v>
      </c>
      <c r="AG48">
        <v>34100</v>
      </c>
      <c r="AH48">
        <v>34100</v>
      </c>
      <c r="AI48">
        <v>36100</v>
      </c>
      <c r="AJ48">
        <v>36100</v>
      </c>
      <c r="AK48">
        <v>36100</v>
      </c>
      <c r="AL48">
        <v>36100</v>
      </c>
      <c r="AM48">
        <v>36100</v>
      </c>
      <c r="AN48">
        <v>36100</v>
      </c>
      <c r="AO48">
        <v>36100</v>
      </c>
      <c r="AP48">
        <v>36100</v>
      </c>
      <c r="AQ48">
        <v>35000</v>
      </c>
      <c r="AR48">
        <v>35000</v>
      </c>
      <c r="AS48">
        <v>35000</v>
      </c>
      <c r="AT48">
        <v>37000</v>
      </c>
      <c r="AU48">
        <v>37000</v>
      </c>
      <c r="AV48">
        <v>37000</v>
      </c>
      <c r="AW48">
        <v>37000</v>
      </c>
      <c r="AX48">
        <v>37000</v>
      </c>
      <c r="AY48">
        <v>37000</v>
      </c>
      <c r="AZ48">
        <v>37000</v>
      </c>
      <c r="BA48">
        <v>37000</v>
      </c>
      <c r="BB48">
        <v>37000</v>
      </c>
      <c r="BC48">
        <v>37000</v>
      </c>
      <c r="BD48">
        <v>37000</v>
      </c>
      <c r="BE48">
        <v>37000</v>
      </c>
      <c r="BF48">
        <v>37000</v>
      </c>
      <c r="BG48">
        <v>37000</v>
      </c>
      <c r="BH48">
        <v>37000</v>
      </c>
      <c r="BI48">
        <v>37000</v>
      </c>
      <c r="BJ48">
        <v>37000</v>
      </c>
      <c r="BK48">
        <v>37000</v>
      </c>
      <c r="BL48">
        <v>41000</v>
      </c>
      <c r="BM48">
        <v>41000</v>
      </c>
      <c r="BN48">
        <v>41000</v>
      </c>
      <c r="BO48">
        <v>41000</v>
      </c>
      <c r="BP48">
        <v>41000</v>
      </c>
      <c r="BQ48">
        <v>41000</v>
      </c>
      <c r="BR48">
        <v>41000</v>
      </c>
      <c r="BS48">
        <v>38300</v>
      </c>
      <c r="BT48">
        <v>35300</v>
      </c>
      <c r="BU48">
        <v>38700</v>
      </c>
      <c r="BV48">
        <v>35600</v>
      </c>
      <c r="BW48">
        <v>38300</v>
      </c>
      <c r="BX48">
        <v>35300</v>
      </c>
      <c r="BY48">
        <v>35000</v>
      </c>
      <c r="BZ48">
        <v>35000</v>
      </c>
      <c r="CA48">
        <v>35000</v>
      </c>
      <c r="CB48">
        <v>35000</v>
      </c>
      <c r="CC48">
        <v>39000</v>
      </c>
      <c r="CD48">
        <v>39000</v>
      </c>
      <c r="CE48">
        <v>39000</v>
      </c>
      <c r="CF48">
        <v>39000</v>
      </c>
      <c r="CG48">
        <v>39000</v>
      </c>
      <c r="CH48">
        <v>39000</v>
      </c>
      <c r="CI48">
        <v>39000</v>
      </c>
      <c r="CJ48">
        <v>39000</v>
      </c>
      <c r="CK48">
        <v>39000</v>
      </c>
      <c r="CL48">
        <v>39000</v>
      </c>
      <c r="CM48">
        <v>41000</v>
      </c>
      <c r="CN48">
        <v>41100</v>
      </c>
      <c r="CO48">
        <v>41000</v>
      </c>
      <c r="CP48">
        <v>41000</v>
      </c>
      <c r="CQ48">
        <v>41000</v>
      </c>
      <c r="CR48">
        <v>41000</v>
      </c>
      <c r="CS48">
        <v>41000</v>
      </c>
      <c r="CT48">
        <v>41000</v>
      </c>
      <c r="CU48">
        <v>41000</v>
      </c>
      <c r="CV48">
        <v>36000</v>
      </c>
      <c r="CW48">
        <v>36000</v>
      </c>
      <c r="CX48">
        <v>36000</v>
      </c>
      <c r="CY48">
        <v>36000</v>
      </c>
      <c r="CZ48">
        <v>36000</v>
      </c>
      <c r="DA48">
        <v>36000</v>
      </c>
      <c r="DB48">
        <v>36000</v>
      </c>
      <c r="DC48">
        <v>36000</v>
      </c>
      <c r="DD48">
        <v>36000</v>
      </c>
      <c r="DE48">
        <v>36000</v>
      </c>
      <c r="DF48">
        <v>36000</v>
      </c>
      <c r="DG48">
        <v>36000</v>
      </c>
      <c r="DH48">
        <v>36000</v>
      </c>
      <c r="DI48">
        <v>36000</v>
      </c>
      <c r="DJ48">
        <v>36000</v>
      </c>
      <c r="DK48">
        <v>36000</v>
      </c>
      <c r="DL48">
        <v>36000</v>
      </c>
      <c r="DM48">
        <v>36000</v>
      </c>
      <c r="DN48">
        <v>36000</v>
      </c>
      <c r="DO48">
        <v>36000</v>
      </c>
      <c r="DP48">
        <v>36000</v>
      </c>
      <c r="DQ48">
        <v>36000</v>
      </c>
      <c r="DR48">
        <v>36000</v>
      </c>
      <c r="DS48">
        <v>36000</v>
      </c>
      <c r="DT48">
        <v>36000</v>
      </c>
      <c r="DU48">
        <v>36000</v>
      </c>
      <c r="DV48">
        <v>36000</v>
      </c>
      <c r="DW48">
        <v>36000</v>
      </c>
      <c r="DX48">
        <v>36000</v>
      </c>
      <c r="DY48">
        <v>36000</v>
      </c>
      <c r="DZ48">
        <v>36000</v>
      </c>
      <c r="EA48">
        <v>36000</v>
      </c>
      <c r="EB48">
        <v>36000</v>
      </c>
      <c r="EC48">
        <v>36000</v>
      </c>
      <c r="ED48">
        <v>41000</v>
      </c>
      <c r="EE48">
        <v>41000</v>
      </c>
      <c r="EF48">
        <v>41000</v>
      </c>
      <c r="EG48">
        <v>41000</v>
      </c>
      <c r="EH48">
        <v>41000</v>
      </c>
      <c r="EI48">
        <v>41000</v>
      </c>
      <c r="EJ48">
        <v>41000</v>
      </c>
      <c r="EK48">
        <v>41000</v>
      </c>
      <c r="EL48">
        <v>41000</v>
      </c>
      <c r="EM48">
        <v>41000</v>
      </c>
      <c r="EN48">
        <v>41000</v>
      </c>
      <c r="EO48">
        <v>41000</v>
      </c>
      <c r="EP48">
        <v>37000</v>
      </c>
      <c r="EQ48">
        <v>37000</v>
      </c>
      <c r="ER48">
        <v>37000</v>
      </c>
      <c r="ES48">
        <v>37000</v>
      </c>
      <c r="ET48">
        <v>37000</v>
      </c>
      <c r="EU48">
        <v>37000</v>
      </c>
      <c r="EV48">
        <v>41000</v>
      </c>
      <c r="EW48">
        <v>41000</v>
      </c>
      <c r="EX48">
        <v>41000</v>
      </c>
      <c r="EY48">
        <v>41000</v>
      </c>
      <c r="EZ48">
        <v>41000</v>
      </c>
      <c r="FA48">
        <v>41000</v>
      </c>
      <c r="FB48">
        <v>41000</v>
      </c>
      <c r="FC48">
        <v>41000</v>
      </c>
      <c r="FD48">
        <v>41000</v>
      </c>
      <c r="FE48">
        <v>41000</v>
      </c>
      <c r="FF48">
        <v>41000</v>
      </c>
      <c r="FG48">
        <v>41000</v>
      </c>
      <c r="FH48">
        <v>41000</v>
      </c>
    </row>
    <row r="49" spans="1:164">
      <c r="A49" t="s">
        <v>2576</v>
      </c>
      <c r="B49">
        <f t="shared" ref="B49:AG49" si="50">IF(B37&lt;4, (0.6888607+((-0.000008477)*B48)+((-0.00000000018)*(B48^2))+((0.000000000000001025)*(B48^3))), (0.3627433+((-0.0000008825)*B48)+((-0.000000000128)*(B48^2))+((0.0000000000000005746)*(B48^3))))</f>
        <v>0.18337613472703354</v>
      </c>
      <c r="C49">
        <f t="shared" si="50"/>
        <v>0.15099480659999998</v>
      </c>
      <c r="D49">
        <f t="shared" si="50"/>
        <v>0.18071102499999997</v>
      </c>
      <c r="E49">
        <f t="shared" si="50"/>
        <v>0.18071102499999997</v>
      </c>
      <c r="F49">
        <f t="shared" si="50"/>
        <v>0.18071102499999997</v>
      </c>
      <c r="G49">
        <f t="shared" si="50"/>
        <v>0.18071102499999997</v>
      </c>
      <c r="H49">
        <f t="shared" si="50"/>
        <v>0.18071102499999997</v>
      </c>
      <c r="I49">
        <f t="shared" si="50"/>
        <v>0.18071102499999997</v>
      </c>
      <c r="J49">
        <f t="shared" si="50"/>
        <v>0.24993512499999998</v>
      </c>
      <c r="K49">
        <f t="shared" si="50"/>
        <v>0.215612575</v>
      </c>
      <c r="L49">
        <f t="shared" si="50"/>
        <v>0.215612575</v>
      </c>
      <c r="M49">
        <f t="shared" si="50"/>
        <v>0.215612575</v>
      </c>
      <c r="N49">
        <f t="shared" si="50"/>
        <v>0.215612575</v>
      </c>
      <c r="O49">
        <f t="shared" si="50"/>
        <v>0.215612575</v>
      </c>
      <c r="P49">
        <f t="shared" si="50"/>
        <v>0.215612575</v>
      </c>
      <c r="Q49">
        <f t="shared" si="50"/>
        <v>0.215612575</v>
      </c>
      <c r="R49">
        <f t="shared" si="50"/>
        <v>0.215612575</v>
      </c>
      <c r="S49">
        <f t="shared" si="50"/>
        <v>0.215612575</v>
      </c>
      <c r="T49">
        <f t="shared" si="50"/>
        <v>0.215612575</v>
      </c>
      <c r="U49">
        <f t="shared" si="50"/>
        <v>0.215612575</v>
      </c>
      <c r="V49">
        <f t="shared" si="50"/>
        <v>0.215612575</v>
      </c>
      <c r="W49">
        <f t="shared" si="50"/>
        <v>0.19969177499999999</v>
      </c>
      <c r="X49">
        <f t="shared" si="50"/>
        <v>0.19969177499999999</v>
      </c>
      <c r="Y49">
        <f t="shared" si="50"/>
        <v>0.19969177499999999</v>
      </c>
      <c r="Z49">
        <f t="shared" si="50"/>
        <v>0.14527967499999994</v>
      </c>
      <c r="AA49">
        <f t="shared" si="50"/>
        <v>0.14527967499999994</v>
      </c>
      <c r="AB49">
        <f t="shared" si="50"/>
        <v>0.14527967499999994</v>
      </c>
      <c r="AC49">
        <f t="shared" si="50"/>
        <v>0.14527967499999994</v>
      </c>
      <c r="AD49">
        <f t="shared" si="50"/>
        <v>0.215612575</v>
      </c>
      <c r="AE49">
        <f t="shared" si="50"/>
        <v>0.14527967499999994</v>
      </c>
      <c r="AF49">
        <f t="shared" si="50"/>
        <v>0.14527967499999994</v>
      </c>
      <c r="AG49">
        <f t="shared" si="50"/>
        <v>0.20659430634659998</v>
      </c>
      <c r="AH49">
        <f t="shared" ref="AH49:BM49" si="51">IF(AH37&lt;4, (0.6888607+((-0.000008477)*AH48)+((-0.00000000018)*(AH48^2))+((0.000000000000001025)*(AH48^3))), (0.3627433+((-0.0000008825)*AH48)+((-0.000000000128)*(AH48^2))+((0.0000000000000005746)*(AH48^3))))</f>
        <v>0.20659430634659998</v>
      </c>
      <c r="AI49">
        <f t="shared" si="51"/>
        <v>0.19648522802499999</v>
      </c>
      <c r="AJ49">
        <f t="shared" si="51"/>
        <v>0.19648522802499999</v>
      </c>
      <c r="AK49">
        <f t="shared" si="51"/>
        <v>0.19648522802499999</v>
      </c>
      <c r="AL49">
        <f t="shared" si="51"/>
        <v>0.19648522802499999</v>
      </c>
      <c r="AM49">
        <f t="shared" si="51"/>
        <v>0.19648522802499999</v>
      </c>
      <c r="AN49">
        <f t="shared" si="51"/>
        <v>0.19648522802499999</v>
      </c>
      <c r="AO49">
        <f t="shared" si="51"/>
        <v>0.19648522802499999</v>
      </c>
      <c r="AP49">
        <f t="shared" si="51"/>
        <v>0.19648522802499999</v>
      </c>
      <c r="AQ49">
        <f t="shared" si="51"/>
        <v>0.215612575</v>
      </c>
      <c r="AR49">
        <f t="shared" si="51"/>
        <v>0.215612575</v>
      </c>
      <c r="AS49">
        <f t="shared" si="51"/>
        <v>0.215612575</v>
      </c>
      <c r="AT49">
        <f t="shared" si="51"/>
        <v>0.18071102499999997</v>
      </c>
      <c r="AU49">
        <f t="shared" si="51"/>
        <v>0.18071102499999997</v>
      </c>
      <c r="AV49">
        <f t="shared" si="51"/>
        <v>0.18071102499999997</v>
      </c>
      <c r="AW49">
        <f t="shared" si="51"/>
        <v>0.18071102499999997</v>
      </c>
      <c r="AX49">
        <f t="shared" si="51"/>
        <v>0.18071102499999997</v>
      </c>
      <c r="AY49">
        <f t="shared" si="51"/>
        <v>0.18071102499999997</v>
      </c>
      <c r="AZ49">
        <f t="shared" si="51"/>
        <v>0.18396401380000002</v>
      </c>
      <c r="BA49">
        <f t="shared" si="51"/>
        <v>0.18396401380000002</v>
      </c>
      <c r="BB49">
        <f t="shared" si="51"/>
        <v>0.18396401380000002</v>
      </c>
      <c r="BC49">
        <f t="shared" si="51"/>
        <v>0.18396401380000002</v>
      </c>
      <c r="BD49">
        <f t="shared" si="51"/>
        <v>0.18396401380000002</v>
      </c>
      <c r="BE49">
        <f t="shared" si="51"/>
        <v>0.18396401380000002</v>
      </c>
      <c r="BF49">
        <f t="shared" si="51"/>
        <v>0.18396401380000002</v>
      </c>
      <c r="BG49">
        <f t="shared" si="51"/>
        <v>0.18396401380000002</v>
      </c>
      <c r="BH49">
        <f t="shared" si="51"/>
        <v>0.18396401380000002</v>
      </c>
      <c r="BI49">
        <f t="shared" si="51"/>
        <v>0.18396401380000002</v>
      </c>
      <c r="BJ49">
        <f t="shared" si="51"/>
        <v>0.18396401380000002</v>
      </c>
      <c r="BK49">
        <f t="shared" si="51"/>
        <v>0.18396401380000002</v>
      </c>
      <c r="BL49">
        <f t="shared" si="51"/>
        <v>0.15099480659999998</v>
      </c>
      <c r="BM49">
        <f t="shared" si="51"/>
        <v>0.15099480659999998</v>
      </c>
      <c r="BN49">
        <f t="shared" ref="BN49:CS49" si="52">IF(BN37&lt;4, (0.6888607+((-0.000008477)*BN48)+((-0.00000000018)*(BN48^2))+((0.000000000000001025)*(BN48^3))), (0.3627433+((-0.0000008825)*BN48)+((-0.000000000128)*(BN48^2))+((0.0000000000000005746)*(BN48^3))))</f>
        <v>0.15099480659999998</v>
      </c>
      <c r="BO49">
        <f t="shared" si="52"/>
        <v>0.15099480659999998</v>
      </c>
      <c r="BP49">
        <f t="shared" si="52"/>
        <v>0.15099480659999998</v>
      </c>
      <c r="BQ49">
        <f t="shared" si="52"/>
        <v>0.15099480659999998</v>
      </c>
      <c r="BR49">
        <f t="shared" si="52"/>
        <v>0.15099480659999998</v>
      </c>
      <c r="BS49">
        <f t="shared" si="52"/>
        <v>0.17346374227019998</v>
      </c>
      <c r="BT49">
        <f t="shared" si="52"/>
        <v>0.1973664469842</v>
      </c>
      <c r="BU49">
        <f t="shared" si="52"/>
        <v>0.1701903924838</v>
      </c>
      <c r="BV49">
        <f t="shared" si="52"/>
        <v>0.19502903199359997</v>
      </c>
      <c r="BW49">
        <f t="shared" si="52"/>
        <v>0.17346374227019998</v>
      </c>
      <c r="BX49">
        <f t="shared" si="52"/>
        <v>0.1973664469842</v>
      </c>
      <c r="BY49">
        <f t="shared" si="52"/>
        <v>0.19969177499999999</v>
      </c>
      <c r="BZ49">
        <f t="shared" si="52"/>
        <v>0.19969177499999999</v>
      </c>
      <c r="CA49">
        <f t="shared" si="52"/>
        <v>0.19969177499999999</v>
      </c>
      <c r="CB49">
        <f t="shared" si="52"/>
        <v>0.19969177499999999</v>
      </c>
      <c r="CC49">
        <f t="shared" si="52"/>
        <v>0.1677224974</v>
      </c>
      <c r="CD49">
        <f t="shared" si="52"/>
        <v>0.1677224974</v>
      </c>
      <c r="CE49">
        <f t="shared" si="52"/>
        <v>0.1677224974</v>
      </c>
      <c r="CF49">
        <f t="shared" si="52"/>
        <v>0.1677224974</v>
      </c>
      <c r="CG49">
        <f t="shared" si="52"/>
        <v>0.1677224974</v>
      </c>
      <c r="CH49">
        <f t="shared" si="52"/>
        <v>0.1677224974</v>
      </c>
      <c r="CI49">
        <f t="shared" si="52"/>
        <v>0.1677224974</v>
      </c>
      <c r="CJ49">
        <f t="shared" si="52"/>
        <v>0.1677224974</v>
      </c>
      <c r="CK49">
        <f t="shared" si="52"/>
        <v>0.1677224974</v>
      </c>
      <c r="CL49">
        <f t="shared" si="52"/>
        <v>0.1677224974</v>
      </c>
      <c r="CM49">
        <f t="shared" si="52"/>
        <v>0.15099480659999998</v>
      </c>
      <c r="CN49">
        <f t="shared" si="52"/>
        <v>0.15014615471259996</v>
      </c>
      <c r="CO49">
        <f t="shared" si="52"/>
        <v>0.15099480659999998</v>
      </c>
      <c r="CP49">
        <f t="shared" si="52"/>
        <v>0.15099480659999998</v>
      </c>
      <c r="CQ49">
        <f t="shared" si="52"/>
        <v>0.15099480659999998</v>
      </c>
      <c r="CR49">
        <f t="shared" si="52"/>
        <v>0.15099480659999998</v>
      </c>
      <c r="CS49">
        <f t="shared" si="52"/>
        <v>0.15099480659999998</v>
      </c>
      <c r="CT49">
        <f t="shared" ref="CT49:DY49" si="53">IF(CT37&lt;4, (0.6888607+((-0.000008477)*CT48)+((-0.00000000018)*(CT48^2))+((0.000000000000001025)*(CT48^3))), (0.3627433+((-0.0000008825)*CT48)+((-0.000000000128)*(CT48^2))+((0.0000000000000005746)*(CT48^3))))</f>
        <v>0.15099480659999998</v>
      </c>
      <c r="CU49">
        <f t="shared" si="53"/>
        <v>0.15099480659999998</v>
      </c>
      <c r="CV49">
        <f t="shared" si="53"/>
        <v>0.19189383759999995</v>
      </c>
      <c r="CW49">
        <f t="shared" si="53"/>
        <v>0.19189383759999995</v>
      </c>
      <c r="CX49">
        <f t="shared" si="53"/>
        <v>0.19189383759999995</v>
      </c>
      <c r="CY49">
        <f t="shared" si="53"/>
        <v>0.19189383759999995</v>
      </c>
      <c r="CZ49">
        <f t="shared" si="53"/>
        <v>0.19189383759999995</v>
      </c>
      <c r="DA49">
        <f t="shared" si="53"/>
        <v>0.19189383759999995</v>
      </c>
      <c r="DB49">
        <f t="shared" si="53"/>
        <v>0.19189383759999995</v>
      </c>
      <c r="DC49">
        <f t="shared" si="53"/>
        <v>0.19189383759999995</v>
      </c>
      <c r="DD49">
        <f t="shared" si="53"/>
        <v>0.19189383759999995</v>
      </c>
      <c r="DE49">
        <f t="shared" si="53"/>
        <v>0.19189383759999995</v>
      </c>
      <c r="DF49">
        <f t="shared" si="53"/>
        <v>0.19189383759999995</v>
      </c>
      <c r="DG49">
        <f t="shared" si="53"/>
        <v>0.19189383759999995</v>
      </c>
      <c r="DH49">
        <f t="shared" si="53"/>
        <v>0.19189383759999995</v>
      </c>
      <c r="DI49">
        <f t="shared" si="53"/>
        <v>0.19189383759999995</v>
      </c>
      <c r="DJ49">
        <f t="shared" si="53"/>
        <v>0.19189383759999995</v>
      </c>
      <c r="DK49">
        <f t="shared" si="53"/>
        <v>0.19189383759999995</v>
      </c>
      <c r="DL49">
        <f t="shared" si="53"/>
        <v>0.19189383759999995</v>
      </c>
      <c r="DM49">
        <f t="shared" si="53"/>
        <v>0.19189383759999995</v>
      </c>
      <c r="DN49">
        <f t="shared" si="53"/>
        <v>0.19189383759999995</v>
      </c>
      <c r="DO49">
        <f t="shared" si="53"/>
        <v>0.19189383759999995</v>
      </c>
      <c r="DP49">
        <f t="shared" si="53"/>
        <v>0.19189383759999995</v>
      </c>
      <c r="DQ49">
        <f t="shared" si="53"/>
        <v>0.19189383759999995</v>
      </c>
      <c r="DR49">
        <f t="shared" si="53"/>
        <v>0.19189383759999995</v>
      </c>
      <c r="DS49">
        <f t="shared" si="53"/>
        <v>0.19189383759999995</v>
      </c>
      <c r="DT49">
        <f t="shared" si="53"/>
        <v>0.19189383759999995</v>
      </c>
      <c r="DU49">
        <f t="shared" si="53"/>
        <v>0.19189383759999995</v>
      </c>
      <c r="DV49">
        <f t="shared" si="53"/>
        <v>0.19189383759999995</v>
      </c>
      <c r="DW49">
        <f t="shared" si="53"/>
        <v>0.19189383759999995</v>
      </c>
      <c r="DX49">
        <f t="shared" si="53"/>
        <v>0.19189383759999995</v>
      </c>
      <c r="DY49">
        <f t="shared" si="53"/>
        <v>0.19189383759999995</v>
      </c>
      <c r="DZ49">
        <f t="shared" ref="DZ49:EI49" si="54">IF(DZ37&lt;4, (0.6888607+((-0.000008477)*DZ48)+((-0.00000000018)*(DZ48^2))+((0.000000000000001025)*(DZ48^3))), (0.3627433+((-0.0000008825)*DZ48)+((-0.000000000128)*(DZ48^2))+((0.0000000000000005746)*(DZ48^3))))</f>
        <v>0.19189383759999995</v>
      </c>
      <c r="EA49">
        <f t="shared" si="54"/>
        <v>0.19189383759999995</v>
      </c>
      <c r="EB49">
        <f t="shared" si="54"/>
        <v>0.19189383759999995</v>
      </c>
      <c r="EC49">
        <f t="shared" si="54"/>
        <v>0.19189383759999995</v>
      </c>
      <c r="ED49">
        <f t="shared" si="54"/>
        <v>0.15099480659999998</v>
      </c>
      <c r="EE49">
        <f t="shared" si="54"/>
        <v>0.15099480659999998</v>
      </c>
      <c r="EF49">
        <f t="shared" si="54"/>
        <v>0.15099480659999998</v>
      </c>
      <c r="EG49">
        <f t="shared" si="54"/>
        <v>0.15099480659999998</v>
      </c>
      <c r="EH49">
        <f t="shared" si="54"/>
        <v>0.15099480659999998</v>
      </c>
      <c r="EI49">
        <f t="shared" si="54"/>
        <v>0.15099480659999998</v>
      </c>
      <c r="EJ49">
        <f xml:space="preserve"> 0.3627433+((-0.0000008825)*EJ48)+((-0.000000000128)*(EJ48^2))+((0.0000000000000005746)*(EJ48^3))</f>
        <v>0.15099480659999998</v>
      </c>
      <c r="EK49">
        <f xml:space="preserve"> 0.3627433+((-0.0000008825)*EK48)+((-0.000000000128)*(EK48^2))+((0.0000000000000005746)*(EK48^3))</f>
        <v>0.15099480659999998</v>
      </c>
      <c r="EL49">
        <f>IF(EL37&lt;4, (0.6888607+((-0.000008477)*EL48)+((-0.00000000018)*(EL48^2))+((0.000000000000001025)*(EL48^3))), (0.3627433+((-0.0000008825)*EL48)+((-0.000000000128)*(EL48^2))+((0.0000000000000005746)*(EL48^3))))</f>
        <v>0.15099480659999998</v>
      </c>
      <c r="EM49">
        <f xml:space="preserve"> 0.3627433+((-0.0000008825)*EM48)+((-0.000000000128)*(EM48^2))+((0.0000000000000005746)*(EM48^3))</f>
        <v>0.15099480659999998</v>
      </c>
      <c r="EN49">
        <f xml:space="preserve"> 0.3627433+((-0.0000008825)*EN48)+((-0.000000000128)*(EN48^2))+((0.0000000000000005746)*(EN48^3))</f>
        <v>0.15099480659999998</v>
      </c>
      <c r="EO49">
        <f xml:space="preserve"> 0.3627433+((-0.0000008825)*EO48)+((-0.000000000128)*(EO48^2))+((0.0000000000000005746)*(EO48^3))</f>
        <v>0.15099480659999998</v>
      </c>
      <c r="EP49">
        <f t="shared" ref="EP49:FG49" si="55">IF(EP37&lt;4, (0.6888607+((-0.000008477)*EP48)+((-0.00000000018)*(EP48^2))+((0.000000000000001025)*(EP48^3))), (0.3627433+((-0.0000008825)*EP48)+((-0.000000000128)*(EP48^2))+((0.0000000000000005746)*(EP48^3))))</f>
        <v>0.18396401380000002</v>
      </c>
      <c r="EQ49">
        <f t="shared" si="55"/>
        <v>0.18396401380000002</v>
      </c>
      <c r="ER49">
        <f t="shared" si="55"/>
        <v>0.18396401380000002</v>
      </c>
      <c r="ES49">
        <f t="shared" si="55"/>
        <v>0.18396401380000002</v>
      </c>
      <c r="ET49">
        <f t="shared" si="55"/>
        <v>0.18396401380000002</v>
      </c>
      <c r="EU49">
        <f t="shared" si="55"/>
        <v>0.18396401380000002</v>
      </c>
      <c r="EV49">
        <f t="shared" si="55"/>
        <v>0.15099480659999998</v>
      </c>
      <c r="EW49">
        <f t="shared" si="55"/>
        <v>0.15099480659999998</v>
      </c>
      <c r="EX49">
        <f t="shared" si="55"/>
        <v>0.15099480659999998</v>
      </c>
      <c r="EY49">
        <f t="shared" si="55"/>
        <v>0.15099480659999998</v>
      </c>
      <c r="EZ49">
        <f t="shared" si="55"/>
        <v>0.15099480659999998</v>
      </c>
      <c r="FA49">
        <f t="shared" si="55"/>
        <v>0.15099480659999998</v>
      </c>
      <c r="FB49">
        <f t="shared" si="55"/>
        <v>0.15099480659999998</v>
      </c>
      <c r="FC49">
        <f t="shared" si="55"/>
        <v>0.15099480659999998</v>
      </c>
      <c r="FD49">
        <f t="shared" si="55"/>
        <v>0.15099480659999998</v>
      </c>
      <c r="FE49">
        <f t="shared" si="55"/>
        <v>0.15099480659999998</v>
      </c>
      <c r="FF49">
        <f>IF(FF37&lt;4, (0.6888607+((-0.000008477)*FF48)+((-0.00000000018)*(FF48^2))+((0.000000000000001025)*(FF48^3))), (0.3627433+((-0.0000008825)*FF48)+((-0.000000000128)*(FF48^2))+((0.0000000000000005746)*(FF48^3))))</f>
        <v>0.15099480659999998</v>
      </c>
      <c r="FG49">
        <f t="shared" si="55"/>
        <v>0.15099480659999998</v>
      </c>
      <c r="FH49">
        <f xml:space="preserve"> 0.3627433+((-0.0000008825)*FH48)+((-0.000000000128)*(FH48^2))+((0.0000000000000005746)*(FH48^3))</f>
        <v>0.15099480659999998</v>
      </c>
    </row>
    <row r="50" spans="1:164">
      <c r="A50" t="s">
        <v>2656</v>
      </c>
      <c r="B50">
        <f t="shared" ref="B50:AG50" si="56" xml:space="preserve"> B49*B27</f>
        <v>40.784884170865034</v>
      </c>
      <c r="C50">
        <f t="shared" si="56"/>
        <v>37.612866721982634</v>
      </c>
      <c r="D50">
        <f t="shared" si="56"/>
        <v>30.947847297399996</v>
      </c>
      <c r="E50">
        <f t="shared" si="56"/>
        <v>33.520232596069995</v>
      </c>
      <c r="F50">
        <f t="shared" si="56"/>
        <v>33.520232596069995</v>
      </c>
      <c r="G50">
        <f t="shared" si="56"/>
        <v>34.886769367119996</v>
      </c>
      <c r="H50">
        <f t="shared" si="56"/>
        <v>33.520232596069995</v>
      </c>
      <c r="I50">
        <f t="shared" si="56"/>
        <v>33.520232596069995</v>
      </c>
      <c r="J50">
        <f t="shared" si="56"/>
        <v>31.129469805774999</v>
      </c>
      <c r="K50">
        <f t="shared" si="56"/>
        <v>28.772765050994998</v>
      </c>
      <c r="L50">
        <f t="shared" si="56"/>
        <v>26.854589338765003</v>
      </c>
      <c r="M50">
        <f t="shared" si="56"/>
        <v>29.73185290711</v>
      </c>
      <c r="N50">
        <f t="shared" si="56"/>
        <v>30.690940763224997</v>
      </c>
      <c r="O50">
        <f t="shared" si="56"/>
        <v>46.036441330598002</v>
      </c>
      <c r="P50">
        <f t="shared" si="56"/>
        <v>67.136494908170008</v>
      </c>
      <c r="Q50">
        <f t="shared" si="56"/>
        <v>67.136494908170008</v>
      </c>
      <c r="R50">
        <f t="shared" si="56"/>
        <v>67.13646903466099</v>
      </c>
      <c r="S50">
        <f t="shared" si="56"/>
        <v>69.054660960956639</v>
      </c>
      <c r="T50">
        <f t="shared" si="56"/>
        <v>69.054660960956639</v>
      </c>
      <c r="U50">
        <f t="shared" si="56"/>
        <v>69.054660960956639</v>
      </c>
      <c r="V50">
        <f t="shared" si="56"/>
        <v>69.054660960956639</v>
      </c>
      <c r="W50">
        <f t="shared" si="56"/>
        <v>85.273979294699998</v>
      </c>
      <c r="X50">
        <f t="shared" si="56"/>
        <v>85.273979294699998</v>
      </c>
      <c r="Y50">
        <f t="shared" si="56"/>
        <v>85.273979294699998</v>
      </c>
      <c r="Z50">
        <f t="shared" si="56"/>
        <v>31.019337506941991</v>
      </c>
      <c r="AA50">
        <f t="shared" si="56"/>
        <v>45.753509166449987</v>
      </c>
      <c r="AB50">
        <f t="shared" si="56"/>
        <v>45.753509166449987</v>
      </c>
      <c r="AC50">
        <f t="shared" si="56"/>
        <v>45.236545970929981</v>
      </c>
      <c r="AD50">
        <f t="shared" si="56"/>
        <v>67.13646903466099</v>
      </c>
      <c r="AE50">
        <f t="shared" si="56"/>
        <v>46.529006260412977</v>
      </c>
      <c r="AF50">
        <f t="shared" si="56"/>
        <v>49.850657504864984</v>
      </c>
      <c r="AG50">
        <f t="shared" si="56"/>
        <v>34.389688234455036</v>
      </c>
      <c r="AH50">
        <f t="shared" ref="AH50:BM50" si="57" xml:space="preserve"> AH49*AH27</f>
        <v>39.389270448042751</v>
      </c>
      <c r="AI50">
        <f t="shared" si="57"/>
        <v>36.708352725770624</v>
      </c>
      <c r="AJ50">
        <f t="shared" si="57"/>
        <v>38.019420058290237</v>
      </c>
      <c r="AK50">
        <f t="shared" si="57"/>
        <v>36.708352725770624</v>
      </c>
      <c r="AL50">
        <f t="shared" si="57"/>
        <v>38.019420058290237</v>
      </c>
      <c r="AM50">
        <f t="shared" si="57"/>
        <v>38.019420058290237</v>
      </c>
      <c r="AN50">
        <f t="shared" si="57"/>
        <v>40.641436832192653</v>
      </c>
      <c r="AO50">
        <f t="shared" si="57"/>
        <v>41.952445219143861</v>
      </c>
      <c r="AP50">
        <f t="shared" si="57"/>
        <v>45.623280491720919</v>
      </c>
      <c r="AQ50">
        <f t="shared" si="57"/>
        <v>26.85454621625</v>
      </c>
      <c r="AR50">
        <f t="shared" si="57"/>
        <v>27.813682887051979</v>
      </c>
      <c r="AS50">
        <f t="shared" si="57"/>
        <v>27.813682887051979</v>
      </c>
      <c r="AT50">
        <f t="shared" si="57"/>
        <v>24.919128721272497</v>
      </c>
      <c r="AU50">
        <f t="shared" si="57"/>
        <v>24.919128721272497</v>
      </c>
      <c r="AV50">
        <f t="shared" si="57"/>
        <v>25.722965912420477</v>
      </c>
      <c r="AW50">
        <f t="shared" si="57"/>
        <v>25.722965912420477</v>
      </c>
      <c r="AX50">
        <f t="shared" si="57"/>
        <v>25.722965912420477</v>
      </c>
      <c r="AY50">
        <f t="shared" si="57"/>
        <v>25.722965912420477</v>
      </c>
      <c r="AZ50">
        <f t="shared" si="57"/>
        <v>32.896170473407416</v>
      </c>
      <c r="BA50">
        <f t="shared" si="57"/>
        <v>36.169421327828054</v>
      </c>
      <c r="BB50">
        <f t="shared" si="57"/>
        <v>36.169421327828054</v>
      </c>
      <c r="BC50">
        <f t="shared" si="57"/>
        <v>38.460696890969331</v>
      </c>
      <c r="BD50">
        <f t="shared" si="57"/>
        <v>32.896169001695306</v>
      </c>
      <c r="BE50">
        <f t="shared" si="57"/>
        <v>30.277533247259203</v>
      </c>
      <c r="BF50">
        <f t="shared" si="57"/>
        <v>33.714348953070804</v>
      </c>
      <c r="BG50">
        <f t="shared" si="57"/>
        <v>39.606333669936106</v>
      </c>
      <c r="BH50">
        <f t="shared" si="57"/>
        <v>43.043237678474327</v>
      </c>
      <c r="BI50">
        <f t="shared" si="57"/>
        <v>43.043237678474327</v>
      </c>
      <c r="BJ50">
        <f t="shared" si="57"/>
        <v>33.714348953070804</v>
      </c>
      <c r="BK50">
        <f t="shared" si="57"/>
        <v>39.606333669936106</v>
      </c>
      <c r="BL50">
        <f t="shared" si="57"/>
        <v>37.661124662171993</v>
      </c>
      <c r="BM50">
        <f t="shared" si="57"/>
        <v>39.382465457411996</v>
      </c>
      <c r="BN50">
        <f t="shared" ref="BN50:CS50" si="58" xml:space="preserve"> BN49*BN27</f>
        <v>39.382465457411996</v>
      </c>
      <c r="BO50">
        <f t="shared" si="58"/>
        <v>39.382465457411996</v>
      </c>
      <c r="BP50">
        <f t="shared" si="58"/>
        <v>39.382465457411996</v>
      </c>
      <c r="BQ50">
        <f t="shared" si="58"/>
        <v>39.382465457411996</v>
      </c>
      <c r="BR50">
        <f t="shared" si="58"/>
        <v>39.382465457411996</v>
      </c>
      <c r="BS50">
        <f t="shared" si="58"/>
        <v>57.916684861547154</v>
      </c>
      <c r="BT50">
        <f t="shared" si="58"/>
        <v>71.814647496011389</v>
      </c>
      <c r="BU50">
        <f t="shared" si="58"/>
        <v>55.597353900444972</v>
      </c>
      <c r="BV50">
        <f t="shared" si="58"/>
        <v>68.725890526160697</v>
      </c>
      <c r="BW50">
        <f t="shared" si="58"/>
        <v>57.916684861547154</v>
      </c>
      <c r="BX50">
        <f t="shared" si="58"/>
        <v>71.814647496011389</v>
      </c>
      <c r="BY50">
        <f t="shared" si="58"/>
        <v>72.660751858322996</v>
      </c>
      <c r="BZ50">
        <f t="shared" si="58"/>
        <v>76.391489450925008</v>
      </c>
      <c r="CA50">
        <f t="shared" si="58"/>
        <v>70.368985208699996</v>
      </c>
      <c r="CB50">
        <f t="shared" si="58"/>
        <v>75.574270830914998</v>
      </c>
      <c r="CC50">
        <f t="shared" si="58"/>
        <v>71.622403886724086</v>
      </c>
      <c r="CD50">
        <f t="shared" si="58"/>
        <v>70.025819889473993</v>
      </c>
      <c r="CE50">
        <f t="shared" si="58"/>
        <v>74.606683574062387</v>
      </c>
      <c r="CF50">
        <f t="shared" si="58"/>
        <v>72.622130604726522</v>
      </c>
      <c r="CG50">
        <f t="shared" si="58"/>
        <v>77.889378483224718</v>
      </c>
      <c r="CH50">
        <f t="shared" si="58"/>
        <v>77.516343522307423</v>
      </c>
      <c r="CI50">
        <f t="shared" si="58"/>
        <v>85.320203305778591</v>
      </c>
      <c r="CJ50">
        <f t="shared" si="58"/>
        <v>84.678587265429783</v>
      </c>
      <c r="CK50">
        <f t="shared" si="58"/>
        <v>84.857641094754129</v>
      </c>
      <c r="CL50">
        <f t="shared" si="58"/>
        <v>88.7073453875268</v>
      </c>
      <c r="CM50">
        <f t="shared" si="58"/>
        <v>65.78221624958806</v>
      </c>
      <c r="CN50">
        <f t="shared" si="58"/>
        <v>64.116792329997793</v>
      </c>
      <c r="CO50">
        <f t="shared" si="58"/>
        <v>65.78221624958806</v>
      </c>
      <c r="CP50">
        <f t="shared" si="58"/>
        <v>65.78221624958806</v>
      </c>
      <c r="CQ50">
        <f t="shared" si="58"/>
        <v>67.165836020594242</v>
      </c>
      <c r="CR50">
        <f t="shared" si="58"/>
        <v>70.470393601788828</v>
      </c>
      <c r="CS50">
        <f t="shared" si="58"/>
        <v>67.165836020594242</v>
      </c>
      <c r="CT50">
        <f t="shared" ref="CT50:DY50" si="59" xml:space="preserve"> CT49*CT27</f>
        <v>75.225733443965268</v>
      </c>
      <c r="CU50">
        <f t="shared" si="59"/>
        <v>70.470393601788828</v>
      </c>
      <c r="CV50">
        <f t="shared" si="59"/>
        <v>36.874926217742811</v>
      </c>
      <c r="CW50">
        <f t="shared" si="59"/>
        <v>37.728514910545606</v>
      </c>
      <c r="CX50">
        <f t="shared" si="59"/>
        <v>39.777120941851699</v>
      </c>
      <c r="CY50">
        <f t="shared" si="59"/>
        <v>40.630706948140777</v>
      </c>
      <c r="CZ50">
        <f t="shared" si="59"/>
        <v>37.55779778604532</v>
      </c>
      <c r="DA50">
        <f t="shared" si="59"/>
        <v>40.118556726002957</v>
      </c>
      <c r="DB50">
        <f t="shared" si="59"/>
        <v>46.093660842479913</v>
      </c>
      <c r="DC50">
        <f t="shared" si="59"/>
        <v>39.333247468222389</v>
      </c>
      <c r="DD50">
        <f t="shared" si="59"/>
        <v>42.337878960718918</v>
      </c>
      <c r="DE50">
        <f t="shared" si="59"/>
        <v>40.989214529175349</v>
      </c>
      <c r="DF50">
        <f t="shared" si="59"/>
        <v>46.298517876385141</v>
      </c>
      <c r="DG50">
        <f t="shared" si="59"/>
        <v>41.381863861795715</v>
      </c>
      <c r="DH50">
        <f t="shared" si="59"/>
        <v>42.679315665960594</v>
      </c>
      <c r="DI50">
        <f t="shared" si="59"/>
        <v>45.240073684827813</v>
      </c>
      <c r="DJ50">
        <f t="shared" si="59"/>
        <v>46.093660842479913</v>
      </c>
      <c r="DK50">
        <f t="shared" si="59"/>
        <v>42.337881148308668</v>
      </c>
      <c r="DL50">
        <f t="shared" si="59"/>
        <v>42.337881148308668</v>
      </c>
      <c r="DM50">
        <f t="shared" si="59"/>
        <v>40.989214529175349</v>
      </c>
      <c r="DN50">
        <f t="shared" si="59"/>
        <v>46.298521330474216</v>
      </c>
      <c r="DO50">
        <f t="shared" si="59"/>
        <v>46.221698858559577</v>
      </c>
      <c r="DP50">
        <f t="shared" si="59"/>
        <v>41.381863861795715</v>
      </c>
      <c r="DQ50">
        <f t="shared" si="59"/>
        <v>50.003085979404418</v>
      </c>
      <c r="DR50">
        <f t="shared" si="59"/>
        <v>49.926263200459637</v>
      </c>
      <c r="DS50">
        <f t="shared" si="59"/>
        <v>51.215178415365045</v>
      </c>
      <c r="DT50">
        <f t="shared" si="59"/>
        <v>51.044461521137372</v>
      </c>
      <c r="DU50">
        <f t="shared" si="59"/>
        <v>52.922351425791135</v>
      </c>
      <c r="DV50">
        <f t="shared" si="59"/>
        <v>54.629524052429566</v>
      </c>
      <c r="DW50">
        <f t="shared" si="59"/>
        <v>53.946654019277737</v>
      </c>
      <c r="DX50">
        <f t="shared" si="59"/>
        <v>54.902669118200947</v>
      </c>
      <c r="DY50">
        <f t="shared" si="59"/>
        <v>54.902669118200947</v>
      </c>
      <c r="DZ50">
        <f t="shared" ref="DZ50:FE50" si="60" xml:space="preserve"> DZ49*DZ27</f>
        <v>56.524479076061105</v>
      </c>
      <c r="EA50">
        <f t="shared" si="60"/>
        <v>54.902669118200947</v>
      </c>
      <c r="EB50">
        <f t="shared" si="60"/>
        <v>54.902669118200947</v>
      </c>
      <c r="EC50">
        <f t="shared" si="60"/>
        <v>56.524479076061105</v>
      </c>
      <c r="ED50">
        <f t="shared" si="60"/>
        <v>19.49152548754877</v>
      </c>
      <c r="EE50">
        <f t="shared" si="60"/>
        <v>19.49152548754877</v>
      </c>
      <c r="EF50">
        <f t="shared" si="60"/>
        <v>19.49152548754877</v>
      </c>
      <c r="EG50">
        <f t="shared" si="60"/>
        <v>19.49152548754877</v>
      </c>
      <c r="EH50">
        <f t="shared" si="60"/>
        <v>19.49152548754877</v>
      </c>
      <c r="EI50">
        <f t="shared" si="60"/>
        <v>19.49152548754877</v>
      </c>
      <c r="EJ50">
        <f t="shared" si="60"/>
        <v>25.281211463844599</v>
      </c>
      <c r="EK50">
        <f t="shared" si="60"/>
        <v>25.281211463844599</v>
      </c>
      <c r="EL50">
        <f t="shared" si="60"/>
        <v>25.281211463844599</v>
      </c>
      <c r="EM50">
        <f t="shared" si="60"/>
        <v>25.281211463844599</v>
      </c>
      <c r="EN50">
        <f t="shared" si="60"/>
        <v>25.281211463844599</v>
      </c>
      <c r="EO50">
        <f t="shared" si="60"/>
        <v>25.281211463844599</v>
      </c>
      <c r="EP50">
        <f t="shared" si="60"/>
        <v>12.402853810396001</v>
      </c>
      <c r="EQ50">
        <f t="shared" si="60"/>
        <v>12.402853810396001</v>
      </c>
      <c r="ER50">
        <f t="shared" si="60"/>
        <v>12.402853810396001</v>
      </c>
      <c r="ES50">
        <f t="shared" si="60"/>
        <v>12.402853810396001</v>
      </c>
      <c r="ET50">
        <f t="shared" si="60"/>
        <v>12.402853810396001</v>
      </c>
      <c r="EU50">
        <f t="shared" si="60"/>
        <v>14.595704854892002</v>
      </c>
      <c r="EV50">
        <f t="shared" si="60"/>
        <v>20.233304084399997</v>
      </c>
      <c r="EW50">
        <f t="shared" si="60"/>
        <v>29.594982093599995</v>
      </c>
      <c r="EX50">
        <f t="shared" si="60"/>
        <v>29.594982093599995</v>
      </c>
      <c r="EY50">
        <f t="shared" si="60"/>
        <v>29.594982093599995</v>
      </c>
      <c r="EZ50">
        <f t="shared" si="60"/>
        <v>12.385379210326318</v>
      </c>
      <c r="FA50">
        <f t="shared" si="60"/>
        <v>12.385379210326318</v>
      </c>
      <c r="FB50">
        <f t="shared" si="60"/>
        <v>12.385379210326318</v>
      </c>
      <c r="FC50">
        <f t="shared" si="60"/>
        <v>12.385379210326318</v>
      </c>
      <c r="FD50">
        <f t="shared" si="60"/>
        <v>12.385379210326318</v>
      </c>
      <c r="FE50">
        <f t="shared" si="60"/>
        <v>19.490409635928</v>
      </c>
      <c r="FF50">
        <f t="shared" ref="FF50:FH50" si="61" xml:space="preserve"> FF49*FF27</f>
        <v>19.490409635928</v>
      </c>
      <c r="FG50">
        <f t="shared" si="61"/>
        <v>19.490409635928</v>
      </c>
      <c r="FH50">
        <f t="shared" si="61"/>
        <v>19.490409635928</v>
      </c>
    </row>
    <row r="51" spans="1:164">
      <c r="A51" t="s">
        <v>2657</v>
      </c>
      <c r="B51" s="225">
        <f t="shared" ref="B51:AG51" si="62">(1/(10^6))*(1000*B50)*(B14)</f>
        <v>9.2319032413803246</v>
      </c>
      <c r="C51" s="225">
        <f t="shared" si="62"/>
        <v>8.5138980597211003</v>
      </c>
      <c r="D51" s="225">
        <f t="shared" si="62"/>
        <v>7.6420447766888726</v>
      </c>
      <c r="E51" s="225">
        <f t="shared" si="62"/>
        <v>7.58750576951602</v>
      </c>
      <c r="F51" s="225">
        <f t="shared" si="62"/>
        <v>7.7599338459902043</v>
      </c>
      <c r="G51" s="225">
        <f t="shared" si="62"/>
        <v>7.8968295668638131</v>
      </c>
      <c r="H51" s="225">
        <f t="shared" si="62"/>
        <v>7.58750576951602</v>
      </c>
      <c r="I51" s="225">
        <f t="shared" si="62"/>
        <v>7.58750576951602</v>
      </c>
      <c r="J51" s="225">
        <f t="shared" si="62"/>
        <v>6.0854689228611489</v>
      </c>
      <c r="K51" s="225">
        <f t="shared" si="62"/>
        <v>6.5128880058830241</v>
      </c>
      <c r="L51" s="225">
        <f t="shared" si="62"/>
        <v>6.0786974243654903</v>
      </c>
      <c r="M51" s="225">
        <f t="shared" si="62"/>
        <v>5.8122501929580261</v>
      </c>
      <c r="N51" s="225">
        <f t="shared" si="62"/>
        <v>6.9470785874005569</v>
      </c>
      <c r="O51" s="225">
        <f t="shared" si="62"/>
        <v>12.078443002585008</v>
      </c>
      <c r="P51" s="225">
        <f t="shared" si="62"/>
        <v>17.61440075957184</v>
      </c>
      <c r="Q51" s="225">
        <f t="shared" si="62"/>
        <v>17.61440075957184</v>
      </c>
      <c r="R51" s="225">
        <f t="shared" si="62"/>
        <v>17.614393971216899</v>
      </c>
      <c r="S51" s="225">
        <f t="shared" si="62"/>
        <v>18.117664232343312</v>
      </c>
      <c r="T51" s="225">
        <f t="shared" si="62"/>
        <v>18.117664232343312</v>
      </c>
      <c r="U51" s="225">
        <f t="shared" si="62"/>
        <v>18.117664232343312</v>
      </c>
      <c r="V51" s="225">
        <f t="shared" si="62"/>
        <v>18.117664232343312</v>
      </c>
      <c r="W51" s="225">
        <f t="shared" si="62"/>
        <v>20.179575556214985</v>
      </c>
      <c r="X51" s="225">
        <f t="shared" si="62"/>
        <v>20.179575556214985</v>
      </c>
      <c r="Y51" s="225">
        <f t="shared" si="62"/>
        <v>20.179575556214985</v>
      </c>
      <c r="Z51" s="225">
        <f t="shared" si="62"/>
        <v>7.5001345964659958</v>
      </c>
      <c r="AA51" s="225">
        <f t="shared" si="62"/>
        <v>11.062695227846774</v>
      </c>
      <c r="AB51" s="225">
        <f t="shared" si="62"/>
        <v>11.062695227846774</v>
      </c>
      <c r="AC51" s="225">
        <f t="shared" si="62"/>
        <v>10.937699213765187</v>
      </c>
      <c r="AD51" s="225">
        <f t="shared" si="62"/>
        <v>16.232859711421643</v>
      </c>
      <c r="AE51" s="225">
        <f t="shared" si="62"/>
        <v>11.250201894698991</v>
      </c>
      <c r="AF51" s="225">
        <f t="shared" si="62"/>
        <v>12.053340627443799</v>
      </c>
      <c r="AG51" s="225">
        <f t="shared" si="62"/>
        <v>7.6958276021710521</v>
      </c>
      <c r="AH51" s="225">
        <f t="shared" ref="AH51:BM51" si="63">(1/(10^6))*(1000*AH50)*(AH14)</f>
        <v>8.8146491086743488</v>
      </c>
      <c r="AI51" s="225">
        <f t="shared" si="63"/>
        <v>8.8756758972113534</v>
      </c>
      <c r="AJ51" s="225">
        <f t="shared" si="63"/>
        <v>9.1926775564739369</v>
      </c>
      <c r="AK51" s="225">
        <f t="shared" si="63"/>
        <v>8.8756758972113534</v>
      </c>
      <c r="AL51" s="225">
        <f t="shared" si="63"/>
        <v>9.1926775564739369</v>
      </c>
      <c r="AM51" s="225">
        <f t="shared" si="63"/>
        <v>9.1926775564739369</v>
      </c>
      <c r="AN51" s="225">
        <f t="shared" si="63"/>
        <v>9.826652370219028</v>
      </c>
      <c r="AO51" s="225">
        <f t="shared" si="63"/>
        <v>10.143639777091574</v>
      </c>
      <c r="AP51" s="225">
        <f t="shared" si="63"/>
        <v>11.031207366812708</v>
      </c>
      <c r="AQ51" s="225">
        <f t="shared" si="63"/>
        <v>5.8023812373064887</v>
      </c>
      <c r="AR51" s="225">
        <f t="shared" si="63"/>
        <v>6.0096190203566593</v>
      </c>
      <c r="AS51" s="225">
        <f t="shared" si="63"/>
        <v>6.0096190203566593</v>
      </c>
      <c r="AT51" s="225">
        <f t="shared" si="63"/>
        <v>5.3842013854191846</v>
      </c>
      <c r="AU51" s="225">
        <f t="shared" si="63"/>
        <v>5.3842013854191846</v>
      </c>
      <c r="AV51" s="225">
        <f t="shared" si="63"/>
        <v>5.5578840757989552</v>
      </c>
      <c r="AW51" s="225">
        <f t="shared" si="63"/>
        <v>5.5578840757989552</v>
      </c>
      <c r="AX51" s="225">
        <f t="shared" si="63"/>
        <v>5.5578840757989552</v>
      </c>
      <c r="AY51" s="225">
        <f t="shared" si="63"/>
        <v>5.5578840757989552</v>
      </c>
      <c r="AZ51" s="225">
        <f t="shared" si="63"/>
        <v>7.4016383565166679</v>
      </c>
      <c r="BA51" s="225">
        <f t="shared" si="63"/>
        <v>8.138119798761311</v>
      </c>
      <c r="BB51" s="225">
        <f t="shared" si="63"/>
        <v>8.138119798761311</v>
      </c>
      <c r="BC51" s="225">
        <f t="shared" si="63"/>
        <v>8.6536568004680987</v>
      </c>
      <c r="BD51" s="225">
        <f t="shared" si="63"/>
        <v>7.4016380253814438</v>
      </c>
      <c r="BE51" s="225">
        <f t="shared" si="63"/>
        <v>6.9638326468696166</v>
      </c>
      <c r="BF51" s="225">
        <f t="shared" si="63"/>
        <v>7.7543002592062846</v>
      </c>
      <c r="BG51" s="225">
        <f t="shared" si="63"/>
        <v>9.1094567440853034</v>
      </c>
      <c r="BH51" s="225">
        <f t="shared" si="63"/>
        <v>9.8999446660490946</v>
      </c>
      <c r="BI51" s="225">
        <f t="shared" si="63"/>
        <v>9.8999446660490946</v>
      </c>
      <c r="BJ51" s="225">
        <f t="shared" si="63"/>
        <v>7.7543002592062846</v>
      </c>
      <c r="BK51" s="225">
        <f t="shared" si="63"/>
        <v>9.1094567440853034</v>
      </c>
      <c r="BL51" s="225">
        <f t="shared" si="63"/>
        <v>8.6620586722995565</v>
      </c>
      <c r="BM51" s="225">
        <f t="shared" si="63"/>
        <v>9.0579670552047595</v>
      </c>
      <c r="BN51" s="225">
        <f t="shared" ref="BN51:CS51" si="64">(1/(10^6))*(1000*BN50)*(BN14)</f>
        <v>9.0579670552047595</v>
      </c>
      <c r="BO51" s="225">
        <f t="shared" si="64"/>
        <v>9.0579670552047595</v>
      </c>
      <c r="BP51" s="225">
        <f t="shared" si="64"/>
        <v>9.0579670552047595</v>
      </c>
      <c r="BQ51" s="225">
        <f t="shared" si="64"/>
        <v>9.0579670552047595</v>
      </c>
      <c r="BR51" s="225">
        <f t="shared" si="64"/>
        <v>9.0579670552047595</v>
      </c>
      <c r="BS51" s="225">
        <f t="shared" si="64"/>
        <v>14.003617315988622</v>
      </c>
      <c r="BT51" s="225">
        <f t="shared" si="64"/>
        <v>17.363991803413093</v>
      </c>
      <c r="BU51" s="225">
        <f t="shared" si="64"/>
        <v>13.442828602234687</v>
      </c>
      <c r="BV51" s="225">
        <f t="shared" si="64"/>
        <v>16.617164344429867</v>
      </c>
      <c r="BW51" s="225">
        <f t="shared" si="64"/>
        <v>14.003617315988622</v>
      </c>
      <c r="BX51" s="225">
        <f t="shared" si="64"/>
        <v>17.363991803413093</v>
      </c>
      <c r="BY51" s="225">
        <f t="shared" si="64"/>
        <v>17.568570531072059</v>
      </c>
      <c r="BZ51" s="225">
        <f t="shared" si="64"/>
        <v>18.470621842849702</v>
      </c>
      <c r="CA51" s="225">
        <f t="shared" si="64"/>
        <v>17.014446564626361</v>
      </c>
      <c r="CB51" s="225">
        <f t="shared" si="64"/>
        <v>18.273027369936106</v>
      </c>
      <c r="CC51" s="225">
        <f t="shared" si="64"/>
        <v>16.949012145369935</v>
      </c>
      <c r="CD51" s="225">
        <f t="shared" si="64"/>
        <v>16.571190121924683</v>
      </c>
      <c r="CE51" s="225">
        <f t="shared" si="64"/>
        <v>17.65522402770042</v>
      </c>
      <c r="CF51" s="225">
        <f t="shared" si="64"/>
        <v>17.185591474824903</v>
      </c>
      <c r="CG51" s="225">
        <f t="shared" si="64"/>
        <v>18.43205408178423</v>
      </c>
      <c r="CH51" s="225">
        <f t="shared" si="64"/>
        <v>18.343777596492917</v>
      </c>
      <c r="CI51" s="225">
        <f t="shared" si="64"/>
        <v>20.190514191092667</v>
      </c>
      <c r="CJ51" s="225">
        <f t="shared" si="64"/>
        <v>20.038679604840365</v>
      </c>
      <c r="CK51" s="225">
        <f t="shared" si="64"/>
        <v>20.081051619226997</v>
      </c>
      <c r="CL51" s="225">
        <f t="shared" si="64"/>
        <v>20.99206104188589</v>
      </c>
      <c r="CM51" s="225">
        <f t="shared" si="64"/>
        <v>16.243800005159528</v>
      </c>
      <c r="CN51" s="225">
        <f t="shared" si="64"/>
        <v>15.832551880423342</v>
      </c>
      <c r="CO51" s="225">
        <f t="shared" si="64"/>
        <v>16.243800005159528</v>
      </c>
      <c r="CP51" s="225">
        <f t="shared" si="64"/>
        <v>16.243800005159528</v>
      </c>
      <c r="CQ51" s="225">
        <f t="shared" si="64"/>
        <v>16.585461386073398</v>
      </c>
      <c r="CR51" s="225">
        <f t="shared" si="64"/>
        <v>17.401465703270521</v>
      </c>
      <c r="CS51" s="225">
        <f t="shared" si="64"/>
        <v>16.585461386073398</v>
      </c>
      <c r="CT51" s="225">
        <f t="shared" ref="CT51:DY51" si="65">(1/(10^6))*(1000*CT50)*(CT14)</f>
        <v>18.575716036518671</v>
      </c>
      <c r="CU51" s="225">
        <f t="shared" si="65"/>
        <v>17.401465703270521</v>
      </c>
      <c r="CV51" s="225">
        <f t="shared" si="65"/>
        <v>8.7262300398715293</v>
      </c>
      <c r="CW51" s="225">
        <f t="shared" si="65"/>
        <v>8.9282266824911556</v>
      </c>
      <c r="CX51" s="225">
        <f t="shared" si="65"/>
        <v>9.4130170081635516</v>
      </c>
      <c r="CY51" s="225">
        <f t="shared" si="65"/>
        <v>9.6150130150358244</v>
      </c>
      <c r="CZ51" s="225">
        <f t="shared" si="65"/>
        <v>8.6946301874694907</v>
      </c>
      <c r="DA51" s="225">
        <f t="shared" si="65"/>
        <v>9.287445882069683</v>
      </c>
      <c r="DB51" s="225">
        <f t="shared" si="65"/>
        <v>10.670682485034098</v>
      </c>
      <c r="DC51" s="225">
        <f t="shared" si="65"/>
        <v>9.1056467888934822</v>
      </c>
      <c r="DD51" s="225">
        <f t="shared" si="65"/>
        <v>9.8012189794064284</v>
      </c>
      <c r="DE51" s="225">
        <f t="shared" si="65"/>
        <v>9.4890031635040923</v>
      </c>
      <c r="DF51" s="225">
        <f t="shared" si="65"/>
        <v>10.71810688838316</v>
      </c>
      <c r="DG51" s="225">
        <f t="shared" si="65"/>
        <v>9.5799014840057062</v>
      </c>
      <c r="DH51" s="225">
        <f t="shared" si="65"/>
        <v>9.8802615766698771</v>
      </c>
      <c r="DI51" s="225">
        <f t="shared" si="65"/>
        <v>10.473077058037639</v>
      </c>
      <c r="DJ51" s="225">
        <f t="shared" si="65"/>
        <v>10.670682485034098</v>
      </c>
      <c r="DK51" s="225">
        <f t="shared" si="65"/>
        <v>9.8012194858334567</v>
      </c>
      <c r="DL51" s="225">
        <f t="shared" si="65"/>
        <v>9.8012194858334567</v>
      </c>
      <c r="DM51" s="225">
        <f t="shared" si="65"/>
        <v>9.4890031635040923</v>
      </c>
      <c r="DN51" s="225">
        <f t="shared" si="65"/>
        <v>10.71810768800478</v>
      </c>
      <c r="DO51" s="225">
        <f t="shared" si="65"/>
        <v>10.700323285756541</v>
      </c>
      <c r="DP51" s="225">
        <f t="shared" si="65"/>
        <v>9.5799014840057062</v>
      </c>
      <c r="DQ51" s="225">
        <f t="shared" si="65"/>
        <v>11.575714404232121</v>
      </c>
      <c r="DR51" s="225">
        <f t="shared" si="65"/>
        <v>11.557929930906406</v>
      </c>
      <c r="DS51" s="225">
        <f t="shared" si="65"/>
        <v>11.856313803157008</v>
      </c>
      <c r="DT51" s="225">
        <f t="shared" si="65"/>
        <v>11.816792842143302</v>
      </c>
      <c r="DU51" s="225">
        <f t="shared" si="65"/>
        <v>12.251524355070648</v>
      </c>
      <c r="DV51" s="225">
        <f t="shared" si="65"/>
        <v>12.646734818137444</v>
      </c>
      <c r="DW51" s="225">
        <f t="shared" si="65"/>
        <v>12.488650405462796</v>
      </c>
      <c r="DX51" s="225">
        <f t="shared" si="65"/>
        <v>12.709967900863518</v>
      </c>
      <c r="DY51" s="225">
        <f t="shared" si="65"/>
        <v>12.709967900863518</v>
      </c>
      <c r="DZ51" s="225">
        <f t="shared" ref="DZ51:FE51" si="66">(1/(10^6))*(1000*DZ50)*(DZ14)</f>
        <v>13.085416906108145</v>
      </c>
      <c r="EA51" s="225">
        <f t="shared" si="66"/>
        <v>12.709967900863518</v>
      </c>
      <c r="EB51" s="225">
        <f t="shared" si="66"/>
        <v>12.709967900863518</v>
      </c>
      <c r="EC51" s="225">
        <f t="shared" si="66"/>
        <v>13.085416906108145</v>
      </c>
      <c r="ED51" s="225">
        <f t="shared" si="66"/>
        <v>4.6125525574754906</v>
      </c>
      <c r="EE51" s="225">
        <f t="shared" si="66"/>
        <v>4.6125525574754906</v>
      </c>
      <c r="EF51" s="225">
        <f t="shared" si="66"/>
        <v>4.6125525574754906</v>
      </c>
      <c r="EG51" s="225">
        <f t="shared" si="66"/>
        <v>4.6125525574754906</v>
      </c>
      <c r="EH51" s="225">
        <f t="shared" si="66"/>
        <v>4.6125525574754906</v>
      </c>
      <c r="EI51" s="225">
        <f t="shared" si="66"/>
        <v>4.6125525574754906</v>
      </c>
      <c r="EJ51" s="225">
        <f t="shared" si="66"/>
        <v>5.9826470056500414</v>
      </c>
      <c r="EK51" s="225">
        <f t="shared" si="66"/>
        <v>5.9826470056500414</v>
      </c>
      <c r="EL51" s="225">
        <f t="shared" si="66"/>
        <v>5.9826470056500414</v>
      </c>
      <c r="EM51" s="225">
        <f t="shared" si="66"/>
        <v>5.9826470056500414</v>
      </c>
      <c r="EN51" s="225">
        <f t="shared" si="66"/>
        <v>5.9826470056500414</v>
      </c>
      <c r="EO51" s="225">
        <f t="shared" si="66"/>
        <v>5.9826470056500414</v>
      </c>
      <c r="EP51" s="225">
        <f t="shared" si="66"/>
        <v>2.8712606571066739</v>
      </c>
      <c r="EQ51" s="225">
        <f t="shared" si="66"/>
        <v>2.8712606571066739</v>
      </c>
      <c r="ER51" s="225">
        <f t="shared" si="66"/>
        <v>2.8712606571066739</v>
      </c>
      <c r="ES51" s="225">
        <f t="shared" si="66"/>
        <v>2.8712606571066739</v>
      </c>
      <c r="ET51" s="225">
        <f t="shared" si="66"/>
        <v>2.8712606571066739</v>
      </c>
      <c r="EU51" s="225">
        <f t="shared" si="66"/>
        <v>3.3789056739074983</v>
      </c>
      <c r="EV51" s="225">
        <f t="shared" si="66"/>
        <v>4.923437327203998</v>
      </c>
      <c r="EW51" s="225">
        <f t="shared" si="66"/>
        <v>7.2014456427759983</v>
      </c>
      <c r="EX51" s="225">
        <f t="shared" si="66"/>
        <v>7.2014456427759983</v>
      </c>
      <c r="EY51" s="225">
        <f t="shared" si="66"/>
        <v>7.2014456427759983</v>
      </c>
      <c r="EZ51" s="225">
        <f t="shared" si="66"/>
        <v>2.7015484548732176</v>
      </c>
      <c r="FA51" s="225">
        <f t="shared" si="66"/>
        <v>2.7015484548732176</v>
      </c>
      <c r="FB51" s="225">
        <f t="shared" si="66"/>
        <v>2.7015484548732176</v>
      </c>
      <c r="FC51" s="225">
        <f t="shared" si="66"/>
        <v>2.6760717298375765</v>
      </c>
      <c r="FD51" s="225">
        <f t="shared" si="66"/>
        <v>2.6760717298375765</v>
      </c>
      <c r="FE51" s="225">
        <f t="shared" si="66"/>
        <v>4.4318073046558526</v>
      </c>
      <c r="FF51" s="225">
        <f t="shared" ref="FF51:FH51" si="67">(1/(10^6))*(1000*FF50)*(FF14)</f>
        <v>4.5922523567788121</v>
      </c>
      <c r="FG51" s="225">
        <f t="shared" si="67"/>
        <v>4.5922523567788121</v>
      </c>
      <c r="FH51" s="225">
        <f t="shared" si="67"/>
        <v>4.7125666554613952</v>
      </c>
    </row>
    <row r="52" spans="1:164">
      <c r="A52" t="s">
        <v>2658</v>
      </c>
      <c r="B52">
        <f t="shared" ref="B52:AG52" si="68">B14*(0.985*0.97*B20*9.81)/(B51*10^6)</f>
        <v>16.261685707907041</v>
      </c>
      <c r="C52">
        <f t="shared" si="68"/>
        <v>18.989708815269751</v>
      </c>
      <c r="D52">
        <f t="shared" si="68"/>
        <v>19.233025544171078</v>
      </c>
      <c r="E52">
        <f t="shared" si="68"/>
        <v>18.961666416017632</v>
      </c>
      <c r="F52">
        <f t="shared" si="68"/>
        <v>18.961666416017632</v>
      </c>
      <c r="G52">
        <f t="shared" si="68"/>
        <v>19.498592472956631</v>
      </c>
      <c r="H52">
        <f t="shared" si="68"/>
        <v>17.756779071792128</v>
      </c>
      <c r="I52">
        <f t="shared" si="68"/>
        <v>18.961666416017632</v>
      </c>
      <c r="J52">
        <f t="shared" si="68"/>
        <v>12.38739801546388</v>
      </c>
      <c r="K52">
        <f t="shared" si="68"/>
        <v>14.776066742351475</v>
      </c>
      <c r="L52">
        <f t="shared" si="68"/>
        <v>17.098112323884678</v>
      </c>
      <c r="M52">
        <f t="shared" si="68"/>
        <v>16.301573797275712</v>
      </c>
      <c r="N52">
        <f t="shared" si="68"/>
        <v>16.761791714085057</v>
      </c>
      <c r="O52">
        <f t="shared" si="68"/>
        <v>25.205532216686809</v>
      </c>
      <c r="P52">
        <f t="shared" si="68"/>
        <v>17.479243696071993</v>
      </c>
      <c r="Q52">
        <f t="shared" si="68"/>
        <v>19.94811706285584</v>
      </c>
      <c r="R52">
        <f t="shared" si="68"/>
        <v>19.948124750596858</v>
      </c>
      <c r="S52">
        <f t="shared" si="68"/>
        <v>20.009690980471909</v>
      </c>
      <c r="T52">
        <f t="shared" si="68"/>
        <v>20.009690980471909</v>
      </c>
      <c r="U52">
        <f t="shared" si="68"/>
        <v>21.548897978969752</v>
      </c>
      <c r="V52">
        <f t="shared" si="68"/>
        <v>21.856739378669321</v>
      </c>
      <c r="W52">
        <f t="shared" si="68"/>
        <v>16.203799072337652</v>
      </c>
      <c r="X52">
        <f t="shared" si="68"/>
        <v>16.70237750533266</v>
      </c>
      <c r="Y52">
        <f t="shared" si="68"/>
        <v>17.699534371322667</v>
      </c>
      <c r="Z52">
        <f t="shared" si="68"/>
        <v>31.425181397953676</v>
      </c>
      <c r="AA52">
        <f t="shared" si="68"/>
        <v>21.755901307563768</v>
      </c>
      <c r="AB52">
        <f t="shared" si="68"/>
        <v>23.968365847316019</v>
      </c>
      <c r="AC52">
        <f t="shared" si="68"/>
        <v>29.360090191313425</v>
      </c>
      <c r="AD52">
        <f t="shared" si="68"/>
        <v>19.78282576887247</v>
      </c>
      <c r="AE52">
        <f t="shared" si="68"/>
        <v>29.914355369205907</v>
      </c>
      <c r="AF52">
        <f t="shared" si="68"/>
        <v>28.485163342357527</v>
      </c>
      <c r="AG52">
        <f t="shared" si="68"/>
        <v>14.588051757775693</v>
      </c>
      <c r="AH52">
        <f t="shared" ref="AH52:BM52" si="69">AH14*(0.985*0.97*AH20*9.81)/(AH51*10^6)</f>
        <v>13.060048530133713</v>
      </c>
      <c r="AI52">
        <f t="shared" si="69"/>
        <v>18.537394684623909</v>
      </c>
      <c r="AJ52">
        <f t="shared" si="69"/>
        <v>18.90892538728351</v>
      </c>
      <c r="AK52">
        <f t="shared" si="69"/>
        <v>18.537394684623909</v>
      </c>
      <c r="AL52">
        <f t="shared" si="69"/>
        <v>18.90892538728351</v>
      </c>
      <c r="AM52">
        <f t="shared" si="69"/>
        <v>19.352681133008542</v>
      </c>
      <c r="AN52">
        <f t="shared" si="69"/>
        <v>19.349505894611681</v>
      </c>
      <c r="AO52">
        <f t="shared" si="69"/>
        <v>19.325725235201091</v>
      </c>
      <c r="AP52">
        <f t="shared" si="69"/>
        <v>19.537589457464669</v>
      </c>
      <c r="AQ52">
        <f t="shared" si="69"/>
        <v>16.306546307418841</v>
      </c>
      <c r="AR52">
        <f t="shared" si="69"/>
        <v>16.81417256487131</v>
      </c>
      <c r="AS52">
        <f t="shared" si="69"/>
        <v>17.654965440898046</v>
      </c>
      <c r="AT52">
        <f t="shared" si="69"/>
        <v>19.705729507942625</v>
      </c>
      <c r="AU52">
        <f t="shared" si="69"/>
        <v>19.961501526751576</v>
      </c>
      <c r="AV52">
        <f t="shared" si="69"/>
        <v>20.577333618765159</v>
      </c>
      <c r="AW52">
        <f t="shared" si="69"/>
        <v>21.172368074768901</v>
      </c>
      <c r="AX52">
        <f t="shared" si="69"/>
        <v>19.089929669342446</v>
      </c>
      <c r="AY52">
        <f t="shared" si="69"/>
        <v>21.172368074768901</v>
      </c>
      <c r="AZ52">
        <f t="shared" si="69"/>
        <v>16.09032430300309</v>
      </c>
      <c r="BA52">
        <f t="shared" si="69"/>
        <v>16.103513370584963</v>
      </c>
      <c r="BB52">
        <f t="shared" si="69"/>
        <v>16.279988099518185</v>
      </c>
      <c r="BC52">
        <f t="shared" si="69"/>
        <v>15.752192637173794</v>
      </c>
      <c r="BD52">
        <f t="shared" si="69"/>
        <v>14.927258250943863</v>
      </c>
      <c r="BE52">
        <f t="shared" si="69"/>
        <v>17.411669041771159</v>
      </c>
      <c r="BF52">
        <f t="shared" si="69"/>
        <v>19.483020510771908</v>
      </c>
      <c r="BG52">
        <f t="shared" si="69"/>
        <v>16.692094844033228</v>
      </c>
      <c r="BH52">
        <f t="shared" si="69"/>
        <v>17.206283794547751</v>
      </c>
      <c r="BI52">
        <f t="shared" si="69"/>
        <v>18.539609648476272</v>
      </c>
      <c r="BJ52">
        <f t="shared" si="69"/>
        <v>21.563655863263595</v>
      </c>
      <c r="BK52">
        <f t="shared" si="69"/>
        <v>18.699150396989896</v>
      </c>
      <c r="BL52">
        <f t="shared" si="69"/>
        <v>19.981040439781211</v>
      </c>
      <c r="BM52">
        <f t="shared" si="69"/>
        <v>19.669141307967866</v>
      </c>
      <c r="BN52">
        <f t="shared" ref="BN52:CS52" si="70">BN14*(0.985*0.97*BN20*9.81)/(BN51*10^6)</f>
        <v>19.669141307967866</v>
      </c>
      <c r="BO52">
        <f t="shared" si="70"/>
        <v>21.018592341511468</v>
      </c>
      <c r="BP52">
        <f t="shared" si="70"/>
        <v>21.363928046920954</v>
      </c>
      <c r="BQ52">
        <f t="shared" si="70"/>
        <v>19.669141307967866</v>
      </c>
      <c r="BR52">
        <f t="shared" si="70"/>
        <v>21.018592341511468</v>
      </c>
      <c r="BS52">
        <f t="shared" si="70"/>
        <v>18.352123862767762</v>
      </c>
      <c r="BT52">
        <f t="shared" si="70"/>
        <v>15.094181789100965</v>
      </c>
      <c r="BU52">
        <f t="shared" si="70"/>
        <v>18.350642867858401</v>
      </c>
      <c r="BV52">
        <f t="shared" si="70"/>
        <v>15.772561637631728</v>
      </c>
      <c r="BW52">
        <f t="shared" si="70"/>
        <v>18.352123862767762</v>
      </c>
      <c r="BX52">
        <f t="shared" si="70"/>
        <v>15.224697844346109</v>
      </c>
      <c r="BY52">
        <f t="shared" si="70"/>
        <v>15.798170717435422</v>
      </c>
      <c r="BZ52">
        <f t="shared" si="70"/>
        <v>15.026634125944513</v>
      </c>
      <c r="CA52">
        <f t="shared" si="70"/>
        <v>16.312683192894468</v>
      </c>
      <c r="CB52">
        <f t="shared" si="70"/>
        <v>15.189123886927772</v>
      </c>
      <c r="CC52">
        <f t="shared" si="70"/>
        <v>16.739510865687826</v>
      </c>
      <c r="CD52">
        <f t="shared" si="70"/>
        <v>18.214056832810055</v>
      </c>
      <c r="CE52">
        <f t="shared" si="70"/>
        <v>17.66557588496271</v>
      </c>
      <c r="CF52">
        <f t="shared" si="70"/>
        <v>18.441044107866453</v>
      </c>
      <c r="CG52">
        <f t="shared" si="70"/>
        <v>16.921049517513552</v>
      </c>
      <c r="CH52">
        <f t="shared" si="70"/>
        <v>17.276716790744921</v>
      </c>
      <c r="CI52">
        <f t="shared" si="70"/>
        <v>16.69310892906109</v>
      </c>
      <c r="CJ52">
        <f t="shared" si="70"/>
        <v>17.622861920592367</v>
      </c>
      <c r="CK52">
        <f t="shared" si="70"/>
        <v>19.038604010197663</v>
      </c>
      <c r="CL52">
        <f t="shared" si="70"/>
        <v>18.547846079061575</v>
      </c>
      <c r="CM52">
        <f t="shared" si="70"/>
        <v>18.807990738800132</v>
      </c>
      <c r="CN52">
        <f t="shared" si="70"/>
        <v>19.296525434899948</v>
      </c>
      <c r="CO52">
        <f t="shared" si="70"/>
        <v>19.748390275740142</v>
      </c>
      <c r="CP52">
        <f t="shared" si="70"/>
        <v>20.23283852204257</v>
      </c>
      <c r="CQ52">
        <f t="shared" si="70"/>
        <v>19.816040979403631</v>
      </c>
      <c r="CR52">
        <f t="shared" si="70"/>
        <v>19.950855999821055</v>
      </c>
      <c r="CS52">
        <f t="shared" si="70"/>
        <v>21.351086407385601</v>
      </c>
      <c r="CT52">
        <f t="shared" ref="CT52:DY52" si="71">CT14*(0.985*0.97*CT20*9.81)/(CT51*10^6)</f>
        <v>19.935655677150553</v>
      </c>
      <c r="CU52">
        <f t="shared" si="71"/>
        <v>21.812935893137688</v>
      </c>
      <c r="CV52">
        <f t="shared" si="71"/>
        <v>14.996773206665161</v>
      </c>
      <c r="CW52">
        <f t="shared" si="71"/>
        <v>14.657478748134556</v>
      </c>
      <c r="CX52">
        <f t="shared" si="71"/>
        <v>16.023321218539898</v>
      </c>
      <c r="CY52">
        <f t="shared" si="71"/>
        <v>15.686696931301242</v>
      </c>
      <c r="CZ52">
        <f t="shared" si="71"/>
        <v>15.971908987243204</v>
      </c>
      <c r="DA52">
        <f t="shared" si="71"/>
        <v>17.639189380193454</v>
      </c>
      <c r="DB52">
        <f t="shared" si="71"/>
        <v>15.352627819438064</v>
      </c>
      <c r="DC52">
        <f t="shared" si="71"/>
        <v>17.991365201200907</v>
      </c>
      <c r="DD52">
        <f t="shared" si="71"/>
        <v>16.714555313613275</v>
      </c>
      <c r="DE52">
        <f t="shared" si="71"/>
        <v>14.634818814911034</v>
      </c>
      <c r="DF52">
        <f t="shared" si="71"/>
        <v>15.284697053141434</v>
      </c>
      <c r="DG52">
        <f t="shared" si="71"/>
        <v>14.495957214576016</v>
      </c>
      <c r="DH52">
        <f t="shared" si="71"/>
        <v>16.141610520232661</v>
      </c>
      <c r="DI52">
        <f t="shared" si="71"/>
        <v>15.227934763091271</v>
      </c>
      <c r="DJ52">
        <f t="shared" si="71"/>
        <v>15.860992979022106</v>
      </c>
      <c r="DK52">
        <f t="shared" si="71"/>
        <v>16.271784795671596</v>
      </c>
      <c r="DL52">
        <f t="shared" si="71"/>
        <v>17.268016517855568</v>
      </c>
      <c r="DM52">
        <f t="shared" si="71"/>
        <v>16.807174732749392</v>
      </c>
      <c r="DN52">
        <f t="shared" si="71"/>
        <v>15.993257975014807</v>
      </c>
      <c r="DO52">
        <f t="shared" si="71"/>
        <v>16.01983946470364</v>
      </c>
      <c r="DP52">
        <f t="shared" si="71"/>
        <v>16.647700863614645</v>
      </c>
      <c r="DQ52">
        <f t="shared" si="71"/>
        <v>14.808369943506825</v>
      </c>
      <c r="DR52">
        <f t="shared" si="71"/>
        <v>14.831155949463948</v>
      </c>
      <c r="DS52">
        <f t="shared" si="71"/>
        <v>15.189951056903976</v>
      </c>
      <c r="DT52">
        <f t="shared" si="71"/>
        <v>15.240753459175004</v>
      </c>
      <c r="DU52">
        <f t="shared" si="71"/>
        <v>15.762599696079729</v>
      </c>
      <c r="DV52">
        <f t="shared" si="71"/>
        <v>16.042098040409794</v>
      </c>
      <c r="DW52">
        <f t="shared" si="71"/>
        <v>16.245162868429802</v>
      </c>
      <c r="DX52">
        <f t="shared" si="71"/>
        <v>15.194048921447683</v>
      </c>
      <c r="DY52">
        <f t="shared" si="71"/>
        <v>15.962287350060208</v>
      </c>
      <c r="DZ52">
        <f t="shared" ref="DZ52:FE52" si="72">DZ14*(0.985*0.97*DZ20*9.81)/(DZ51*10^6)</f>
        <v>15.50429468922175</v>
      </c>
      <c r="EA52">
        <f t="shared" si="72"/>
        <v>16.559806127869948</v>
      </c>
      <c r="EB52">
        <f t="shared" si="72"/>
        <v>17.242684731081081</v>
      </c>
      <c r="EC52">
        <f t="shared" si="72"/>
        <v>16.74795469103098</v>
      </c>
      <c r="ED52">
        <f t="shared" si="72"/>
        <v>17.306649116329513</v>
      </c>
      <c r="EE52">
        <f t="shared" si="72"/>
        <v>17.888506449776543</v>
      </c>
      <c r="EF52">
        <f t="shared" si="72"/>
        <v>18.561729810789636</v>
      </c>
      <c r="EG52">
        <f t="shared" si="72"/>
        <v>18.032768598565063</v>
      </c>
      <c r="EH52">
        <f t="shared" si="72"/>
        <v>18.6530958383557</v>
      </c>
      <c r="EI52">
        <f t="shared" si="72"/>
        <v>19.41287648864191</v>
      </c>
      <c r="EJ52">
        <f t="shared" si="72"/>
        <v>17.71805809605301</v>
      </c>
      <c r="EK52">
        <f t="shared" si="72"/>
        <v>18.648636163035498</v>
      </c>
      <c r="EL52">
        <f t="shared" si="72"/>
        <v>19.204758513821844</v>
      </c>
      <c r="EM52">
        <f t="shared" si="72"/>
        <v>18.088806329910575</v>
      </c>
      <c r="EN52">
        <f t="shared" si="72"/>
        <v>18.830302797625702</v>
      </c>
      <c r="EO52">
        <f t="shared" si="72"/>
        <v>19.386425148412052</v>
      </c>
      <c r="EP52">
        <f t="shared" si="72"/>
        <v>14.358495893157194</v>
      </c>
      <c r="EQ52">
        <f t="shared" si="72"/>
        <v>15.114206203323363</v>
      </c>
      <c r="ER52">
        <f t="shared" si="72"/>
        <v>15.945487544506147</v>
      </c>
      <c r="ES52">
        <f t="shared" si="72"/>
        <v>15.862359410387867</v>
      </c>
      <c r="ET52">
        <f t="shared" si="72"/>
        <v>16.625626823655693</v>
      </c>
      <c r="EU52">
        <f t="shared" si="72"/>
        <v>15.476364224663639</v>
      </c>
      <c r="EV52">
        <f t="shared" si="72"/>
        <v>20.660699555358679</v>
      </c>
      <c r="EW52">
        <f t="shared" si="72"/>
        <v>17.862325313395573</v>
      </c>
      <c r="EX52">
        <f t="shared" si="72"/>
        <v>17.862325313395573</v>
      </c>
      <c r="EY52">
        <f t="shared" si="72"/>
        <v>19.477535581096237</v>
      </c>
      <c r="EZ52">
        <f t="shared" si="72"/>
        <v>16.288101600095047</v>
      </c>
      <c r="FA52">
        <f t="shared" si="72"/>
        <v>17.50651183919522</v>
      </c>
      <c r="FB52">
        <f t="shared" si="72"/>
        <v>18.193664942985873</v>
      </c>
      <c r="FC52">
        <f t="shared" si="72"/>
        <v>17.50651183919522</v>
      </c>
      <c r="FD52">
        <f t="shared" si="72"/>
        <v>18.193664942985876</v>
      </c>
      <c r="FE52">
        <f t="shared" si="72"/>
        <v>15.869263977158747</v>
      </c>
      <c r="FF52">
        <f t="shared" ref="FF52:FH52" si="73">FF14*(0.985*0.97*FF20*9.81)/(FF51*10^6)</f>
        <v>18.4324682257195</v>
      </c>
      <c r="FG52">
        <f t="shared" si="73"/>
        <v>18.4324682257195</v>
      </c>
      <c r="FH52">
        <f t="shared" si="73"/>
        <v>20.024732628530874</v>
      </c>
    </row>
    <row r="54" spans="1:164">
      <c r="A54" t="s">
        <v>2659</v>
      </c>
      <c r="B54">
        <f>0.50399 + 0.0000081085*B27/B26*1000</f>
        <v>1.4057001210900002</v>
      </c>
      <c r="C54">
        <f t="shared" ref="C54:BN54" si="74">0.50399 + 0.0000081085*C27/C26*1000</f>
        <v>1.5139052967</v>
      </c>
      <c r="D54">
        <f t="shared" si="74"/>
        <v>1.1983046380000002</v>
      </c>
      <c r="E54">
        <f t="shared" si="74"/>
        <v>1.2560160759000001</v>
      </c>
      <c r="F54">
        <f t="shared" si="74"/>
        <v>1.2560160759000001</v>
      </c>
      <c r="G54">
        <f t="shared" si="74"/>
        <v>1.2866743144000001</v>
      </c>
      <c r="H54">
        <f t="shared" si="74"/>
        <v>1.2560160759000001</v>
      </c>
      <c r="I54">
        <f t="shared" si="74"/>
        <v>1.2560160759000001</v>
      </c>
      <c r="J54">
        <f t="shared" si="74"/>
        <v>1.0089476483499999</v>
      </c>
      <c r="K54">
        <f t="shared" si="74"/>
        <v>1.0450158780500001</v>
      </c>
      <c r="L54">
        <f t="shared" si="74"/>
        <v>1.0089476483499999</v>
      </c>
      <c r="M54">
        <f t="shared" si="74"/>
        <v>1.0630499929000001</v>
      </c>
      <c r="N54">
        <f t="shared" si="74"/>
        <v>1.0810841077500002</v>
      </c>
      <c r="O54">
        <f t="shared" si="74"/>
        <v>0.93681086461000018</v>
      </c>
      <c r="P54">
        <f t="shared" si="74"/>
        <v>1.1351872631500002</v>
      </c>
      <c r="Q54">
        <f t="shared" si="74"/>
        <v>1.1351872631500002</v>
      </c>
      <c r="R54">
        <f t="shared" si="74"/>
        <v>1.135187019895</v>
      </c>
      <c r="S54">
        <f t="shared" si="74"/>
        <v>1.1532212871848002</v>
      </c>
      <c r="T54">
        <f t="shared" si="74"/>
        <v>1.1532212871848002</v>
      </c>
      <c r="U54">
        <f t="shared" si="74"/>
        <v>1.1532212871848002</v>
      </c>
      <c r="V54">
        <f t="shared" si="74"/>
        <v>1.1532212871848002</v>
      </c>
      <c r="W54">
        <f t="shared" si="74"/>
        <v>1.3696291345000002</v>
      </c>
      <c r="X54">
        <f t="shared" si="74"/>
        <v>1.3696291345000002</v>
      </c>
      <c r="Y54">
        <f t="shared" si="74"/>
        <v>1.3696291345000002</v>
      </c>
      <c r="Z54">
        <f t="shared" si="74"/>
        <v>0.93681086461000018</v>
      </c>
      <c r="AA54">
        <f t="shared" si="74"/>
        <v>1.1424005847500003</v>
      </c>
      <c r="AB54">
        <f t="shared" si="74"/>
        <v>1.1424005847500003</v>
      </c>
      <c r="AC54">
        <f t="shared" si="74"/>
        <v>1.1351872631500002</v>
      </c>
      <c r="AD54">
        <f t="shared" si="74"/>
        <v>1.135187019895</v>
      </c>
      <c r="AE54">
        <f t="shared" si="74"/>
        <v>1.153221296915</v>
      </c>
      <c r="AF54">
        <f t="shared" si="74"/>
        <v>1.1995691585750001</v>
      </c>
      <c r="AG54">
        <f t="shared" si="74"/>
        <v>1.1788604550000001</v>
      </c>
      <c r="AH54">
        <f t="shared" si="74"/>
        <v>1.2769733050000001</v>
      </c>
      <c r="AI54">
        <f t="shared" si="74"/>
        <v>1.0089468374999999</v>
      </c>
      <c r="AJ54">
        <f t="shared" si="74"/>
        <v>1.0269817632000002</v>
      </c>
      <c r="AK54">
        <f t="shared" si="74"/>
        <v>1.0089468374999999</v>
      </c>
      <c r="AL54">
        <f t="shared" si="74"/>
        <v>1.0269817632000002</v>
      </c>
      <c r="AM54">
        <f t="shared" si="74"/>
        <v>1.0269817632000002</v>
      </c>
      <c r="AN54">
        <f t="shared" si="74"/>
        <v>1.0630499928999999</v>
      </c>
      <c r="AO54">
        <f t="shared" si="74"/>
        <v>1.0810841077500002</v>
      </c>
      <c r="AP54">
        <f t="shared" si="74"/>
        <v>1.1315797915000001</v>
      </c>
      <c r="AQ54">
        <f t="shared" si="74"/>
        <v>1.0089468374999999</v>
      </c>
      <c r="AR54">
        <f t="shared" si="74"/>
        <v>1.0269818702322</v>
      </c>
      <c r="AS54">
        <f t="shared" si="74"/>
        <v>1.0269818702322</v>
      </c>
      <c r="AT54">
        <f t="shared" si="74"/>
        <v>1.0630503983250001</v>
      </c>
      <c r="AU54">
        <f t="shared" si="74"/>
        <v>1.0630503983250001</v>
      </c>
      <c r="AV54">
        <f t="shared" si="74"/>
        <v>1.0810844774976001</v>
      </c>
      <c r="AW54">
        <f t="shared" si="74"/>
        <v>1.0810844774976001</v>
      </c>
      <c r="AX54">
        <f t="shared" si="74"/>
        <v>1.0810844774976001</v>
      </c>
      <c r="AY54">
        <f t="shared" si="74"/>
        <v>1.0810844774976001</v>
      </c>
      <c r="AZ54">
        <f t="shared" si="74"/>
        <v>1.228964936059</v>
      </c>
      <c r="BA54">
        <f t="shared" si="74"/>
        <v>1.301101746962475</v>
      </c>
      <c r="BB54">
        <f t="shared" si="74"/>
        <v>1.301101746962475</v>
      </c>
      <c r="BC54">
        <f t="shared" si="74"/>
        <v>1.3515975138246001</v>
      </c>
      <c r="BD54">
        <f t="shared" si="74"/>
        <v>1.2289649036250001</v>
      </c>
      <c r="BE54">
        <f t="shared" si="74"/>
        <v>1.1712546820000003</v>
      </c>
      <c r="BF54">
        <f t="shared" si="74"/>
        <v>1.2469961805000001</v>
      </c>
      <c r="BG54">
        <f t="shared" si="74"/>
        <v>1.3768453751600003</v>
      </c>
      <c r="BH54">
        <f t="shared" si="74"/>
        <v>1.4525888197000001</v>
      </c>
      <c r="BI54">
        <f t="shared" si="74"/>
        <v>1.4525888197000001</v>
      </c>
      <c r="BJ54">
        <f t="shared" si="74"/>
        <v>1.2469961805000001</v>
      </c>
      <c r="BK54">
        <f t="shared" si="74"/>
        <v>1.3768453751600003</v>
      </c>
      <c r="BL54">
        <f t="shared" si="74"/>
        <v>1.515201035</v>
      </c>
      <c r="BM54">
        <f t="shared" si="74"/>
        <v>1.5614194850000001</v>
      </c>
      <c r="BN54">
        <f t="shared" si="74"/>
        <v>1.5614194850000001</v>
      </c>
      <c r="BO54">
        <f t="shared" ref="BO54:DZ54" si="75">0.50399 + 0.0000081085*BO27/BO26*1000</f>
        <v>1.5614194850000001</v>
      </c>
      <c r="BP54">
        <f t="shared" si="75"/>
        <v>1.5614194850000001</v>
      </c>
      <c r="BQ54">
        <f t="shared" si="75"/>
        <v>1.5614194850000001</v>
      </c>
      <c r="BR54">
        <f t="shared" si="75"/>
        <v>1.5614194850000001</v>
      </c>
      <c r="BS54">
        <f t="shared" si="75"/>
        <v>1.8576372609600003</v>
      </c>
      <c r="BT54">
        <f t="shared" si="75"/>
        <v>1.9791877302100005</v>
      </c>
      <c r="BU54">
        <f t="shared" si="75"/>
        <v>1.8284218246244999</v>
      </c>
      <c r="BV54">
        <f t="shared" si="75"/>
        <v>1.9326590490000002</v>
      </c>
      <c r="BW54">
        <f t="shared" si="75"/>
        <v>1.8576372609600003</v>
      </c>
      <c r="BX54">
        <f t="shared" si="75"/>
        <v>1.9791877302100005</v>
      </c>
      <c r="BY54">
        <f t="shared" si="75"/>
        <v>1.9791877302100005</v>
      </c>
      <c r="BZ54">
        <f t="shared" si="75"/>
        <v>2.0549311747500001</v>
      </c>
      <c r="CA54">
        <f t="shared" si="75"/>
        <v>1.9326590490000002</v>
      </c>
      <c r="CB54">
        <f t="shared" si="75"/>
        <v>2.0383395620500004</v>
      </c>
      <c r="CC54">
        <f t="shared" si="75"/>
        <v>2.2352731341000003</v>
      </c>
      <c r="CD54">
        <f t="shared" si="75"/>
        <v>2.1966799175</v>
      </c>
      <c r="CE54">
        <f t="shared" si="75"/>
        <v>2.30741024218</v>
      </c>
      <c r="CF54">
        <f t="shared" si="75"/>
        <v>2.2594388966500003</v>
      </c>
      <c r="CG54">
        <f t="shared" si="75"/>
        <v>2.3867607529450003</v>
      </c>
      <c r="CH54">
        <f t="shared" si="75"/>
        <v>2.3777436144349999</v>
      </c>
      <c r="CI54">
        <f t="shared" si="75"/>
        <v>2.5663813882434998</v>
      </c>
      <c r="CJ54">
        <f t="shared" si="75"/>
        <v>2.5508720089299999</v>
      </c>
      <c r="CK54">
        <f t="shared" si="75"/>
        <v>2.5552001640599999</v>
      </c>
      <c r="CL54">
        <f t="shared" si="75"/>
        <v>2.648256634545</v>
      </c>
      <c r="CM54">
        <f t="shared" si="75"/>
        <v>2.2702596899</v>
      </c>
      <c r="CN54">
        <f t="shared" si="75"/>
        <v>2.2352731341000003</v>
      </c>
      <c r="CO54">
        <f t="shared" si="75"/>
        <v>2.2702596899</v>
      </c>
      <c r="CP54">
        <f t="shared" si="75"/>
        <v>2.2702596899</v>
      </c>
      <c r="CQ54">
        <f t="shared" si="75"/>
        <v>2.30741024218</v>
      </c>
      <c r="CR54">
        <f t="shared" si="75"/>
        <v>2.39613847645</v>
      </c>
      <c r="CS54">
        <f t="shared" si="75"/>
        <v>2.30741024218</v>
      </c>
      <c r="CT54">
        <f t="shared" si="75"/>
        <v>2.5238205934</v>
      </c>
      <c r="CU54">
        <f t="shared" si="75"/>
        <v>2.39613847645</v>
      </c>
      <c r="CV54">
        <f t="shared" si="75"/>
        <v>1.2830674914300002</v>
      </c>
      <c r="CW54">
        <f t="shared" si="75"/>
        <v>1.3011017441244999</v>
      </c>
      <c r="CX54">
        <f t="shared" si="75"/>
        <v>1.3443838062600002</v>
      </c>
      <c r="CY54">
        <f t="shared" si="75"/>
        <v>1.3624180021950001</v>
      </c>
      <c r="CZ54">
        <f t="shared" si="75"/>
        <v>1.2974949065592001</v>
      </c>
      <c r="DA54">
        <f t="shared" si="75"/>
        <v>1.3515975138246001</v>
      </c>
      <c r="DB54">
        <f t="shared" si="75"/>
        <v>1.4778369291555</v>
      </c>
      <c r="DC54">
        <f t="shared" si="75"/>
        <v>1.3350058395</v>
      </c>
      <c r="DD54">
        <f t="shared" si="75"/>
        <v>1.3984863940649999</v>
      </c>
      <c r="DE54">
        <f t="shared" si="75"/>
        <v>1.3699923953000002</v>
      </c>
      <c r="DF54">
        <f t="shared" si="75"/>
        <v>1.4821650599600003</v>
      </c>
      <c r="DG54">
        <f t="shared" si="75"/>
        <v>1.3782881205650002</v>
      </c>
      <c r="DH54">
        <f t="shared" si="75"/>
        <v>1.4057001210900002</v>
      </c>
      <c r="DI54">
        <f t="shared" si="75"/>
        <v>1.4598027088950003</v>
      </c>
      <c r="DJ54">
        <f t="shared" si="75"/>
        <v>1.4778369291555</v>
      </c>
      <c r="DK54">
        <f t="shared" si="75"/>
        <v>1.3984864402834503</v>
      </c>
      <c r="DL54">
        <f t="shared" si="75"/>
        <v>1.3984864402834503</v>
      </c>
      <c r="DM54">
        <f t="shared" si="75"/>
        <v>1.3699923953000002</v>
      </c>
      <c r="DN54">
        <f t="shared" si="75"/>
        <v>1.4821651329365002</v>
      </c>
      <c r="DO54">
        <f t="shared" si="75"/>
        <v>1.4805420609783</v>
      </c>
      <c r="DP54">
        <f t="shared" si="75"/>
        <v>1.3782881205650002</v>
      </c>
      <c r="DQ54">
        <f t="shared" si="75"/>
        <v>1.560433572485</v>
      </c>
      <c r="DR54">
        <f t="shared" si="75"/>
        <v>1.5588104940400003</v>
      </c>
      <c r="DS54">
        <f t="shared" si="75"/>
        <v>1.5860421371995002</v>
      </c>
      <c r="DT54">
        <f t="shared" si="75"/>
        <v>1.5824353044993003</v>
      </c>
      <c r="DU54">
        <f t="shared" si="75"/>
        <v>1.6221105501516</v>
      </c>
      <c r="DV54">
        <f t="shared" si="75"/>
        <v>1.6581789549952002</v>
      </c>
      <c r="DW54">
        <f t="shared" si="75"/>
        <v>1.6437515722999998</v>
      </c>
      <c r="DX54">
        <f t="shared" si="75"/>
        <v>1.6639498457999999</v>
      </c>
      <c r="DY54">
        <f t="shared" si="75"/>
        <v>1.6639498457999999</v>
      </c>
      <c r="DZ54">
        <f t="shared" si="75"/>
        <v>1.6982147451</v>
      </c>
      <c r="EA54">
        <f t="shared" ref="EA54:FH54" si="76">0.50399 + 0.0000081085*EA27/EA26*1000</f>
        <v>1.6639498457999999</v>
      </c>
      <c r="EB54">
        <f t="shared" si="76"/>
        <v>1.6639498457999999</v>
      </c>
      <c r="EC54">
        <f t="shared" si="76"/>
        <v>1.6982147451</v>
      </c>
      <c r="ED54">
        <f t="shared" si="76"/>
        <v>1.0273425509075</v>
      </c>
      <c r="EE54">
        <f t="shared" si="76"/>
        <v>1.0273425509075</v>
      </c>
      <c r="EF54">
        <f t="shared" si="76"/>
        <v>1.0273425509075</v>
      </c>
      <c r="EG54">
        <f t="shared" si="76"/>
        <v>1.0273425509075</v>
      </c>
      <c r="EH54">
        <f t="shared" si="76"/>
        <v>1.0273425509075</v>
      </c>
      <c r="EI54">
        <f t="shared" si="76"/>
        <v>1.0273425509075</v>
      </c>
      <c r="EJ54">
        <f t="shared" si="76"/>
        <v>1.1827971317500001</v>
      </c>
      <c r="EK54">
        <f t="shared" si="76"/>
        <v>1.1827971317500001</v>
      </c>
      <c r="EL54">
        <f t="shared" si="76"/>
        <v>1.1827971317500001</v>
      </c>
      <c r="EM54">
        <f t="shared" si="76"/>
        <v>1.1827971317500001</v>
      </c>
      <c r="EN54">
        <f t="shared" si="76"/>
        <v>1.1827971317500001</v>
      </c>
      <c r="EO54">
        <f t="shared" si="76"/>
        <v>1.1827971317500001</v>
      </c>
      <c r="EP54">
        <f t="shared" si="76"/>
        <v>0.77732753500000007</v>
      </c>
      <c r="EQ54">
        <f t="shared" si="76"/>
        <v>0.77732753500000007</v>
      </c>
      <c r="ER54">
        <f t="shared" si="76"/>
        <v>0.77732753500000007</v>
      </c>
      <c r="ES54">
        <f t="shared" si="76"/>
        <v>0.77732753500000007</v>
      </c>
      <c r="ET54">
        <f t="shared" si="76"/>
        <v>0.77732753500000007</v>
      </c>
      <c r="EU54">
        <f t="shared" si="76"/>
        <v>0.82565419500000004</v>
      </c>
      <c r="EV54">
        <f t="shared" si="76"/>
        <v>1.0472595</v>
      </c>
      <c r="EW54">
        <f t="shared" si="76"/>
        <v>1.2986230000000001</v>
      </c>
      <c r="EX54">
        <f t="shared" si="76"/>
        <v>1.2986230000000001</v>
      </c>
      <c r="EY54">
        <f t="shared" si="76"/>
        <v>1.2986230000000001</v>
      </c>
      <c r="EZ54">
        <f t="shared" si="76"/>
        <v>0.83654066709999997</v>
      </c>
      <c r="FA54">
        <f t="shared" si="76"/>
        <v>0.83654066709999997</v>
      </c>
      <c r="FB54">
        <f t="shared" si="76"/>
        <v>0.83654066709999997</v>
      </c>
      <c r="FC54">
        <f t="shared" si="76"/>
        <v>0.83654066709999997</v>
      </c>
      <c r="FD54">
        <f t="shared" si="76"/>
        <v>0.83654066709999997</v>
      </c>
      <c r="FE54">
        <f t="shared" si="76"/>
        <v>1.0273125900000002</v>
      </c>
      <c r="FF54">
        <f t="shared" si="76"/>
        <v>1.0273125900000002</v>
      </c>
      <c r="FG54">
        <f t="shared" si="76"/>
        <v>1.0273125900000002</v>
      </c>
      <c r="FH54">
        <f t="shared" si="76"/>
        <v>1.0273125900000002</v>
      </c>
    </row>
    <row r="55" spans="1:164">
      <c r="A55" t="s">
        <v>2660</v>
      </c>
      <c r="B55">
        <f>B27*1000-1.225*B11^2*B26*PI()*B54^2/4</f>
        <v>202688.0469217491</v>
      </c>
      <c r="C55">
        <f t="shared" ref="C55:BN55" si="77">C27*1000-1.225*C11^2*C26*PI()*C54^2/4</f>
        <v>226224.10146178136</v>
      </c>
      <c r="D55">
        <f t="shared" si="77"/>
        <v>158897.88568522502</v>
      </c>
      <c r="E55">
        <f t="shared" si="77"/>
        <v>169744.49226821837</v>
      </c>
      <c r="F55">
        <f t="shared" si="77"/>
        <v>169744.49226821837</v>
      </c>
      <c r="G55">
        <f t="shared" si="77"/>
        <v>176528.40372855656</v>
      </c>
      <c r="H55">
        <f t="shared" si="77"/>
        <v>169744.49226821837</v>
      </c>
      <c r="I55">
        <f t="shared" si="77"/>
        <v>169744.49226821837</v>
      </c>
      <c r="J55">
        <f t="shared" si="77"/>
        <v>117694.24023757804</v>
      </c>
      <c r="K55">
        <f t="shared" si="77"/>
        <v>122546.40877367661</v>
      </c>
      <c r="L55">
        <f t="shared" si="77"/>
        <v>114389.45380096117</v>
      </c>
      <c r="M55">
        <f t="shared" si="77"/>
        <v>129607.63985612123</v>
      </c>
      <c r="N55">
        <f t="shared" si="77"/>
        <v>130677.39398329571</v>
      </c>
      <c r="O55">
        <f t="shared" si="77"/>
        <v>196737.84165506391</v>
      </c>
      <c r="P55">
        <f t="shared" si="77"/>
        <v>286380.29144246422</v>
      </c>
      <c r="Q55">
        <f t="shared" si="77"/>
        <v>281844.41470401909</v>
      </c>
      <c r="R55">
        <f t="shared" si="77"/>
        <v>281844.30736027047</v>
      </c>
      <c r="S55">
        <f t="shared" si="77"/>
        <v>288563.88388632302</v>
      </c>
      <c r="T55">
        <f t="shared" si="77"/>
        <v>288563.88388632302</v>
      </c>
      <c r="U55">
        <f t="shared" si="77"/>
        <v>285595.91077027586</v>
      </c>
      <c r="V55">
        <f t="shared" si="77"/>
        <v>285595.91077027586</v>
      </c>
      <c r="W55">
        <f t="shared" si="77"/>
        <v>382302.98479954712</v>
      </c>
      <c r="X55">
        <f t="shared" si="77"/>
        <v>378116.58565162768</v>
      </c>
      <c r="Y55">
        <f t="shared" si="77"/>
        <v>378116.58565162768</v>
      </c>
      <c r="Z55">
        <f t="shared" si="77"/>
        <v>200210.52928881181</v>
      </c>
      <c r="AA55">
        <f t="shared" si="77"/>
        <v>294495.67742352595</v>
      </c>
      <c r="AB55">
        <f t="shared" si="77"/>
        <v>291421.16847288329</v>
      </c>
      <c r="AC55">
        <f t="shared" si="77"/>
        <v>281844.41470401909</v>
      </c>
      <c r="AD55">
        <f t="shared" si="77"/>
        <v>281844.30736027047</v>
      </c>
      <c r="AE55">
        <f t="shared" si="77"/>
        <v>288563.88815125509</v>
      </c>
      <c r="AF55">
        <f t="shared" si="77"/>
        <v>307924.84476663033</v>
      </c>
      <c r="AG55">
        <f t="shared" si="77"/>
        <v>154499.68751080509</v>
      </c>
      <c r="AH55">
        <f t="shared" si="77"/>
        <v>176626.00347476901</v>
      </c>
      <c r="AI55">
        <f t="shared" si="77"/>
        <v>171583.90519876158</v>
      </c>
      <c r="AJ55">
        <f t="shared" si="77"/>
        <v>177706.76626155892</v>
      </c>
      <c r="AK55">
        <f t="shared" si="77"/>
        <v>171583.90519876158</v>
      </c>
      <c r="AL55">
        <f t="shared" si="77"/>
        <v>177706.76626155892</v>
      </c>
      <c r="AM55">
        <f t="shared" si="77"/>
        <v>176558.68644342051</v>
      </c>
      <c r="AN55">
        <f t="shared" si="77"/>
        <v>188692.58293711272</v>
      </c>
      <c r="AO55">
        <f t="shared" si="77"/>
        <v>194743.86111146951</v>
      </c>
      <c r="AP55">
        <f t="shared" si="77"/>
        <v>211631.91758142292</v>
      </c>
      <c r="AQ55">
        <f t="shared" si="77"/>
        <v>113650.53998176914</v>
      </c>
      <c r="AR55">
        <f t="shared" si="77"/>
        <v>117705.82576295953</v>
      </c>
      <c r="AS55">
        <f t="shared" si="77"/>
        <v>117705.82576295953</v>
      </c>
      <c r="AT55">
        <f t="shared" si="77"/>
        <v>125458.99287754401</v>
      </c>
      <c r="AU55">
        <f t="shared" si="77"/>
        <v>125458.99287754401</v>
      </c>
      <c r="AV55">
        <f t="shared" si="77"/>
        <v>129481.66813741501</v>
      </c>
      <c r="AW55">
        <f t="shared" si="77"/>
        <v>129481.66813741501</v>
      </c>
      <c r="AX55">
        <f t="shared" si="77"/>
        <v>129481.66813741501</v>
      </c>
      <c r="AY55">
        <f t="shared" si="77"/>
        <v>129481.66813741501</v>
      </c>
      <c r="AZ55">
        <f t="shared" si="77"/>
        <v>160339.64528100067</v>
      </c>
      <c r="BA55">
        <f t="shared" si="77"/>
        <v>175899.55029455791</v>
      </c>
      <c r="BB55">
        <f t="shared" si="77"/>
        <v>172568.40133402022</v>
      </c>
      <c r="BC55">
        <f t="shared" si="77"/>
        <v>183120.99043571501</v>
      </c>
      <c r="BD55">
        <f t="shared" si="77"/>
        <v>162647.09362678335</v>
      </c>
      <c r="BE55">
        <f t="shared" si="77"/>
        <v>149895.70083890678</v>
      </c>
      <c r="BF55">
        <f t="shared" si="77"/>
        <v>165448.52696820273</v>
      </c>
      <c r="BG55">
        <f t="shared" si="77"/>
        <v>194996.57798852667</v>
      </c>
      <c r="BH55">
        <f t="shared" si="77"/>
        <v>210120.80999238271</v>
      </c>
      <c r="BI55">
        <f t="shared" si="77"/>
        <v>210120.80999238271</v>
      </c>
      <c r="BJ55">
        <f t="shared" si="77"/>
        <v>165448.52696820273</v>
      </c>
      <c r="BK55">
        <f t="shared" si="77"/>
        <v>194996.57798852667</v>
      </c>
      <c r="BL55">
        <f t="shared" si="77"/>
        <v>211539.36984066671</v>
      </c>
      <c r="BM55">
        <f t="shared" si="77"/>
        <v>220593.16467066348</v>
      </c>
      <c r="BN55">
        <f t="shared" si="77"/>
        <v>220593.16467066348</v>
      </c>
      <c r="BO55">
        <f t="shared" ref="BO55:DZ55" si="78">BO27*1000-1.225*BO11^2*BO26*PI()*BO54^2/4</f>
        <v>220593.16467066348</v>
      </c>
      <c r="BP55">
        <f t="shared" si="78"/>
        <v>220593.16467066348</v>
      </c>
      <c r="BQ55">
        <f t="shared" si="78"/>
        <v>220593.16467066348</v>
      </c>
      <c r="BR55">
        <f t="shared" si="78"/>
        <v>220593.16467066348</v>
      </c>
      <c r="BS55">
        <f t="shared" si="78"/>
        <v>296935.54366545024</v>
      </c>
      <c r="BT55">
        <f t="shared" si="78"/>
        <v>321923.13098907919</v>
      </c>
      <c r="BU55">
        <f t="shared" si="78"/>
        <v>290882.45534286497</v>
      </c>
      <c r="BV55">
        <f t="shared" si="78"/>
        <v>312395.42955553444</v>
      </c>
      <c r="BW55">
        <f t="shared" si="78"/>
        <v>296935.54366545024</v>
      </c>
      <c r="BX55">
        <f t="shared" si="78"/>
        <v>321923.13098907919</v>
      </c>
      <c r="BY55">
        <f t="shared" si="78"/>
        <v>321923.13098907919</v>
      </c>
      <c r="BZ55">
        <f t="shared" si="78"/>
        <v>337333.99308931537</v>
      </c>
      <c r="CA55">
        <f t="shared" si="78"/>
        <v>312395.42955553444</v>
      </c>
      <c r="CB55">
        <f t="shared" si="78"/>
        <v>333968.74960753717</v>
      </c>
      <c r="CC55">
        <f t="shared" si="78"/>
        <v>361891.04534485313</v>
      </c>
      <c r="CD55">
        <f t="shared" si="78"/>
        <v>354601.71964597824</v>
      </c>
      <c r="CE55">
        <f t="shared" si="78"/>
        <v>375411.865605611</v>
      </c>
      <c r="CF55">
        <f t="shared" si="78"/>
        <v>366435.60172843683</v>
      </c>
      <c r="CG55">
        <f t="shared" si="78"/>
        <v>390127.99854914978</v>
      </c>
      <c r="CH55">
        <f t="shared" si="78"/>
        <v>388463.97229660198</v>
      </c>
      <c r="CI55">
        <f t="shared" si="78"/>
        <v>422833.52825598628</v>
      </c>
      <c r="CJ55">
        <f t="shared" si="78"/>
        <v>420042.74516135402</v>
      </c>
      <c r="CK55">
        <f t="shared" si="78"/>
        <v>420822.19138700515</v>
      </c>
      <c r="CL55">
        <f t="shared" si="78"/>
        <v>437462.34579192416</v>
      </c>
      <c r="CM55">
        <f t="shared" si="78"/>
        <v>401278.02991780743</v>
      </c>
      <c r="CN55">
        <f t="shared" si="78"/>
        <v>395509.32860613189</v>
      </c>
      <c r="CO55">
        <f t="shared" si="78"/>
        <v>401278.02991780743</v>
      </c>
      <c r="CP55">
        <f t="shared" si="78"/>
        <v>397388.81591997994</v>
      </c>
      <c r="CQ55">
        <f t="shared" si="78"/>
        <v>405289.42714735842</v>
      </c>
      <c r="CR55">
        <f t="shared" si="78"/>
        <v>424075.85898492625</v>
      </c>
      <c r="CS55">
        <f t="shared" si="78"/>
        <v>405289.42714735842</v>
      </c>
      <c r="CT55">
        <f t="shared" si="78"/>
        <v>445840.84943597217</v>
      </c>
      <c r="CU55">
        <f t="shared" si="78"/>
        <v>419511.30198611272</v>
      </c>
      <c r="CV55">
        <f t="shared" si="78"/>
        <v>180979.19176237317</v>
      </c>
      <c r="CW55">
        <f t="shared" si="78"/>
        <v>185110.82203429507</v>
      </c>
      <c r="CX55">
        <f t="shared" si="78"/>
        <v>195008.67223579602</v>
      </c>
      <c r="CY55">
        <f t="shared" si="78"/>
        <v>199125.26502085352</v>
      </c>
      <c r="CZ55">
        <f t="shared" si="78"/>
        <v>184284.85247055939</v>
      </c>
      <c r="DA55">
        <f t="shared" si="78"/>
        <v>196655.84628946063</v>
      </c>
      <c r="DB55">
        <f t="shared" si="78"/>
        <v>225366.83430714876</v>
      </c>
      <c r="DC55">
        <f t="shared" si="78"/>
        <v>192866.25536630716</v>
      </c>
      <c r="DD55">
        <f t="shared" si="78"/>
        <v>207345.19369830727</v>
      </c>
      <c r="DE55">
        <f t="shared" si="78"/>
        <v>200852.92328189992</v>
      </c>
      <c r="DF55">
        <f t="shared" si="78"/>
        <v>226347.35423529407</v>
      </c>
      <c r="DG55">
        <f t="shared" si="78"/>
        <v>202744.21721858921</v>
      </c>
      <c r="DH55">
        <f t="shared" si="78"/>
        <v>208987.06940176757</v>
      </c>
      <c r="DI55">
        <f t="shared" si="78"/>
        <v>221278.51739346742</v>
      </c>
      <c r="DJ55">
        <f t="shared" si="78"/>
        <v>225366.83430714876</v>
      </c>
      <c r="DK55">
        <f t="shared" si="78"/>
        <v>207345.20422009286</v>
      </c>
      <c r="DL55">
        <f t="shared" si="78"/>
        <v>207345.20422009286</v>
      </c>
      <c r="DM55">
        <f t="shared" si="78"/>
        <v>200852.92328189992</v>
      </c>
      <c r="DN55">
        <f t="shared" si="78"/>
        <v>226347.37076566907</v>
      </c>
      <c r="DO55">
        <f t="shared" si="78"/>
        <v>225979.70043197568</v>
      </c>
      <c r="DP55">
        <f t="shared" si="78"/>
        <v>202744.21721858921</v>
      </c>
      <c r="DQ55">
        <f t="shared" si="78"/>
        <v>244034.83994285768</v>
      </c>
      <c r="DR55">
        <f t="shared" si="78"/>
        <v>243668.89418858511</v>
      </c>
      <c r="DS55">
        <f t="shared" si="78"/>
        <v>249803.91173656809</v>
      </c>
      <c r="DT55">
        <f t="shared" si="78"/>
        <v>248991.90719365573</v>
      </c>
      <c r="DU55">
        <f t="shared" si="78"/>
        <v>257914.25478505268</v>
      </c>
      <c r="DV55">
        <f t="shared" si="78"/>
        <v>266006.92013867572</v>
      </c>
      <c r="DW55">
        <f t="shared" si="78"/>
        <v>262771.97044517833</v>
      </c>
      <c r="DX55">
        <f t="shared" si="78"/>
        <v>267300.09418272856</v>
      </c>
      <c r="DY55">
        <f t="shared" si="78"/>
        <v>267300.09418272856</v>
      </c>
      <c r="DZ55">
        <f t="shared" si="78"/>
        <v>274969.04821563332</v>
      </c>
      <c r="EA55">
        <f t="shared" ref="EA55:FH55" si="79">EA27*1000-1.225*EA11^2*EA26*PI()*EA54^2/4</f>
        <v>267300.09418272856</v>
      </c>
      <c r="EB55">
        <f t="shared" si="79"/>
        <v>267300.09418272856</v>
      </c>
      <c r="EC55">
        <f t="shared" si="79"/>
        <v>274969.04821563332</v>
      </c>
      <c r="ED55">
        <f t="shared" si="79"/>
        <v>118851.53700863036</v>
      </c>
      <c r="EE55">
        <f t="shared" si="79"/>
        <v>118851.53700863036</v>
      </c>
      <c r="EF55">
        <f t="shared" si="79"/>
        <v>118851.53700863036</v>
      </c>
      <c r="EG55">
        <f t="shared" si="79"/>
        <v>118851.53700863036</v>
      </c>
      <c r="EH55">
        <f t="shared" si="79"/>
        <v>118851.53700863036</v>
      </c>
      <c r="EI55">
        <f t="shared" si="79"/>
        <v>118851.53700863036</v>
      </c>
      <c r="EJ55">
        <f t="shared" si="79"/>
        <v>154446.66444058708</v>
      </c>
      <c r="EK55">
        <f t="shared" si="79"/>
        <v>154446.66444058708</v>
      </c>
      <c r="EL55">
        <f t="shared" si="79"/>
        <v>154446.66444058708</v>
      </c>
      <c r="EM55">
        <f t="shared" si="79"/>
        <v>154446.66444058708</v>
      </c>
      <c r="EN55">
        <f t="shared" si="79"/>
        <v>154446.66444058708</v>
      </c>
      <c r="EO55">
        <f t="shared" si="79"/>
        <v>154446.66444058708</v>
      </c>
      <c r="EP55">
        <f t="shared" si="79"/>
        <v>62764.653189613324</v>
      </c>
      <c r="EQ55">
        <f t="shared" si="79"/>
        <v>62764.653189613324</v>
      </c>
      <c r="ER55">
        <f t="shared" si="79"/>
        <v>61976.901335563314</v>
      </c>
      <c r="ES55">
        <f t="shared" si="79"/>
        <v>61976.901335563314</v>
      </c>
      <c r="ET55">
        <f t="shared" si="79"/>
        <v>61812.008988370122</v>
      </c>
      <c r="EU55">
        <f t="shared" si="79"/>
        <v>73013.032715258392</v>
      </c>
      <c r="EV55">
        <f t="shared" si="79"/>
        <v>123820.9365257243</v>
      </c>
      <c r="EW55">
        <f t="shared" si="79"/>
        <v>180348.16049196076</v>
      </c>
      <c r="EX55">
        <f t="shared" si="79"/>
        <v>180348.16049196076</v>
      </c>
      <c r="EY55">
        <f t="shared" si="79"/>
        <v>180348.16049196076</v>
      </c>
      <c r="EZ55">
        <f t="shared" si="79"/>
        <v>75815.715414186881</v>
      </c>
      <c r="FA55">
        <f t="shared" si="79"/>
        <v>75530.287241173733</v>
      </c>
      <c r="FB55">
        <f t="shared" si="79"/>
        <v>75530.287241173733</v>
      </c>
      <c r="FC55">
        <f t="shared" si="79"/>
        <v>75530.287241173733</v>
      </c>
      <c r="FD55">
        <f t="shared" si="79"/>
        <v>75530.287241173733</v>
      </c>
      <c r="FE55">
        <f t="shared" si="79"/>
        <v>117780.11430055714</v>
      </c>
      <c r="FF55">
        <f t="shared" si="79"/>
        <v>117623.68626201537</v>
      </c>
      <c r="FG55">
        <f t="shared" si="79"/>
        <v>117623.68626201537</v>
      </c>
      <c r="FH55">
        <f t="shared" si="79"/>
        <v>117623.68626201537</v>
      </c>
    </row>
    <row r="56" spans="1:164">
      <c r="A56" t="s">
        <v>2661</v>
      </c>
      <c r="B56">
        <f>B55/1000/B27</f>
        <v>0.91132171527492745</v>
      </c>
      <c r="C56">
        <f t="shared" ref="C56:BN56" si="80">C55/1000/C27</f>
        <v>0.9081643444241011</v>
      </c>
      <c r="D56">
        <f t="shared" si="80"/>
        <v>0.92783835710996998</v>
      </c>
      <c r="E56">
        <f t="shared" si="80"/>
        <v>0.91511003385730383</v>
      </c>
      <c r="F56">
        <f t="shared" si="80"/>
        <v>0.91511003385730383</v>
      </c>
      <c r="G56">
        <f t="shared" si="80"/>
        <v>0.9144047831917308</v>
      </c>
      <c r="H56">
        <f t="shared" si="80"/>
        <v>0.91511003385730383</v>
      </c>
      <c r="I56">
        <f t="shared" si="80"/>
        <v>0.91511003385730383</v>
      </c>
      <c r="J56">
        <f t="shared" si="80"/>
        <v>0.9449542452567562</v>
      </c>
      <c r="K56">
        <f t="shared" si="80"/>
        <v>0.91831795470005695</v>
      </c>
      <c r="L56">
        <f t="shared" si="80"/>
        <v>0.91842047464364707</v>
      </c>
      <c r="M56">
        <f t="shared" si="80"/>
        <v>0.93990230129142827</v>
      </c>
      <c r="N56">
        <f t="shared" si="80"/>
        <v>0.91804580473430875</v>
      </c>
      <c r="O56">
        <f t="shared" si="80"/>
        <v>0.92142553623050805</v>
      </c>
      <c r="P56">
        <f t="shared" si="80"/>
        <v>0.91972618099319348</v>
      </c>
      <c r="Q56">
        <f t="shared" si="80"/>
        <v>0.90515896140872654</v>
      </c>
      <c r="R56">
        <f t="shared" si="80"/>
        <v>0.9051589655045108</v>
      </c>
      <c r="S56">
        <f t="shared" si="80"/>
        <v>0.90099641633037697</v>
      </c>
      <c r="T56">
        <f t="shared" si="80"/>
        <v>0.90099641633037697</v>
      </c>
      <c r="U56">
        <f t="shared" si="80"/>
        <v>0.89172937602959956</v>
      </c>
      <c r="V56">
        <f t="shared" si="80"/>
        <v>0.89172937602959956</v>
      </c>
      <c r="W56">
        <f t="shared" si="80"/>
        <v>0.89526444354830859</v>
      </c>
      <c r="X56">
        <f t="shared" si="80"/>
        <v>0.88546087294422771</v>
      </c>
      <c r="Y56">
        <f t="shared" si="80"/>
        <v>0.88546087294422771</v>
      </c>
      <c r="Z56">
        <f t="shared" si="80"/>
        <v>0.93768993680626211</v>
      </c>
      <c r="AA56">
        <f t="shared" si="80"/>
        <v>0.93510283876471234</v>
      </c>
      <c r="AB56">
        <f t="shared" si="80"/>
        <v>0.925340447436235</v>
      </c>
      <c r="AC56">
        <f t="shared" si="80"/>
        <v>0.90515896140872654</v>
      </c>
      <c r="AD56">
        <f t="shared" si="80"/>
        <v>0.9051589655045108</v>
      </c>
      <c r="AE56">
        <f t="shared" si="80"/>
        <v>0.90099641614350223</v>
      </c>
      <c r="AF56">
        <f t="shared" si="80"/>
        <v>0.89738478108850872</v>
      </c>
      <c r="AG56">
        <f t="shared" si="80"/>
        <v>0.9281490298618591</v>
      </c>
      <c r="AH56">
        <f t="shared" si="80"/>
        <v>0.92639254943233518</v>
      </c>
      <c r="AI56">
        <f t="shared" si="80"/>
        <v>0.91842047476923105</v>
      </c>
      <c r="AJ56">
        <f t="shared" si="80"/>
        <v>0.91839261190608523</v>
      </c>
      <c r="AK56">
        <f t="shared" si="80"/>
        <v>0.91842047476923105</v>
      </c>
      <c r="AL56">
        <f t="shared" si="80"/>
        <v>0.91839261190608523</v>
      </c>
      <c r="AM56">
        <f t="shared" si="80"/>
        <v>0.91245930928042773</v>
      </c>
      <c r="AN56">
        <f t="shared" si="80"/>
        <v>0.91225379993595468</v>
      </c>
      <c r="AO56">
        <f t="shared" si="80"/>
        <v>0.9120872873339726</v>
      </c>
      <c r="AP56">
        <f t="shared" si="80"/>
        <v>0.91143260929909919</v>
      </c>
      <c r="AQ56">
        <f t="shared" si="80"/>
        <v>0.91248928126671336</v>
      </c>
      <c r="AR56">
        <f t="shared" si="80"/>
        <v>0.9124593923182891</v>
      </c>
      <c r="AS56">
        <f t="shared" si="80"/>
        <v>0.9124593923182891</v>
      </c>
      <c r="AT56">
        <f t="shared" si="80"/>
        <v>0.90981604742121713</v>
      </c>
      <c r="AU56">
        <f t="shared" si="80"/>
        <v>0.90981604742121713</v>
      </c>
      <c r="AV56">
        <f t="shared" si="80"/>
        <v>0.90964490826945732</v>
      </c>
      <c r="AW56">
        <f t="shared" si="80"/>
        <v>0.90964490826945732</v>
      </c>
      <c r="AX56">
        <f t="shared" si="80"/>
        <v>0.90964490826945732</v>
      </c>
      <c r="AY56">
        <f t="shared" si="80"/>
        <v>0.90964490826945732</v>
      </c>
      <c r="AZ56">
        <f t="shared" si="80"/>
        <v>0.89666135275550263</v>
      </c>
      <c r="BA56">
        <f t="shared" si="80"/>
        <v>0.89465593061355719</v>
      </c>
      <c r="BB56">
        <f t="shared" si="80"/>
        <v>0.87771312337890772</v>
      </c>
      <c r="BC56">
        <f t="shared" si="80"/>
        <v>0.87589864809484241</v>
      </c>
      <c r="BD56">
        <f t="shared" si="80"/>
        <v>0.9095652498303215</v>
      </c>
      <c r="BE56">
        <f t="shared" si="80"/>
        <v>0.91075499950728367</v>
      </c>
      <c r="BF56">
        <f t="shared" si="80"/>
        <v>0.9027780765019302</v>
      </c>
      <c r="BG56">
        <f t="shared" si="80"/>
        <v>0.90572264181230322</v>
      </c>
      <c r="BH56">
        <f t="shared" si="80"/>
        <v>0.89804275128766275</v>
      </c>
      <c r="BI56">
        <f t="shared" si="80"/>
        <v>0.89804275128766275</v>
      </c>
      <c r="BJ56">
        <f t="shared" si="80"/>
        <v>0.9027780765019302</v>
      </c>
      <c r="BK56">
        <f t="shared" si="80"/>
        <v>0.90572264181230322</v>
      </c>
      <c r="BL56">
        <f t="shared" si="80"/>
        <v>0.84812512966348619</v>
      </c>
      <c r="BM56">
        <f t="shared" si="80"/>
        <v>0.845767827124697</v>
      </c>
      <c r="BN56">
        <f t="shared" si="80"/>
        <v>0.845767827124697</v>
      </c>
      <c r="BO56">
        <f t="shared" ref="BO56:DZ56" si="81">BO55/1000/BO27</f>
        <v>0.845767827124697</v>
      </c>
      <c r="BP56">
        <f t="shared" si="81"/>
        <v>0.845767827124697</v>
      </c>
      <c r="BQ56">
        <f t="shared" si="81"/>
        <v>0.845767827124697</v>
      </c>
      <c r="BR56">
        <f t="shared" si="81"/>
        <v>0.845767827124697</v>
      </c>
      <c r="BS56">
        <f t="shared" si="81"/>
        <v>0.8893387240719467</v>
      </c>
      <c r="BT56">
        <f t="shared" si="81"/>
        <v>0.88473350187888389</v>
      </c>
      <c r="BU56">
        <f t="shared" si="81"/>
        <v>0.89042725540679735</v>
      </c>
      <c r="BV56">
        <f t="shared" si="81"/>
        <v>0.88650984016349732</v>
      </c>
      <c r="BW56">
        <f t="shared" si="81"/>
        <v>0.8893387240719467</v>
      </c>
      <c r="BX56">
        <f t="shared" si="81"/>
        <v>0.88473350187888389</v>
      </c>
      <c r="BY56">
        <f t="shared" si="81"/>
        <v>0.88473350187888389</v>
      </c>
      <c r="BZ56">
        <f t="shared" si="81"/>
        <v>0.88181058298539872</v>
      </c>
      <c r="CA56">
        <f t="shared" si="81"/>
        <v>0.88650984016349732</v>
      </c>
      <c r="CB56">
        <f t="shared" si="81"/>
        <v>0.88245393135012007</v>
      </c>
      <c r="CC56">
        <f t="shared" si="81"/>
        <v>0.84746205960822618</v>
      </c>
      <c r="CD56">
        <f t="shared" si="81"/>
        <v>0.84932509316178828</v>
      </c>
      <c r="CE56">
        <f t="shared" si="81"/>
        <v>0.84395945023424868</v>
      </c>
      <c r="CF56">
        <f t="shared" si="81"/>
        <v>0.8462915332611457</v>
      </c>
      <c r="CG56">
        <f t="shared" si="81"/>
        <v>0.84007914168193731</v>
      </c>
      <c r="CH56">
        <f t="shared" si="81"/>
        <v>0.84052142584306277</v>
      </c>
      <c r="CI56">
        <f t="shared" si="81"/>
        <v>0.8312063567099387</v>
      </c>
      <c r="CJ56">
        <f t="shared" si="81"/>
        <v>0.83197677840777673</v>
      </c>
      <c r="CK56">
        <f t="shared" si="81"/>
        <v>0.831761854208938</v>
      </c>
      <c r="CL56">
        <f t="shared" si="81"/>
        <v>0.82712741356592134</v>
      </c>
      <c r="CM56">
        <f t="shared" si="81"/>
        <v>0.92108326497205484</v>
      </c>
      <c r="CN56">
        <f t="shared" si="81"/>
        <v>0.92618801853861954</v>
      </c>
      <c r="CO56">
        <f t="shared" si="81"/>
        <v>0.92108326497205484</v>
      </c>
      <c r="CP56">
        <f t="shared" si="81"/>
        <v>0.91215606323108811</v>
      </c>
      <c r="CQ56">
        <f t="shared" si="81"/>
        <v>0.91112688079064774</v>
      </c>
      <c r="CR56">
        <f t="shared" si="81"/>
        <v>0.90865467096713326</v>
      </c>
      <c r="CS56">
        <f t="shared" si="81"/>
        <v>0.91112688079064774</v>
      </c>
      <c r="CT56">
        <f t="shared" si="81"/>
        <v>0.89490191391899043</v>
      </c>
      <c r="CU56">
        <f t="shared" si="81"/>
        <v>0.89887433108219983</v>
      </c>
      <c r="CV56">
        <f t="shared" si="81"/>
        <v>0.94179962362386827</v>
      </c>
      <c r="CW56">
        <f t="shared" si="81"/>
        <v>0.94150607585995283</v>
      </c>
      <c r="CX56">
        <f t="shared" si="81"/>
        <v>0.94076598794848432</v>
      </c>
      <c r="CY56">
        <f t="shared" si="81"/>
        <v>0.94044416496959615</v>
      </c>
      <c r="CZ56">
        <f t="shared" si="81"/>
        <v>0.94156552398460158</v>
      </c>
      <c r="DA56">
        <f t="shared" si="81"/>
        <v>0.94063815128476291</v>
      </c>
      <c r="DB56">
        <f t="shared" si="81"/>
        <v>0.93823111275002324</v>
      </c>
      <c r="DC56">
        <f t="shared" si="81"/>
        <v>0.94093033929331127</v>
      </c>
      <c r="DD56">
        <f t="shared" si="81"/>
        <v>0.93977936314662958</v>
      </c>
      <c r="DE56">
        <f t="shared" si="81"/>
        <v>0.94030682667286458</v>
      </c>
      <c r="DF56">
        <f t="shared" si="81"/>
        <v>0.93814369070702608</v>
      </c>
      <c r="DG56">
        <f t="shared" si="81"/>
        <v>0.94015499212931819</v>
      </c>
      <c r="DH56">
        <f t="shared" si="81"/>
        <v>0.93964324709797542</v>
      </c>
      <c r="DI56">
        <f t="shared" si="81"/>
        <v>0.93859227942219947</v>
      </c>
      <c r="DJ56">
        <f t="shared" si="81"/>
        <v>0.93823111275002324</v>
      </c>
      <c r="DK56">
        <f t="shared" si="81"/>
        <v>0.93977936227776493</v>
      </c>
      <c r="DL56">
        <f t="shared" si="81"/>
        <v>0.93977936227776493</v>
      </c>
      <c r="DM56">
        <f t="shared" si="81"/>
        <v>0.94030682667286458</v>
      </c>
      <c r="DN56">
        <f t="shared" si="81"/>
        <v>0.93814368923063385</v>
      </c>
      <c r="DO56">
        <f t="shared" si="81"/>
        <v>0.93817650598015156</v>
      </c>
      <c r="DP56">
        <f t="shared" si="81"/>
        <v>0.94015499212931819</v>
      </c>
      <c r="DQ56">
        <f t="shared" si="81"/>
        <v>0.93651783739957251</v>
      </c>
      <c r="DR56">
        <f t="shared" si="81"/>
        <v>0.9365523516521751</v>
      </c>
      <c r="DS56">
        <f t="shared" si="81"/>
        <v>0.93596923321935577</v>
      </c>
      <c r="DT56">
        <f t="shared" si="81"/>
        <v>0.93604695159626794</v>
      </c>
      <c r="DU56">
        <f t="shared" si="81"/>
        <v>0.93518437463699766</v>
      </c>
      <c r="DV56">
        <f t="shared" si="81"/>
        <v>0.93438648091785892</v>
      </c>
      <c r="DW56">
        <f t="shared" si="81"/>
        <v>0.93470712390095589</v>
      </c>
      <c r="DX56">
        <f t="shared" si="81"/>
        <v>0.93425769069869924</v>
      </c>
      <c r="DY56">
        <f t="shared" si="81"/>
        <v>0.93425769069869924</v>
      </c>
      <c r="DZ56">
        <f t="shared" si="81"/>
        <v>0.93348699087195919</v>
      </c>
      <c r="EA56">
        <f t="shared" ref="EA56:FH56" si="82">EA55/1000/EA27</f>
        <v>0.93425769069869924</v>
      </c>
      <c r="EB56">
        <f t="shared" si="82"/>
        <v>0.93425769069869924</v>
      </c>
      <c r="EC56">
        <f t="shared" si="82"/>
        <v>0.93348699087195919</v>
      </c>
      <c r="ED56">
        <f t="shared" si="82"/>
        <v>0.92070601945418806</v>
      </c>
      <c r="EE56">
        <f t="shared" si="82"/>
        <v>0.92070601945418806</v>
      </c>
      <c r="EF56">
        <f t="shared" si="82"/>
        <v>0.92070601945418806</v>
      </c>
      <c r="EG56">
        <f t="shared" si="82"/>
        <v>0.92070601945418806</v>
      </c>
      <c r="EH56">
        <f t="shared" si="82"/>
        <v>0.92070601945418806</v>
      </c>
      <c r="EI56">
        <f t="shared" si="82"/>
        <v>0.92070601945418806</v>
      </c>
      <c r="EJ56">
        <f t="shared" si="82"/>
        <v>0.92244963262828916</v>
      </c>
      <c r="EK56">
        <f t="shared" si="82"/>
        <v>0.92244963262828916</v>
      </c>
      <c r="EL56">
        <f t="shared" si="82"/>
        <v>0.92244963262828916</v>
      </c>
      <c r="EM56">
        <f t="shared" si="82"/>
        <v>0.92244963262828916</v>
      </c>
      <c r="EN56">
        <f t="shared" si="82"/>
        <v>0.92244963262828916</v>
      </c>
      <c r="EO56">
        <f t="shared" si="82"/>
        <v>0.92244963262828916</v>
      </c>
      <c r="EP56">
        <f t="shared" si="82"/>
        <v>0.93095006214199538</v>
      </c>
      <c r="EQ56">
        <f t="shared" si="82"/>
        <v>0.93095006214199538</v>
      </c>
      <c r="ER56">
        <f t="shared" si="82"/>
        <v>0.91926581630915616</v>
      </c>
      <c r="ES56">
        <f t="shared" si="82"/>
        <v>0.91926581630915616</v>
      </c>
      <c r="ET56">
        <f t="shared" si="82"/>
        <v>0.91682006805651328</v>
      </c>
      <c r="EU56">
        <f t="shared" si="82"/>
        <v>0.92025501279629929</v>
      </c>
      <c r="EV56">
        <f t="shared" si="82"/>
        <v>0.92403683974421125</v>
      </c>
      <c r="EW56">
        <f t="shared" si="82"/>
        <v>0.92014367597939162</v>
      </c>
      <c r="EX56">
        <f t="shared" si="82"/>
        <v>0.92014367597939162</v>
      </c>
      <c r="EY56">
        <f t="shared" si="82"/>
        <v>0.92014367597939162</v>
      </c>
      <c r="EZ56">
        <f t="shared" si="82"/>
        <v>0.92429784278717864</v>
      </c>
      <c r="FA56">
        <f t="shared" si="82"/>
        <v>0.92081808079923899</v>
      </c>
      <c r="FB56">
        <f t="shared" si="82"/>
        <v>0.92081808079923899</v>
      </c>
      <c r="FC56">
        <f t="shared" si="82"/>
        <v>0.92081808079923899</v>
      </c>
      <c r="FD56">
        <f t="shared" si="82"/>
        <v>0.92081808079923899</v>
      </c>
      <c r="FE56">
        <f t="shared" si="82"/>
        <v>0.91245827626709886</v>
      </c>
      <c r="FF56">
        <f t="shared" si="82"/>
        <v>0.91124640735989582</v>
      </c>
      <c r="FG56">
        <f t="shared" si="82"/>
        <v>0.91124640735989582</v>
      </c>
      <c r="FH56">
        <f t="shared" si="82"/>
        <v>0.91124640735989582</v>
      </c>
    </row>
    <row r="59" spans="1:164">
      <c r="A59" t="s">
        <v>2662</v>
      </c>
      <c r="B59">
        <f xml:space="preserve"> 518.67 - ((B48/1000)*3.56)</f>
        <v>386.68837203999993</v>
      </c>
      <c r="C59">
        <f t="shared" ref="C59:AG59" si="83" xml:space="preserve"> 518.67 - ((C48/1000)*3.56)</f>
        <v>372.70999999999992</v>
      </c>
      <c r="D59">
        <f t="shared" si="83"/>
        <v>386.94999999999993</v>
      </c>
      <c r="E59">
        <f t="shared" si="83"/>
        <v>386.94999999999993</v>
      </c>
      <c r="F59">
        <f t="shared" si="83"/>
        <v>386.94999999999993</v>
      </c>
      <c r="G59">
        <f t="shared" si="83"/>
        <v>386.94999999999993</v>
      </c>
      <c r="H59">
        <f t="shared" si="83"/>
        <v>386.94999999999993</v>
      </c>
      <c r="I59">
        <f t="shared" si="83"/>
        <v>386.94999999999993</v>
      </c>
      <c r="J59">
        <f t="shared" si="83"/>
        <v>401.18999999999994</v>
      </c>
      <c r="K59">
        <f t="shared" si="83"/>
        <v>394.06999999999994</v>
      </c>
      <c r="L59">
        <f t="shared" si="83"/>
        <v>394.06999999999994</v>
      </c>
      <c r="M59">
        <f t="shared" si="83"/>
        <v>394.06999999999994</v>
      </c>
      <c r="N59">
        <f t="shared" si="83"/>
        <v>394.06999999999994</v>
      </c>
      <c r="O59">
        <f t="shared" si="83"/>
        <v>394.06999999999994</v>
      </c>
      <c r="P59">
        <f t="shared" si="83"/>
        <v>394.06999999999994</v>
      </c>
      <c r="Q59">
        <f t="shared" si="83"/>
        <v>394.06999999999994</v>
      </c>
      <c r="R59">
        <f t="shared" si="83"/>
        <v>394.06999999999994</v>
      </c>
      <c r="S59">
        <f t="shared" si="83"/>
        <v>394.06999999999994</v>
      </c>
      <c r="T59">
        <f t="shared" si="83"/>
        <v>394.06999999999994</v>
      </c>
      <c r="U59">
        <f t="shared" si="83"/>
        <v>394.06999999999994</v>
      </c>
      <c r="V59">
        <f t="shared" si="83"/>
        <v>394.06999999999994</v>
      </c>
      <c r="W59">
        <f t="shared" si="83"/>
        <v>394.06999999999994</v>
      </c>
      <c r="X59">
        <f t="shared" si="83"/>
        <v>394.06999999999994</v>
      </c>
      <c r="Y59">
        <f t="shared" si="83"/>
        <v>394.06999999999994</v>
      </c>
      <c r="Z59">
        <f t="shared" si="83"/>
        <v>379.82999999999993</v>
      </c>
      <c r="AA59">
        <f t="shared" si="83"/>
        <v>379.82999999999993</v>
      </c>
      <c r="AB59">
        <f t="shared" si="83"/>
        <v>379.82999999999993</v>
      </c>
      <c r="AC59">
        <f t="shared" si="83"/>
        <v>379.82999999999993</v>
      </c>
      <c r="AD59">
        <f t="shared" si="83"/>
        <v>394.06999999999994</v>
      </c>
      <c r="AE59">
        <f t="shared" si="83"/>
        <v>379.82999999999993</v>
      </c>
      <c r="AF59">
        <f t="shared" si="83"/>
        <v>379.82999999999993</v>
      </c>
      <c r="AG59">
        <f t="shared" si="83"/>
        <v>397.27399999999994</v>
      </c>
    </row>
    <row r="60" spans="1:164">
      <c r="A60" t="s">
        <v>2663</v>
      </c>
      <c r="B60">
        <f>(B59/518.67)^((32.17-3.56*1716.16)/(3.56*1716.16))</f>
        <v>1.3392402746553096</v>
      </c>
      <c r="C60">
        <f t="shared" ref="C60:AG60" si="84">(C59/518.67)^((32.17-3.56*1716.16)/(3.56*1716.16))</f>
        <v>1.3891987132725709</v>
      </c>
      <c r="D60">
        <f t="shared" si="84"/>
        <v>1.3383395423491387</v>
      </c>
      <c r="E60">
        <f t="shared" si="84"/>
        <v>1.3383395423491387</v>
      </c>
      <c r="F60">
        <f t="shared" si="84"/>
        <v>1.3383395423491387</v>
      </c>
      <c r="G60">
        <f t="shared" si="84"/>
        <v>1.3383395423491387</v>
      </c>
      <c r="H60">
        <f t="shared" si="84"/>
        <v>1.3383395423491387</v>
      </c>
      <c r="I60">
        <f t="shared" si="84"/>
        <v>1.3383395423491387</v>
      </c>
      <c r="J60">
        <f t="shared" si="84"/>
        <v>1.2910816406335481</v>
      </c>
      <c r="K60">
        <f t="shared" si="84"/>
        <v>1.3142847908228963</v>
      </c>
      <c r="L60">
        <f t="shared" si="84"/>
        <v>1.3142847908228963</v>
      </c>
      <c r="M60">
        <f t="shared" si="84"/>
        <v>1.3142847908228963</v>
      </c>
      <c r="N60">
        <f t="shared" si="84"/>
        <v>1.3142847908228963</v>
      </c>
      <c r="O60">
        <f t="shared" si="84"/>
        <v>1.3142847908228963</v>
      </c>
      <c r="P60">
        <f t="shared" si="84"/>
        <v>1.3142847908228963</v>
      </c>
      <c r="Q60">
        <f t="shared" si="84"/>
        <v>1.3142847908228963</v>
      </c>
      <c r="R60">
        <f t="shared" si="84"/>
        <v>1.3142847908228963</v>
      </c>
      <c r="S60">
        <f t="shared" si="84"/>
        <v>1.3142847908228963</v>
      </c>
      <c r="T60">
        <f t="shared" si="84"/>
        <v>1.3142847908228963</v>
      </c>
      <c r="U60">
        <f t="shared" si="84"/>
        <v>1.3142847908228963</v>
      </c>
      <c r="V60">
        <f t="shared" si="84"/>
        <v>1.3142847908228963</v>
      </c>
      <c r="W60">
        <f t="shared" si="84"/>
        <v>1.3142847908228963</v>
      </c>
      <c r="X60">
        <f t="shared" si="84"/>
        <v>1.3142847908228963</v>
      </c>
      <c r="Y60">
        <f t="shared" si="84"/>
        <v>1.3142847908228963</v>
      </c>
      <c r="Z60">
        <f t="shared" si="84"/>
        <v>1.36329369920939</v>
      </c>
      <c r="AA60">
        <f t="shared" si="84"/>
        <v>1.36329369920939</v>
      </c>
      <c r="AB60">
        <f t="shared" si="84"/>
        <v>1.36329369920939</v>
      </c>
      <c r="AC60">
        <f t="shared" si="84"/>
        <v>1.36329369920939</v>
      </c>
      <c r="AD60">
        <f t="shared" si="84"/>
        <v>1.3142847908228963</v>
      </c>
      <c r="AE60">
        <f t="shared" si="84"/>
        <v>1.36329369920939</v>
      </c>
      <c r="AF60">
        <f t="shared" si="84"/>
        <v>1.36329369920939</v>
      </c>
      <c r="AG60">
        <f t="shared" si="84"/>
        <v>1.3037407214631314</v>
      </c>
    </row>
    <row r="61" spans="1:164">
      <c r="A61" s="235" t="s">
        <v>2663</v>
      </c>
      <c r="B61">
        <f>EXP(32.17*(36100-B48)/(1716.16*B59))</f>
        <v>0.95390467294800674</v>
      </c>
      <c r="C61">
        <f t="shared" ref="C61:AG61" si="85">EXP(32.17*(36100-C48)/(1716.16*C59))</f>
        <v>0.78157509692329752</v>
      </c>
      <c r="D61">
        <f t="shared" si="85"/>
        <v>0.95733734856704311</v>
      </c>
      <c r="E61">
        <f t="shared" si="85"/>
        <v>0.95733734856704311</v>
      </c>
      <c r="F61">
        <f t="shared" si="85"/>
        <v>0.95733734856704311</v>
      </c>
      <c r="G61">
        <f t="shared" si="85"/>
        <v>0.95733734856704311</v>
      </c>
      <c r="H61">
        <f t="shared" si="85"/>
        <v>0.95733734856704311</v>
      </c>
      <c r="I61">
        <f t="shared" si="85"/>
        <v>0.95733734856704311</v>
      </c>
      <c r="J61">
        <f t="shared" si="85"/>
        <v>1.1558609269380788</v>
      </c>
      <c r="K61">
        <f t="shared" si="85"/>
        <v>1.0537185718215198</v>
      </c>
      <c r="L61">
        <f t="shared" si="85"/>
        <v>1.0537185718215198</v>
      </c>
      <c r="M61">
        <f t="shared" si="85"/>
        <v>1.0537185718215198</v>
      </c>
      <c r="N61">
        <f t="shared" si="85"/>
        <v>1.0537185718215198</v>
      </c>
      <c r="O61">
        <f t="shared" si="85"/>
        <v>1.0537185718215198</v>
      </c>
      <c r="P61">
        <f t="shared" si="85"/>
        <v>1.0537185718215198</v>
      </c>
      <c r="Q61">
        <f t="shared" si="85"/>
        <v>1.0537185718215198</v>
      </c>
      <c r="R61">
        <f t="shared" si="85"/>
        <v>1.0537185718215198</v>
      </c>
      <c r="S61">
        <f t="shared" si="85"/>
        <v>1.0537185718215198</v>
      </c>
      <c r="T61">
        <f t="shared" si="85"/>
        <v>1.0537185718215198</v>
      </c>
      <c r="U61">
        <f t="shared" si="85"/>
        <v>1.0537185718215198</v>
      </c>
      <c r="V61">
        <f t="shared" si="85"/>
        <v>1.0537185718215198</v>
      </c>
      <c r="W61">
        <f t="shared" si="85"/>
        <v>1.0537185718215198</v>
      </c>
      <c r="X61">
        <f t="shared" si="85"/>
        <v>1.0537185718215198</v>
      </c>
      <c r="Y61">
        <f t="shared" si="85"/>
        <v>1.0537185718215198</v>
      </c>
      <c r="Z61">
        <f t="shared" si="85"/>
        <v>0.86664958128103486</v>
      </c>
      <c r="AA61">
        <f t="shared" si="85"/>
        <v>0.86664958128103486</v>
      </c>
      <c r="AB61">
        <f t="shared" si="85"/>
        <v>0.86664958128103486</v>
      </c>
      <c r="AC61">
        <f t="shared" si="85"/>
        <v>0.86664958128103486</v>
      </c>
      <c r="AD61">
        <f t="shared" si="85"/>
        <v>1.0537185718215198</v>
      </c>
      <c r="AE61">
        <f t="shared" si="85"/>
        <v>0.86664958128103486</v>
      </c>
      <c r="AF61">
        <f t="shared" si="85"/>
        <v>0.86664958128103486</v>
      </c>
      <c r="AG61">
        <f t="shared" si="85"/>
        <v>1.0989660931515695</v>
      </c>
    </row>
  </sheetData>
  <conditionalFormatting sqref="A1:FH44">
    <cfRule type="containsBlanks" dxfId="1" priority="1">
      <formula>LEN(TRIM(A1))=0</formula>
    </cfRule>
  </conditionalFormatting>
  <hyperlinks>
    <hyperlink ref="A22" r:id="rId1" xr:uid="{8E441B83-F95B-4C52-B4BF-ABDDC6F40D52}"/>
  </hyperlinks>
  <pageMargins left="0.7" right="0.7" top="0.75" bottom="0.75" header="0.3" footer="0.3"/>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BF31F-05F7-4EBB-807A-E023437670C5}">
  <dimension ref="A1:H35"/>
  <sheetViews>
    <sheetView topLeftCell="A15" workbookViewId="0">
      <selection activeCell="A15" sqref="A15"/>
    </sheetView>
  </sheetViews>
  <sheetFormatPr defaultColWidth="9.140625" defaultRowHeight="15"/>
  <cols>
    <col min="1" max="1" width="22.7109375" style="226" customWidth="1"/>
    <col min="2" max="2" width="26.42578125" style="226" customWidth="1"/>
    <col min="3" max="3" width="20.28515625" style="226" customWidth="1"/>
    <col min="4" max="4" width="25.7109375" style="226" customWidth="1"/>
    <col min="5" max="5" width="23.28515625" style="226" customWidth="1"/>
    <col min="6" max="6" width="28.42578125" style="226" customWidth="1"/>
    <col min="7" max="7" width="25.7109375" style="226" customWidth="1"/>
    <col min="8" max="8" width="25.28515625" style="226" customWidth="1"/>
    <col min="9" max="16384" width="9.140625" style="226"/>
  </cols>
  <sheetData>
    <row r="1" spans="1:5">
      <c r="A1" s="228" t="s">
        <v>2664</v>
      </c>
      <c r="B1" s="228" t="s">
        <v>2665</v>
      </c>
      <c r="C1" s="228" t="s">
        <v>2666</v>
      </c>
      <c r="D1" s="228" t="s">
        <v>2667</v>
      </c>
    </row>
    <row r="2" spans="1:5" ht="30">
      <c r="A2" s="226" t="s">
        <v>2668</v>
      </c>
      <c r="B2" s="226" t="s">
        <v>2669</v>
      </c>
      <c r="D2" s="226" t="s">
        <v>2670</v>
      </c>
      <c r="E2" s="231"/>
    </row>
    <row r="3" spans="1:5" ht="30">
      <c r="A3" s="226" t="s">
        <v>2671</v>
      </c>
      <c r="B3" s="226" t="s">
        <v>2669</v>
      </c>
      <c r="D3" s="226" t="s">
        <v>2670</v>
      </c>
      <c r="E3" s="231"/>
    </row>
    <row r="4" spans="1:5" ht="30">
      <c r="A4" s="226" t="s">
        <v>2672</v>
      </c>
      <c r="B4" s="226" t="s">
        <v>1254</v>
      </c>
      <c r="D4" s="226" t="s">
        <v>2670</v>
      </c>
      <c r="E4" s="231"/>
    </row>
    <row r="5" spans="1:5" ht="30">
      <c r="A5" s="226" t="s">
        <v>2673</v>
      </c>
      <c r="B5" s="226" t="s">
        <v>1254</v>
      </c>
      <c r="D5" s="226" t="s">
        <v>2674</v>
      </c>
      <c r="E5" s="231"/>
    </row>
    <row r="6" spans="1:5">
      <c r="A6" s="226" t="s">
        <v>2675</v>
      </c>
      <c r="B6" s="226" t="s">
        <v>2669</v>
      </c>
      <c r="D6" s="226" t="s">
        <v>2676</v>
      </c>
      <c r="E6" s="231"/>
    </row>
    <row r="7" spans="1:5">
      <c r="E7" s="231"/>
    </row>
    <row r="8" spans="1:5">
      <c r="E8" s="231" t="s">
        <v>2677</v>
      </c>
    </row>
    <row r="9" spans="1:5">
      <c r="E9" s="231"/>
    </row>
    <row r="10" spans="1:5">
      <c r="E10" s="231"/>
    </row>
    <row r="11" spans="1:5" ht="30">
      <c r="A11" s="226" t="s">
        <v>2678</v>
      </c>
      <c r="B11" s="226" t="s">
        <v>1259</v>
      </c>
      <c r="E11" s="231"/>
    </row>
    <row r="12" spans="1:5" ht="30">
      <c r="A12" s="226" t="s">
        <v>2679</v>
      </c>
      <c r="B12" s="226" t="s">
        <v>2680</v>
      </c>
      <c r="C12" s="226">
        <v>0</v>
      </c>
      <c r="E12" s="231"/>
    </row>
    <row r="13" spans="1:5" ht="75">
      <c r="A13" s="226" t="s">
        <v>2681</v>
      </c>
      <c r="B13" s="226" t="s">
        <v>1231</v>
      </c>
      <c r="C13" s="227" t="s">
        <v>2682</v>
      </c>
      <c r="D13" s="226" t="s">
        <v>2683</v>
      </c>
      <c r="E13" s="231"/>
    </row>
    <row r="14" spans="1:5">
      <c r="A14" s="226" t="s">
        <v>2684</v>
      </c>
      <c r="B14" s="226" t="s">
        <v>2685</v>
      </c>
      <c r="C14" s="230">
        <v>1.2999999999999999E-5</v>
      </c>
      <c r="D14" s="226" t="s">
        <v>2676</v>
      </c>
      <c r="E14" s="231"/>
    </row>
    <row r="15" spans="1:5" ht="39">
      <c r="A15" s="229" t="s">
        <v>2686</v>
      </c>
      <c r="B15" s="226" t="s">
        <v>2687</v>
      </c>
      <c r="C15" s="226">
        <v>0.8</v>
      </c>
      <c r="D15" s="226" t="s">
        <v>2676</v>
      </c>
      <c r="E15" s="231"/>
    </row>
    <row r="16" spans="1:5" ht="26.25">
      <c r="A16" s="229" t="s">
        <v>2688</v>
      </c>
      <c r="B16" s="226" t="s">
        <v>2687</v>
      </c>
      <c r="C16" s="226">
        <v>0.35</v>
      </c>
      <c r="D16" s="226" t="s">
        <v>2676</v>
      </c>
      <c r="E16" s="233"/>
    </row>
    <row r="17" spans="1:8" ht="26.25">
      <c r="A17" s="229" t="s">
        <v>2689</v>
      </c>
      <c r="B17" s="226" t="s">
        <v>2687</v>
      </c>
      <c r="C17" s="226">
        <v>0.96</v>
      </c>
      <c r="D17" s="226" t="s">
        <v>2676</v>
      </c>
      <c r="E17" s="233"/>
    </row>
    <row r="18" spans="1:8" ht="26.25">
      <c r="A18" s="229" t="s">
        <v>2690</v>
      </c>
      <c r="B18" s="226" t="s">
        <v>2687</v>
      </c>
      <c r="C18" s="226">
        <v>0.96</v>
      </c>
      <c r="D18" s="226" t="s">
        <v>2676</v>
      </c>
      <c r="E18" s="233"/>
    </row>
    <row r="19" spans="1:8">
      <c r="A19" s="226" t="s">
        <v>2691</v>
      </c>
      <c r="B19" s="226" t="s">
        <v>2692</v>
      </c>
      <c r="D19" s="226" t="s">
        <v>2674</v>
      </c>
      <c r="E19" s="233"/>
    </row>
    <row r="20" spans="1:8">
      <c r="A20" s="226" t="s">
        <v>2693</v>
      </c>
      <c r="B20" s="226" t="s">
        <v>2687</v>
      </c>
      <c r="C20" s="226">
        <v>0</v>
      </c>
      <c r="D20" s="226" t="s">
        <v>2676</v>
      </c>
      <c r="E20" s="233"/>
    </row>
    <row r="21" spans="1:8" ht="30">
      <c r="A21" s="226" t="s">
        <v>2694</v>
      </c>
      <c r="B21" s="226" t="s">
        <v>1254</v>
      </c>
      <c r="D21" s="226" t="s">
        <v>2695</v>
      </c>
      <c r="E21" s="233" t="s">
        <v>1823</v>
      </c>
    </row>
    <row r="22" spans="1:8" ht="30">
      <c r="A22" s="226" t="s">
        <v>2696</v>
      </c>
      <c r="B22" s="226" t="s">
        <v>1231</v>
      </c>
      <c r="D22" s="226" t="s">
        <v>2697</v>
      </c>
      <c r="E22" s="233"/>
    </row>
    <row r="23" spans="1:8">
      <c r="A23" s="226" t="s">
        <v>2698</v>
      </c>
      <c r="B23" s="226" t="s">
        <v>2669</v>
      </c>
      <c r="C23" s="229"/>
      <c r="D23" s="226" t="s">
        <v>2683</v>
      </c>
      <c r="E23" s="233"/>
    </row>
    <row r="24" spans="1:8">
      <c r="A24" s="226" t="s">
        <v>1645</v>
      </c>
      <c r="B24" s="226" t="s">
        <v>1254</v>
      </c>
      <c r="C24" s="229"/>
      <c r="D24" s="226" t="s">
        <v>2674</v>
      </c>
      <c r="E24" s="233"/>
    </row>
    <row r="25" spans="1:8">
      <c r="A25" s="226" t="s">
        <v>2699</v>
      </c>
      <c r="B25" s="226" t="s">
        <v>2687</v>
      </c>
      <c r="C25" s="229" t="s">
        <v>2700</v>
      </c>
      <c r="D25" s="226" t="s">
        <v>2676</v>
      </c>
      <c r="E25" s="233"/>
      <c r="F25" s="229"/>
      <c r="H25" s="229"/>
    </row>
    <row r="26" spans="1:8">
      <c r="A26" s="226" t="s">
        <v>2701</v>
      </c>
      <c r="B26" s="226" t="s">
        <v>2702</v>
      </c>
      <c r="C26" s="232">
        <v>43150000</v>
      </c>
      <c r="D26" s="226" t="s">
        <v>2676</v>
      </c>
      <c r="E26" s="233"/>
    </row>
    <row r="27" spans="1:8">
      <c r="A27" s="226" t="s">
        <v>2703</v>
      </c>
      <c r="B27" s="226" t="s">
        <v>2687</v>
      </c>
      <c r="C27" s="229"/>
      <c r="D27" s="226" t="s">
        <v>2683</v>
      </c>
      <c r="E27" s="233"/>
    </row>
    <row r="28" spans="1:8">
      <c r="A28" s="226" t="s">
        <v>2704</v>
      </c>
      <c r="B28" s="226" t="s">
        <v>2687</v>
      </c>
      <c r="C28" s="229">
        <v>50</v>
      </c>
      <c r="D28" s="226" t="s">
        <v>2676</v>
      </c>
      <c r="E28" s="233"/>
    </row>
    <row r="29" spans="1:8">
      <c r="C29" s="229"/>
    </row>
    <row r="30" spans="1:8" ht="30">
      <c r="A30" s="226" t="s">
        <v>2705</v>
      </c>
      <c r="B30" s="226" t="s">
        <v>2687</v>
      </c>
      <c r="C30" s="229" t="s">
        <v>2706</v>
      </c>
      <c r="D30" s="226" t="s">
        <v>2707</v>
      </c>
    </row>
    <row r="31" spans="1:8">
      <c r="C31" s="229"/>
    </row>
    <row r="32" spans="1:8">
      <c r="C32" s="229"/>
    </row>
    <row r="33" spans="3:3">
      <c r="C33" s="229"/>
    </row>
    <row r="34" spans="3:3">
      <c r="C34" s="229"/>
    </row>
    <row r="35" spans="3:3">
      <c r="C35" s="229"/>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9bb3975-7017-47d9-af99-a91822f9bc54">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71C86139CFAF44FB991BABEC9404CA4" ma:contentTypeVersion="13" ma:contentTypeDescription="Create a new document." ma:contentTypeScope="" ma:versionID="d949a7beee8407f6f125f9a7a2b79005">
  <xsd:schema xmlns:xsd="http://www.w3.org/2001/XMLSchema" xmlns:xs="http://www.w3.org/2001/XMLSchema" xmlns:p="http://schemas.microsoft.com/office/2006/metadata/properties" xmlns:ns2="49bb3975-7017-47d9-af99-a91822f9bc54" xmlns:ns3="23529cff-4cee-4a6f-961f-beef9c525449" targetNamespace="http://schemas.microsoft.com/office/2006/metadata/properties" ma:root="true" ma:fieldsID="ac4d0eff73587ea6ab4ee94fb6e7cc97" ns2:_="" ns3:_="">
    <xsd:import namespace="49bb3975-7017-47d9-af99-a91822f9bc54"/>
    <xsd:import namespace="23529cff-4cee-4a6f-961f-beef9c52544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bb3975-7017-47d9-af99-a91822f9bc5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7e34570d-868a-434a-a4d0-ab665cb7028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3529cff-4cee-4a6f-961f-beef9c525449"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25D48E8-F5A3-4FCB-B684-A2DF4B61BB15}">
  <ds:schemaRefs>
    <ds:schemaRef ds:uri="http://www.w3.org/XML/1998/namespace"/>
    <ds:schemaRef ds:uri="http://purl.org/dc/dcmitype/"/>
    <ds:schemaRef ds:uri="23529cff-4cee-4a6f-961f-beef9c525449"/>
    <ds:schemaRef ds:uri="http://schemas.microsoft.com/office/infopath/2007/PartnerControls"/>
    <ds:schemaRef ds:uri="http://purl.org/dc/elements/1.1/"/>
    <ds:schemaRef ds:uri="http://schemas.microsoft.com/office/2006/documentManagement/types"/>
    <ds:schemaRef ds:uri="http://purl.org/dc/terms/"/>
    <ds:schemaRef ds:uri="http://schemas.openxmlformats.org/package/2006/metadata/core-properties"/>
    <ds:schemaRef ds:uri="49bb3975-7017-47d9-af99-a91822f9bc54"/>
    <ds:schemaRef ds:uri="http://schemas.microsoft.com/office/2006/metadata/properties"/>
  </ds:schemaRefs>
</ds:datastoreItem>
</file>

<file path=customXml/itemProps2.xml><?xml version="1.0" encoding="utf-8"?>
<ds:datastoreItem xmlns:ds="http://schemas.openxmlformats.org/officeDocument/2006/customXml" ds:itemID="{66E5986E-759A-48AF-9F0E-205A007C7762}">
  <ds:schemaRefs>
    <ds:schemaRef ds:uri="http://schemas.microsoft.com/sharepoint/v3/contenttype/forms"/>
  </ds:schemaRefs>
</ds:datastoreItem>
</file>

<file path=customXml/itemProps3.xml><?xml version="1.0" encoding="utf-8"?>
<ds:datastoreItem xmlns:ds="http://schemas.openxmlformats.org/officeDocument/2006/customXml" ds:itemID="{2DA0F697-30A6-4E97-A45C-4EE759F6BE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9bb3975-7017-47d9-af99-a91822f9bc54"/>
    <ds:schemaRef ds:uri="23529cff-4cee-4a6f-961f-beef9c5254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Jet Aircraft</vt:lpstr>
      <vt:lpstr>Propeller Aircraft</vt:lpstr>
      <vt:lpstr>Jet Engines</vt:lpstr>
      <vt:lpstr>Propeller Engines</vt:lpstr>
      <vt:lpstr>Piston Aircraft</vt:lpstr>
      <vt:lpstr>Piston Engines</vt:lpstr>
      <vt:lpstr>ALL AC</vt:lpstr>
      <vt:lpstr>Janki (Jane)</vt:lpstr>
      <vt:lpstr>Michael (Jane)</vt:lpstr>
      <vt:lpstr>Michael Reorganized</vt:lpstr>
      <vt:lpstr>Ignore This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Max Arnson</dc:creator>
  <cp:keywords/>
  <dc:description/>
  <cp:lastModifiedBy>Arnson, Maxfield</cp:lastModifiedBy>
  <cp:revision/>
  <dcterms:created xsi:type="dcterms:W3CDTF">2022-07-07T16:42:20Z</dcterms:created>
  <dcterms:modified xsi:type="dcterms:W3CDTF">2025-04-09T21:04:08Z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0x010100271C86139CFAF44FB991BABEC9404CA4</vt:lpwstr>
  </property>
  <property fmtid="{D5CDD505-2E9C-101B-9397-08002B2CF9AE}" pid="3" name="MediaServiceImageTags">
    <vt:lpwstr/>
  </property>
</Properties>
</file>